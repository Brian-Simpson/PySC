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PySC\"/>
    </mc:Choice>
  </mc:AlternateContent>
  <xr:revisionPtr revIDLastSave="0" documentId="13_ncr:b_{FC945853-124E-46A5-968E-5E311AD454A6}" xr6:coauthVersionLast="47" xr6:coauthVersionMax="47" xr10:uidLastSave="{00000000-0000-0000-0000-000000000000}"/>
  <bookViews>
    <workbookView xWindow="-28920" yWindow="-120" windowWidth="29040" windowHeight="15720" xr2:uid="{479018DE-6DDA-48C3-A89A-A479AB4CE34D}"/>
  </bookViews>
  <sheets>
    <sheet name="AUDIT FILE COMPARISON REPORT" sheetId="5" r:id="rId1"/>
    <sheet name="Current" sheetId="1" r:id="rId2"/>
    <sheet name="All_Potential" sheetId="2" r:id="rId3"/>
    <sheet name="Already Pass Not Assessed" sheetId="4" r:id="rId4"/>
    <sheet name="NewAudit" sheetId="6" r:id="rId5"/>
    <sheet name="CurrentAudit" sheetId="7" r:id="rId6"/>
    <sheet name="CombinedAudit" sheetId="8" r:id="rId7"/>
  </sheets>
  <definedNames>
    <definedName name="_xlnm._FilterDatabase" localSheetId="2" hidden="1">All_Potential!$A$1:$BV$500</definedName>
  </definedNames>
  <calcPr calcId="0"/>
</workbook>
</file>

<file path=xl/calcChain.xml><?xml version="1.0" encoding="utf-8"?>
<calcChain xmlns="http://schemas.openxmlformats.org/spreadsheetml/2006/main">
  <c r="BR23" i="2" l="1"/>
  <c r="BR26" i="2"/>
  <c r="BR27" i="2"/>
  <c r="BR28" i="2"/>
  <c r="BR40" i="2"/>
  <c r="BR41" i="2"/>
  <c r="BR42" i="2"/>
  <c r="BR43" i="2"/>
  <c r="BR44" i="2"/>
  <c r="BR56" i="2"/>
  <c r="BR58" i="2"/>
  <c r="BR59" i="2"/>
  <c r="BR60" i="2"/>
  <c r="BR73" i="2"/>
  <c r="BR74" i="2"/>
  <c r="BR76" i="2"/>
  <c r="BR87" i="2"/>
  <c r="BR89" i="2"/>
  <c r="BR90" i="2"/>
  <c r="BR91" i="2"/>
  <c r="BR104" i="2"/>
  <c r="BR105" i="2"/>
  <c r="BR106" i="2"/>
  <c r="BR107" i="2"/>
  <c r="BR108" i="2"/>
  <c r="BR119" i="2"/>
  <c r="BR120" i="2"/>
  <c r="BR121" i="2"/>
  <c r="BR122" i="2"/>
  <c r="BR123" i="2"/>
  <c r="BR124" i="2"/>
  <c r="BR135" i="2"/>
  <c r="BR136" i="2"/>
  <c r="BR137" i="2"/>
  <c r="BR138" i="2"/>
  <c r="BR139" i="2"/>
  <c r="BR140" i="2"/>
  <c r="BR151" i="2"/>
  <c r="BR152" i="2"/>
  <c r="BR153" i="2"/>
  <c r="BR154" i="2"/>
  <c r="BR155" i="2"/>
  <c r="BR156" i="2"/>
  <c r="BR167" i="2"/>
  <c r="BR168" i="2"/>
  <c r="BR169" i="2"/>
  <c r="BR170" i="2"/>
  <c r="BR171" i="2"/>
  <c r="BR183" i="2"/>
  <c r="BR184" i="2"/>
  <c r="BR185" i="2"/>
  <c r="BR186" i="2"/>
  <c r="BR187" i="2"/>
  <c r="BR188" i="2"/>
  <c r="BR199" i="2"/>
  <c r="BR200" i="2"/>
  <c r="BR201" i="2"/>
  <c r="BR204" i="2"/>
  <c r="BR215" i="2"/>
  <c r="BR220" i="2"/>
  <c r="BR231" i="2"/>
  <c r="BR232" i="2"/>
  <c r="BR233" i="2"/>
  <c r="BR234" i="2"/>
  <c r="BR235" i="2"/>
  <c r="BR236" i="2"/>
  <c r="BR247" i="2"/>
  <c r="BR248" i="2"/>
  <c r="BR249" i="2"/>
  <c r="BR251" i="2"/>
  <c r="BR252" i="2"/>
  <c r="BR263" i="2"/>
  <c r="BR264" i="2"/>
  <c r="BR265" i="2"/>
  <c r="BR266" i="2"/>
  <c r="BR267" i="2"/>
  <c r="BR268" i="2"/>
  <c r="BR279" i="2"/>
  <c r="BR280" i="2"/>
  <c r="BR282" i="2"/>
  <c r="BR283" i="2"/>
  <c r="BR295" i="2"/>
  <c r="BR296" i="2"/>
  <c r="BR297" i="2"/>
  <c r="BR298" i="2"/>
  <c r="BR299" i="2"/>
  <c r="BR300" i="2"/>
  <c r="BR311" i="2"/>
  <c r="BR312" i="2"/>
  <c r="BR313" i="2"/>
  <c r="BR314" i="2"/>
  <c r="BR315" i="2"/>
  <c r="BR316" i="2"/>
  <c r="BR327" i="2"/>
  <c r="BR328" i="2"/>
  <c r="BR329" i="2"/>
  <c r="BR330" i="2"/>
  <c r="BR331" i="2"/>
  <c r="BR332" i="2"/>
  <c r="BR343" i="2"/>
  <c r="BR344" i="2"/>
  <c r="BR345" i="2"/>
  <c r="BR346" i="2"/>
  <c r="BR347" i="2"/>
  <c r="BR348" i="2"/>
  <c r="BR359" i="2"/>
  <c r="BR360" i="2"/>
  <c r="BR361" i="2"/>
  <c r="BR363" i="2"/>
  <c r="BR364" i="2"/>
  <c r="BR376" i="2"/>
  <c r="BR377" i="2"/>
  <c r="BR378" i="2"/>
  <c r="BR379" i="2"/>
  <c r="BR380" i="2"/>
  <c r="BR392" i="2"/>
  <c r="BR393" i="2"/>
  <c r="BR395" i="2"/>
  <c r="BR396" i="2"/>
  <c r="BR407" i="2"/>
  <c r="BR408" i="2"/>
  <c r="BR410" i="2"/>
  <c r="BR411" i="2"/>
  <c r="BR412" i="2"/>
  <c r="BR423" i="2"/>
  <c r="BR424" i="2"/>
  <c r="BR425" i="2"/>
  <c r="BR426" i="2"/>
  <c r="BR427" i="2"/>
  <c r="BR428" i="2"/>
  <c r="BR439" i="2"/>
  <c r="BR440" i="2"/>
  <c r="BR441" i="2"/>
  <c r="BR442" i="2"/>
  <c r="BR443" i="2"/>
  <c r="BR455" i="2"/>
  <c r="BR456" i="2"/>
  <c r="BR457" i="2"/>
  <c r="BR458" i="2"/>
  <c r="BR460" i="2"/>
  <c r="BR472" i="2"/>
  <c r="BR473" i="2"/>
  <c r="BR474" i="2"/>
  <c r="BR475" i="2"/>
  <c r="BR487" i="2"/>
  <c r="BR488" i="2"/>
  <c r="BR489" i="2"/>
  <c r="BR490" i="2"/>
  <c r="BR491" i="2"/>
  <c r="BR492" i="2"/>
  <c r="BR7" i="2"/>
  <c r="BR2" i="2"/>
  <c r="BR2" i="1"/>
  <c r="BR33" i="1"/>
  <c r="BR34" i="1"/>
  <c r="BR35" i="1"/>
  <c r="BR36" i="1"/>
  <c r="BR44" i="1"/>
  <c r="BR48" i="1"/>
  <c r="BR50" i="1"/>
  <c r="BR62" i="1"/>
  <c r="BR63" i="1"/>
  <c r="BR69" i="1"/>
  <c r="BR71" i="1"/>
  <c r="BR72" i="1"/>
  <c r="BR73" i="1"/>
  <c r="BR74" i="1"/>
  <c r="BR75" i="1"/>
  <c r="BR77" i="1"/>
  <c r="BR78" i="1"/>
  <c r="BR79" i="1"/>
  <c r="BR80" i="1"/>
  <c r="BR81" i="1"/>
  <c r="BR83" i="1"/>
  <c r="BR86" i="1"/>
  <c r="BR87" i="1"/>
  <c r="BR88" i="1"/>
  <c r="BR89" i="1"/>
  <c r="BR90" i="1"/>
  <c r="BR91" i="1"/>
  <c r="BR92" i="1"/>
  <c r="BR93" i="1"/>
  <c r="BR94" i="1"/>
  <c r="BR95" i="1"/>
  <c r="BR96" i="1"/>
  <c r="BR97" i="1"/>
  <c r="BR98" i="1"/>
  <c r="BR99" i="1"/>
  <c r="BR104" i="1"/>
  <c r="BR109" i="1"/>
  <c r="BR122" i="1"/>
  <c r="BR163" i="1"/>
  <c r="BR165" i="1"/>
  <c r="BR174"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51" i="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2" i="2"/>
  <c r="J104" i="1"/>
  <c r="K104" i="1"/>
  <c r="M104" i="1"/>
  <c r="J86" i="1"/>
  <c r="K86" i="1"/>
  <c r="M86" i="1"/>
  <c r="J147" i="1"/>
  <c r="K147" i="1"/>
  <c r="M147" i="1"/>
  <c r="J125" i="1"/>
  <c r="K125" i="1"/>
  <c r="M125" i="1"/>
  <c r="J52" i="1"/>
  <c r="K52" i="1"/>
  <c r="M52" i="1"/>
  <c r="J128" i="1"/>
  <c r="K128" i="1"/>
  <c r="M128" i="1"/>
  <c r="J148" i="1"/>
  <c r="K148" i="1"/>
  <c r="M148" i="1"/>
  <c r="J10" i="1"/>
  <c r="K10" i="1"/>
  <c r="M10" i="1"/>
  <c r="J33" i="1"/>
  <c r="K33" i="1"/>
  <c r="M33" i="1"/>
  <c r="J127" i="1"/>
  <c r="K127" i="1"/>
  <c r="M127" i="1"/>
  <c r="J130" i="1"/>
  <c r="K130" i="1"/>
  <c r="M130" i="1"/>
  <c r="J163" i="1"/>
  <c r="K163" i="1"/>
  <c r="M163" i="1"/>
  <c r="J149" i="1"/>
  <c r="K149" i="1"/>
  <c r="M149" i="1"/>
  <c r="J137" i="1"/>
  <c r="K137" i="1"/>
  <c r="M137" i="1"/>
  <c r="J141" i="1"/>
  <c r="K141" i="1"/>
  <c r="M141" i="1"/>
  <c r="J140" i="1"/>
  <c r="K140" i="1"/>
  <c r="M140" i="1"/>
  <c r="J85" i="1"/>
  <c r="K85" i="1"/>
  <c r="M85" i="1"/>
  <c r="J165" i="1"/>
  <c r="K165" i="1"/>
  <c r="M165" i="1"/>
  <c r="J72" i="1"/>
  <c r="K72" i="1"/>
  <c r="M72" i="1"/>
  <c r="J4" i="1"/>
  <c r="K4" i="1"/>
  <c r="M4" i="1"/>
  <c r="J37" i="1"/>
  <c r="K37" i="1"/>
  <c r="M37" i="1"/>
  <c r="J90" i="1"/>
  <c r="K90" i="1"/>
  <c r="M90" i="1"/>
  <c r="J38" i="1"/>
  <c r="K38" i="1"/>
  <c r="M38" i="1"/>
  <c r="J64" i="1"/>
  <c r="K64" i="1"/>
  <c r="M64" i="1"/>
  <c r="J135" i="1"/>
  <c r="K135" i="1"/>
  <c r="M135" i="1"/>
  <c r="J83" i="1"/>
  <c r="K83" i="1"/>
  <c r="M83" i="1"/>
  <c r="J14" i="1"/>
  <c r="K14" i="1"/>
  <c r="M14" i="1"/>
  <c r="J39" i="1"/>
  <c r="K39" i="1"/>
  <c r="M39" i="1"/>
  <c r="J42" i="1"/>
  <c r="K42" i="1"/>
  <c r="M42" i="1"/>
  <c r="J27" i="1"/>
  <c r="K27" i="1"/>
  <c r="M27" i="1"/>
  <c r="J20" i="1"/>
  <c r="K20" i="1"/>
  <c r="M20" i="1"/>
  <c r="J74" i="1"/>
  <c r="K74" i="1"/>
  <c r="M74" i="1"/>
  <c r="J98" i="1"/>
  <c r="K98" i="1"/>
  <c r="M98" i="1"/>
  <c r="J117" i="1"/>
  <c r="K117" i="1"/>
  <c r="M117" i="1"/>
  <c r="J55" i="1"/>
  <c r="K55" i="1"/>
  <c r="M55" i="1"/>
  <c r="J126" i="1"/>
  <c r="K126" i="1"/>
  <c r="M126" i="1"/>
  <c r="J160" i="1"/>
  <c r="K160" i="1"/>
  <c r="M160" i="1"/>
  <c r="J171" i="1"/>
  <c r="K171" i="1"/>
  <c r="M171" i="1"/>
  <c r="J30" i="1"/>
  <c r="K30" i="1"/>
  <c r="M30" i="1"/>
  <c r="J138" i="1"/>
  <c r="K138" i="1"/>
  <c r="M138" i="1"/>
  <c r="J11" i="1"/>
  <c r="K11" i="1"/>
  <c r="M11" i="1"/>
  <c r="J157" i="1"/>
  <c r="K157" i="1"/>
  <c r="M157" i="1"/>
  <c r="J159" i="1"/>
  <c r="K159" i="1"/>
  <c r="M159" i="1"/>
  <c r="J15" i="1"/>
  <c r="K15" i="1"/>
  <c r="M15" i="1"/>
  <c r="J108" i="1"/>
  <c r="K108" i="1"/>
  <c r="M108" i="1"/>
  <c r="J87" i="1"/>
  <c r="K87" i="1"/>
  <c r="M87" i="1"/>
  <c r="J48" i="1"/>
  <c r="K48" i="1"/>
  <c r="M48" i="1"/>
  <c r="J105" i="1"/>
  <c r="K105" i="1"/>
  <c r="M105" i="1"/>
  <c r="J109" i="1"/>
  <c r="K109" i="1"/>
  <c r="M109" i="1"/>
  <c r="J106" i="1"/>
  <c r="K106" i="1"/>
  <c r="M106" i="1"/>
  <c r="J78" i="1"/>
  <c r="K78" i="1"/>
  <c r="M78" i="1"/>
  <c r="J12" i="1"/>
  <c r="K12" i="1"/>
  <c r="M12" i="1"/>
  <c r="J166" i="1"/>
  <c r="K166" i="1"/>
  <c r="M166" i="1"/>
  <c r="J57" i="1"/>
  <c r="K57" i="1"/>
  <c r="M57" i="1"/>
  <c r="J16" i="1"/>
  <c r="K16" i="1"/>
  <c r="M16" i="1"/>
  <c r="J29" i="1"/>
  <c r="K29" i="1"/>
  <c r="M29" i="1"/>
  <c r="J70" i="1"/>
  <c r="K70" i="1"/>
  <c r="M70" i="1"/>
  <c r="J28" i="1"/>
  <c r="K28" i="1"/>
  <c r="M28" i="1"/>
  <c r="J134" i="1"/>
  <c r="K134" i="1"/>
  <c r="M134" i="1"/>
  <c r="J31" i="1"/>
  <c r="K31" i="1"/>
  <c r="M31" i="1"/>
  <c r="J111" i="1"/>
  <c r="K111" i="1"/>
  <c r="M111" i="1"/>
  <c r="J139" i="1"/>
  <c r="K139" i="1"/>
  <c r="M139" i="1"/>
  <c r="J112" i="1"/>
  <c r="K112" i="1"/>
  <c r="M112" i="1"/>
  <c r="J168" i="1"/>
  <c r="K168" i="1"/>
  <c r="M168" i="1"/>
  <c r="J13" i="1"/>
  <c r="K13" i="1"/>
  <c r="M13" i="1"/>
  <c r="J170" i="1"/>
  <c r="K170" i="1"/>
  <c r="M170" i="1"/>
  <c r="J153" i="1"/>
  <c r="K153" i="1"/>
  <c r="M153" i="1"/>
  <c r="J162" i="1"/>
  <c r="K162" i="1"/>
  <c r="M162" i="1"/>
  <c r="J43" i="1"/>
  <c r="K43" i="1"/>
  <c r="M43" i="1"/>
  <c r="J132" i="1"/>
  <c r="K132" i="1"/>
  <c r="M132" i="1"/>
  <c r="J25" i="1"/>
  <c r="K25" i="1"/>
  <c r="M25" i="1"/>
  <c r="J136" i="1"/>
  <c r="K136" i="1"/>
  <c r="M136" i="1"/>
  <c r="J94" i="1"/>
  <c r="K94" i="1"/>
  <c r="M94" i="1"/>
  <c r="J59" i="1"/>
  <c r="K59" i="1"/>
  <c r="M59" i="1"/>
  <c r="J53" i="1"/>
  <c r="K53" i="1"/>
  <c r="M53" i="1"/>
  <c r="J129" i="1"/>
  <c r="K129" i="1"/>
  <c r="M129" i="1"/>
  <c r="J154" i="1"/>
  <c r="K154" i="1"/>
  <c r="M154" i="1"/>
  <c r="J73" i="1"/>
  <c r="K73" i="1"/>
  <c r="M73" i="1"/>
  <c r="J71" i="1"/>
  <c r="K71" i="1"/>
  <c r="M71" i="1"/>
  <c r="J75" i="1"/>
  <c r="K75" i="1"/>
  <c r="M75" i="1"/>
  <c r="J161" i="1"/>
  <c r="K161" i="1"/>
  <c r="M161" i="1"/>
  <c r="J156" i="1"/>
  <c r="K156" i="1"/>
  <c r="M156" i="1"/>
  <c r="J68" i="1"/>
  <c r="K68" i="1"/>
  <c r="M68" i="1"/>
  <c r="J120" i="1"/>
  <c r="K120" i="1"/>
  <c r="M120" i="1"/>
  <c r="J173" i="1"/>
  <c r="K173" i="1"/>
  <c r="M173" i="1"/>
  <c r="J5" i="1"/>
  <c r="K5" i="1"/>
  <c r="M5" i="1"/>
  <c r="J22" i="1"/>
  <c r="K22" i="1"/>
  <c r="M22" i="1"/>
  <c r="J2" i="1"/>
  <c r="K2" i="1"/>
  <c r="M2" i="1"/>
  <c r="J89" i="1"/>
  <c r="K89" i="1"/>
  <c r="M89" i="1"/>
  <c r="J95" i="1"/>
  <c r="K95" i="1"/>
  <c r="M95" i="1"/>
  <c r="J44" i="1"/>
  <c r="K44" i="1"/>
  <c r="M44" i="1"/>
  <c r="J115" i="1"/>
  <c r="K115" i="1"/>
  <c r="M115" i="1"/>
  <c r="J36" i="1"/>
  <c r="K36" i="1"/>
  <c r="M36" i="1"/>
  <c r="J174" i="1"/>
  <c r="K174" i="1"/>
  <c r="M174" i="1"/>
  <c r="J58" i="1"/>
  <c r="K58" i="1"/>
  <c r="M58" i="1"/>
  <c r="J17" i="1"/>
  <c r="K17" i="1"/>
  <c r="M17" i="1"/>
  <c r="J121" i="1"/>
  <c r="K121" i="1"/>
  <c r="M121" i="1"/>
  <c r="J100" i="1"/>
  <c r="K100" i="1"/>
  <c r="M100" i="1"/>
  <c r="J143" i="1"/>
  <c r="K143" i="1"/>
  <c r="M143" i="1"/>
  <c r="J40" i="1"/>
  <c r="K40" i="1"/>
  <c r="M40" i="1"/>
  <c r="J49" i="1"/>
  <c r="K49" i="1"/>
  <c r="M49" i="1"/>
  <c r="J93" i="1"/>
  <c r="K93" i="1"/>
  <c r="M93" i="1"/>
  <c r="J172" i="1"/>
  <c r="K172" i="1"/>
  <c r="M172" i="1"/>
  <c r="J24" i="1"/>
  <c r="K24" i="1"/>
  <c r="M24" i="1"/>
  <c r="J35" i="1"/>
  <c r="K35" i="1"/>
  <c r="M35" i="1"/>
  <c r="J133" i="1"/>
  <c r="K133" i="1"/>
  <c r="M133" i="1"/>
  <c r="J84" i="1"/>
  <c r="K84" i="1"/>
  <c r="M84" i="1"/>
  <c r="J60" i="1"/>
  <c r="K60" i="1"/>
  <c r="M60" i="1"/>
  <c r="J164" i="1"/>
  <c r="K164" i="1"/>
  <c r="M164" i="1"/>
  <c r="J45" i="1"/>
  <c r="K45" i="1"/>
  <c r="M45" i="1"/>
  <c r="J146" i="1"/>
  <c r="K146" i="1"/>
  <c r="M146" i="1"/>
  <c r="J167" i="1"/>
  <c r="K167" i="1"/>
  <c r="M167" i="1"/>
  <c r="J69" i="1"/>
  <c r="K69" i="1"/>
  <c r="M69" i="1"/>
  <c r="J34" i="1"/>
  <c r="K34" i="1"/>
  <c r="M34" i="1"/>
  <c r="J122" i="1"/>
  <c r="K122" i="1"/>
  <c r="M122" i="1"/>
  <c r="J80" i="1"/>
  <c r="K80" i="1"/>
  <c r="M80" i="1"/>
  <c r="J114" i="1"/>
  <c r="K114" i="1"/>
  <c r="M114" i="1"/>
  <c r="J144" i="1"/>
  <c r="K144" i="1"/>
  <c r="M144" i="1"/>
  <c r="J103" i="1"/>
  <c r="K103" i="1"/>
  <c r="M103" i="1"/>
  <c r="J9" i="1"/>
  <c r="K9" i="1"/>
  <c r="M9" i="1"/>
  <c r="J6" i="1"/>
  <c r="K6" i="1"/>
  <c r="M6" i="1"/>
  <c r="J116" i="1"/>
  <c r="K116" i="1"/>
  <c r="M116" i="1"/>
  <c r="J67" i="1"/>
  <c r="K67" i="1"/>
  <c r="M67" i="1"/>
  <c r="J145" i="1"/>
  <c r="K145" i="1"/>
  <c r="M145" i="1"/>
  <c r="J131" i="1"/>
  <c r="K131" i="1"/>
  <c r="M131" i="1"/>
  <c r="J62" i="1"/>
  <c r="K62" i="1"/>
  <c r="M62" i="1"/>
  <c r="J8" i="1"/>
  <c r="K8" i="1"/>
  <c r="M8" i="1"/>
  <c r="J92" i="1"/>
  <c r="K92" i="1"/>
  <c r="M92" i="1"/>
  <c r="J56" i="1"/>
  <c r="K56" i="1"/>
  <c r="M56" i="1"/>
  <c r="J155" i="1"/>
  <c r="K155" i="1"/>
  <c r="M155" i="1"/>
  <c r="J18" i="1"/>
  <c r="K18" i="1"/>
  <c r="M18" i="1"/>
  <c r="J97" i="1"/>
  <c r="K97" i="1"/>
  <c r="M97" i="1"/>
  <c r="J110" i="1"/>
  <c r="K110" i="1"/>
  <c r="M110" i="1"/>
  <c r="J169" i="1"/>
  <c r="K169" i="1"/>
  <c r="M169" i="1"/>
  <c r="J107" i="1"/>
  <c r="K107" i="1"/>
  <c r="M107" i="1"/>
  <c r="J77" i="1"/>
  <c r="K77" i="1"/>
  <c r="M77" i="1"/>
  <c r="J102" i="1"/>
  <c r="K102" i="1"/>
  <c r="M102" i="1"/>
  <c r="J123" i="1"/>
  <c r="K123" i="1"/>
  <c r="M123" i="1"/>
  <c r="J152" i="1"/>
  <c r="K152" i="1"/>
  <c r="M152" i="1"/>
  <c r="J158" i="1"/>
  <c r="K158" i="1"/>
  <c r="M158" i="1"/>
  <c r="J47" i="1"/>
  <c r="K47" i="1"/>
  <c r="M47" i="1"/>
  <c r="J151" i="1"/>
  <c r="K151" i="1"/>
  <c r="M151" i="1"/>
  <c r="J96" i="1"/>
  <c r="K96" i="1"/>
  <c r="M96" i="1"/>
  <c r="J63" i="1"/>
  <c r="K63" i="1"/>
  <c r="M63" i="1"/>
  <c r="J91" i="1"/>
  <c r="K91" i="1"/>
  <c r="M91" i="1"/>
  <c r="J88" i="1"/>
  <c r="K88" i="1"/>
  <c r="M88" i="1"/>
  <c r="J101" i="1"/>
  <c r="K101" i="1"/>
  <c r="M101" i="1"/>
  <c r="J19" i="1"/>
  <c r="K19" i="1"/>
  <c r="M19" i="1"/>
  <c r="J118" i="1"/>
  <c r="K118" i="1"/>
  <c r="M118" i="1"/>
  <c r="J65" i="1"/>
  <c r="K65" i="1"/>
  <c r="M65" i="1"/>
  <c r="J32" i="1"/>
  <c r="K32" i="1"/>
  <c r="M32" i="1"/>
  <c r="J7" i="1"/>
  <c r="K7" i="1"/>
  <c r="M7" i="1"/>
  <c r="J41" i="1"/>
  <c r="K41" i="1"/>
  <c r="M41" i="1"/>
  <c r="J61" i="1"/>
  <c r="K61" i="1"/>
  <c r="M61" i="1"/>
  <c r="J46" i="1"/>
  <c r="K46" i="1"/>
  <c r="M46" i="1"/>
  <c r="J50" i="1"/>
  <c r="K50" i="1"/>
  <c r="M50" i="1"/>
  <c r="J26" i="1"/>
  <c r="K26" i="1"/>
  <c r="M26" i="1"/>
  <c r="J119" i="1"/>
  <c r="K119" i="1"/>
  <c r="M119" i="1"/>
  <c r="J99" i="1"/>
  <c r="K99" i="1"/>
  <c r="M99" i="1"/>
  <c r="J54" i="1"/>
  <c r="K54" i="1"/>
  <c r="M54" i="1"/>
  <c r="J82" i="1"/>
  <c r="K82" i="1"/>
  <c r="M82" i="1"/>
  <c r="J79" i="1"/>
  <c r="K79" i="1"/>
  <c r="M79" i="1"/>
  <c r="J51" i="1"/>
  <c r="K51" i="1"/>
  <c r="M51" i="1"/>
  <c r="J66" i="1"/>
  <c r="K66" i="1"/>
  <c r="M66" i="1"/>
  <c r="J142" i="1"/>
  <c r="K142" i="1"/>
  <c r="M142" i="1"/>
  <c r="J150" i="1"/>
  <c r="K150" i="1"/>
  <c r="M150" i="1"/>
  <c r="J76" i="1"/>
  <c r="K76" i="1"/>
  <c r="M76" i="1"/>
  <c r="J21" i="1"/>
  <c r="K21" i="1"/>
  <c r="M21" i="1"/>
  <c r="J81" i="1"/>
  <c r="K81" i="1"/>
  <c r="M81" i="1"/>
  <c r="J23" i="1"/>
  <c r="K23" i="1"/>
  <c r="M23" i="1"/>
  <c r="J3" i="1"/>
  <c r="K3" i="1"/>
  <c r="M3" i="1"/>
  <c r="J124" i="1"/>
  <c r="K124" i="1"/>
  <c r="M124" i="1"/>
  <c r="J113" i="1"/>
  <c r="K113" i="1"/>
  <c r="M113" i="1"/>
  <c r="M3" i="2"/>
  <c r="BR3" i="2" s="1"/>
  <c r="M4" i="2"/>
  <c r="BR4" i="2" s="1"/>
  <c r="M5" i="2"/>
  <c r="BR5" i="2" s="1"/>
  <c r="M6" i="2"/>
  <c r="BR6" i="2" s="1"/>
  <c r="M7" i="2"/>
  <c r="M8" i="2"/>
  <c r="M9" i="2"/>
  <c r="M10" i="2"/>
  <c r="BR10" i="2" s="1"/>
  <c r="M11" i="2"/>
  <c r="BR11" i="2" s="1"/>
  <c r="M12" i="2"/>
  <c r="BR12" i="2" s="1"/>
  <c r="M13" i="2"/>
  <c r="M14" i="2"/>
  <c r="BR14" i="2" s="1"/>
  <c r="M15" i="2"/>
  <c r="BR15" i="2" s="1"/>
  <c r="M16" i="2"/>
  <c r="M17" i="2"/>
  <c r="BR17" i="2" s="1"/>
  <c r="M18" i="2"/>
  <c r="M19" i="2"/>
  <c r="M20" i="2"/>
  <c r="BR20" i="2" s="1"/>
  <c r="M21" i="2"/>
  <c r="M22" i="2"/>
  <c r="BR22" i="2" s="1"/>
  <c r="M23" i="2"/>
  <c r="M24" i="2"/>
  <c r="M25" i="2"/>
  <c r="M26" i="2"/>
  <c r="M27" i="2"/>
  <c r="M28" i="2"/>
  <c r="M29" i="2"/>
  <c r="BR29" i="2" s="1"/>
  <c r="M30" i="2"/>
  <c r="BR30" i="2" s="1"/>
  <c r="M31" i="2"/>
  <c r="BR31" i="2" s="1"/>
  <c r="M32" i="2"/>
  <c r="BR32" i="2" s="1"/>
  <c r="M33" i="2"/>
  <c r="M34" i="2"/>
  <c r="BR34" i="2" s="1"/>
  <c r="M35" i="2"/>
  <c r="M36" i="2"/>
  <c r="BR36" i="2" s="1"/>
  <c r="M37" i="2"/>
  <c r="BR37" i="2" s="1"/>
  <c r="M38" i="2"/>
  <c r="BR38" i="2" s="1"/>
  <c r="M39" i="2"/>
  <c r="M40" i="2"/>
  <c r="M41" i="2"/>
  <c r="M42" i="2"/>
  <c r="M43" i="2"/>
  <c r="M44" i="2"/>
  <c r="M45" i="2"/>
  <c r="BR45" i="2" s="1"/>
  <c r="M46" i="2"/>
  <c r="BR46" i="2" s="1"/>
  <c r="M47" i="2"/>
  <c r="BR47" i="2" s="1"/>
  <c r="M48" i="2"/>
  <c r="BR48" i="2" s="1"/>
  <c r="M49" i="2"/>
  <c r="BR49" i="2" s="1"/>
  <c r="M50" i="2"/>
  <c r="BR50" i="2" s="1"/>
  <c r="M51" i="2"/>
  <c r="BR51" i="2" s="1"/>
  <c r="M52" i="2"/>
  <c r="BR52" i="2" s="1"/>
  <c r="M53" i="2"/>
  <c r="BR53" i="2" s="1"/>
  <c r="M54" i="2"/>
  <c r="BR54" i="2" s="1"/>
  <c r="M55" i="2"/>
  <c r="M56" i="2"/>
  <c r="M57" i="2"/>
  <c r="M58" i="2"/>
  <c r="M59" i="2"/>
  <c r="M60" i="2"/>
  <c r="M61" i="2"/>
  <c r="BR61" i="2" s="1"/>
  <c r="M62" i="2"/>
  <c r="M63" i="2"/>
  <c r="BR63" i="2" s="1"/>
  <c r="M64" i="2"/>
  <c r="BR64" i="2" s="1"/>
  <c r="M65" i="2"/>
  <c r="BR65" i="2" s="1"/>
  <c r="M66" i="2"/>
  <c r="BR66" i="2" s="1"/>
  <c r="M67" i="2"/>
  <c r="BR67" i="2" s="1"/>
  <c r="M68" i="2"/>
  <c r="BR68" i="2" s="1"/>
  <c r="M69" i="2"/>
  <c r="BR69" i="2" s="1"/>
  <c r="M70" i="2"/>
  <c r="BR70" i="2" s="1"/>
  <c r="M71" i="2"/>
  <c r="M72" i="2"/>
  <c r="M73" i="2"/>
  <c r="M74" i="2"/>
  <c r="M75" i="2"/>
  <c r="M76" i="2"/>
  <c r="M77" i="2"/>
  <c r="M78" i="2"/>
  <c r="BR78" i="2" s="1"/>
  <c r="M79" i="2"/>
  <c r="BR79" i="2" s="1"/>
  <c r="M80" i="2"/>
  <c r="M81" i="2"/>
  <c r="BR81" i="2" s="1"/>
  <c r="M82" i="2"/>
  <c r="BR82" i="2" s="1"/>
  <c r="M83" i="2"/>
  <c r="BR83" i="2" s="1"/>
  <c r="M84" i="2"/>
  <c r="M85" i="2"/>
  <c r="BR85" i="2" s="1"/>
  <c r="M86" i="2"/>
  <c r="BR86" i="2" s="1"/>
  <c r="M87" i="2"/>
  <c r="M88" i="2"/>
  <c r="M89" i="2"/>
  <c r="M90" i="2"/>
  <c r="M91" i="2"/>
  <c r="M92" i="2"/>
  <c r="M93" i="2"/>
  <c r="BR93" i="2" s="1"/>
  <c r="M94" i="2"/>
  <c r="M95" i="2"/>
  <c r="BR95" i="2" s="1"/>
  <c r="M96" i="2"/>
  <c r="M97" i="2"/>
  <c r="BR97" i="2" s="1"/>
  <c r="M98" i="2"/>
  <c r="BR98" i="2" s="1"/>
  <c r="M99" i="2"/>
  <c r="BR99" i="2" s="1"/>
  <c r="M100" i="2"/>
  <c r="BR100" i="2" s="1"/>
  <c r="M101" i="2"/>
  <c r="BR101" i="2" s="1"/>
  <c r="M102" i="2"/>
  <c r="BR102" i="2" s="1"/>
  <c r="M103" i="2"/>
  <c r="M104" i="2"/>
  <c r="M105" i="2"/>
  <c r="M106" i="2"/>
  <c r="M107" i="2"/>
  <c r="M108" i="2"/>
  <c r="M109" i="2"/>
  <c r="BR109" i="2" s="1"/>
  <c r="M110" i="2"/>
  <c r="BR110" i="2" s="1"/>
  <c r="M111" i="2"/>
  <c r="BR111" i="2" s="1"/>
  <c r="M112" i="2"/>
  <c r="BR112" i="2" s="1"/>
  <c r="M113" i="2"/>
  <c r="BR113" i="2" s="1"/>
  <c r="M114" i="2"/>
  <c r="BR114" i="2" s="1"/>
  <c r="M115" i="2"/>
  <c r="BR115" i="2" s="1"/>
  <c r="M116" i="2"/>
  <c r="BR116" i="2" s="1"/>
  <c r="M117" i="2"/>
  <c r="BR117" i="2" s="1"/>
  <c r="M118" i="2"/>
  <c r="BR118" i="2" s="1"/>
  <c r="M119" i="2"/>
  <c r="M120" i="2"/>
  <c r="M121" i="2"/>
  <c r="M122" i="2"/>
  <c r="M123" i="2"/>
  <c r="M124" i="2"/>
  <c r="M125" i="2"/>
  <c r="BR125" i="2" s="1"/>
  <c r="M126" i="2"/>
  <c r="BR126" i="2" s="1"/>
  <c r="M127" i="2"/>
  <c r="BR127" i="2" s="1"/>
  <c r="M128" i="2"/>
  <c r="BR128" i="2" s="1"/>
  <c r="M129" i="2"/>
  <c r="BR129" i="2" s="1"/>
  <c r="M130" i="2"/>
  <c r="BR130" i="2" s="1"/>
  <c r="M131" i="2"/>
  <c r="BR131" i="2" s="1"/>
  <c r="M132" i="2"/>
  <c r="BR132" i="2" s="1"/>
  <c r="M133" i="2"/>
  <c r="BR133" i="2" s="1"/>
  <c r="M134" i="2"/>
  <c r="BR134" i="2" s="1"/>
  <c r="M135" i="2"/>
  <c r="M136" i="2"/>
  <c r="M137" i="2"/>
  <c r="M138" i="2"/>
  <c r="M139" i="2"/>
  <c r="M140" i="2"/>
  <c r="M141" i="2"/>
  <c r="BR141" i="2" s="1"/>
  <c r="M142" i="2"/>
  <c r="M143" i="2"/>
  <c r="BR143" i="2" s="1"/>
  <c r="M144" i="2"/>
  <c r="M145" i="2"/>
  <c r="BR145" i="2" s="1"/>
  <c r="M146" i="2"/>
  <c r="BR146" i="2" s="1"/>
  <c r="M147" i="2"/>
  <c r="BR147" i="2" s="1"/>
  <c r="M148" i="2"/>
  <c r="BR148" i="2" s="1"/>
  <c r="M149" i="2"/>
  <c r="BR149" i="2" s="1"/>
  <c r="M150" i="2"/>
  <c r="BR150" i="2" s="1"/>
  <c r="M151" i="2"/>
  <c r="M152" i="2"/>
  <c r="M153" i="2"/>
  <c r="M154" i="2"/>
  <c r="M155" i="2"/>
  <c r="M156" i="2"/>
  <c r="M157" i="2"/>
  <c r="BR157" i="2" s="1"/>
  <c r="M158" i="2"/>
  <c r="BR158" i="2" s="1"/>
  <c r="M159" i="2"/>
  <c r="BR159" i="2" s="1"/>
  <c r="M160" i="2"/>
  <c r="M161" i="2"/>
  <c r="BR161" i="2" s="1"/>
  <c r="M162" i="2"/>
  <c r="M163" i="2"/>
  <c r="BR163" i="2" s="1"/>
  <c r="M164" i="2"/>
  <c r="BR164" i="2" s="1"/>
  <c r="M165" i="2"/>
  <c r="BR165" i="2" s="1"/>
  <c r="M166" i="2"/>
  <c r="BR166" i="2" s="1"/>
  <c r="M167" i="2"/>
  <c r="M168" i="2"/>
  <c r="M169" i="2"/>
  <c r="M170" i="2"/>
  <c r="M171" i="2"/>
  <c r="M172" i="2"/>
  <c r="M173" i="2"/>
  <c r="BR173" i="2" s="1"/>
  <c r="M174" i="2"/>
  <c r="BR174" i="2" s="1"/>
  <c r="M175" i="2"/>
  <c r="BR175" i="2" s="1"/>
  <c r="M176" i="2"/>
  <c r="BR176" i="2" s="1"/>
  <c r="M177" i="2"/>
  <c r="BR177" i="2" s="1"/>
  <c r="M178" i="2"/>
  <c r="BR178" i="2" s="1"/>
  <c r="M179" i="2"/>
  <c r="BR179" i="2" s="1"/>
  <c r="M180" i="2"/>
  <c r="BR180" i="2" s="1"/>
  <c r="M181" i="2"/>
  <c r="BR181" i="2" s="1"/>
  <c r="M182" i="2"/>
  <c r="M183" i="2"/>
  <c r="M184" i="2"/>
  <c r="M185" i="2"/>
  <c r="M186" i="2"/>
  <c r="M187" i="2"/>
  <c r="M188" i="2"/>
  <c r="M189" i="2"/>
  <c r="BR189" i="2" s="1"/>
  <c r="M190" i="2"/>
  <c r="M191" i="2"/>
  <c r="BR191" i="2" s="1"/>
  <c r="M192" i="2"/>
  <c r="BR192" i="2" s="1"/>
  <c r="M193" i="2"/>
  <c r="BR193" i="2" s="1"/>
  <c r="M194" i="2"/>
  <c r="BR194" i="2" s="1"/>
  <c r="M195" i="2"/>
  <c r="BR195" i="2" s="1"/>
  <c r="M196" i="2"/>
  <c r="BR196" i="2" s="1"/>
  <c r="M197" i="2"/>
  <c r="BR197" i="2" s="1"/>
  <c r="M198" i="2"/>
  <c r="BR198" i="2" s="1"/>
  <c r="M199" i="2"/>
  <c r="M200" i="2"/>
  <c r="M201" i="2"/>
  <c r="M202" i="2"/>
  <c r="M203" i="2"/>
  <c r="M204" i="2"/>
  <c r="M205" i="2"/>
  <c r="BR205" i="2" s="1"/>
  <c r="M206" i="2"/>
  <c r="BR206" i="2" s="1"/>
  <c r="M207" i="2"/>
  <c r="BR207" i="2" s="1"/>
  <c r="M208" i="2"/>
  <c r="BR208" i="2" s="1"/>
  <c r="M209" i="2"/>
  <c r="BR209" i="2" s="1"/>
  <c r="M210" i="2"/>
  <c r="BR210" i="2" s="1"/>
  <c r="M211" i="2"/>
  <c r="BR211" i="2" s="1"/>
  <c r="M212" i="2"/>
  <c r="BR212" i="2" s="1"/>
  <c r="M213" i="2"/>
  <c r="BR213" i="2" s="1"/>
  <c r="M214" i="2"/>
  <c r="BR214" i="2" s="1"/>
  <c r="M215" i="2"/>
  <c r="M216" i="2"/>
  <c r="M217" i="2"/>
  <c r="M218" i="2"/>
  <c r="M219" i="2"/>
  <c r="M220" i="2"/>
  <c r="M221" i="2"/>
  <c r="BR221" i="2" s="1"/>
  <c r="M222" i="2"/>
  <c r="BR222" i="2" s="1"/>
  <c r="M223" i="2"/>
  <c r="BR223" i="2" s="1"/>
  <c r="M224" i="2"/>
  <c r="BR224" i="2" s="1"/>
  <c r="M225" i="2"/>
  <c r="BR225" i="2" s="1"/>
  <c r="M226" i="2"/>
  <c r="BR226" i="2" s="1"/>
  <c r="M227" i="2"/>
  <c r="M228" i="2"/>
  <c r="BR228" i="2" s="1"/>
  <c r="M229" i="2"/>
  <c r="BR229" i="2" s="1"/>
  <c r="M230" i="2"/>
  <c r="BR230" i="2" s="1"/>
  <c r="M231" i="2"/>
  <c r="M232" i="2"/>
  <c r="M233" i="2"/>
  <c r="M234" i="2"/>
  <c r="M235" i="2"/>
  <c r="M236" i="2"/>
  <c r="M237" i="2"/>
  <c r="BR237" i="2" s="1"/>
  <c r="M238" i="2"/>
  <c r="BR238" i="2" s="1"/>
  <c r="M239" i="2"/>
  <c r="BR239" i="2" s="1"/>
  <c r="M240" i="2"/>
  <c r="BR240" i="2" s="1"/>
  <c r="M241" i="2"/>
  <c r="BR241" i="2" s="1"/>
  <c r="M242" i="2"/>
  <c r="BR242" i="2" s="1"/>
  <c r="M243" i="2"/>
  <c r="M244" i="2"/>
  <c r="BR244" i="2" s="1"/>
  <c r="M245" i="2"/>
  <c r="BR245" i="2" s="1"/>
  <c r="M246" i="2"/>
  <c r="BR246" i="2" s="1"/>
  <c r="M247" i="2"/>
  <c r="M248" i="2"/>
  <c r="M249" i="2"/>
  <c r="M250" i="2"/>
  <c r="M251" i="2"/>
  <c r="M252" i="2"/>
  <c r="M253" i="2"/>
  <c r="BR253" i="2" s="1"/>
  <c r="M254" i="2"/>
  <c r="BR254" i="2" s="1"/>
  <c r="M255" i="2"/>
  <c r="BR255" i="2" s="1"/>
  <c r="M256" i="2"/>
  <c r="BR256" i="2" s="1"/>
  <c r="M257" i="2"/>
  <c r="BR257" i="2" s="1"/>
  <c r="M258" i="2"/>
  <c r="BR258" i="2" s="1"/>
  <c r="M259" i="2"/>
  <c r="BR259" i="2" s="1"/>
  <c r="M260" i="2"/>
  <c r="BR260" i="2" s="1"/>
  <c r="M261" i="2"/>
  <c r="BR261" i="2" s="1"/>
  <c r="M262" i="2"/>
  <c r="M263" i="2"/>
  <c r="M264" i="2"/>
  <c r="M265" i="2"/>
  <c r="M266" i="2"/>
  <c r="M267" i="2"/>
  <c r="M268" i="2"/>
  <c r="M269" i="2"/>
  <c r="BR269" i="2" s="1"/>
  <c r="M270" i="2"/>
  <c r="BR270" i="2" s="1"/>
  <c r="M271" i="2"/>
  <c r="BR271" i="2" s="1"/>
  <c r="M272" i="2"/>
  <c r="BR272" i="2" s="1"/>
  <c r="M273" i="2"/>
  <c r="BR273" i="2" s="1"/>
  <c r="M274" i="2"/>
  <c r="BR274" i="2" s="1"/>
  <c r="M275" i="2"/>
  <c r="BR275" i="2" s="1"/>
  <c r="M276" i="2"/>
  <c r="BR276" i="2" s="1"/>
  <c r="M277" i="2"/>
  <c r="BR277" i="2" s="1"/>
  <c r="M278" i="2"/>
  <c r="BR278" i="2" s="1"/>
  <c r="M279" i="2"/>
  <c r="M280" i="2"/>
  <c r="M281" i="2"/>
  <c r="M282" i="2"/>
  <c r="M283" i="2"/>
  <c r="M284" i="2"/>
  <c r="M285" i="2"/>
  <c r="BR285" i="2" s="1"/>
  <c r="M286" i="2"/>
  <c r="BR286" i="2" s="1"/>
  <c r="M287" i="2"/>
  <c r="BR287" i="2" s="1"/>
  <c r="M288" i="2"/>
  <c r="BR288" i="2" s="1"/>
  <c r="M289" i="2"/>
  <c r="M290" i="2"/>
  <c r="BR290" i="2" s="1"/>
  <c r="M291" i="2"/>
  <c r="BR291" i="2" s="1"/>
  <c r="M292" i="2"/>
  <c r="BR292" i="2" s="1"/>
  <c r="M293" i="2"/>
  <c r="BR293" i="2" s="1"/>
  <c r="M294" i="2"/>
  <c r="BR294" i="2" s="1"/>
  <c r="M295" i="2"/>
  <c r="M296" i="2"/>
  <c r="M297" i="2"/>
  <c r="M298" i="2"/>
  <c r="M299" i="2"/>
  <c r="M300" i="2"/>
  <c r="M301" i="2"/>
  <c r="BR301" i="2" s="1"/>
  <c r="M302" i="2"/>
  <c r="BR302" i="2" s="1"/>
  <c r="M303" i="2"/>
  <c r="BR303" i="2" s="1"/>
  <c r="M304" i="2"/>
  <c r="BR304" i="2" s="1"/>
  <c r="M305" i="2"/>
  <c r="BR305" i="2" s="1"/>
  <c r="M306" i="2"/>
  <c r="BR306" i="2" s="1"/>
  <c r="M307" i="2"/>
  <c r="BR307" i="2" s="1"/>
  <c r="M308" i="2"/>
  <c r="BR308" i="2" s="1"/>
  <c r="M309" i="2"/>
  <c r="BR309" i="2" s="1"/>
  <c r="M310" i="2"/>
  <c r="BR310" i="2" s="1"/>
  <c r="M311" i="2"/>
  <c r="M312" i="2"/>
  <c r="M313" i="2"/>
  <c r="M314" i="2"/>
  <c r="M315" i="2"/>
  <c r="M316" i="2"/>
  <c r="M317" i="2"/>
  <c r="BR317" i="2" s="1"/>
  <c r="M318" i="2"/>
  <c r="BR318" i="2" s="1"/>
  <c r="M319" i="2"/>
  <c r="BR319" i="2" s="1"/>
  <c r="M320" i="2"/>
  <c r="BR320" i="2" s="1"/>
  <c r="M321" i="2"/>
  <c r="BR321" i="2" s="1"/>
  <c r="M322" i="2"/>
  <c r="M323" i="2"/>
  <c r="BR323" i="2" s="1"/>
  <c r="M324" i="2"/>
  <c r="BR324" i="2" s="1"/>
  <c r="M325" i="2"/>
  <c r="BR325" i="2" s="1"/>
  <c r="M326" i="2"/>
  <c r="BR326" i="2" s="1"/>
  <c r="M327" i="2"/>
  <c r="M328" i="2"/>
  <c r="M329" i="2"/>
  <c r="M330" i="2"/>
  <c r="M331" i="2"/>
  <c r="M332" i="2"/>
  <c r="M333" i="2"/>
  <c r="BR333" i="2" s="1"/>
  <c r="M334" i="2"/>
  <c r="BR334" i="2" s="1"/>
  <c r="M335" i="2"/>
  <c r="BR335" i="2" s="1"/>
  <c r="M336" i="2"/>
  <c r="BR336" i="2" s="1"/>
  <c r="M337" i="2"/>
  <c r="BR337" i="2" s="1"/>
  <c r="M338" i="2"/>
  <c r="BR338" i="2" s="1"/>
  <c r="M339" i="2"/>
  <c r="BR339" i="2" s="1"/>
  <c r="M340" i="2"/>
  <c r="BR340" i="2" s="1"/>
  <c r="M341" i="2"/>
  <c r="BR341" i="2" s="1"/>
  <c r="M342" i="2"/>
  <c r="BR342" i="2" s="1"/>
  <c r="M343" i="2"/>
  <c r="M344" i="2"/>
  <c r="M345" i="2"/>
  <c r="M346" i="2"/>
  <c r="M347" i="2"/>
  <c r="M348" i="2"/>
  <c r="M349" i="2"/>
  <c r="BR349" i="2" s="1"/>
  <c r="M350" i="2"/>
  <c r="BR350" i="2" s="1"/>
  <c r="M351" i="2"/>
  <c r="BR351" i="2" s="1"/>
  <c r="M352" i="2"/>
  <c r="BR352" i="2" s="1"/>
  <c r="M353" i="2"/>
  <c r="BR353" i="2" s="1"/>
  <c r="M354" i="2"/>
  <c r="BR354" i="2" s="1"/>
  <c r="M355" i="2"/>
  <c r="BR355" i="2" s="1"/>
  <c r="M356" i="2"/>
  <c r="BR356" i="2" s="1"/>
  <c r="M357" i="2"/>
  <c r="BR357" i="2" s="1"/>
  <c r="M358" i="2"/>
  <c r="BR358" i="2" s="1"/>
  <c r="M359" i="2"/>
  <c r="M360" i="2"/>
  <c r="M361" i="2"/>
  <c r="M362" i="2"/>
  <c r="M363" i="2"/>
  <c r="M364" i="2"/>
  <c r="M365" i="2"/>
  <c r="BR365" i="2" s="1"/>
  <c r="M366" i="2"/>
  <c r="BR366" i="2" s="1"/>
  <c r="M367" i="2"/>
  <c r="BR367" i="2" s="1"/>
  <c r="M368" i="2"/>
  <c r="M369" i="2"/>
  <c r="BR369" i="2" s="1"/>
  <c r="M370" i="2"/>
  <c r="BR370" i="2" s="1"/>
  <c r="M371" i="2"/>
  <c r="BR371" i="2" s="1"/>
  <c r="M372" i="2"/>
  <c r="BR372" i="2" s="1"/>
  <c r="M373" i="2"/>
  <c r="BR373" i="2" s="1"/>
  <c r="M374" i="2"/>
  <c r="BR374" i="2" s="1"/>
  <c r="M375" i="2"/>
  <c r="M376" i="2"/>
  <c r="M377" i="2"/>
  <c r="M378" i="2"/>
  <c r="M379" i="2"/>
  <c r="M380" i="2"/>
  <c r="M381" i="2"/>
  <c r="BR381" i="2" s="1"/>
  <c r="M382" i="2"/>
  <c r="BR382" i="2" s="1"/>
  <c r="M383" i="2"/>
  <c r="BR383" i="2" s="1"/>
  <c r="M384" i="2"/>
  <c r="BR384" i="2" s="1"/>
  <c r="M385" i="2"/>
  <c r="BR385" i="2" s="1"/>
  <c r="M386" i="2"/>
  <c r="M387" i="2"/>
  <c r="M388" i="2"/>
  <c r="BR388" i="2" s="1"/>
  <c r="M389" i="2"/>
  <c r="BR389" i="2" s="1"/>
  <c r="M390" i="2"/>
  <c r="BR390" i="2" s="1"/>
  <c r="M391" i="2"/>
  <c r="M392" i="2"/>
  <c r="M393" i="2"/>
  <c r="M394" i="2"/>
  <c r="M395" i="2"/>
  <c r="M396" i="2"/>
  <c r="M397" i="2"/>
  <c r="M398" i="2"/>
  <c r="BR398" i="2" s="1"/>
  <c r="M399" i="2"/>
  <c r="M400" i="2"/>
  <c r="M401" i="2"/>
  <c r="BR401" i="2" s="1"/>
  <c r="M402" i="2"/>
  <c r="BR402" i="2" s="1"/>
  <c r="M403" i="2"/>
  <c r="BR403" i="2" s="1"/>
  <c r="M404" i="2"/>
  <c r="BR404" i="2" s="1"/>
  <c r="M405" i="2"/>
  <c r="BR405" i="2" s="1"/>
  <c r="M406" i="2"/>
  <c r="BR406" i="2" s="1"/>
  <c r="M407" i="2"/>
  <c r="M408" i="2"/>
  <c r="M409" i="2"/>
  <c r="M410" i="2"/>
  <c r="M411" i="2"/>
  <c r="M412" i="2"/>
  <c r="M413" i="2"/>
  <c r="BR413" i="2" s="1"/>
  <c r="M414" i="2"/>
  <c r="BR414" i="2" s="1"/>
  <c r="M415" i="2"/>
  <c r="BR415" i="2" s="1"/>
  <c r="M416" i="2"/>
  <c r="BR416" i="2" s="1"/>
  <c r="M417" i="2"/>
  <c r="BR417" i="2" s="1"/>
  <c r="M418" i="2"/>
  <c r="BR418" i="2" s="1"/>
  <c r="M419" i="2"/>
  <c r="BR419" i="2" s="1"/>
  <c r="M420" i="2"/>
  <c r="BR420" i="2" s="1"/>
  <c r="M421" i="2"/>
  <c r="BR421" i="2" s="1"/>
  <c r="M422" i="2"/>
  <c r="BR422" i="2" s="1"/>
  <c r="M423" i="2"/>
  <c r="M424" i="2"/>
  <c r="M425" i="2"/>
  <c r="M426" i="2"/>
  <c r="M427" i="2"/>
  <c r="M428" i="2"/>
  <c r="M429" i="2"/>
  <c r="BR429" i="2" s="1"/>
  <c r="M430" i="2"/>
  <c r="M431" i="2"/>
  <c r="BR431" i="2" s="1"/>
  <c r="M432" i="2"/>
  <c r="BR432" i="2" s="1"/>
  <c r="M433" i="2"/>
  <c r="BR433" i="2" s="1"/>
  <c r="M434" i="2"/>
  <c r="BR434" i="2" s="1"/>
  <c r="M435" i="2"/>
  <c r="BR435" i="2" s="1"/>
  <c r="M436" i="2"/>
  <c r="BR436" i="2" s="1"/>
  <c r="M437" i="2"/>
  <c r="BR437" i="2" s="1"/>
  <c r="M438" i="2"/>
  <c r="BR438" i="2" s="1"/>
  <c r="M439" i="2"/>
  <c r="M440" i="2"/>
  <c r="M441" i="2"/>
  <c r="M442" i="2"/>
  <c r="M443" i="2"/>
  <c r="M444" i="2"/>
  <c r="M445" i="2"/>
  <c r="BR445" i="2" s="1"/>
  <c r="M446" i="2"/>
  <c r="BR446" i="2" s="1"/>
  <c r="M447" i="2"/>
  <c r="BR447" i="2" s="1"/>
  <c r="M448" i="2"/>
  <c r="BR448" i="2" s="1"/>
  <c r="M449" i="2"/>
  <c r="BR449" i="2" s="1"/>
  <c r="M450" i="2"/>
  <c r="BR450" i="2" s="1"/>
  <c r="M451" i="2"/>
  <c r="BR451" i="2" s="1"/>
  <c r="M452" i="2"/>
  <c r="BR452" i="2" s="1"/>
  <c r="M453" i="2"/>
  <c r="BR453" i="2" s="1"/>
  <c r="M454" i="2"/>
  <c r="BR454" i="2" s="1"/>
  <c r="M455" i="2"/>
  <c r="M456" i="2"/>
  <c r="M457" i="2"/>
  <c r="M458" i="2"/>
  <c r="M459" i="2"/>
  <c r="M460" i="2"/>
  <c r="M461" i="2"/>
  <c r="BR461" i="2" s="1"/>
  <c r="M462" i="2"/>
  <c r="BR462" i="2" s="1"/>
  <c r="M463" i="2"/>
  <c r="M464" i="2"/>
  <c r="M465" i="2"/>
  <c r="M466" i="2"/>
  <c r="BR466" i="2" s="1"/>
  <c r="M467" i="2"/>
  <c r="BR467" i="2" s="1"/>
  <c r="M468" i="2"/>
  <c r="M469" i="2"/>
  <c r="BR469" i="2" s="1"/>
  <c r="M470" i="2"/>
  <c r="BR470" i="2" s="1"/>
  <c r="M471" i="2"/>
  <c r="M472" i="2"/>
  <c r="M473" i="2"/>
  <c r="M474" i="2"/>
  <c r="M475" i="2"/>
  <c r="M476" i="2"/>
  <c r="M477" i="2"/>
  <c r="BR477" i="2" s="1"/>
  <c r="M478" i="2"/>
  <c r="M479" i="2"/>
  <c r="BR479" i="2" s="1"/>
  <c r="M480" i="2"/>
  <c r="BR480" i="2" s="1"/>
  <c r="M481" i="2"/>
  <c r="BR481" i="2" s="1"/>
  <c r="M482" i="2"/>
  <c r="BR482" i="2" s="1"/>
  <c r="M483" i="2"/>
  <c r="BR483" i="2" s="1"/>
  <c r="M484" i="2"/>
  <c r="BR484" i="2" s="1"/>
  <c r="M485" i="2"/>
  <c r="BR485" i="2" s="1"/>
  <c r="M486" i="2"/>
  <c r="BR486" i="2" s="1"/>
  <c r="M487" i="2"/>
  <c r="M488" i="2"/>
  <c r="M489" i="2"/>
  <c r="M490" i="2"/>
  <c r="M491" i="2"/>
  <c r="M492" i="2"/>
  <c r="M493" i="2"/>
  <c r="M494" i="2"/>
  <c r="M495" i="2"/>
  <c r="BR495" i="2" s="1"/>
  <c r="M2" i="2"/>
  <c r="J360" i="2"/>
  <c r="J94" i="2"/>
  <c r="J156" i="2"/>
  <c r="J168" i="2"/>
  <c r="J362" i="2"/>
  <c r="BR362" i="2" s="1"/>
  <c r="J250" i="2"/>
  <c r="BR250" i="2" s="1"/>
  <c r="J192" i="2"/>
  <c r="J414" i="2"/>
  <c r="J252" i="2"/>
  <c r="J264" i="2"/>
  <c r="J61" i="2"/>
  <c r="J107" i="2"/>
  <c r="J442" i="2"/>
  <c r="J298" i="2"/>
  <c r="J47" i="2"/>
  <c r="J110" i="2"/>
  <c r="J9" i="2"/>
  <c r="BR9" i="2" s="1"/>
  <c r="J162" i="2"/>
  <c r="J397" i="2"/>
  <c r="J127" i="2"/>
  <c r="J258" i="2"/>
  <c r="J48" i="2"/>
  <c r="J438" i="2"/>
  <c r="J331" i="2"/>
  <c r="J159" i="2"/>
  <c r="J215" i="2"/>
  <c r="J304" i="2"/>
  <c r="J170" i="2"/>
  <c r="J128" i="2"/>
  <c r="J270" i="2"/>
  <c r="J440" i="2"/>
  <c r="J205" i="2"/>
  <c r="J388" i="2"/>
  <c r="J366" i="2"/>
  <c r="J444" i="2"/>
  <c r="BR444" i="2" s="1"/>
  <c r="J357" i="2"/>
  <c r="J130" i="2"/>
  <c r="J468" i="2"/>
  <c r="J235" i="2"/>
  <c r="J311" i="2"/>
  <c r="J329" i="2"/>
  <c r="J125" i="2"/>
  <c r="J378" i="2"/>
  <c r="J14" i="2"/>
  <c r="J435" i="2"/>
  <c r="J208" i="2"/>
  <c r="J429" i="2"/>
  <c r="J23" i="2"/>
  <c r="J210" i="2"/>
  <c r="J137" i="2"/>
  <c r="J242" i="2"/>
  <c r="J470" i="2"/>
  <c r="J131" i="2"/>
  <c r="J8" i="2"/>
  <c r="BR130" i="1" s="1"/>
  <c r="J280" i="2"/>
  <c r="J337" i="2"/>
  <c r="J97" i="2"/>
  <c r="J223" i="2"/>
  <c r="J157" i="2"/>
  <c r="J448" i="2"/>
  <c r="J472" i="2"/>
  <c r="J382" i="2"/>
  <c r="J315" i="2"/>
  <c r="J486" i="2"/>
  <c r="J369" i="2"/>
  <c r="J174" i="2"/>
  <c r="J240" i="2"/>
  <c r="J341" i="2"/>
  <c r="J266" i="2"/>
  <c r="J59" i="2"/>
  <c r="J199" i="2"/>
  <c r="J334" i="2"/>
  <c r="J263" i="2"/>
  <c r="J398" i="2"/>
  <c r="J103" i="2"/>
  <c r="BR103" i="2" s="1"/>
  <c r="J488" i="2"/>
  <c r="J244" i="2"/>
  <c r="J491" i="2"/>
  <c r="J146" i="2"/>
  <c r="J212" i="2"/>
  <c r="J425" i="2"/>
  <c r="J225" i="2"/>
  <c r="J25" i="2"/>
  <c r="BR25" i="2" s="1"/>
  <c r="J216" i="2"/>
  <c r="BR216" i="2" s="1"/>
  <c r="J19" i="2"/>
  <c r="J267" i="2"/>
  <c r="J183" i="2"/>
  <c r="J34" i="2"/>
  <c r="J424" i="2"/>
  <c r="J389" i="2"/>
  <c r="J305" i="2"/>
  <c r="J466" i="2"/>
  <c r="J310" i="2"/>
  <c r="J113" i="2"/>
  <c r="J124" i="2"/>
  <c r="J104" i="2"/>
  <c r="J122" i="2"/>
  <c r="J90" i="2"/>
  <c r="J243" i="2"/>
  <c r="J469" i="2"/>
  <c r="J484" i="2"/>
  <c r="J284" i="2"/>
  <c r="BR284" i="2" s="1"/>
  <c r="J489" i="2"/>
  <c r="J423" i="2"/>
  <c r="J236" i="2"/>
  <c r="J79" i="2"/>
  <c r="J177" i="2"/>
  <c r="J383" i="2"/>
  <c r="J316" i="2"/>
  <c r="J257" i="2"/>
  <c r="J221" i="2"/>
  <c r="J482" i="2"/>
  <c r="J237" i="2"/>
  <c r="J297" i="2"/>
  <c r="J190" i="2"/>
  <c r="J415" i="2"/>
  <c r="J459" i="2"/>
  <c r="BR459" i="2" s="1"/>
  <c r="J478" i="2"/>
  <c r="J475" i="2"/>
  <c r="J384" i="2"/>
  <c r="J323" i="2"/>
  <c r="J319" i="2"/>
  <c r="J352" i="2"/>
  <c r="J254" i="2"/>
  <c r="J358" i="2"/>
  <c r="J140" i="2"/>
  <c r="J251" i="2"/>
  <c r="J412" i="2"/>
  <c r="J436" i="2"/>
  <c r="J370" i="2"/>
  <c r="J394" i="2"/>
  <c r="BR394" i="2" s="1"/>
  <c r="J368" i="2"/>
  <c r="J176" i="2"/>
  <c r="J409" i="2"/>
  <c r="BR409" i="2" s="1"/>
  <c r="J371" i="2"/>
  <c r="J302" i="2"/>
  <c r="J31" i="2"/>
  <c r="J102" i="2"/>
  <c r="J29" i="2"/>
  <c r="J38" i="2"/>
  <c r="J299" i="2"/>
  <c r="J41" i="2"/>
  <c r="J288" i="2"/>
  <c r="J379" i="2"/>
  <c r="J467" i="2"/>
  <c r="J317" i="2"/>
  <c r="J296" i="2"/>
  <c r="J307" i="2"/>
  <c r="J437" i="2"/>
  <c r="J289" i="2"/>
  <c r="J106" i="2"/>
  <c r="J148" i="2"/>
  <c r="J209" i="2"/>
  <c r="J132" i="2"/>
  <c r="J82" i="2"/>
  <c r="J123" i="2"/>
  <c r="J336" i="2"/>
  <c r="J65" i="2"/>
  <c r="J241" i="2"/>
  <c r="J42" i="2"/>
  <c r="J393" i="2"/>
  <c r="J245" i="2"/>
  <c r="J74" i="2"/>
  <c r="J68" i="2"/>
  <c r="J282" i="2"/>
  <c r="J476" i="2"/>
  <c r="BR476" i="2" s="1"/>
  <c r="J184" i="2"/>
  <c r="J194" i="2"/>
  <c r="J133" i="2"/>
  <c r="J349" i="2"/>
  <c r="J56" i="2"/>
  <c r="J327" i="2"/>
  <c r="J191" i="2"/>
  <c r="J5" i="2"/>
  <c r="J67" i="2"/>
  <c r="J93" i="2"/>
  <c r="J458" i="2"/>
  <c r="J126" i="2"/>
  <c r="J49" i="2"/>
  <c r="J416" i="2"/>
  <c r="J226" i="2"/>
  <c r="J80" i="2"/>
  <c r="J222" i="2"/>
  <c r="J354" i="2"/>
  <c r="J285" i="2"/>
  <c r="J422" i="2"/>
  <c r="J145" i="2"/>
  <c r="J347" i="2"/>
  <c r="J153" i="2"/>
  <c r="J138" i="2"/>
  <c r="J320" i="2"/>
  <c r="J314" i="2"/>
  <c r="J402" i="2"/>
  <c r="J181" i="2"/>
  <c r="J419" i="2"/>
  <c r="J463" i="2"/>
  <c r="J204" i="2"/>
  <c r="J55" i="2"/>
  <c r="BR55" i="2" s="1"/>
  <c r="J195" i="2"/>
  <c r="J364" i="2"/>
  <c r="J134" i="2"/>
  <c r="J141" i="2"/>
  <c r="J330" i="2"/>
  <c r="J259" i="2"/>
  <c r="J473" i="2"/>
  <c r="J372" i="2"/>
  <c r="J52" i="2"/>
  <c r="J353" i="2"/>
  <c r="J249" i="2"/>
  <c r="J381" i="2"/>
  <c r="J376" i="2"/>
  <c r="J201" i="2"/>
  <c r="J144" i="2"/>
  <c r="J233" i="2"/>
  <c r="J326" i="2"/>
  <c r="J53" i="2"/>
  <c r="J335" i="2"/>
  <c r="J474" i="2"/>
  <c r="J420" i="2"/>
  <c r="J345" i="2"/>
  <c r="J318" i="2"/>
  <c r="J485" i="2"/>
  <c r="J483" i="2"/>
  <c r="J348" i="2"/>
  <c r="J154" i="2"/>
  <c r="J73" i="2"/>
  <c r="J493" i="2"/>
  <c r="J88" i="2"/>
  <c r="BR88" i="2" s="1"/>
  <c r="J344" i="2"/>
  <c r="J142" i="2"/>
  <c r="J359" i="2"/>
  <c r="J86" i="2"/>
  <c r="J490" i="2"/>
  <c r="J401" i="2"/>
  <c r="J95" i="2"/>
  <c r="J492" i="2"/>
  <c r="J363" i="2"/>
  <c r="J85" i="2"/>
  <c r="J278" i="2"/>
  <c r="J76" i="2"/>
  <c r="J308" i="2"/>
  <c r="J96" i="2"/>
  <c r="J18" i="2"/>
  <c r="J373" i="2"/>
  <c r="J139" i="2"/>
  <c r="J322" i="2"/>
  <c r="J180" i="2"/>
  <c r="J155" i="2"/>
  <c r="J117" i="2"/>
  <c r="J433" i="2"/>
  <c r="J50" i="2"/>
  <c r="J20" i="2"/>
  <c r="J189" i="2"/>
  <c r="J46" i="2"/>
  <c r="J99" i="2"/>
  <c r="J36" i="2"/>
  <c r="J377" i="2"/>
  <c r="J294" i="2"/>
  <c r="J465" i="2"/>
  <c r="J60" i="2"/>
  <c r="J203" i="2"/>
  <c r="BR203" i="2" s="1"/>
  <c r="J161" i="2"/>
  <c r="J380" i="2"/>
  <c r="J275" i="2"/>
  <c r="J274" i="2"/>
  <c r="J385" i="2"/>
  <c r="J291" i="2"/>
  <c r="J479" i="2"/>
  <c r="J269" i="2"/>
  <c r="J455" i="2"/>
  <c r="J446" i="2"/>
  <c r="J169" i="2"/>
  <c r="J333" i="2"/>
  <c r="J421" i="2"/>
  <c r="J332" i="2"/>
  <c r="J295" i="2"/>
  <c r="J365" i="2"/>
  <c r="J66" i="2"/>
  <c r="J321" i="2"/>
  <c r="J187" i="2"/>
  <c r="J487" i="2"/>
  <c r="J3" i="2"/>
  <c r="J460" i="2"/>
  <c r="J392" i="2"/>
  <c r="J150" i="2"/>
  <c r="J173" i="2"/>
  <c r="J178" i="2"/>
  <c r="J461" i="2"/>
  <c r="J261" i="2"/>
  <c r="J339" i="2"/>
  <c r="J44" i="2"/>
  <c r="J375" i="2"/>
  <c r="BR375" i="2" s="1"/>
  <c r="J197" i="2"/>
  <c r="J33" i="2"/>
  <c r="J452" i="2"/>
  <c r="J193" i="2"/>
  <c r="J10" i="2"/>
  <c r="J186" i="2"/>
  <c r="J306" i="2"/>
  <c r="J441" i="2"/>
  <c r="J112" i="2"/>
  <c r="J232" i="2"/>
  <c r="J404" i="2"/>
  <c r="J450" i="2"/>
  <c r="J449" i="2"/>
  <c r="J328" i="2"/>
  <c r="J400" i="2"/>
  <c r="J453" i="2"/>
  <c r="J202" i="2"/>
  <c r="BR202" i="2" s="1"/>
  <c r="J77" i="2"/>
  <c r="J253" i="2"/>
  <c r="J175" i="2"/>
  <c r="J229" i="2"/>
  <c r="J179" i="2"/>
  <c r="J313" i="2"/>
  <c r="J69" i="2"/>
  <c r="J228" i="2"/>
  <c r="J248" i="2"/>
  <c r="J256" i="2"/>
  <c r="J406" i="2"/>
  <c r="J361" i="2"/>
  <c r="J13" i="2"/>
  <c r="J16" i="2"/>
  <c r="J494" i="2"/>
  <c r="J165" i="2"/>
  <c r="J417" i="2"/>
  <c r="J367" i="2"/>
  <c r="J408" i="2"/>
  <c r="J15" i="2"/>
  <c r="J343" i="2"/>
  <c r="J98" i="2"/>
  <c r="J411" i="2"/>
  <c r="J207" i="2"/>
  <c r="J4" i="2"/>
  <c r="J149" i="2"/>
  <c r="J477" i="2"/>
  <c r="J471" i="2"/>
  <c r="BR471" i="2" s="1"/>
  <c r="J92" i="2"/>
  <c r="BR92" i="2" s="1"/>
  <c r="J265" i="2"/>
  <c r="J78" i="2"/>
  <c r="J21" i="2"/>
  <c r="J219" i="2"/>
  <c r="BR219" i="2" s="1"/>
  <c r="J158" i="2"/>
  <c r="J413" i="2"/>
  <c r="J89" i="2"/>
  <c r="J456" i="2"/>
  <c r="J115" i="2"/>
  <c r="J247" i="2"/>
  <c r="J340" i="2"/>
  <c r="J290" i="2"/>
  <c r="J447" i="2"/>
  <c r="J7" i="2"/>
  <c r="J355" i="2"/>
  <c r="J70" i="2"/>
  <c r="J287" i="2"/>
  <c r="J312" i="2"/>
  <c r="J218" i="2"/>
  <c r="BR218" i="2" s="1"/>
  <c r="J172" i="2"/>
  <c r="BR172" i="2" s="1"/>
  <c r="J136" i="2"/>
  <c r="J27" i="2"/>
  <c r="J403" i="2"/>
  <c r="J405" i="2"/>
  <c r="J63" i="2"/>
  <c r="J200" i="2"/>
  <c r="J434" i="2"/>
  <c r="J480" i="2"/>
  <c r="J171" i="2"/>
  <c r="J114" i="2"/>
  <c r="J120" i="2"/>
  <c r="J37" i="2"/>
  <c r="J387" i="2"/>
  <c r="J272" i="2"/>
  <c r="J57" i="2"/>
  <c r="BR57" i="2" s="1"/>
  <c r="J386" i="2"/>
  <c r="J238" i="2"/>
  <c r="J356" i="2"/>
  <c r="J87" i="2"/>
  <c r="J309" i="2"/>
  <c r="J105" i="2"/>
  <c r="J301" i="2"/>
  <c r="J231" i="2"/>
  <c r="J211" i="2"/>
  <c r="J54" i="2"/>
  <c r="J390" i="2"/>
  <c r="J81" i="2"/>
  <c r="J22" i="2"/>
  <c r="J118" i="2"/>
  <c r="J399" i="2"/>
  <c r="J196" i="2"/>
  <c r="J182" i="2"/>
  <c r="J43" i="2"/>
  <c r="J101" i="2"/>
  <c r="J32" i="2"/>
  <c r="J188" i="2"/>
  <c r="J152" i="2"/>
  <c r="J28" i="2"/>
  <c r="J129" i="2"/>
  <c r="J239" i="2"/>
  <c r="J273" i="2"/>
  <c r="J58" i="2"/>
  <c r="J454" i="2"/>
  <c r="J62" i="2"/>
  <c r="J35" i="2"/>
  <c r="J391" i="2"/>
  <c r="BR391" i="2" s="1"/>
  <c r="J167" i="2"/>
  <c r="J464" i="2"/>
  <c r="J64" i="2"/>
  <c r="J293" i="2"/>
  <c r="J260" i="2"/>
  <c r="J451" i="2"/>
  <c r="J457" i="2"/>
  <c r="J432" i="2"/>
  <c r="J445" i="2"/>
  <c r="J11" i="2"/>
  <c r="J17" i="2"/>
  <c r="J395" i="2"/>
  <c r="J100" i="2"/>
  <c r="J351" i="2"/>
  <c r="J72" i="2"/>
  <c r="BR72" i="2" s="1"/>
  <c r="J230" i="2"/>
  <c r="J271" i="2"/>
  <c r="J163" i="2"/>
  <c r="J338" i="2"/>
  <c r="J426" i="2"/>
  <c r="J481" i="2"/>
  <c r="J213" i="2"/>
  <c r="J12" i="2"/>
  <c r="J6" i="2"/>
  <c r="J185" i="2"/>
  <c r="J286" i="2"/>
  <c r="J30" i="2"/>
  <c r="J279" i="2"/>
  <c r="J410" i="2"/>
  <c r="J396" i="2"/>
  <c r="J135" i="2"/>
  <c r="J91" i="2"/>
  <c r="J281" i="2"/>
  <c r="BR281" i="2" s="1"/>
  <c r="J39" i="2"/>
  <c r="BR39" i="2" s="1"/>
  <c r="J234" i="2"/>
  <c r="J342" i="2"/>
  <c r="J292" i="2"/>
  <c r="J277" i="2"/>
  <c r="J2" i="2"/>
  <c r="BR4" i="1" s="1"/>
  <c r="J255" i="2"/>
  <c r="J40" i="2"/>
  <c r="J109" i="2"/>
  <c r="J443" i="2"/>
  <c r="J303" i="2"/>
  <c r="J374" i="2"/>
  <c r="J75" i="2"/>
  <c r="BR75" i="2" s="1"/>
  <c r="J350" i="2"/>
  <c r="J246" i="2"/>
  <c r="J24" i="2"/>
  <c r="BR24" i="2" s="1"/>
  <c r="J262" i="2"/>
  <c r="J83" i="2"/>
  <c r="J147" i="2"/>
  <c r="J164" i="2"/>
  <c r="J418" i="2"/>
  <c r="J283" i="2"/>
  <c r="J206" i="2"/>
  <c r="J220" i="2"/>
  <c r="J276" i="2"/>
  <c r="J428" i="2"/>
  <c r="J439" i="2"/>
  <c r="J198" i="2"/>
  <c r="J214" i="2"/>
  <c r="J121" i="2"/>
  <c r="J160" i="2"/>
  <c r="J227" i="2"/>
  <c r="J430" i="2"/>
  <c r="J462" i="2"/>
  <c r="J119" i="2"/>
  <c r="J116" i="2"/>
  <c r="J427" i="2"/>
  <c r="J71" i="2"/>
  <c r="BR71" i="2" s="1"/>
  <c r="J143" i="2"/>
  <c r="J300" i="2"/>
  <c r="J51" i="2"/>
  <c r="J45" i="2"/>
  <c r="J26" i="2"/>
  <c r="J324" i="2"/>
  <c r="J108" i="2"/>
  <c r="J268" i="2"/>
  <c r="J224" i="2"/>
  <c r="J217" i="2"/>
  <c r="BR217" i="2" s="1"/>
  <c r="J84" i="2"/>
  <c r="J495" i="2"/>
  <c r="J346" i="2"/>
  <c r="J166" i="2"/>
  <c r="J431" i="2"/>
  <c r="J325" i="2"/>
  <c r="J407" i="2"/>
  <c r="J111" i="2"/>
  <c r="J151" i="2"/>
  <c r="BR262" i="2" l="1"/>
  <c r="BR84" i="2"/>
  <c r="BR387" i="2"/>
  <c r="BR127" i="1"/>
  <c r="BR494" i="2"/>
  <c r="BR478" i="2"/>
  <c r="BR142" i="2"/>
  <c r="BR94" i="2"/>
  <c r="BR62" i="2"/>
  <c r="BR161" i="1"/>
  <c r="BR112" i="1"/>
  <c r="BR17" i="1"/>
  <c r="BR397" i="2"/>
  <c r="BR77" i="2"/>
  <c r="BR160" i="1"/>
  <c r="BR111" i="1"/>
  <c r="BR16" i="1"/>
  <c r="BR82" i="1"/>
  <c r="BR146" i="1"/>
  <c r="BR145" i="1"/>
  <c r="BR49" i="1"/>
  <c r="BR144" i="1"/>
  <c r="BR21" i="2"/>
  <c r="BR129" i="1"/>
  <c r="BR128" i="1"/>
  <c r="BR243" i="2"/>
  <c r="BR227" i="2"/>
  <c r="BR35" i="2"/>
  <c r="BR430" i="2"/>
  <c r="BR190" i="2"/>
  <c r="BR65" i="1"/>
  <c r="BR493" i="2"/>
  <c r="BR13" i="2"/>
  <c r="BR64" i="1"/>
  <c r="BR159" i="1"/>
  <c r="BR15" i="1"/>
  <c r="BR158" i="1"/>
  <c r="BR143" i="1"/>
  <c r="BR47" i="1"/>
  <c r="BR30" i="1"/>
  <c r="BR61" i="1"/>
  <c r="BR110" i="1"/>
  <c r="BR8" i="2"/>
  <c r="BR29" i="1"/>
  <c r="BR46" i="1"/>
  <c r="BR45" i="1"/>
  <c r="BR173" i="1"/>
  <c r="BR142" i="1"/>
  <c r="BR125" i="1"/>
  <c r="BR157" i="1"/>
  <c r="BR14" i="1"/>
  <c r="BR13" i="1"/>
  <c r="BR141" i="1"/>
  <c r="BR468" i="2"/>
  <c r="BR19" i="2"/>
  <c r="BR18" i="2"/>
  <c r="BR126" i="1"/>
  <c r="BR33" i="2"/>
  <c r="BR32" i="1"/>
  <c r="BR464" i="2"/>
  <c r="BR400" i="2"/>
  <c r="BR368" i="2"/>
  <c r="BR160" i="2"/>
  <c r="BR144" i="2"/>
  <c r="BR96" i="2"/>
  <c r="BR80" i="2"/>
  <c r="BR16" i="2"/>
  <c r="BR114" i="1"/>
  <c r="BR31" i="1"/>
  <c r="BR182" i="2"/>
  <c r="BR386" i="2"/>
  <c r="BR322" i="2"/>
  <c r="BR162" i="2"/>
  <c r="BR465" i="2"/>
  <c r="BR289" i="2"/>
  <c r="BR463" i="2"/>
  <c r="BR399" i="2"/>
  <c r="BR162" i="1"/>
  <c r="BR113" i="1"/>
  <c r="BR66" i="1"/>
  <c r="BR18" i="1"/>
  <c r="BR150" i="1"/>
  <c r="BR54" i="1"/>
  <c r="BR147" i="1"/>
  <c r="BR131" i="1"/>
  <c r="BR115" i="1"/>
  <c r="BR67" i="1"/>
  <c r="BR51" i="1"/>
  <c r="BR19" i="1"/>
  <c r="BR3" i="1"/>
  <c r="BR172" i="1"/>
  <c r="BR156" i="1"/>
  <c r="BR140" i="1"/>
  <c r="BR124" i="1"/>
  <c r="BR108" i="1"/>
  <c r="BR76" i="1"/>
  <c r="BR60" i="1"/>
  <c r="BR28" i="1"/>
  <c r="BR12" i="1"/>
  <c r="BR171" i="1"/>
  <c r="BR155" i="1"/>
  <c r="BR139" i="1"/>
  <c r="BR123" i="1"/>
  <c r="BR107" i="1"/>
  <c r="BR59" i="1"/>
  <c r="BR43" i="1"/>
  <c r="BR27" i="1"/>
  <c r="BR11" i="1"/>
  <c r="BR170" i="1"/>
  <c r="BR154" i="1"/>
  <c r="BR138" i="1"/>
  <c r="BR106" i="1"/>
  <c r="BR58" i="1"/>
  <c r="BR42" i="1"/>
  <c r="BR26" i="1"/>
  <c r="BR10" i="1"/>
  <c r="BR169" i="1"/>
  <c r="BR153" i="1"/>
  <c r="BR137" i="1"/>
  <c r="BR121" i="1"/>
  <c r="BR105" i="1"/>
  <c r="BR57" i="1"/>
  <c r="BR41" i="1"/>
  <c r="BR25" i="1"/>
  <c r="BR9" i="1"/>
  <c r="BR168" i="1"/>
  <c r="BR152" i="1"/>
  <c r="BR136" i="1"/>
  <c r="BR120" i="1"/>
  <c r="BR56" i="1"/>
  <c r="BR40" i="1"/>
  <c r="BR24" i="1"/>
  <c r="BR8" i="1"/>
  <c r="BR167" i="1"/>
  <c r="BR151" i="1"/>
  <c r="BR135" i="1"/>
  <c r="BR119" i="1"/>
  <c r="BR103" i="1"/>
  <c r="BR55" i="1"/>
  <c r="BR39" i="1"/>
  <c r="BR23" i="1"/>
  <c r="BR7" i="1"/>
  <c r="BR134" i="1"/>
  <c r="BR70" i="1"/>
  <c r="BR22" i="1"/>
  <c r="BR166" i="1"/>
  <c r="BR118" i="1"/>
  <c r="BR102" i="1"/>
  <c r="BR38" i="1"/>
  <c r="BR149" i="1"/>
  <c r="BR133" i="1"/>
  <c r="BR117" i="1"/>
  <c r="BR101" i="1"/>
  <c r="BR85" i="1"/>
  <c r="BR53" i="1"/>
  <c r="BR37" i="1"/>
  <c r="BR21" i="1"/>
  <c r="BR5" i="1"/>
  <c r="BR6" i="1"/>
  <c r="BR164" i="1"/>
  <c r="BR148" i="1"/>
  <c r="BR132" i="1"/>
  <c r="BR116" i="1"/>
  <c r="BR100" i="1"/>
  <c r="BR84" i="1"/>
  <c r="BR68" i="1"/>
  <c r="BR52" i="1"/>
  <c r="BR20" i="1"/>
</calcChain>
</file>

<file path=xl/sharedStrings.xml><?xml version="1.0" encoding="utf-8"?>
<sst xmlns="http://schemas.openxmlformats.org/spreadsheetml/2006/main" count="33505" uniqueCount="5739">
  <si>
    <t>Plugin ID</t>
  </si>
  <si>
    <t>CVE</t>
  </si>
  <si>
    <t>CVSS</t>
  </si>
  <si>
    <t>Risk</t>
  </si>
  <si>
    <t>Host</t>
  </si>
  <si>
    <t>Protocol</t>
  </si>
  <si>
    <t>Port</t>
  </si>
  <si>
    <t>Name</t>
  </si>
  <si>
    <t>Synopsis</t>
  </si>
  <si>
    <t>Description</t>
  </si>
  <si>
    <t>Solution</t>
  </si>
  <si>
    <t>See Also</t>
  </si>
  <si>
    <t>Plugin Output</t>
  </si>
  <si>
    <t>Asset UUID</t>
  </si>
  <si>
    <t>Vulnerability State</t>
  </si>
  <si>
    <t>IP Address</t>
  </si>
  <si>
    <t>FQDN</t>
  </si>
  <si>
    <t>NetBios</t>
  </si>
  <si>
    <t>OS</t>
  </si>
  <si>
    <t>MAC Address</t>
  </si>
  <si>
    <t>Plugin Family</t>
  </si>
  <si>
    <t>CVSS Base Score</t>
  </si>
  <si>
    <t>CVSS Temporal Score</t>
  </si>
  <si>
    <t>CVSS Temporal Vector</t>
  </si>
  <si>
    <t>CVSS Vector</t>
  </si>
  <si>
    <t>CVSS3 Base Score</t>
  </si>
  <si>
    <t>CVSS3 Temporal Score</t>
  </si>
  <si>
    <t>CVSS3 Temporal Vector</t>
  </si>
  <si>
    <t>CVSS3 Vector</t>
  </si>
  <si>
    <t>System Type</t>
  </si>
  <si>
    <t>Host Start</t>
  </si>
  <si>
    <t>Host End</t>
  </si>
  <si>
    <t>Vulnerability Priority Rating (VPR)</t>
  </si>
  <si>
    <t>First Found</t>
  </si>
  <si>
    <t>Last Found</t>
  </si>
  <si>
    <t>Host Scan Schedule ID</t>
  </si>
  <si>
    <t>Host Scan ID</t>
  </si>
  <si>
    <t>Indexed At</t>
  </si>
  <si>
    <t>Last Authenticated Results Date</t>
  </si>
  <si>
    <t>Last Unauthenticated Results Date</t>
  </si>
  <si>
    <t>Tracked</t>
  </si>
  <si>
    <t>Risk Factor</t>
  </si>
  <si>
    <t>Severity</t>
  </si>
  <si>
    <t>Original Severity</t>
  </si>
  <si>
    <t>Modification</t>
  </si>
  <si>
    <t>Plugin Family ID</t>
  </si>
  <si>
    <t>Plugin Type</t>
  </si>
  <si>
    <t>Plugin Version</t>
  </si>
  <si>
    <t>Service</t>
  </si>
  <si>
    <t>Plugin Modification Date</t>
  </si>
  <si>
    <t>Plugin Publication Date</t>
  </si>
  <si>
    <t>Checks for Malware</t>
  </si>
  <si>
    <t>Exploit Available</t>
  </si>
  <si>
    <t>Exploited by Malware</t>
  </si>
  <si>
    <t>Exploited by Nessus</t>
  </si>
  <si>
    <t>CANVAS</t>
  </si>
  <si>
    <t>D2 Elliot</t>
  </si>
  <si>
    <t>Metasploit</t>
  </si>
  <si>
    <t>Core Exploits</t>
  </si>
  <si>
    <t>ExploitHub</t>
  </si>
  <si>
    <t>Default Account</t>
  </si>
  <si>
    <t>Patch Available</t>
  </si>
  <si>
    <t>In The News</t>
  </si>
  <si>
    <t>Unsupported By Vendor</t>
  </si>
  <si>
    <t>Last Fixed</t>
  </si>
  <si>
    <t>None</t>
  </si>
  <si>
    <t>hth4qvk6c4</t>
  </si>
  <si>
    <t>N/A</t>
  </si>
  <si>
    <t>15f6a868-a423-46f6-9471-bbe28660b015</t>
  </si>
  <si>
    <t>10.9.228.37</t>
  </si>
  <si>
    <t>hth4qvk6c4.hilltop.global</t>
  </si>
  <si>
    <t>Microsoft Windows 11 Enterprise Build 22631</t>
  </si>
  <si>
    <t>AC:45:EF:8D:16:70
D4:A2:CD:F6:35:20</t>
  </si>
  <si>
    <t>general-purpose</t>
  </si>
  <si>
    <t>2026-04-19T01:36:07.747Z</t>
  </si>
  <si>
    <t>2026-04-19T01:42:03.523Z</t>
  </si>
  <si>
    <t>null</t>
  </si>
  <si>
    <t>template-9cfb28cd-a1ba-2b6f-ef9e-f7691bc0a80b14766c032550e147</t>
  </si>
  <si>
    <t>e830cd7e-199f-49c4-bdd0-e3fe00351986</t>
  </si>
  <si>
    <t>2026-04-19T01:44:05.094Z</t>
  </si>
  <si>
    <t>2026-04-19T01:40:38Z</t>
  </si>
  <si>
    <t>local</t>
  </si>
  <si>
    <t>2026-04-19T01:44:05.131Z</t>
  </si>
  <si>
    <t>High</t>
  </si>
  <si>
    <t>tcp</t>
  </si>
  <si>
    <t>Windows Compliance Checks</t>
  </si>
  <si>
    <t>Compliance checks for Windows systems.</t>
  </si>
  <si>
    <t>"1.0368 - MSWRK - Ensure Accounts: Guest account status is set to Disabled: [FAILED]"
This policy setting determines whether the Guest account is enabled or disabled.
See Also:
See HTH Policies and Standards
Reference:
NIST 800-53r5|IA-5
Policy Value:
'Disabled'
Actual Value:
'NOT_FOUND'</t>
  </si>
  <si>
    <t>Policy Compliance</t>
  </si>
  <si>
    <t>2026-04-19T01:44:05.067Z</t>
  </si>
  <si>
    <t>$Revision: 1.793 $</t>
  </si>
  <si>
    <t>2026-04-15T00:00:00Z</t>
  </si>
  <si>
    <t>2007-11-21T00:00:00Z</t>
  </si>
  <si>
    <t>"1.0342 - MSWRK - Ensure Modify firmware environment values is set to Administrators: [FAILED]"
This policy setting allows users to configure the system-wide environment variables that affect hardware configuration.
See Also:
See HTH Policies and Standards
Reference:
NIST 800-53r5|AC-2 AC-5 AC-6 AC-6(1) AC-6(7) AU-9(4)
Policy Value:
'Administrators'
Actual Value:
'NO_MEMBERS'</t>
  </si>
  <si>
    <t>2026-04-19T01:44:05.074Z</t>
  </si>
  <si>
    <t>"1.0467 - MSWRK - Network access: Shares that can be accessed anonymously is set to None: [PASSED]"
This policy setting determines which network shares can be accessed by anonymous users. The default configuration for this policy setting has little effect because all users have to be authenticated before they can access shared resources on the server.
See Also:
See HTH Policies and Standards
Reference:
NIST 800-53r5|AC-3 
Policy Value:
''
Actual Value:
'Value Not Found'</t>
  </si>
  <si>
    <t>"1.0411 - MSWRK - Ensure Microsoft network server: Digitally sign communications (always) is set to Enabled - Parameters: [PASSED]"
This policy setting determines whether packet signing is required by the SMB server component.
See Also:
See HTH Policies and Standards
Reference:
NIST 800-53r5|AC-17(2) IA-5 IA-5(1) SC-8 SC-8(1)
Policy Value:
'1'
Actual Value:
'1'</t>
  </si>
  <si>
    <t>2026-04-19T01:44:05.075Z</t>
  </si>
  <si>
    <t>"1.0208 - MSWRK - default - Config: [PASSED]"
Policy Value:
'1'
Actual Value:
'1'</t>
  </si>
  <si>
    <t>"1.0421 - MSWRK - Ensure SSDP Discovery (SSDPSRV) is set to Disabled - Ssdpsrv: [PASSED]"
Discovers networked devices and services that use the SSDP discovery protocol, such as UPnP devices.
See Also:
See HTH Policies and Standards
Reference:
NIST 800-53r5|CM-6 CM-7
Policy Value:
'4'
Actual Value:
'4'</t>
  </si>
  <si>
    <t>"1.0468 - MSWRK - Network access: Named Pipes that can be accessed anonymously is set to None: [PASSED]"
This policy setting determines which communication sessions, or pipes, will have attributes and permissions that allow anonymous access.
See Also:
See HTH Policies and Standards
Reference:
NIST 800-53r5|IA-2(2) 
Policy Value:
''
Actual Value:
''</t>
  </si>
  <si>
    <t>2026-04-19T01:44:05.076Z</t>
  </si>
  <si>
    <t>"1.0010 - MSWRK - Ensure Allow Administrator account lockout is set to Enabled: [PASSED]"
This policy setting determines whether the built-in Administrator account is subject to the following Account Lockout Policy settings: Account lockout duration, Account lockout threshold, and Reset account lockout counter.
See Also:
See HTH Policies and Standards
Reference:
NIST 800-53r5|AC-7 AC-19
Policy Value:
'Enabled'
Actual Value:
'Enabled'</t>
  </si>
  <si>
    <t>"1.0108 - MSWRK - Ensure Scan all downloaded files and attachments is set to Enabled: [FAILED]"
This policy setting configures scanning for all downloaded files and attachments.
See Also:
See HTH Policies and Standards
Reference:
NIST 800-53r5|SI-3
Policy Value:
'0'
Actual Value:
'1'</t>
  </si>
  <si>
    <t>"1.0417 - MSWRK - Ensure Routing and Remote Access (RemoteAccess) is set to Disabled - Remoteaccess: [PASSED]"
Offers routing services to businesses in local area and wide area network environments.
See Also:
See HTH Policies and Standards
Reference:
NIST 800-53r5|CM-6 CM-7
Policy Value:
'4'
Actual Value:
'4'</t>
  </si>
  <si>
    <t>"1.0424 - MSWRK - Ensure Windows Media Player Network Sharing Service (WMPNetworkSvc) is set to Disabled or Not Installed - Wmpnetworksvc: [PASSED]"
Shares Windows Media Player libraries to other networked players and media devices using Universal Plug and Play.
See Also:
See HTH Policies and Standards
Reference:
NIST 800-53r5|CM-6 CM-7
Policy Value:
'4'
Actual Value:
'4'</t>
  </si>
  <si>
    <t>2026-04-19T01:44:05.077Z</t>
  </si>
  <si>
    <t>"1.0483 - MSWRK - Computer Browser (Browser) is not Installed: [FAILED]"
Maintains an updated list of computers on the network and supplies this list to computers designated as browsers.
See Also:
See corresponding HTH Policy or Standard
Reference:
NIST 800-53r5|CM-6 CM-7
Policy Value:
'Disabled'
Actual Value:
'RunspaceId                           Value   _x000D_
----------                           -----   _x000D_
a9494cd1-0a4e-44b9-bc93-981340c9e495 Disabled'</t>
  </si>
  <si>
    <t>"1.0469 - MSWRK - Network access: Remotely accessible registry paths is configured - Allowedexactpaths: [PASSED]"
This policy setting determines which registry paths will be accessible over the network, regardless of the users or groups listed in the access control list (ACL) of the winreg registry key.
See Also:
See HTH Policies and Standards
Reference:
NIST 800-53r5|AC-6(7)(b) 
Policy Value:
'System\\CurrentControlSet\\Control\\ProductOptions' &amp;&amp; 'System\\CurrentControlSet\\Control\\Server Applications' &amp;&amp; 'Software\\Microsoft\\Windows NT\\CurrentVersion'
Actual Value:
'System\CurrentControlSet\Control\ProductOptions_x000D_
System\CurrentControlSet\Control\Server Applications_x000D_
Software\Microsoft\Windows NT\CurrentVersion'</t>
  </si>
  <si>
    <t>"1.0457 - MSWRK - Network Information: [PASSED]"
This obtains relevent hosted view network information that may be used for additional evaluation.
See Also:
HTH Policies and Standards
Reference:
NIST 800-53r5|null
Policy Value:
'.*'
Actual Value:
'RunspaceId           : 0082430b-9ddb-4a6d-815e-34a88aeb62a0_x000D_
ComputerName         : HTH4QVK6C4_x000D_
InterfaceAlias       : Ethernet 2_x000D_
InterfaceIndex       : 18_x000D_
InterfaceDescription : Cisco AnyConnect Virtual Miniport Adapter for Windows x64_x000D_
CompartmentId        : 1_x000D_
NetAdapter           : MSFT_NetAdapter (CreationClassName = "MSFT_NetAdapter", DeviceID = _x000D_
                       "{D2C81E75-185C-4511-88E0-EFF1B6DDE81C}", SystemCreationClassName = "CIM_NetworkPort", _x000D_
                       SystemName = "HTH4QVK6C4.HillTop.Global")_x000D_
NetCompartment       : MSFT_NetCompartment (InstanceID = ";55;")_x000D_
NetIPv6Interface     : _x000D_
NetIPv4Interface     : MSFT_NetIPInterface (Name = ";B55?55;", CreationClassName = "", SystemCreationClassName = "", _x000D_
                       SystemName = "")_x000D_
NetProfile           : MSFT_NetConnectionProfile (InstanceID = "{D2C81E75-185C-4511-88E0-EFF1B6DDE81C}")_x000D_
AllIPAddresses       : {MSFT_NetIPAddress (Name = ";:8C8??B8?A55;B55;55;", CreationClassName = "", _x000D_
                       SystemCreationClassName = "", SystemName = "")}_x000D_
IPv6Address          : {}_x000D_
IPv6TemporaryAddress : {}_x000D_
IPv6LinkLocalAddress : {}_x000D_
IPv4Address          : {MSFT_NetIPAddress (Name = ";:8C8??B8?A55;B55;55;", CreationClassName = "", _x000D_
                       SystemCreationClassName = "", SystemName = "")}_x000D_
IPv6DefaultGateway   : _x000D_
IPv4DefaultGateway   : {MSFT_NetRoute (InstanceID = ":8:8:8:9:55;B55;:8C8??B8;55;")}_x000D_
DNSServer            : {MSFT_DNSClientServerAddress (Name = "18", CreationClassName = "", SystemCreationClassName = _x000D_
                       "", SystemName = "23"), MSFT_DNSClientServerAddress (Name = "18", CreationClassName = "", _x000D_
                       SystemCreationClassName = "", SystemName = "2")}_x000D_
Detailed             : True_x000D_
_x000D_
RunspaceId           : 0082430b-9ddb-4a6d-815e-34a88aeb62a0_x000D_
ComputerName         : HTH4QVK6C4_x000D_
InterfaceAlias       : Wi-Fi_x000D_
InterfaceIndex       : 20_x000D_
InterfaceDescription : Intel(R) Wi-Fi 6E AX211 160MHz_x000D_
CompartmentId        : 1_x000D_
NetAdapter           : MSFT_NetAdapter (CreationClassName = "MSFT_NetAdapter", DeviceID = _x000D_
                       "{E66EA24C-CF6C-4447-A888-2AD3760812F2}", SystemCreationClassName = "CIM_NetworkPort", _x000D_
                       SystemName = "HTH4QVK6C4.HillTop.Global")_x000D_
NetCompartment       : MSFT_NetCompartment (InstanceID = ";55;")_x000D_
NetIPv6Interface     : _x000D_
NetIPv4Interface     : MSFT_NetIPInterface (Name = "?:55?55;", CreationClassName = "", SystemCreationClassName = "", _x000D_
                       SystemName = "")_x000D_
NetProfile           : MSFT_NetConnectionProfile (InstanceID = "{E66EA24C-CF6C-4447-A888-2AD3760812F2}")_x000D_
AllIPAddresses       : {MSFT_NetIPAddress (Name = ";C?8;@B8;8?:B55?:55;55;", CreationClassName = "", _x000D_
                       SystemCreationClassName = "", SystemName = "")}_x000D_
IPv6Address          : {}_x000D_
IPv6TemporaryAddress : {}_x000D_
IPv6LinkLocalAddress : {}_x000D_
IPv4Address          : {MSFT_NetIPAddress (Name = ";C?8;@B8;8?:B55?:55;55;", CreationClassName = "", _x000D_
                       SystemCreationClassName = "", SystemName = "")}_x000D_
IPv6DefaultGateway   : _x000D_
IPv4DefaultGateway   : {MSFT_NetRoute (InstanceID = ":8:8:8:9:55?:55;C?8;@B8;8;55;")}_x000D_
DNSServer            : {MSFT_DNSClientServerAddress (Name = "20", CreationClassName = "", SystemCreationClassName = _x000D_
                       "", SystemName = "23"), MSFT_DNSClientServerAddress (Name = "20", CreationClassName = "", _x000D_
                       SystemCreationClassName = "", SystemName = "2")}_x000D_
Detailed             : True_x000D_
_x000D_
RunspaceId           : 0082430b-9ddb-4a6d-815e-34a88aeb62a0_x000D_
ComputerName         : HTH4QVK6C4_x000D_
InterfaceAlias       : Bluetooth Network Connection_x000D_
InterfaceIndex       : 2_x000D_
InterfaceDescription : Bluetooth Device (Personal Area Network)_x000D_
CompartmentId        : 1_x000D_
NetAdapter           : MSFT_NetAdapter (CreationClassName = "MSFT_NetAdapter", DeviceID = _x000D_
                       "{02776AEA-A011-4D1F-A351-3DBBA1D4D9EF}", SystemCreationClassName = "CIM_NetworkPort", _x000D_
                       SystemName = "HTH4QVK6C4.HillTop.Global")_x000D_
NetCompartment       : MSFT_NetCompartment (InstanceID = ";55;")_x000D_
NetIPv6Interface     : _x000D_
NetIPv4Interface     : MSFT_NetIPInterface (Name = "?55?55;", CreationClassName = "", SystemCreationClassName = "", _x000D_
                       SystemName = "")_x000D_
NetProfile           : _x000D_
AllIPAddresses       : {}_x000D_
IPv6Address          : {}_x000D_
IPv6TemporaryAddress : {}_x000D_
IPv6LinkLocalAddress : {}_x000D_
IPv4Address          : _x000D_
IPv6DefaultGateway   : _x000D_
IPv4DefaultGateway   : _x000D_
DNSServer            : {MSFT_DNSClientServerAddress (Name = "2", CreationClassName = "", SystemCreationClassName = "", _x000D_
                       SystemName = "23"), MSFT_DNSClientServerAddress (Name = "2", CreationClassName = "", _x000D_
                       SystemCreationClassName = "", SystemName = "2")}_x000D_
Detailed             : True_x000D_
_x000D_
RunspaceId           : 0082430b-9ddb-4a6d-815e-34a88aeb62a0_x000D_
ComputerName         : HTH4QVK6C4_x000D_
InterfaceAlias       : Ethernet_x000D_
InterfaceIndex       : 11_x000D_
InterfaceDescription : Intel(R) Ethernet Connection (24) I219-LM_x000D_
CompartmentId        : 1_x000D_
NetAdapter           : MSFT_NetAdapter (CreationClassName = "MSFT_NetAdapter", DeviceID = _x000D_
                       "{69F908C8-D720-42B0-810D-BC45EBC6B8DA}", SystemCreationClassName = "CIM_NetworkPort", _x000D_
                       SystemName = "HTH4QVK6C4.HillTop.Global")_x000D_
NetCompartment       : MSFT_NetCompartment (InstanceID = ";55;")_x000D_
NetIPv6Interface     : _x000D_
NetIPv4Interface     : MSFT_NetIPInterface (Name = ";;55?55;", CreationClassName = "", SystemCreationClassName = "", _x000D_
                       SystemName = "")_x000D_
NetProfile           : _x000D_
AllIPAddresses       : {}_x000D_
IPv6Address          : {}_x000D_
IPv6TemporaryAddress : {}_x000D_
IPv6LinkLocalAddress : {}_x000D_
IPv4Address          : _x000D_
IPv6DefaultGateway   : _x000D_
IPv4DefaultGateway   : _x000D_
DNSServer            : {MSFT_DNSClientServerAddress (Name = "11", CreationClassName = "", SystemCreationClassName = _x000D_
                       "", SystemName = "23"), MSFT_DNSClientServerAddress (Name = "11", CreationClassName = "", _x000D_
                       SystemCreationClassName = "", SystemName = "2")}_x000D_
Detailed             : True_x000D_
_x000D_
Enabled           : 1_x000D_
DisabledByDefault : 0_x000D_
PSPath            : Microsoft.PowerShell.Core\Registry::HKEY_LOCAL_MACHINE\SYSTEM\CurrentControlSet\Control\SecurityPro_x000D_
                    viders\SCHANNEL\Protocols\TLS 1.2\Server_x000D_
PSParentPath      : Microsoft.PowerShell.Core\Registry::HKEY_LOCAL_MACHINE\SYSTEM\CurrentControlSet\Control\SecurityPro_x000D_
                    viders\SCHANNEL\Protocols\TLS 1.2_x000D_
PSChildName       : Server_x000D_
PSDrive           : HKLM_x000D_
PSProvider        : Microsoft.PowerShell.Core\Registry_x000D_
RunspaceId        : 0082430b-9ddb-4a6d-815e-34a88aeb62a0'</t>
  </si>
  <si>
    <t>2026-04-19T01:44:05.078Z</t>
  </si>
  <si>
    <t>"1.0461 - MSWRK - Allow widgets is set to Disabled: [PASSED]"
This policy setting specifies whether the Widgets feature is allowed on the device. The Widgets feature provides information such as, weather, news, sports, stocks, traffic, and entertainment (not an inclusive list).
See Also:
See HTH Policies and Standards
Reference:
NIST 800-53r5|CM-6 
Policy Value:
'^0$'
Actual Value:
'0'</t>
  </si>
  <si>
    <t>"1.0460 - MSWRK - Ensure Only display the private store within the Microsoft Store is set to 'Disabled': [PASSED]"
This policy setting denies access to the retail catalog in the Microsoft Store, but displays the private store.
See Also:
See corresponding HTH Policy or Standard
Reference:
NIST 800-53r5|CM-7(5)CM-10
Policy Value:
'0'
Actual Value:
'0'</t>
  </si>
  <si>
    <t>"1.0341 - MSWRK - Ensure Modify an object label is set to No One: [PASSED]"
This privilege determines which user accounts can modify the integrity label of objects, such as files, registry keys, or processes owned by other users.
See Also:
See HTH Policies and Standards
Reference:
NIST 800-53r5|AC-2 AC-5 AC-6 AC-6(1) AC-6(7) AU-9(4)
Policy Value:
'^NO_MEMBERS$'
Actual Value:
'NO_MEMBERS'</t>
  </si>
  <si>
    <t>2026-04-19T01:44:05.079Z</t>
  </si>
  <si>
    <t>"1.0485 - MSWRK - Services - Rapid7 Insight Agent Service: [FAILED]"
The Rapid7 Insight Agent Service is automatically enabled on startup.
See Also:
See corresponding HTH Policy or Standard
Reference:
NIST 800-53r5|CM-6
Policy Value:
'Running'
Actual Value:
'Cannot find any service with service name 'ir_agent'._x000D_
    + CategoryInfo          : ObjectNotFound: (ir_agent:String) [Get-Service], ServiceCommandException_x000D_
    + FullyQualifiedErrorId : NoServiceFoundForGivenName,Microsoft.PowerShell.Commands.GetServiceCommand_x000D_
    + PSComputerName        : localhost_x000D_
 _x000D_
Service Not Found'</t>
  </si>
  <si>
    <t>"1.0325 - MSWRK - Ensure Debug programs is set to Administrators: [FAILED]"
This policy setting determines which user accounts will have the right to attach a debugger to any process or to the kernel, which provides complete access to sensitive and critical operating system components.
See Also:
See HTH Policies and Standards
Reference:
NIST 800-53r5|AC-2 AC-5 AC-6 AC-6(1) AC-6(7) AU-9(4)
Policy Value:
'Administrators'
Actual Value:
'NO_MEMBERS'</t>
  </si>
  <si>
    <t>"1.0003 - MSWRK - Ensure Minimum password age is set to 1 or more day(s): [PASSED]"
This policy setting determines the number of days that you must use a password before you can change it.
See Also:
See HTH Policies and Standards
Reference:
NIST 800-53r5|IA-5(1)
Policy Value:
'1'
Actual Value:
'1'</t>
  </si>
  <si>
    <t>2026-04-19T01:44:05.080Z</t>
  </si>
  <si>
    <t>"1.0150 - MSWRK - Ensure Always prompt for password upon connection is set to Enabled: [PASSED]"
This policy setting specifies whether Remote Desktop Services always prompts the client computer for a password upon connection.
See Also:
See HTH Policies and Standards
Reference:
NIST 800-53r5|CM-7b.
Policy Value:
'1'
Actual Value:
'1'</t>
  </si>
  <si>
    <t>"1.0346 - MSWRK - Ensure Replace a process level token is set to LOCAL SERVICE, NETWORK SERVICE: [FAILED]"
This policy setting allows one process or service to start another service or process with a different security access token, which can be used to modify the security access token of that sub-process and result in the escalation of privileges.
See Also:
See HTH Policies and Standards
Reference:
NIST 800-53r5|AC-2 AC-5 AC-6 AC-6(1) AC-6(7) AU-9(4)
Policy Value:
'LOCAL SERVICE' &amp;&amp; 'NETWORK SERVICE'
Actual Value:
'NO_MEMBERS'</t>
  </si>
  <si>
    <t>"1.0153 - MSWRK - Ensure Require user authentication for remote connections by using Network Level Authentication is set to Enabled: [PASSED]"
This policy setting allows you to specify whether to require user authentication for remote connections to the RD Session Host server by using Network Level Authentication.
See Also:
See HTH Policies and Standards
Reference:
NIST 800-53r5|AC-17(2) IA-5 IA-5(1) SC-8 SC-8(1)
Policy Value:
'1'
Actual Value:
'1'</t>
  </si>
  <si>
    <t>"1.0293 - MSWRK - Ensure Configure Solicited Remote Assistance is set to Disabled: [PASSED]"
This policy setting allows you to turn on or turn off Solicited (Ask for) Remote Assistance on this computer.
See Also:
See HTH Policies and Standards
Reference:
NIST 800-53r5|CM-6 CM-7
Policy Value:
'0'
Actual Value:
'0'</t>
  </si>
  <si>
    <t>2026-04-19T01:44:05.081Z</t>
  </si>
  <si>
    <t>"1.0430 - MSWRK - Ensure Xbox Live Networking Service (XboxNetApiSvc) is set to Disabled - Xboxnetapisvc: [PASSED]"
This service supports the Windows.
See Also:
See HTH Policies and Standards
Reference:
NIST 800-53r5|CM-6 CM-7
Policy Value:
'4'
Actual Value:
'4'</t>
  </si>
  <si>
    <t>"1.0339 - MSWRK - Ensure Manage auditing and security log is set to Administrators: [FAILED]"
This policy setting determines which users can change the auditing options for files and directories and clear the Security log.
See Also:
See HTH Policies and Standards
Reference:
NIST 800-53r5|AC-2 AC-5 AC-6 AC-6(1) AC-6(7) AU-9(4)
Policy Value:
'Administrators'
Actual Value:
'NO_MEMBERS'</t>
  </si>
  <si>
    <t>"1.0021 - MSWRK - Ensure Audit Logon is set to Success and Failure: [PASSED]"
This subcategory reports when a user attempts to log on to the system.
See Also:
See HTH Policies and Standards
Reference:
NIST 800-53r5|AU-3 AU-3(1) AU-7 AU-12
Policy Value:
'Success and Failure'
Actual Value:
'Success and Failure'</t>
  </si>
  <si>
    <t>2026-04-19T01:44:05.082Z</t>
  </si>
  <si>
    <t>"1.0154 - MSWRK - Ensure Set client connection encryption level is set to Enabled: High Level: [PASSED]"
This policy setting specifies whether to require the use of a specific encryption level to secure communications between client computers and RD Session Host servers during Remote Desktop Protocol (RDP) connections.
See Also:
See HTH Policies and Standards
Reference:
NIST 800-53r5|AC-17(2) IA-5 IA-5(1) SC-8 SC-8(1)
Policy Value:
'3'
Actual Value:
'3'</t>
  </si>
  <si>
    <t>"1.0171 - MSWRK - Ensure Enables or disables Windows Game Recording and Broadcasting is set to Disabled: [PASSED]"
This setting enables or disables the Windows Game Recording and Broadcasting features.
See Also:
See HTH Policies and Standards
Reference:
NIST 800-53r5|CM-6 CM-7
Policy Value:
'0'
Actual Value:
'0'</t>
  </si>
  <si>
    <t>"1.0095 - MSWRK - Ensure Security: Control Event Log behavior when the log file reaches its maximum size is set to Disabled: [PASSED]"
This policy setting controls Event Log behavior when the log file reaches its maximum size.
See Also:
See HTH Policies and Standards
Reference:
NIST 800-53r5|AU-4
Policy Value:
'0'
Actual Value:
'0'</t>
  </si>
  <si>
    <t>2026-04-19T01:44:05.083Z</t>
  </si>
  <si>
    <t>"1.0036 - MSWRK - Ensure Audit Security State Change is set to include Success: [PASSED]"
This subcategory reports changes in security state of the system, such as when the security subsystem starts and stops.
See Also:
See HTH Policies and Standards
Reference:
NIST 800-53r5|AU-3 AU-3(1) AU-7 AU-12
Policy Value:
'^(Success|Success\ and\ Failure)$'
Actual Value:
'Success'</t>
  </si>
  <si>
    <t>"1.0329 - MSWRK - Ensure Deny log on locally to include Guests: [FAILED]"
This security setting determines which users are prevented from logging on at the computer.
See Also:
See HTH Policies and Standards
Reference:
NIST 800-53r5|AC-2 AC-5 AC-6 AC-6(1) AC-6(7) AU-9(4)
Policy Value:
'(?=.*Guests)'
Actual Value:
'NO_MEMBERS'</t>
  </si>
  <si>
    <t>"1.0354 - MSWRK - Ensure Change the system time is set to Administrators, LOCAL SERVICE: [FAILED]"
This policy setting determines which users and groups can change the time and date on the internal clock of the computers in your environment.
See Also:
See HTH Policies and Standards
Reference:
NIST 800-53r5|AC-2 AC-5 AC-6 AC-6(1) AC-6(7) AU-9(4)
Policy Value:
'Administrators' &amp;&amp; 'LOCAL SERVICE'
Actual Value:
'NO_MEMBERS'</t>
  </si>
  <si>
    <t>2026-04-19T01:44:05.084Z</t>
  </si>
  <si>
    <t>"1.0397 - MSWRK - Ensure Domain member: Digitally encrypt secure channel data (when possible) is set to Enabled: [PASSED]"
This policy setting determines whether a domain member should attempt to negotiate encryption for all secure channel traffic that it initiates.
See Also:
See HTH Policies and Standards
Reference:
NIST 800-53r5|AC-17(2) IA-5 IA-5(1) SC-8 SC-8(1)
Policy Value:
'1'
Actual Value:
'1'</t>
  </si>
  <si>
    <t>"1.0217 - MSWRK - Ensure MSS: (DisableIPSourceRouting) IP source routing protection level is set to Enabled: Highest protection, source routing is completely disabled - Parameters: [PASSED]"
IP source routing is a mechanism that allows the sender to determine the IP route that a datagram should take through the network.
See Also:
See HTH Policies and Standards
Reference:
NIST 800-53r5|SC-7(12)
Policy Value:
'2'
Actual Value:
'2'</t>
  </si>
  <si>
    <t>"1.0412 - MSWRK - Ensure Microsoft network server: Disconnect clients when logon hours expire is set to Enabled: [PASSED]"
This security setting determines whether to disconnect users who are connected to the local computer outside their user account's valid logon hours.
See Also:
See HTH Policies and Standards
Reference:
NIST 800-53r5|AC-2(12)
Policy Value:
'1'
Actual Value:
'1'</t>
  </si>
  <si>
    <t>2026-04-19T01:44:05.088Z</t>
  </si>
  <si>
    <t>"1.0480 - MSWRK - Services - Windows Event Log: [PASSED]"
The Windows Event Log service should be automatically enabled on startup.
See Also:
See corresponding HTH Policy or Standard
Reference:
NIST 800-53r5|CM-6
Policy Value:
'Running'
Actual Value:
'RunspaceId                           Value  _x000D_
----------                           -----  _x000D_
f0156304-22c8-4dc3-8951-a9533f54259c Running'</t>
  </si>
  <si>
    <t>"1.0491 - MSWRK - Services - Xbox Live Game Save Service: [PASSED]"
The Xbox Live Game Save Service is disabled.
See Also:
See corresponding HTH Policy or Standard
Reference:
NIST 800-53r5|CM-6
Policy Value:
'Stopped' || 'Service Not Found'
Actual Value:
'RunspaceId                           Value  _x000D_
----------                           -----  _x000D_
1c06dfd9-967b-451c-9489-ef5f1d5bdac7 Stopped'</t>
  </si>
  <si>
    <t>"1.0098 - MSWRK - Ensure Setup: Specify the maximum log file size (KB) is set to Enabled: 32,768 or greater: [PASSED]"
This policy setting specifies the maximum size of the log file in kilobytes.
See Also:
See HTH Policies and Standards
Reference:
NIST 800-53r5|AU-4
Policy Value:
'^([1-9][0-9]{5,}|[4-9][0-9]{4}|3[3-9][0-9]{3}|32[8-9][0-9]{2}|327[7-9][0-9]{1}|3276[8-9])$'
Actual Value:
'32768'</t>
  </si>
  <si>
    <t>2026-04-19T01:44:05.089Z</t>
  </si>
  <si>
    <t>"1.0458 - MSWRK - Windows 10 is installed: [PASSED]"
Policy Value:
'^[Ww][Ii][Nn][Dd][Oo][Ww][Ss] 1[0,1].+$'
Actual Value:
'Windows 10 Enterprise'</t>
  </si>
  <si>
    <t>"1.0011 - MSWRK - Ensure Reset account lockout counter after is set to 15 or more minute(s): [PASSED]"
This policy setting determines the length of time before the Account lockout threshold resets to zero.
See Also:
See HTH Policies and Standards
Reference:
NIST 800-53r5|AC-7 AC-19
Policy Value:
'^([1-9][0-9]{2,}|[2-9][0-9]{1}|1[5-9])$'
Actual Value:
'60'</t>
  </si>
  <si>
    <t>"1.0477 - MSWRK - Services - BitLocker Drive Encryption Service: [PASSED]"
The BitLocker Drive Encryption service should be manually enabled on startup.
See Also:
See corresponding HTH Policy or Standard
Reference:
NIST 800-53r5|CM-6
Policy Value:
'Running'
Actual Value:
'RunspaceId                           Value  _x000D_
----------                           -----  _x000D_
561d649a-9a08-4290-b584-c702c2feaa9c Running'</t>
  </si>
  <si>
    <t>"1.0479 - MSWRK - Services - Cisco VPN Secure Client: [PASSED]"
The Cisco VPN Secure Client service should be automatically enabled on startup.
See Also:
See corresponding HTH Policy or Standard
Reference:
NIST 800-53r5|CM-6
Policy Value:
'Running'
Actual Value:
'RunspaceId                           Value  _x000D_
----------                           -----  _x000D_
1c648e5b-f4bc-48d3-b9ff-eb4da416baf8 Running'</t>
  </si>
  <si>
    <t>2026-04-19T01:44:05.090Z</t>
  </si>
  <si>
    <t>"1.0022 - MSWRK - Ensure Audit Other Logon/Logoff Events is set to Success and Failure: [PASSED]"
This subcategory reports other logon/logoff-related events, such as Remote Desktop Services session disconnects and reconnects, using RunAs to run processes under a different account, and locking and unlocking a workstation.
See Also:
See HTH Policies and Standards
Reference:
NIST 800-53r5|AU-3 AU-3(1) AU-7 AU-12
Policy Value:
'Success and Failure'
Actual Value:
'Success and Failure'</t>
  </si>
  <si>
    <t>"1.0382 - MSWRK - Configure Accounts: Rename administrator account: [PASSED]"
This policy setting enables the ability to rename the built-in local administrator account.
See Also:
See HTH Policies and Standards
Reference:
NIST 800-53r5|IA-5
Policy Value:
'\b[Aa]dmin(istrator)?'
Actual Value:
'BuffaloBill'</t>
  </si>
  <si>
    <t>"1.0343 - MSWRK - Ensure Perform volume maintenance tasks is set to Administrators: [FAILED]"
This policy setting allows users to manage the system's volume or disk configuration, which could allow a user to delete a volume and cause data loss as well as a denial-of-service condition.
See Also:
See HTH Policies and Standards
Reference:
NIST 800-53r5|AC-2 AC-5 AC-6 AC-6(1) AC-6(7) AU-9(4)
Policy Value:
'Administrators'
Actual Value:
'NO_MEMBERS'</t>
  </si>
  <si>
    <t>2026-04-19T01:44:05.091Z</t>
  </si>
  <si>
    <t>"1.0192 - MSWRK - Ensure Configure Automatic Updates is set to Enabled: [FAILED]"
This policy setting specifies whether computers in your environment will receive security updates from Windows Update or WSUS.
See Also:
See HTH Policies and Standards
Reference:
NIST 800-53r5|RA-5 RA-7 SI-2 SI-2(2)
Policy Value:
'0'
Actual Value:
'1'</t>
  </si>
  <si>
    <t>"1.0377 - MSWRK - Ensure Network security: LAN Manager authentication level is set to Send NTLMv2 response only. Refuse LM &amp; NTLM: [PASSED]"
This policy setting determines which challenge or response authentication protocol is used for network logons.
See Also:
See HTH Policies and Standards
Reference:
NIST 800-53r5|AC-17(2) IA-5 IA-5(1) SC-8 SC-8(1)
Policy Value:
'5'
Actual Value:
'5'</t>
  </si>
  <si>
    <t>"1.0383 - MSWRK - Configure Accounts: Rename guest account: [FAILED]"
This policy setting enables the ability to rename the built-in local guest account.
See Also:
See HTH Policies and Standards
Reference:
NIST 800-53r5|IA-5
Policy Value:
'Guest'
Actual Value:
'NOT_FOUND'</t>
  </si>
  <si>
    <t>"1.0379 - MSWRK - Ensure Network security: LDAP client signing requirements is set to Negotiate signing or higher: [PASSED]"
This policy setting determines the level of data signing that is requested on behalf of clients that issue LDAP BIND requests.
See Also:
See HTH Policies and Standards
Reference:
NIST 800-53r5|AC-17(2) IA-5 IA-5(1) SC-8 SC-8(1)
Policy Value:
'1' || '2'
Actual Value:
'1'</t>
  </si>
  <si>
    <t>2026-04-19T01:44:05.095Z</t>
  </si>
  <si>
    <t>"1.0334 - MSWRK - Ensure Generate security audits is set to LOCAL SERVICE, NETWORK SERVICE, RESTRICTED SERVICES\PrintSpoolerService: [FAILED]"
This policy setting determines which users or processes can generate audit records in the Security log.
See Also:
See HTH Policies and Standards
Reference:
NIST 800-53r5|AC-2 AC-5 AC-6 AC-6(1) AC-6(7) AU-9(4)
Policy Value:
'Local Service' &amp;&amp; 'Network Service' &amp;&amp; 'spooler'
Actual Value:
'NO_MEMBERS'</t>
  </si>
  <si>
    <t>"1.0018 - MSWRK - Ensure Audit Account Lockout is set to include Failure: [PASSED]"
This subcategory reports when a user's account is locked out as a result of too many failed logon attempts.
See Also:
See HTH Policies and Standards
Reference:
NIST 800-53r5|AU-3 AU-3(1) AU-7 AU-12
Policy Value:
'^(Failure|Success\ and\ Failure)$'
Actual Value:
'Success and Failure'</t>
  </si>
  <si>
    <t>"1.0486 - MSWRK - Sentinel Agent: [PASSED]"
SentinelOne Endpoint Protection Agent
See Also:
See corresponding HTH Policy or Standard
Reference:
NIST 800-53r5|CM-6
Policy Value:
'Running'
Actual Value:
'RunspaceId                           Value  _x000D_
----------                           -----  _x000D_
d4ed0d33-65fb-4d47-8295-371771f4fd00 Running'</t>
  </si>
  <si>
    <t>2026-04-19T01:44:05.096Z</t>
  </si>
  <si>
    <t>"1.0228 - MSWRK - Ensure Allow Windows to automatically connect to suggested open hotspots, to networks shared by contacts, and to hotspots offering paid services is set to Disabled: [PASSED]"
This policy setting determines whether users can enable the following WLAN settings: \'Connect to suggested open hotspots,\' \'Connect to networks shared by my contacts,\' and \'Enable paid services\'.
See Also:
See HTH Policies and Standards
Reference:
NIST 800-53r5|CM-6 CM-7
Policy Value:
'0'
Actual Value:
'0'</t>
  </si>
  <si>
    <t>"1.0023 - MSWRK - Ensure Audit Special Logon is set to include Success: [PASSED]"
This subcategory reports when a special logon is used.
See Also:
See HTH Policies and Standards
Reference:
NIST 800-53r5|AU-3 AU-3(1) AU-7 AU-12
Policy Value:
'^(Success|Success\ and\ Failure)$'
Actual Value:
'Success'</t>
  </si>
  <si>
    <t>"1.0097 - MSWRK - Ensure Setup: Control Event Log behavior when the log file reaches its maximum size is set to Disabled: [PASSED]"
This policy setting controls Event Log behavior when the log file reaches its maximum size.
See Also:
See HTH Policies and Standards
Reference:
NIST 800-53r5|AU-4
Policy Value:
'0'
Actual Value:
'0'</t>
  </si>
  <si>
    <t>2026-04-19T01:44:05.097Z</t>
  </si>
  <si>
    <t>"1.0323 - MSWRK - Ensure Create permanent shared objects is set to No One: [PASSED]"
This user right is useful to kernel-mode components that extend the object namespace.
See Also:
See HTH Policies and Standards
Reference:
NIST 800-53r5|AC-2 AC-5 AC-6 AC-6(1) AC-6(7) AU-9(4)
Policy Value:
'^NO_MEMBERS$'
Actual Value:
'NO_MEMBERS'</t>
  </si>
  <si>
    <t>"1.0096 - MSWRK - Ensure Security: Specify the maximum log file size (KB) is set to Enabled: 196,608 or greater: [PASSED]"
This policy setting specifies the maximum size of the log file in kilobytes.
See Also:
See HTH Policies and Standards
Reference:
NIST 800-53r5|AU-4
Policy Value:
'^([1-9][0-9]{6,}|[2-9][0-9]{5}|19[7-9][0-9]{3}|196[7-9][0-9]{2}|1966[1-9][0-9]{1}|19660[8-9])$'
Actual Value:
'196608'</t>
  </si>
  <si>
    <t>"1.0429 - MSWRK - Ensure Xbox Live Game Save (XblGameSave) is set to Disabled - Xblgamesave: [PASSED]"
This service syncs save data for Xbox Live save enabled games.
See Also:
See HTH Policies and Standards
Reference:
NIST 800-53r5|CM-6 CM-7
Policy Value:
'4'
Actual Value:
'4'</t>
  </si>
  <si>
    <t>2026-04-19T01:44:05.098Z</t>
  </si>
  <si>
    <t>"1.0099 - MSWRK - Ensure System: Control Event Log behavior when the log file reaches its maximum size is set to Disabled: [PASSED]"
This policy setting controls Event Log behavior when the log file reaches its maximum size.
See Also:
See HTH Policies and Standards
Reference:
NIST 800-53r5|AU-4
Policy Value:
'0'
Actual Value:
'0'</t>
  </si>
  <si>
    <t>"1.0385 - MSWRK - Ensure System objects: Strengthen default permissions of internal system objects (e.g. Symbolic Links) is set to Enabled: [PASSED]"
This policy setting determines the strength of the default discretionary access control list (DACL) for objects.
See Also:
See HTH Policies and Standards
Reference:
NIST 800-53r5|CM-1 CM-2 CM-6 CM-7 CM-7(1) CM-9 SA-3 SA-8 SA-10
Policy Value:
'1'
Actual Value:
'1'</t>
  </si>
  <si>
    <t>"1.0459 - MSWRK - Windows 11 is installed: [PASSED]"
Policy Value:
'22631'
Actual Value:
'22631'</t>
  </si>
  <si>
    <t>"1.0390 - MSWRK - Ensure User Account Control: Only elevate UIAccess applications that are installed in secure locations is set to Enabled: [PASSED]"
This policy setting controls whether applications that request to run with a User Interface Accessibility (UIAccess) integrity level must reside in a secure location in the file system.
See Also:
See HTH Policies and Standards
Reference:
NIST 800-53r5|AC-6(8)
Policy Value:
'1'
Actual Value:
'1'</t>
  </si>
  <si>
    <t>2026-04-19T01:44:05.099Z</t>
  </si>
  <si>
    <t>"1.0488 - MSWRK - Services - SentinelOne Agent Log Processing Service: [PASSED]"
Manage logs for SentinelOne Endpoint Protection
See Also:
See corresponding HTH Policy or Standard
Reference:
NIST 800-53r5|CM-6
Policy Value:
'Running'
Actual Value:
'RunspaceId                           Value  _x000D_
----------                           -----  _x000D_
c3cbd4a7-b92a-489c-a136-4f9e9b38c080 Running'</t>
  </si>
  <si>
    <t>"1.0020 - MSWRK - Ensure Audit Logoff is set to include Success: [PASSED]"
This subcategory reports when a user logs off from the system.
See Also:
See HTH Policies and Standards
Reference:
NIST 800-53r5|AU-3 AU-3(1) AU-7 AU-12
Policy Value:
'^(Success|Success\ and\ Failure)$'
Actual Value:
'Success'</t>
  </si>
  <si>
    <t>"1.0490 - MSWRK - Services - Xbox Live Auth Manager: [PASSED]"
The Xbox Live Auth Manager Service is disabled.
See Also:
See corresponding HTH Policy or Standard
Reference:
NIST 800-53r5|CM-6
Policy Value:
'Stopped' || 'Service Not Found'
Actual Value:
'RunspaceId                           Value  _x000D_
----------                           -----  _x000D_
5c97f7a7-f906-4c9b-9b79-38edc04be4ed Stopped'</t>
  </si>
  <si>
    <t>2026-04-19T01:44:05.100Z</t>
  </si>
  <si>
    <t>"1.0473 - MSWRK - Screensaver - Timeout is set to 900 seconds or fewer: [PASSED]"
This setting ensures that the screensaver will autmatically start after 900 seconds or lesss of inactivity.
See Also:
See HTH Policies and Standards
Reference:
NIST 800-53r5|AC-2(5) AC-11(1) AC-12
Policy Value:
'900'
Actual Value:
'900'</t>
  </si>
  <si>
    <t>"1.0482 - MSWRK - Check if WinRM service is running: [PASSED]"
Windows Remote Management (WinRM) is the Microsoft implementation of the WS-Management protocol.
See Also:
See corresponding HTH Policy or Standard
Reference:
NIST 800-53r5|CM-6 CM-7
Policy Value:
'Running'
Actual Value:
'RunspaceId                           Value  _x000D_
----------                           -----  _x000D_
b6bbc93a-ba96-46b7-a799-f2400e8cc386 Running'</t>
  </si>
  <si>
    <t>"1.0180 - MSWRK - Ensure Sign-in and lock last interactive user automatically after a restart is set to Disabled: [PASSED]"
This policy setting controls whether a device will automatically sign-in the last interactive user after Windows Update restarts the system.
See Also:
See HTH Policies and Standards
Reference:
NIST 800-53r5|AC-11
Policy Value:
'1'
Actual Value:
'1'</t>
  </si>
  <si>
    <t>2026-04-19T01:44:05.101Z</t>
  </si>
  <si>
    <t>"1.0427 - MSWRK - Ensure Xbox Accessory Management Service (XboxGipSvc) is set to Disabled - Xboxgipsvc: [PASSED]"
This service manages connected Xbox Accessories.
See Also:
See HTH Policies and Standards
Reference:
NIST 800-53r5|CM-6 CM-7
Policy Value:
'4'
Actual Value:
'4'</t>
  </si>
  <si>
    <t>"1.0093 - MSWRK - Ensure Application: Control Event Log behavior when the log file reaches its maximum size is set to Disabled: [PASSED]"
This policy setting controls Event Log behavior when the log file reaches its maximum size.
See Also:
See HTH Policies and Standards
Reference:
NIST 800-53r5|AU-4
Policy Value:
'0'
Actual Value:
'0'</t>
  </si>
  <si>
    <t>"1.0456 - MSWRK - System/Domain Identification: [PASSED]"
This obtains specific user and system information that may be used for additional evaluation.
See Also:
HTH Policies and Standards
Reference:
NIST 800-53r5|null
Policy Value:
'.*'
Actual Value:
'OSDisplayVersion : 23H2_x000D_
CsManufacturer   : Dell Inc._x000D_
CsModel          : Dell Pro Max 16 MC16250_x000D_
BiosBIOSVersion  : {DELL   - 2, 1.4.0, Dell - 10000}_x000D_
BiosSeralNumber  : 4QVK6C4_x000D_
CsUserName       : HILLTOP\brian.simpson_x000D_
OsName           : Microsoft Windows 11 Enterprise_x000D_
OsBuildNumber    : 22631_x000D_
OsProductType    : WorkStation_x000D_
CsDNSHostName    : HTH4QVK6C4_x000D_
CsDomain         : HillTop.Global_x000D_
RunspaceId       : 76df7886-75ff-40af-8d95-9b2adff62ec9'</t>
  </si>
  <si>
    <t>2026-04-19T01:44:05.102Z</t>
  </si>
  <si>
    <t>"1.0350 - MSWRK - Ensure Adjust memory quotas for a process is set to Administrators, LOCAL SERVICE, NETWORK SERVICE: [FAILED]"
This policy setting allows a user to adjust the maximum amount of memory that is available to a process.
See Also:
See HTH Policies and Standards
Reference:
NIST 800-53r5|AC-2 AC-5 AC-6 AC-6(1) AC-6(7) AU-9(4)
Policy Value:
'Administrators' &amp;&amp; 'LOCAL SERVICE' &amp;&amp; 'NETWORK SERVICE'
Actual Value:
'NO_MEMBERS'</t>
  </si>
  <si>
    <t>"1.0249 - MSWRK - Ensure Point and Print Restrictions: When installing drivers for a new connection is set to Enabled: Show warning and elevation prompt: [PASSED]"
This policy setting controls whether computers will show a warning and a security elevation prompt when users create a new printer connection using Point and Print.
See Also:
See HTH Policies and Standards
Reference:
NIST 800-53r5|AC-6(8)
Policy Value:
'0'
Actual Value:
'0'</t>
  </si>
  <si>
    <t>"1.0211 - MSWRK - Ensure NetBT NodeType configuration is set to Enabled: P-node (recommended): [PASSED]"
This setting determines which method NetBIOS over TCP/IP (NetBT) uses to register and resolve names.
See Also:
See HTH Policies and Standards
Reference:
NIST 800-53r5|CM-1 CM-2 CM-6 CM-7 CM-7(1) CM-9 SA-3 SA-8 SA-10
Policy Value:
'2'
Actual Value:
'2'</t>
  </si>
  <si>
    <t>"1.0422 - MSWRK - Ensure UPnP Device Host (upnphost) is set to Disabled - Upnphost: [PASSED]"
Allows UPnP devices to be hosted on this computer.
See Also:
See HTH Policies and Standards
Reference:
NIST 800-53r5|CM-6 CM-7
Policy Value:
'4'
Actual Value:
'4'</t>
  </si>
  <si>
    <t>2026-04-19T01:44:05.103Z</t>
  </si>
  <si>
    <t>"1.0474 - MSWRK - Microsoft network client: Digitally sign communications (if server agrees) is set to Enabled: [PASSED]"
This policy setting determines whether the SMB client will attempt to negotiate SMB packet signing.
See Also:
See HTH Policies and Standards
Reference:
NIST 800-53r5|AC-17(2) IA-5 IA-5(1) SC-8 
Policy Value:
'^1$'
Actual Value:
'1'</t>
  </si>
  <si>
    <t>"1.0328 - MSWRK - Ensure Deny log on as a service to include Guests: [FAILED]"
This security setting determines which service accounts are prevented from registering a process as a service.
See Also:
See HTH Policies and Standards
Reference:
NIST 800-53r5|AC-2 AC-5 AC-6 AC-6(1) AC-6(7) AU-9(4)
Policy Value:
'(?=.*Guests)'
Actual Value:
'NO_MEMBERS'</t>
  </si>
  <si>
    <t>"1.0324 - MSWRK - Ensure Create symbolic links is set to Administrators: [FAILED]"
This policy setting determines which users can create symbolic links.
See Also:
See HTH Policies and Standards
Reference:
NIST 800-53r5|AC-2 AC-5 AC-6 AC-6(1) AC-6(7) AU-9(4)
Policy Value:
'Administrators' || ('Administrators' &amp;&amp; 'Virtual Machines') || ('Administrators' &amp;&amp; 'NT VIRTUAL MACHINE\Virtual Machines')
Actual Value:
'NO_MEMBERS'</t>
  </si>
  <si>
    <t>2026-04-19T01:44:05.104Z</t>
  </si>
  <si>
    <t>"1.0331 - MSWRK - Ensure Access this computer from the network is set to Administrators, Remote Desktop Users: [FAILED]"
This policy setting allows other users on the network to connect to the computer and is required by various network protocols that include Server Message Block (SMB)-based protocols, NetBIOS, Common Internet File System (CIFS), and Component Object Model Plus (COM+).
See Also:
See HTH Policies and Standards
Reference:
NIST 800-53r5|AC-2 AC-5 AC-6 AC-6(1) AC-6(7) AU-9(4)
Policy Value:
'Administrators' &amp;&amp; 'Remote Desktop Users'
Actual Value:
'NO_MEMBERS'</t>
  </si>
  <si>
    <t>"1.0481 - MSWRK - TCPIP6 is disabled: [PASSED]"
This setting determines if TCPIPV6 is disabled
See Also:
See corresponding HTH Policy or Standard
Reference:
NIST 800-53r5|CM-1 CM-2 CM-6 CM-7 CM-7(1) CM-9 SA-3 SA-8 SA-10
Policy Value:
'255'
Actual Value:
'255'</t>
  </si>
  <si>
    <t>"1.0476 - MSWRK - Services - Windows Defender: [PASSED]"
The Windows Defender service should be automatically enabled on startup.
See Also:
See corresponding HTH Policy or Standard
Reference:
NIST 800-53r5|CM-6
Policy Value:
'Running'
Actual Value:
'RunspaceId                           Value  _x000D_
----------                           -----  _x000D_
d20816b5-f452-4582-9808-e854c76f68c8 Running'</t>
  </si>
  <si>
    <t>2026-04-19T01:44:05.105Z</t>
  </si>
  <si>
    <t>"1.0321 - MSWRK - Ensure Create a token object is set to No One: [PASSED]"
This policy setting allows a process to create an access token, which may provide elevated rights to access sensitive data.
See Also:
See HTH Policies and Standards
Reference:
NIST 800-53r5|AC-2 AC-5 AC-6 AC-6(1) AC-6(7) AU-9(4)
Policy Value:
'^NO_MEMBERS$'
Actual Value:
'NO_MEMBERS'</t>
  </si>
  <si>
    <t>"1.0400 - MSWRK - Ensure Domain member: Maximum machine account password age is set to 30 or fewer days, but not 0: [PASSED]"
This policy setting determines the maximum allowable age for a computer account password.
See Also:
See HTH Policies and Standards
Reference:
NIST 800-53r5|IA-5(1)
Policy Value:
'^(1|2|3|4|5|6|7|8|9|10|11|12|13|14|15|16|17|18|19|20|21|22|23|24|25|26|27|28|29|30)$'
Actual Value:
'30'</t>
  </si>
  <si>
    <t>"1.0493 - MSWRK - Simple TCP/IP Services (simptcp) is Not Installed: [PASSED]"
The Simple TCP/IP Services have very little purpose in a modern enterprise environment.
See Also:
See corresponding HTH Policy or Standard
Reference:
NIST 800-53r5|CM-6 CM-7
Policy Value:
'Service Not Found'
Actual Value:
'Service Not Found'</t>
  </si>
  <si>
    <t>"1.0004 - MSWRK - Ensure Minimum password length is set to 14 or more character(s): [PASSED]"
This policy setting determines the least number of characters that make up a password for a user account.
See Also:
See HTH Policies and Standards
Reference:
NIST 800-53r5|IA-5(1)
Policy Value:
'^(8|9|10|11|12|13|14|15|16|17|18|19|20)$'
Actual Value:
'8'</t>
  </si>
  <si>
    <t>2026-04-19T01:44:05.106Z</t>
  </si>
  <si>
    <t>"1.0038 - MSWRK - Ensure Audit System Integrity is set to Success and Failure: [PASSED]"
This subcategory reports on violations of integrity of the security subsystem.
See Also:
See HTH Policies and Standards
Reference:
NIST 800-53r5|AU-3 AU-3(1) AU-7 AU-12
Policy Value:
'Success and Failure'
Actual Value:
'Success and Failure'</t>
  </si>
  <si>
    <t>"1.0001 - MSWRK - Ensure Enforce password history is set to 24 or more password(s): [PASSED]"
This policy setting determines the number of renewed, unique passwords that have to be associated with a user account before you can reuse an old password.
See Also:
See HTH Policies and Standards
Reference:
NIST 800-53r5|IA-5(1)
Policy Value:
'24'
Actual Value:
'24'</t>
  </si>
  <si>
    <t>"1.0345 - MSWRK - Ensure Profile system performance is set to Administrators, NT SERVICE\WdiServiceHost: [FAILED]"
This policy setting determines which users can use Windows performance monitoring tools to monitor the performance of system processes.
See Also:
See HTH Policies and Standards
Reference:
NIST 800-53r5|AC-2 AC-5 AC-6 AC-6(1) AC-6(7) AU-9(4)
Policy Value:
'Administrators' &amp;&amp; ('NT SERVICE\WdiServiceHost' || 'WdiServiceHost')
Actual Value:
'NO_MEMBERS'</t>
  </si>
  <si>
    <t>2026-04-19T01:44:05.107Z</t>
  </si>
  <si>
    <t>"1.0351 - MSWRK - Ensure Allow log on locally is set to Administrators, Users: [FAILED]"
This policy setting determines which users can interactively log on to computers in your environment.
See Also:
See HTH Policies and Standards
Reference:
NIST 800-53r5|AC-2 AC-5 AC-6 AC-6(1) AC-6(7) AU-9(4)
Policy Value:
'Administrators' &amp;&amp; 'Users'
Actual Value:
'NO_MEMBERS'</t>
  </si>
  <si>
    <t>"1.0184 - MSWRK - Ensure Allow Basic authentication is set to Disabled - Service: [FAILED]"
This policy setting allows you to manage whether the Windows Remote Management (WinRM) service accepts Basic authentication from a remote client.
See Also:
See HTH Policies and Standards
Reference:
NIST 800-53r5|AC-17(2) IA-5 IA-5(1) SC-8 SC-8(1)
Policy Value:
'0'
Actual Value:
'1'</t>
  </si>
  <si>
    <t>"1.0395 - MSWRK - Ensure Audit: Shut down system immediately if unable to log security audits is set to Disabled: [PASSED]"
This policy setting determines whether the system shuts down if it is unable to log Security events.
See Also:
See HTH Policies and Standards
Reference:
NIST 800-53r5|AU-4
Policy Value:
'0'
Actual Value:
'0'</t>
  </si>
  <si>
    <t>2026-04-19T01:44:05.108Z</t>
  </si>
  <si>
    <t>"1.0118 - MSWRK - Ensure Configure detection for potentially unwanted applications is set to Enabled: Block: [FAILED]"
This policy setting controls detection and action for Potentially Unwanted Applications (PUA), which are sneaky unwanted application bundlers or their bundled applications, that can deliver adware or malware.
See Also:
See HTH Policies and Standards
Reference:
NIST 800-53r5|SI-3
Policy Value:
'1'
Actual Value:
'0'</t>
  </si>
  <si>
    <t>"1.0494 - MSWRK - SMB v1 server is set to Disabled: [FAILED]"
This setting configures the server-side processing of the Server Message Block version 1 (SMBv1) protocol.
See Also:
See corresponding HTH Policy or Standard
Reference:
NIST 800-53r5|CM-6 CM-7
Policy Value:
'Disabled'
Actual Value:
'RunspaceId                           Value   _x000D_
----------                           -----   _x000D_
9eb2b27c-6d6a-45f5-bbb9-05860a4eede8 Disabled'</t>
  </si>
  <si>
    <t>"1.0231 - MSWRK - Ensure Turn off multicast name resolution is set to Enabled: [PASSED]"
Link-Local Multicast Name Resolution (LLMNR) is a secondary name resolution protocol.
See Also:
See HTH Policies and Standards
Reference:
NIST 800-53r5|CM-6 CM-7
Policy Value:
'0'
Actual Value:
'0'</t>
  </si>
  <si>
    <t>2026-04-19T01:44:05.109Z</t>
  </si>
  <si>
    <t>"1.0028 - MSWRK - Ensure Audit Audit Policy Change is set to include Success: [PASSED]"
This subcategory reports changes in audit policy including SACL changes.
See Also:
See HTH Policies and Standards
Reference:
NIST 800-53r5|AU-3 AU-3(1) AU-7 AU-12
Policy Value:
'^(Success|Success\ and\ Failure)$'
Actual Value:
'Success and Failure'</t>
  </si>
  <si>
    <t>"1.0401 - MSWRK - Ensure Domain member: Require strong (Windows 2000 or later) session key is set to Enabled: [PASSED]"
When this policy setting is enabled, a secure channel can only be established with Domain Controllers that are capable of encrypting secure channel data with a strong (128-bit) session key.
See Also:
See HTH Policies and Standards
Reference:
NIST 800-53r5|AC-17(2) IA-5 IA-5(1) SC-8 SC-8(1)
Policy Value:
'1'
Actual Value:
'1'</t>
  </si>
  <si>
    <t>"1.0359 - MSWRK - Ensure Network access: Sharing and security model for local accounts is set to Classic - local users authenticate as themselves: [PASSED]"
This policy setting determines how network logons that use local accounts are authenticated.
See Also:
See HTH Policies and Standards
Reference:
NIST 800-53r5|CM-6b.
Policy Value:
'0'
Actual Value:
'0'</t>
  </si>
  <si>
    <t>2026-04-19T01:44:05.110Z</t>
  </si>
  <si>
    <t>"1.0463 - MSWRK - Screensaver - Enabled: [PASSED]"
This ensures that the screen saver is enabled.
See Also:
See HTH Policies and Standards
Reference:
NIST 800-53r5|AC-2(5) AC-11(1) AC-12
Policy Value:
'1'
Actual Value:
'1'</t>
  </si>
  <si>
    <t>"1.0156 - MSWRK - Ensure Allow Cortana is set to Disabled: [PASSED]"
This policy setting specifies whether Cortana is allowed on the device.
See Also:
See HTH Policies and Standards
Reference:
NIST 800-53r5|CM-6 CM-7
Policy Value:
'0'
Actual Value:
'0'</t>
  </si>
  <si>
    <t>"1.0202 - MSWRK - Ensure Prevent enabling lock screen slide show is set to Enabled: [PASSED]"
Disables the lock screen slide show settings in PC Settings and prevents a slide show from playing on the lock screen.
See Also:
See HTH Policies and Standards
Reference:
NIST 800-53r5|AC-11
Policy Value:
'1'
Actual Value:
'1'</t>
  </si>
  <si>
    <t>"1.0349 - MSWRK - Ensure Take ownership of files or other objects is set to Administrators: [FAILED]"
This policy setting allows users to take ownership of files, folders, registry keys, processes, or threads.
See Also:
See HTH Policies and Standards
Reference:
NIST 800-53r5|AC-2 AC-5 AC-6 AC-6(1) AC-6(7) AU-9(4)
Policy Value:
'Administrators'
Actual Value:
'NO_MEMBERS'</t>
  </si>
  <si>
    <t>2026-04-19T01:44:05.111Z</t>
  </si>
  <si>
    <t>"1.0492 - MSWRK - Services - Xbox Live Networking Service: [PASSED]"
The Xbox Live Networking Service is disabled.
See Also:
See corresponding HTH Policy or Standard
Reference:
NIST 800-53r5|CM-6
Policy Value:
'Stopped' || 'Service Not Found'
Actual Value:
'RunspaceId                           Value  _x000D_
----------                           -----  _x000D_
83c9d4a7-3a01-43ac-b197-6399771e0a6b Stopped'</t>
  </si>
  <si>
    <t>"1.0083 - MSWRK - Ensure Prevent the use of security questions for local accounts is set to Enabled: [PASSED]"
This policy setting controls whether security questions can be used to reset local account passwords.
See Also:
See HTH Policies and Standards
Reference:
NIST 800-53r5|CM-6b.
Policy Value:
'1'
Actual Value:
'1'</t>
  </si>
  <si>
    <t>"1.0110 - MSWRK - Ensure Turn on behavior monitoring is set to Enabled: [FAILED]"
This policy setting allows you to configure behavior monitoring for Microsoft Defender Antivirus.
See Also:
See HTH Policies and Standards
Reference:
NIST 800-53r5|SI-4
Policy Value:
'0'
Actual Value:
'1'</t>
  </si>
  <si>
    <t>2026-04-19T01:44:05.112Z</t>
  </si>
  <si>
    <t>"1.0428 - MSWRK - Ensure Xbox Live Auth Manager (XblAuthManager) is set to Disabled - Xblauthmanager: [PASSED]"
Provides authentication and authorization services for interacting with Xbox Live.
See Also:
See HTH Policies and Standards
Reference:
NIST 800-53r5|CM-6 CM-7
Policy Value:
'4'
Actual Value:
'4'</t>
  </si>
  <si>
    <t>"1.0340 - MSWRK - Ensure Act as part of the operating system is set to No One: [PASSED]"
This policy setting allows a process to assume the identity of any user and thus gain access to the resources that the user is authorized to access.
See Also:
See HTH Policies and Standards
Reference:
NIST 800-53r5|AC-2 AC-5 AC-6 AC-6(1) AC-6(7) AU-9(4)
Policy Value:
'^NO_MEMBERS$'
Actual Value:
'NO_MEMBERS'</t>
  </si>
  <si>
    <t>"1.0250 - MSWRK - Ensure Point and Print Restrictions: When updating drivers for an existing connection is set to Enabled: Show warning and elevation prompt: [PASSED]"
This policy setting controls whether computers will show a warning and a security elevation prompt when users are updating drivers for an existing connection using Point and Print.
See Also:
See HTH Policies and Standards
Reference:
NIST 800-53r5|CM-6b.
Policy Value:
'0'
Actual Value:
'0'</t>
  </si>
  <si>
    <t>2026-04-19T01:44:05.113Z</t>
  </si>
  <si>
    <t>"1.0484 - MSWRK - Services - BitLocker Drive Encryption Management Service: [PASSED]"
The BitLocker Management Client Service is automatically enabled on startup.
See Also:
See corresponding HTH Policy or Standard
Reference:
NIST 800-53r5|CM-6
Policy Value:
'Running'
Actual Value:
'RunspaceId                           Value  _x000D_
----------                           -----  _x000D_
5939145f-3574-43d6-91b6-3e412005035f Running'</t>
  </si>
  <si>
    <t>"1.0185 - MSWRK - Ensure Allow unencrypted traffic is set to Disabled - Service: [PASSED]"
This policy setting allows you to manage whether the Windows Remote Management (WinRM) service sends and receives unencrypted messages over the network.
See Also:
See HTH Policies and Standards
Reference:
NIST 800-53r5|AC-17(2) IA-5 IA-5(1) SC-8 SC-8(1)
Policy Value:
'0'
Actual Value:
'0'</t>
  </si>
  <si>
    <t>"1.0466 - MSWRK - Network access: Allow anonymous SID/Name translation is set to Disabled: [PASSED]"
This policy setting determines whether an anonymous user can request security identifier (SID) attributes for another user, or use a SID to obtain its corresponding user name.
See Also:
See HTH Policies and Standards
Reference:
NIST 800-53r5|AC-6(10) 
Policy Value:
'disabled'
Actual Value:
'disabled'</t>
  </si>
  <si>
    <t>2026-04-19T01:44:05.114Z</t>
  </si>
  <si>
    <t>"1.0487 - MSWRK - Services - Sentinel Helper Service: [PASSED]"
Helper service for SentinelOne Endpoint Protection Agent
See Also:
See corresponding HTH Policy or Standard
Reference:
NIST 800-53r5|CM-6
Policy Value:
'Running'
Actual Value:
'RunspaceId                           Value  _x000D_
----------                           -----  _x000D_
6ad96205-3ce0-406b-b0f0-8209eb703b9f Running'</t>
  </si>
  <si>
    <t>"1.0322 - MSWRK - Ensure Create global objects is set to Administrators, LOCAL SERVICE, NETWORK SERVICE, SERVICE: [FAILED]"
This policy setting determines whether users can create global objects that are available to all sessions.
See Also:
See HTH Policies and Standards
Reference:
NIST 800-53r5|AC-2 AC-5 AC-6 AC-6(1) AC-6(7) AU-9(4)
Policy Value:
'Administrators' &amp;&amp; 'LOCAL SERVICE' &amp;&amp; 'NETWORK SERVICE' &amp;&amp; 'SERVICE'
Actual Value:
'NO_MEMBERS'</t>
  </si>
  <si>
    <t>"1.0109 - MSWRK - Ensure Turn off real-time protection is set to Disabled: [FAILED]"
This policy setting configures real-time protection prompts for known malware detection.
See Also:
See HTH Policies and Standards
Reference:
NIST 800-53r5|SI-3
Policy Value:
'0'
Actual Value:
'1'</t>
  </si>
  <si>
    <t>"1.0406 - MSWRK - Ensure Interactive logon: Prompt user to change password before expiration is set to between 5 and 14 days: [FAILED]"
This policy setting determines how far in advance users are warned that their password will expire.
See Also:
See HTH Policies and Standards
Reference:
NIST 800-53r5|IA-5(1)
Policy Value:
'^(5|6|7|8|9|10|11|12|13|14)$'
Actual Value:
'15'</t>
  </si>
  <si>
    <t>2026-04-19T01:44:05.115Z</t>
  </si>
  <si>
    <t>"1.0336 - MSWRK - Ensure Increase scheduling priority is set to Administrators, Window Manager\Window Manager Group: [FAILED]"
This policy setting determines whether users can increase the base priority class of a process.
See Also:
See HTH Policies and Standards
Reference:
NIST 800-53r5|AC-2 AC-5 AC-6 AC-6(1) AC-6(7) AU-9(4)
Policy Value:
('Administrators' &amp;&amp; 'Window Manager Group') || ('Administrators' &amp;&amp; 'Window Manager\Window Manager Group')
Actual Value:
'NO_MEMBERS'</t>
  </si>
  <si>
    <t>"1.0393 - MSWRK - Ensure User Account Control: Virtualize file and registry write failures to per-user locations is set to Enabled: [PASSED]"
This policy setting controls whether application write failures are redirected to defined registry and file system locations.
See Also:
See HTH Policies and Standards
Reference:
NIST 800-53r5|SC-29(1)
Policy Value:
'1'
Actual Value:
'1'</t>
  </si>
  <si>
    <t>"1.0464 - MSWRK - Screensaver - Password protect the screen saver- Enabled: [PASSED]"
This setting ensures that the user is prompteed fror a password whne the screensaver is enabled.
See Also:
See HTH Policies and Standards
Reference:
NIST 800-53r5|AC-2(5) AC-11(1) AC-12
Policy Value:
'1'
Actual Value:
'1'</t>
  </si>
  <si>
    <t>2026-04-19T01:44:05.116Z</t>
  </si>
  <si>
    <t>"1.0367 - MSWRK - Ensure Network access: Restrict anonymous access to Named Pipes and Shares is set to Enabled: [PASSED]"
When enabled, this policy setting restricts anonymous access to only those shares and pipes that are named in the Network access: Named pipes that can be accessed anonymously and Network access: Shares that can be accessed anonymously settings.
See Also:
See HTH Policies and Standards
Reference:
NIST 800-53r5|AC-6(10)
Policy Value:
'1'
Actual Value:
'1'</t>
  </si>
  <si>
    <t>"1.0009 - MSWRK - Ensure Account lockout threshold is set to 5 or fewer invalid logon attempt(s), but not 0: [PASSED]"
This policy setting determines the number of failed logon attempts before the account is locked.
See Also:
See HTH Policies and Standards
Reference:
NIST 800-53r5|AC-7 AC-19
Policy Value:
'^(1|2|3|4|5)$'
Actual Value:
'5'</t>
  </si>
  <si>
    <t>"1.0005 - MSWRK - Ensure Password must meet complexity requirements is set to Enabled: [PASSED]"
This policy setting checks all new passwords to ensure that they meet basic requirements for strong passwords.
See Also:
See HTH Policies and Standards
Reference:
NIST 800-53r5|IA-5(1)
Policy Value:
'Enabled'
Actual Value:
'Enabled'</t>
  </si>
  <si>
    <t>2026-04-19T01:44:05.117Z</t>
  </si>
  <si>
    <t>"1.0396 - MSWRK - Ensure Domain member: Digitally encrypt or sign secure channel data (always) is set to Enabled: [PASSED]"
This policy setting determines whether all secure channel traffic that is initiated by the domain member must be signed or encrypted.
See Also:
See HTH Policies and Standards
Reference:
NIST 800-53r5|AC-17(2) IA-5 IA-5(1) SC-8 SC-8(1)
Policy Value:
'1'
Actual Value:
'1'</t>
  </si>
  <si>
    <t>"1.0320 - MSWRK - Ensure Access Credential Manager as a trusted caller is set to No One: [PASSED]"
This security setting is used by Credential Manager during Backup and Restore.
See Also:
See HTH Policies and Standards
Reference:
NIST 800-53r5|AC-2 AC-5 AC-6 AC-6(1) AC-6(7) AU-9(4)
Policy Value:
'^NO_MEMBERS$'
Actual Value:
'NO_MEMBERS'</t>
  </si>
  <si>
    <t>"1.0465 - MSWRK - Ensure Change the time zone is set to Administrators, LOCAL SERVICE': [PASSED]"
This setting determines which users can change the time zone of the computer.
See Also:
See corresponding HTH Policy or Standard
Reference:
NIST 800-53r5|AC-2 AC-3 AC-6 AC-6(1) AC-6(7) AU-9(4)
Policy Value:
'administrators' &amp;&amp; 'local service'
Actual Value:
'users' &amp;&amp; 'administrators' &amp;&amp; 'local service'</t>
  </si>
  <si>
    <t>2026-04-19T01:44:05.118Z</t>
  </si>
  <si>
    <t>"1.0425 - MSWRK - Ensure Windows Mobile Hotspot Service (icssvc) is set to Disabled - Icssvc: [PASSED]"
Provides the ability to share a cellular data connection with another device.
See Also:
See HTH Policies and Standards
Reference:
NIST 800-53r5|CM-6 CM-7
Policy Value:
'4'
Actual Value:
'4'</t>
  </si>
  <si>
    <t>"1.0286 - MSWRK - Ensure Allow network connectivity during connected-standby (on battery) is set to Disabled - F15576e8-98b7-4186-b944-eafa664402d9: [FAILED]"
This policy setting allows you to control the network connectivity state in standby on modern standby-capable systems.
See Also:
See HTH Policies and Standards
Reference:
NIST 800-53r5|CM-7b.
Policy Value:
'0'
Actual Value:
'1'</t>
  </si>
  <si>
    <t>"1.0008 - MSWRK - Ensure Account lockout duration is set to 15 or more minute(s): [PASSED]"
This policy setting determines the length of time that must pass before a locked account is unlocked and a user can try to log on again.
See Also:
See HTH Policies and Standards
Reference:
NIST 800-53r5|AC-7 AC-19
Policy Value:
'^([1-9][0-9]{2,}|[2-9][0-9]{1}|1[5-9])$'
Actual Value:
'60'</t>
  </si>
  <si>
    <t>2026-04-19T01:44:05.119Z</t>
  </si>
  <si>
    <t>"1.0348 - MSWRK - Ensure Shut down the system is set to Administrators, Users: [FAILED]"
This policy setting determines which users who are logged on locally to the computers in your environment can shut down the operating system with the Shut Down command.
See Also:
See HTH Policies and Standards
Reference:
NIST 800-53r5|AC-2 AC-5 AC-6 AC-6(1) AC-6(7) AU-9(4)
Policy Value:
'Users' &amp;&amp; 'Administrators'
Actual Value:
'NO_MEMBERS'</t>
  </si>
  <si>
    <t>"1.0226 - MSWRK - Ensure Minimize the number of simultaneous connections to the Internet or a Windows Domain is set to Enabled: 3 = Prevent Wi-Fi when on Ethernet: [PASSED]"
This policy setting prevents computers from establishing multiple simultaneous connections to either the Internet or to a Windows domain.
See Also:
See HTH Policies and Standards
Reference:
NIST 800-53r5|CM-1 CM-2 CM-6 CM-7 CM-7(1) CM-9 SA-3 SA-8 SA-10
Policy Value:
'3'
Actual Value:
'3'</t>
  </si>
  <si>
    <t>"1.0475 - MSWRK - Services - Windows Firewall is enabled: [PASSED]"
The Windows Firewall service should be automatically enabled on startup.
See Also:
See corresponding HTH Policy or Standard
Reference:
NIST 800-53r5|CM-6
Policy Value:
'Running'
Actual Value:
'RunspaceId                           Value  _x000D_
----------                           -----  _x000D_
d77bfaca-0e57-4195-81ba-9f4060933294 Running'</t>
  </si>
  <si>
    <t>2026-04-19T01:44:05.120Z</t>
  </si>
  <si>
    <t>"1.0029 - MSWRK - Ensure Audit Authentication Policy Change is set to include Success: [PASSED]"
This subcategory reports changes in authentication policy.
See Also:
See HTH Policies and Standards
Reference:
NIST 800-53r5|AU-3 AU-3(1) AU-7 AU-12
Policy Value:
'^(Success|Success\ and\ Failure)$'
Actual Value:
'Success'</t>
  </si>
  <si>
    <t>"1.0353 - MSWRK - Ensure Back up files and directories is set to Administrators: [FAILED]"
This policy setting allows users to circumvent file and directory permissions to back up the system.
See Also:
See HTH Policies and Standards
Reference:
NIST 800-53r5|AC-2 AC-5 AC-6 AC-6(1) AC-6(7) AU-9(4)
Policy Value:
'Administrators'
Actual Value:
'NO_MEMBERS'</t>
  </si>
  <si>
    <t>"1.0384 - MSWRK - Ensure System objects: Require case insensitivity for non-Windows subsystems is set to Enabled: [PASSED]"
This policy setting determines whether case insensitivity is enforced for all subsystems.
See Also:
See HTH Policies and Standards
Reference:
NIST 800-53r5|CM-6b.
Policy Value:
'1'
Actual Value:
'1'</t>
  </si>
  <si>
    <t>"1.0489 - MSWRK - Services - SentinelOne Static Service: [PASSED]"
Manage static engines for SentinelOne Endpoint Protection.
See Also:
See corresponding HTH Policy or Standard
Reference:
NIST 800-53r5|CM-6
Policy Value:
'Running'
Actual Value:
'RunspaceId                           Value  _x000D_
----------                           -----  _x000D_
d7b8316f-89e3-4adb-80f2-c5967141036d Running'</t>
  </si>
  <si>
    <t>2026-04-19T01:44:05.121Z</t>
  </si>
  <si>
    <t>"1.0381 - MSWRK - Ensure Accounts: Limit local account use of blank passwords to console logon only is set to Enabled: [PASSED]"
This policy setting determines whether local accounts that are not password protected can be used to log on from locations other than the physical computer console.
See Also:
See HTH Policies and Standards
Reference:
NIST 800-53r5|IA-5(1)
Policy Value:
'1'
Actual Value:
'1'</t>
  </si>
  <si>
    <t>"1.0333 - MSWRK - Ensure Force shutdown from a remote system is set to Administrators: [FAILED]"
This policy setting allows users to shut down Windows Vista-based or newer computers from remote locations on the network.
See Also:
See HTH Policies and Standards
Reference:
NIST 800-53r5|AC-2 AC-5 AC-6 AC-6(1) AC-6(7) AU-9(4)
Policy Value:
'Administrators'
Actual Value:
'NO_MEMBERS'</t>
  </si>
  <si>
    <t>"1.0363 - MSWRK - Ensure Network access: Let Everyone permissions apply to anonymous users is set to Disabled: [PASSED]"
This policy setting determines what additional permissions are assigned for anonymous connections to the computer.
See Also:
See HTH Policies and Standards
Reference:
NIST 800-53r5|AC-6(10)
Policy Value:
'0'
Actual Value:
'0'</t>
  </si>
  <si>
    <t>2026-04-19T01:44:05.122Z</t>
  </si>
  <si>
    <t>"1.0408 - MSWRK - Ensure Microsoft network client: Digitally sign communications (always) is set to Enabled - Parameters: [PASSED]"
This policy setting determines whether packet signing is required by the Server Message Block (SMB) client component.
See Also:
See HTH Policies and Standards
Reference:
NIST 800-53r5|AC-17(2) IA-5 IA-5(1) SC-8 SC-8(1)
Policy Value:
'1'
Actual Value:
'1'</t>
  </si>
  <si>
    <t>"1.0472 - MSWRK - Interactive logon: Do not require CTRL+ALT+DEL is set to Disabled: [PASSED]"
This policy setting determines whether users must press CTRL+ALT+DEL before they log on.
See Also:
See HTH Policies and Standards
Reference:
NIST 800-53r5|CM-6b. 
Policy Value:
'^0$'
Actual Value:
'0'</t>
  </si>
  <si>
    <t>"1.0478 - MSWRK - Services - Security Accounts Manager: [PASSED]"
The Security Accounts Manager service should be automatically enabled on startup.
See Also:
See corresponding HTH Policy or Standard
Reference:
NIST 800-53r5|CM-6
Policy Value:
'Running'
Actual Value:
'RunspaceId                           Value  _x000D_
----------                           -----  _x000D_
d0b102ad-8f14-484e-b3bc-b200f6310552 Running'</t>
  </si>
  <si>
    <t>2026-04-19T01:44:05.123Z</t>
  </si>
  <si>
    <t>"1.0189 - MSWRK - Ensure Allow networking in Windows Sandbox is set to Disabled: [PASSED]"
This policy setting enables or disables networking in the Windows Sandbox.
See Also:
See HTH Policies and Standards
Reference:
NIST 800-53r5|CM-6 CM-7
Policy Value:
'0'
Actual Value:
'0'</t>
  </si>
  <si>
    <t>"1.0471 - MSWRK - Network security: Do not store LAN Manager hash value on next password change is set to Enabled: [PASSED]"
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
See Also:
See HTH Policies and Standards
Reference:
NIST 800-53r5|IA-5(1) SC-28 
Policy Value:
'^1$'
Actual Value:
'1'</t>
  </si>
  <si>
    <t>"1.0352 - MSWRK - Ensure Allow log on through Remote Desktop Services is set to Administrators, Remote Desktop Users: [FAILED]"
This policy setting determines which users or groups have the right to log on as a Remote Desktop Services client.
See Also:
See HTH Policies and Standards
Reference:
NIST 800-53r5|AC-2 AC-5 AC-6 AC-6(1) AC-6(7) AU-9(4)
Policy Value:
'Administrators' &amp;&amp; 'Remote Desktop Users'
Actual Value:
'NO_MEMBERS'</t>
  </si>
  <si>
    <t>2026-04-19T01:44:05.124Z</t>
  </si>
  <si>
    <t>"1.0287 - MSWRK - Ensure Allow network connectivity during connected-standby (plugged in) is set to Disabled - F15576e8-98b7-4186-b944-eafa664402d9: [FAILED]"
This policy setting allows you to control the network connectivity state in standby on modern standby-capable systems.
See Also:
See HTH Policies and Standards
Reference:
NIST 800-53r5|CM-7b.
Policy Value:
'0'
Actual Value:
'1'</t>
  </si>
  <si>
    <t>"1.0347 - MSWRK - Ensure Restore files and directories is set to Administrators: [FAILED]"
This policy setting determines which users can bypass file, directory, registry, and other persistent object permissions when restoring backed up files and directories on systems that run Windows Vista (or newer).
See Also:
See HTH Policies and Standards
Reference:
NIST 800-53r5|AC-2 AC-5 AC-6 AC-6(1) AC-6(7) AU-9(4)
Policy Value:
'Administrators'
Actual Value:
'NO_MEMBERS'</t>
  </si>
  <si>
    <t>"1.0344 - MSWRK - Ensure Profile single process is set to Administrators: [FAILED]"
This policy setting determines which users can use tools to monitor the performance of non-system processes.
See Also:
See HTH Policies and Standards
Reference:
NIST 800-53r5|AC-2 AC-5 AC-6 AC-6(1) AC-6(7) AU-9(4)
Policy Value:
'Administrators'
Actual Value:
'NO_MEMBERS'</t>
  </si>
  <si>
    <t>2026-04-19T01:44:05.125Z</t>
  </si>
  <si>
    <t>"1.0360 - MSWRK - Ensure Network access: Do not allow anonymous enumeration of SAM accounts is set to Enabled: [PASSED]"
This policy setting controls the ability of anonymous users to enumerate the accounts in the Security Accounts Manager (SAM).
See Also:
See HTH Policies and Standards
Reference:
NIST 800-53r5|AC-6(10)
Policy Value:
'1'
Actual Value:
'1'</t>
  </si>
  <si>
    <t>"1.0035 - MSWRK - Ensure Audit Other System Events is set to Success and Failure: [PASSED]"
This subcategory reports on other system events.
See Also:
See HTH Policies and Standards
Reference:
NIST 800-53r5|AU-3 AU-3(1) AU-7 AU-12
Policy Value:
'Success and Failure'
Actual Value:
'Success and Failure'</t>
  </si>
  <si>
    <t>"1.0398 - MSWRK - Ensure Domain member: Digitally sign secure channel data (when possible) is set to Enabled: [PASSED]"
This policy setting determines whether a domain member should attempt to negotiate whether all secure channel traffic that it initiates must be digitally signed.
See Also:
See HTH Policies and Standards
Reference:
NIST 800-53r5|AC-17(2) IA-5 IA-5(1) SC-8 SC-8(1)
Policy Value:
'1'
Actual Value:
'1'</t>
  </si>
  <si>
    <t>"1.0299 - MSWRK - Ensure Turn On Virtualization Based Security is set to Enabled: [PASSED]"
This policy setting specifies whether Virtualization Based Security is enabled.
See Also:
See HTH Policies and Standards
Reference:
NIST 800-53r5|SI-16
Policy Value:
'1'
Actual Value:
'1'</t>
  </si>
  <si>
    <t>2026-04-19T01:44:05.126Z</t>
  </si>
  <si>
    <t>"1.0100 - MSWRK - Ensure System: Specify the maximum log file size (KB) is set to Enabled: 32,768 or greater: [PASSED]"
This policy setting specifies the maximum size of the log file in kilobytes.
See Also:
See HTH Policies and Standards
Reference:
NIST 800-53r5|AU-4
Policy Value:
'^([1-9][0-9]{5,}|[4-9][0-9]{4}|3[3-9][0-9]{3}|32[8-9][0-9]{2}|327[7-9][0-9]{1}|3276[8-9])$'
Actual Value:
'32768'</t>
  </si>
  <si>
    <t>"1.0007 - MSWRK - Ensure Store passwords using reversible encryption is set to Disabled: [PASSED]"
This policy setting determines whether the operating system stores passwords in a way that uses reversible encryption, which provides support for application protocols that require knowledge of the user's password for authentication purposes.
See Also:
See HTH Policies and Standards
Reference:
NIST 800-53r5|IA-5(1) SC-28 SC-28(1)
Policy Value:
'Disabled'
Actual Value:
'Disabled'</t>
  </si>
  <si>
    <t>"1.0161 - MSWRK - Ensure Turn off Automatic Download and Install of updates is set to Disabled: [PASSED]"
This setting enables or disables the automatic download and installation of Microsoft Store app updates.
See Also:
See HTH Policies and Standards
Reference:
NIST 800-53r5|RA-5 RA-7 SI-2 SI-2(2)
Policy Value:
'4'
Actual Value:
'4'</t>
  </si>
  <si>
    <t>2026-04-19T01:44:05.127Z</t>
  </si>
  <si>
    <t>"1.0283 - MSWRK - Ensure Turn on convenience PIN sign-in is set to Disabled: [PASSED]"
This policy setting allows you to control whether a domain user can sign in using a convenience PIN.
See Also:
See HTH Policies and Standards
Reference:
NIST 800-53r5|CM-6 CM-7
Policy Value:
'0'
Actual Value:
'0'</t>
  </si>
  <si>
    <t>"1.0188 - MSWRK - Ensure Allow clipboard sharing with Windows Sandbox is set to Disabled: [PASSED]"
This policy setting enables or disables clipboard sharing with the Windows Sandbox.
See Also:
See HTH Policies and Standards
Reference:
NIST 800-53r5|CM-6 CM-7
Policy Value:
'0'
Actual Value:
'0'</t>
  </si>
  <si>
    <t>"1.0204 - MSWRK - Ensure Allow users to enable online speech recognition services is set to Disabled: [FAILED]"
This policy enables the automatic learning component of input personalization that includes speech, inking, and typing.
See Also:
See HTH Policies and Standards
Reference:
NIST 800-53r5|CM-1 CM-2 CM-6 CM-7 CM-7(1) CM-9 SA-3 SA-8 SA-10
Policy Value:
'0'
Actual Value:
'1'</t>
  </si>
  <si>
    <t>"1.0094 - MSWRK - Ensure Application: Specify the maximum log file size (KB) is set to Enabled: 32,768 or greater: [PASSED]"
This policy setting specifies the maximum size of the log file in kilobytes.
See Also:
See HTH Policies and Standards
Reference:
NIST 800-53r5|AU-4
Policy Value:
'^([1-9][0-9]{5,}|[4-9][0-9]{4}|3[3-9][0-9]{3}|32[8-9][0-9]{2}|327[7-9][0-9]{1}|3276[8-9])$'
Actual Value:
'32768'</t>
  </si>
  <si>
    <t>2026-04-19T01:44:05.132Z</t>
  </si>
  <si>
    <t>"1.0399 - MSWRK - Ensure Domain member: Disable machine account password changes is set to Disabled: [PASSED]"
This policy setting determines whether a domain member can periodically change its computer account password.
See Also:
See HTH Policies and Standards
Reference:
NIST 800-53r5|AC-2(1)
Policy Value:
'0'
Actual Value:
'0'</t>
  </si>
  <si>
    <t>"1.0355 - MSWRK - Ensure Create a pagefile is set to Administrators: [FAILED]"
This policy setting allows users to change the size of the pagefile.
See Also:
See HTH Policies and Standards
Reference:
NIST 800-53r5|AC-2 AC-5 AC-6 AC-6(1) AC-6(7) AU-9(4)
Policy Value:
'Administrators'
Actual Value:
'NO_MEMBERS'</t>
  </si>
  <si>
    <t>"1.0216 - MSWRK - Ensure MSS: (DisableIPSourceRouting IPv6) IP source routing protection level is set to Enabled: Highest protection, source routing is completely disabled - Parameters: [PASSED]"
IP source routing is a mechanism that allows the sender to determine the IP route that a datagram should follow through the network.
See Also:
See HTH Policies and Standards
Reference:
NIST 800-53r5|SC-7(12)
Policy Value:
'2'
Actual Value:
'2'</t>
  </si>
  <si>
    <t>2026-04-19T01:44:05.133Z</t>
  </si>
  <si>
    <t>"1.0338 - MSWRK - Ensure Lock pages in memory is set to No One: [PASSED]"
This policy setting allows a process to keep data in physical memory, which prevents the system from paging the data to virtual memory on disk.
See Also:
See HTH Policies and Standards
Reference:
NIST 800-53r5|AC-2 AC-5 AC-6 AC-6(1) AC-6(7) AU-9(4)
Policy Value:
'^NO_MEMBERS$'
Actual Value:
'NO_MEMBERS'</t>
  </si>
  <si>
    <t>"1.0335 - MSWRK - Ensure Impersonate a client after authentication is set to Administrators, LOCAL SERVICE, NETWORK SERVICE, SERVICE, RESTRICTED SERVICES\PrintSpoolerService: [FAILED]"
The policy setting allows programs that run on behalf of a user to impersonate that user (or another specified account) so that they can act on behalf of the user.
See Also:
See HTH Policies and Standards
Reference:
NIST 800-53r5|AC-2 AC-5 AC-6 AC-6(1) AC-6(7) AU-9(4)
Policy Value:
'Administrators' &amp;&amp; 'Local Service' &amp;&amp; 'Network Service' &amp;&amp; 'Service' &amp;&amp; 'Spooler'
Actual Value:
'NO_MEMBERS'</t>
  </si>
  <si>
    <t>"1.0206 - MSWRK - Ensure Configure SMB v1 client driver is set to Enabled: Disable driver (recommended) - Mrxsmb10: [PASSED]"
This setting configures the start type for the Server Message Block version 1 (SMBv1) client driver service ( MRxSmb10 ), which is recommended to be disabled.
See Also:
See HTH Policies and Standards
Reference:
NIST 800-53r5|CM-6 CM-7
Policy Value:
'4'
Actual Value:
'4'</t>
  </si>
  <si>
    <t>"1.0300 - MSWRK - Ensure Turn On Virtualization Based Security: Select Platform Security Level is set to Secure Boot or higher: [PASSED]"
This policy setting specifies whether Virtualization Based Security (VBS) is enabled.
See Also:
See HTH Policies and Standards
Reference:
NIST 800-53r5|SI-16
Policy Value:
'3' || '1'
Actual Value:
'1'</t>
  </si>
  <si>
    <t>2026-04-19T01:44:05.134Z</t>
  </si>
  <si>
    <t>"1.0462 - MSWRK - MSS: (ScreenSaverGracePeriod) The time in seconds before the screen saver grace period expires is set to Enabled: 5 or fewer seconds: [PASSED]"
Windows includes a grace period between when the screen saver is launched and when the console is actually locked automatically when screen saver locking is enabled.
See Also:
See HTH Policies and Standards
Reference:
NIST 800-53r5|AC-2(5) AC-11 AC-11(1) 
Policy Value:
'[0..5]'
Actual Value:
'5'</t>
  </si>
  <si>
    <t>"1.0470 - MSWRK - Network access: Remotely accessible registry paths and sub-paths is configured - Allowedpaths: [PASSED]"
This policy setting determines which registry paths and sub-paths will be accessible over the network, regardless of the users or groups listed in the access control list (ACL) of the winreg registry key.
See Also:
See HTH Policies and Standards
Reference:
NIST 800-53r5|AC-6(7)(b) 
Policy Value: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Actual Value:
'System\CurrentControlSet\Control\Print\Printers_x000D_
System\CurrentControlSet\Services\Eventlog_x000D_
Software\Microsoft\OLAP Server_x000D_
Software\Microsoft\Windows NT\CurrentVersion\Print_x000D_
Software\Microsoft\Windows NT\CurrentVersion\Windows_x000D_
System\CurrentControlSet\Control\ContentIndex_x000D_
System\CurrentControlSet\Control\Terminal Server_x000D_
System\CurrentControlSet\Control\Terminal Server\UserConfig_x000D_
System\CurrentControlSet\Control\Terminal Server\DefaultUserConfiguration_x000D_
Software\Microsoft\Windows NT\CurrentVersion\Perflib_x000D_
System\CurrentControlSet\Services\SysmonLog'</t>
  </si>
  <si>
    <t>"1.0332 - MSWRK - Ensure Enable computer and user accounts to be trusted for delegation is set to No One: [PASSED]"
This policy setting allows users to change the Trusted for Delegation setting on a computer object in Active Directory.
See Also:
See HTH Policies and Standards
Reference:
NIST 800-53r5|AC-2 AC-5 AC-6 AC-6(1) AC-6(7) AU-9(4)
Policy Value:
'^NO_MEMBERS$'
Actual Value:
'NO_MEMBERS'</t>
  </si>
  <si>
    <t>2026-04-19T01:44:05.135Z</t>
  </si>
  <si>
    <t>"1.0037 - MSWRK - Ensure Audit Security System Extension is set to include Success: [PASSED]"
This subcategory reports the loading of extension code such as authentication packages by the security subsystem.
See Also:
See HTH Policies and Standards
Reference:
NIST 800-53r5|AU-3 AU-3(1) AU-7 AU-12
Policy Value:
'^(Success|Success\ and\ Failure)$'
Actual Value:
'Success'</t>
  </si>
  <si>
    <t>"1.0337 - MSWRK - Ensure Load and unload device drivers is set to Administrators: [FAILED]"
This policy setting allows users to dynamically load a new device driver on a system.
See Also:
See HTH Policies and Standards
Reference:
NIST 800-53r5|AC-2 AC-5 AC-6 AC-6(1) AC-6(7) AU-9(4)
Policy Value:
'Administrators'
Actual Value:
'NO_MEMBERS'</t>
  </si>
  <si>
    <t>"1.0082 - MSWRK - Ensure Enumerate administrator accounts on elevation is set to Disabled: [PASSED]"
This policy setting controls whether administrator accounts are displayed when a user attempts to elevate a running application.
See Also:
See HTH Policies and Standards
Reference:
NIST 800-53r5|AC-6(10)
Policy Value:
'0'
Actual Value:
'0'</t>
  </si>
  <si>
    <t>2026-04-19T01:44:05.136Z</t>
  </si>
  <si>
    <t>"1.0002 - MSWRK - Ensure Maximum password age is set to 365 or fewer days, but not 0: [PASSED]"
This policy setting defines how long a user can use their password before it expires.
See Also:
See HTH Policies and Standards
Reference:
NIST 800-53r5|IA-5(1)
Policy Value:
'60'
Actual Value:
'60'</t>
  </si>
  <si>
    <t>"1.0409 - MSWRK - Ensure Microsoft network client: Send unencrypted password to third-party SMB servers is set to Disabled: [PASSED]"
This policy setting determines whether the SMB redirector will send plaintext passwords during authentication to third-party SMB servers that do not support password encryption.
See Also:
See HTH Policies and Standards
Reference:
NIST 800-53r5|AC-17(2) IA-5 IA-5(1) SC-8 SC-8(1)
Policy Value:
'0'
Actual Value:
'0'</t>
  </si>
  <si>
    <t>"1.0391 - MSWRK - Ensure User Account Control: Run all administrators in Admin Approval Mode is set to Enabled: [PASSED]"
This policy setting controls the behavior of all User Account Control (UAC) policy settings for the computer.
See Also:
See HTH Policies and Standards
Reference:
NIST 800-53r5|AC-6(1)
Policy Value:
'1'
Actual Value:
'1'</t>
  </si>
  <si>
    <t>2026-04-19T01:21:54.036Z</t>
  </si>
  <si>
    <t>2026-04-19T01:31:31.017Z</t>
  </si>
  <si>
    <t>c67919cb-fdfd-4f24-a332-e05d4b135763</t>
  </si>
  <si>
    <t>2026-04-19T01:33:04.730Z</t>
  </si>
  <si>
    <t>2026-04-19T01:30:12Z</t>
  </si>
  <si>
    <t>2026-04-19T01:33:04.722Z</t>
  </si>
  <si>
    <t>2026-04-19T01:33:04.961Z</t>
  </si>
  <si>
    <t>2026-04-19T01:33:04.670Z</t>
  </si>
  <si>
    <t>2026-04-19T01:33:04.675Z</t>
  </si>
  <si>
    <t>2026-04-19T01:33:04.676Z</t>
  </si>
  <si>
    <t>2026-04-19T01:33:04.677Z</t>
  </si>
  <si>
    <t>"1.0155 - MSWRK - Ensure Prevent downloading of enclosures is set to Enabled: [FAILED]"
This policy setting prevents the user from having enclosures (file attachments) downloaded from an RSS feed to the user's computer.
See Also:
See HTH Policies and Standards
Reference:
NIST 800-53r5|CM-10 CM-11 SC-18
Policy Value:
'1'
Actual Value:
'0'</t>
  </si>
  <si>
    <t>"1.0167 - MSWRK - Ensure Notify Unsafe App is set to Enabled: [FAILED]"
This policy setting determines whether Enhanced Phishing Protection in Microsoft Defender SmartScreen warns users if they type their work or school passwords in Notepad, WordPad, or M365 Office apps like OneNote, Word, Excel, etc.
See Also:
See HTH Policies and Standards
Reference:
NIST 800-53r5|SI-16
Policy Value:
'1'
Actual Value:
'0'</t>
  </si>
  <si>
    <t>"1.0361 - MSWRK - Ensure Network access: Do not allow anonymous enumeration of SAM accounts and shares is set to Enabled: [PASSED]"
This policy setting controls the ability of anonymous users to enumerate SAM accounts as well as shares.
See Also:
See HTH Policies and Standards
Reference:
NIST 800-53r5|AC-6(10)
Policy Value:
'1'
Actual Value:
'1'</t>
  </si>
  <si>
    <t>2026-04-19T01:33:04.678Z</t>
  </si>
  <si>
    <t>"1.0191 - MSWRK - Ensure No auto-restart with logged on users for scheduled automatic updates installations is set to Disabled: [PASSED]"
This policy setting specifies that Automatic Updates will wait for computers to be restarted by the users who are logged on to them to complete a scheduled installation.
See Also:
See HTH Policies and Standards
Reference:
NIST 800-53r5|RA-5 RA-7 SI-2 SI-2(2)
Policy Value:
'0'
Actual Value:
'0'</t>
  </si>
  <si>
    <t>"1.0413 - MSWRK - Ensure Microsoft network server: Server SPN target name validation level is set to Accept if provided by client or higher: [FAILED]"
This policy setting controls the level of validation a computer with shared folders or printers (the server) performs on the service principal name (SPN) that is provided by the client computer when it establishes a session using the server message block (SMB) protocol.
See Also:
See HTH Policies and Standards
Reference:
NIST 800-53r5|CM-1 CM-2 CM-6 CM-7 CM-7(1) CM-9 SA-3 SA-8 SA-10
Policy Value:
'1' || '2'
Actual Value:
'0'</t>
  </si>
  <si>
    <t>"1.0251 - MSWRK - Ensure Configure Redirection Guard is set to Enabled: Redirection Guard Enabled: [FAILED]"
This policy setting determines whether Redirection Guard is enabled for the print spooler.
See Also:
See HTH Policies and Standards
Reference:
NIST 800-53r5|SI-16
Policy Value:
'1'
Actual Value:
'0'</t>
  </si>
  <si>
    <t>2026-04-19T01:33:04.679Z</t>
  </si>
  <si>
    <t>"1.0263 - MSWRK - Ensure Turn off background refresh of Group Policy is set to Disabled: [PASSED]"
This policy setting prevents Group Policy from being updated while the computer is in use.
See Also:
See HTH Policies and Standards
Reference:
NIST 800-53r5|CM-1 CM-2 CM-6 CM-7 CM-7(1) CM-9 SA-3 SA-8 SA-10
Policy Value:
'NOT_FOUND'
Actual Value:
'NOT_FOUND'</t>
  </si>
  <si>
    <t>"1.0060 - MSWRK - Ensure Choose how BitLocker-protected operating system drives can be recovered: Omit recovery options from the BitLocker setup wizard is set to Enabled: True: [PASSED]"
This policy setting allows you to control how BitLocker-protected operating system drives are recovered in the absence of the required startup key information.
See Also:
See HTH Policies and Standards
Reference:
NIST 800-53r5|SC-28
Policy Value:
'1'
Actual Value:
'1'</t>
  </si>
  <si>
    <t>"1.0106 - MSWRK - Ensure Not allow per-user unsigned packages to install by default (requires explicitly allow per install) is set to Enabled: [FAILED]"
This setting manages a user's ability to install unsigned Windows App packages.
See Also:
See HTH Policies and Standards
Reference:
NIST 800-53r5|CM-7(5) CM-10
Policy Value:
'1'
Actual Value:
'0'</t>
  </si>
  <si>
    <t>2026-04-19T01:33:04.680Z</t>
  </si>
  <si>
    <t>"1.0441 - MSWRK - Ensure Windows Firewall: Private: Inbound connections is set to Block (default) - Privateprofile: [FAILED]"
This policy setting determines the behavior for inbound connections that do not match an inbound firewall rule.
See Also:
See HTH Policies and Standards
Reference:
NIST 800-53r5|SC-7 SC-7(5)
Policy Value:
'1'
Actual Value:
'0'</t>
  </si>
  <si>
    <t>"1.0297 - MSWRK - Ensure Configure SAM change password RPC methods policy is set to Enabled: Block all change password RPC methods: [FAILED]"
This policy setting determines which RPC methods can be used to change passwords stored in the Security Account Manager (SAM).
See Also:
See HTH Policies and Standards
Reference:
NIST 800-53r5|IA-5(1)
Policy Value:
'1'
Actual Value:
'0'</t>
  </si>
  <si>
    <t>"1.0046 - MSWRK - Ensure Choose how BitLocker-protected fixed drives can be recovered: Recovery Password is set to Enabled: Allow 48-digit recovery password or higher: [FAILED]"
This policy setting allows you to control how BitLocker-protected fixed data drives are recovered in the absence of the required credentials.
See Also:
See HTH Policies and Standards
Reference:
NIST 800-53r5|SC-28
Policy Value:
'2' || '1'
Actual Value:
'0'</t>
  </si>
  <si>
    <t>2026-04-19T01:33:04.681Z</t>
  </si>
  <si>
    <t>2026-04-19T01:33:04.682Z</t>
  </si>
  <si>
    <t>"1.0126 - MSWRK - 7674ba52-37eb-4a4f-a9a1-f0f9a1619a2c: [FAILED]"
Policy Value:
'1'
Actual Value:
'NOT_FOUND'</t>
  </si>
  <si>
    <t>"1.0257 - MSWRK - Ensure Configure RPC packet level privacy setting for incoming connections is set to Enabled: [FAILED]"
This policy setting controls packet level privacy for Remote Procedure Call (RPC) incoming connections.
See Also:
See HTH Policies and Standards
Reference:
NIST 800-53r5|CM-6b.
Policy Value:
'1'
Actual Value:
'0'</t>
  </si>
  <si>
    <t>"1.0047 - MSWRK - Ensure Choose how BitLocker-protected fixed drives can be recovered: Recovery Key is set to Enabled: Allow 256-bit recovery key or higher: [FAILED]"
This policy setting allows you to control how BitLocker-protected fixed data drives are recovered in the absence of the required credentials.
See Also:
See HTH Policies and Standards
Reference:
NIST 800-53r5|SC-28
Policy Value:
'2' || '1'
Actual Value:
'0'</t>
  </si>
  <si>
    <t>2026-04-19T01:33:04.683Z</t>
  </si>
  <si>
    <t>"1.0437 - MSWRK - Ensure Windows Firewall: Domain: Logging: Size limit (KB) is set to 16,384 KB or greater: [PASSED]"
Use this option to specify the size limit of the file in which Windows Firewall will write its log information.
See Also:
See HTH Policies and Standards
Reference:
NIST 800-53r5|AU-4
Policy Value:
'^([1-9][0-9]{5,}|[2-9][0-9]{4}|1[7-9][0-9]{3}|16[4-9][0-9]{2}|163[9-9][0-9]{1}|1638[4-9])$'
Actual Value:
'16384'</t>
  </si>
  <si>
    <t>"1.0330 - MSWRK - Ensure Deny log on through Remote Desktop Services to include Guests, Local account: [FAILED]"
This policy setting determines whether users can log on as Remote Desktop clients.
See Also:
See HTH Policies and Standards
Reference:
NIST 800-53r5|AC-2 AC-5 AC-6 AC-6(1) AC-6(7) AU-9(4)
Policy Value:
'(?=.*Guests)(?=.*Local\ account)'
Actual Value:
'NO_MEMBERS'</t>
  </si>
  <si>
    <t>"1.0158 - MSWRK - Ensure Allow indexing of encrypted files is set to Disabled: [PASSED]"
This policy setting controls whether encrypted items are allowed to be indexed.
See Also:
See HTH Policies and Standards
Reference:
NIST 800-53r5|CM-6 CM-7
Policy Value:
'0'
Actual Value:
'0'</t>
  </si>
  <si>
    <t>2026-04-19T01:33:04.684Z</t>
  </si>
  <si>
    <t>"1.0214 - MSWRK - Ensure DefaultPassword does not exist: [PASSED]"
Policy Value:
'NOT_FOUND'
Actual Value:
'NOT_FOUND'</t>
  </si>
  <si>
    <t>"1.0303 - MSWRK - Ensure Enable Windows NTP Server is set to Disabled - Ntpserver: [PASSED]"
This policy setting specifies whether the Windows NTP Server is enabled.
See Also:
See HTH Policies and Standards
Reference:
NIST 800-53r5|AU-7 AU-8
Policy Value:
'0'
Actual Value:
'0'</t>
  </si>
  <si>
    <t>"1.0169 - MSWRK - Ensure ShellSmartScreenLevel is Windows: Registry Value to Block: [FAILED]"
Policy Value:
'Block'
Actual Value:
'NOT_FOUND'</t>
  </si>
  <si>
    <t>"1.0127 - MSWRK - 56a863a9-875e-4185-98a7-b882c64b5ce5: [FAILED]"
Policy Value:
'1'
Actual Value:
'NOT_FOUND'</t>
  </si>
  <si>
    <t>2026-04-19T01:33:04.685Z</t>
  </si>
  <si>
    <t>"1.0269 - MSWRK - Ensure Enable password encryption is set to Enabled: [FAILED]"
This policy setting controls whether the Windows LAPS managed password is encrypted before being sent to Active Directory.
See Also:
See HTH Policies and Standards
Reference:
NIST 800-53r5|AC-17(2) IA-5 IA-5(1) SC-8 SC-8(1)
Policy Value:
'1'
Actual Value:
'0'</t>
  </si>
  <si>
    <t>"1.0439 - MSWRK - Ensure Windows Firewall: Domain: Logging: Log successful connections is set to Yes: [PASSED]"
Use this option to log when Windows Firewall with Advanced Security allows an inbound connection.
See Also:
See HTH Policies and Standards
Reference:
NIST 800-53r5|AU-3 AU-3(1) AU-7 AU-12 SC-7 SC-7(5)
Policy Value:
'1'
Actual Value:
'1'</t>
  </si>
  <si>
    <t>2026-04-19T01:33:04.686Z</t>
  </si>
  <si>
    <t>"1.0387 - MSWRK - Ensure User Account Control: Behavior of the elevation prompt for administrators in Admin Approval Mode is set to Prompt for consent on the secure desktop or higher: [FAILED]"
This policy setting controls the behavior of the elevation prompt for administrators.
See Also:
See HTH Policies and Standards
Reference:
NIST 800-53r5|AC-6(1)
Policy Value:
'1' || '2'
Actual Value:
'0'</t>
  </si>
  <si>
    <t>"1.0365 - MSWRK - Ensure Network access: Remotely accessible registry paths is configured: [FAILED]"
This policy setting determines which registry paths will be accessible over the network, regardless of the users or groups listed in the access control list (ACL) of the winreg registry key.
See Also:
See HTH Policies and Standards
Reference:
NIST 800-53r5|AC-6(7)(b)
Policy Value:
'Software\Microsoft\Windows NT\CurrentVersion,System\CurrentControlSet\Control\ProductOptions,System\CurrentControlSet\Control\Server Applications'
Actual Value:
'System\CurrentControlSet\Control\ProductOptions,System\CurrentControlSet\Control\Server Applications,Software\Microsoft\Windows NT\CurrentVersion'</t>
  </si>
  <si>
    <t>"1.0443 - MSWRK - Ensure Windows Firewall: Private: Logging: Name is configured: [PASSED]"
This policy setting is used to specify the path and name of the file in which Windows Firewall will write its log information.
See Also:
See HTH Policies and Standards
Reference:
NIST 800-53r5|AU-2 AU-7 AU-12
Policy Value:
'%SYSTEMROOT%\System32\logfiles\firewall\privatefw.log'
Actual Value:
'%systemroot%\system32\logfiles\firewall\privatefw.log'</t>
  </si>
  <si>
    <t>2026-04-19T01:33:04.687Z</t>
  </si>
  <si>
    <t>"1.0356 - MSWRK - Ensure Network access: Allow anonymous SID/Name translation is set to Disabled: [PASSED]"
This policy setting determines whether an anonymous user can request security identifier (SID) attributes for another user, or use a SID to obtain its corresponding user name.
See Also:
See HTH Policies and Standards
Reference:
NIST 800-53r5|AC-6(10) IA-2(2)
Policy Value:
'Disabled'
Actual Value:
'Disabled'</t>
  </si>
  <si>
    <t>"1.0129 - MSWRK - e6db77e5-3df2-4cf1-b95a-636979351e5b: [FAILED]"
Policy Value:
'1'
Actual Value:
'NOT_FOUND'</t>
  </si>
  <si>
    <t>"1.0234 - MSWRK - Ensure Audit insecure guest logon is set to Enabled - Lanmanserver: [FAILED]"
This policy determines whether the Server Message Block (SMB) server will log events when the client is logged on as guest account.
See Also:
See HTH Policies and Standards
Reference:
NIST 800-53r5|AU-3 AU-3(1) AU-7 AU-12
Policy Value:
'1'
Actual Value:
'0'</t>
  </si>
  <si>
    <t>2026-04-19T01:33:04.688Z</t>
  </si>
  <si>
    <t>"1.0310 - MSWRK - Ensure Prevent installation of devices using drivers that match these device setup classes: Prevent installation of devices using drivers for these device setup is set to IEEE 1394 device setup classes: [FAILED]"
This policy setting allows you to specify a list of device setup class globally unique identifiers (GUIDs) for device drivers that Windows is prevented from installing.
See Also:
See HTH Policies and Standards
Reference:
NIST 800-53r5|SI-3c.2.
Policy Value:
'STATUS: PASSED'
Actual Value:
'The following values are missing:_x000D_
_x000D_
{d48179be-ec20-11d1-b6b8-00c04fa372a7}_x000D_
{7ebefbc0-3200-11d2-b4c2-00a0C9697d07}_x000D_
{c06ff265-ae09-48f0-812c-16753d7cba83}_x000D_
{6bdd1fc1-810f-11d0-bec7-08002be2092f}_x000D_
_x000D_
STATUS: FAILED'</t>
  </si>
  <si>
    <t>"1.0124 - MSWRK - 3b576869-a4ec-4529-8536-b80a7769e899: [FAILED]"
Policy Value:
'1'
Actual Value:
'NOT_FOUND'</t>
  </si>
  <si>
    <t>2026-04-19T01:33:04.689Z</t>
  </si>
  <si>
    <t>"1.0013 - MSWRK - Ensure Audit Application Group Management is set to Success and Failure: [PASSED]"
This policy setting allows you to audit events generated by changes to application groups such as the following: - Application group is created, changed, or deleted.
See Also:
See HTH Policies and Standards
Reference:
NIST 800-53r5|AU-3 AU-3(1) AU-7 AU-12
Policy Value:
'Success and Failure'
Actual Value:
'Success and Failure'</t>
  </si>
  <si>
    <t>"1.0434 - MSWRK - Ensure Windows Firewall: Domain: Inbound connections is set to Block (default) - Domainprofile: [FAILED]"
This policy setting determines the behavior for inbound connections that do not match an inbound firewall rule.
See Also:
See HTH Policies and Standards
Reference:
NIST 800-53r5|SC-7 SC-7(5)
Policy Value:
'1'
Actual Value:
'0'</t>
  </si>
  <si>
    <t>2026-04-19T01:33:04.690Z</t>
  </si>
  <si>
    <t>"1.0207 - MSWRK - Ensure Configure SMB v1 server is set to Disabled: [PASSED]"
This setting configures the server-side processing of the Server Message Block version 1 (SMBv1) protocol.
See Also:
See HTH Policies and Standards
Reference:
NIST 800-53r5|CM-6 CM-7
Policy Value:
'0'
Actual Value:
'0'</t>
  </si>
  <si>
    <t>2026-04-19T01:33:04.691Z</t>
  </si>
  <si>
    <t>"1.0209 - MSWRK - 32-bit subsystem on 64-bit OS - Config: [PASSED]"
Policy Value:
'1'
Actual Value:
'1'</t>
  </si>
  <si>
    <t>"1.0136 - MSWRK - 75668c1f-73b5-4cf0-bb93-3ecf5cb7cc84: [FAILED]"
Policy Value:
'1'
Actual Value:
'NOT_FOUND'</t>
  </si>
  <si>
    <t>"1.0241 - MSWRK - Ensure Audit server does not support signing is set to Enabled: [FAILED]"
This policy setting determines whether the Server Message Block (SMB) client will log events when the SMB server doesn't support signing.
See Also:
See HTH Policies and Standards
Reference:
NIST 800-53r5|AU-3 AU-3(1) AU-7 AU-12
Policy Value:
'1'
Actual Value:
'0'</t>
  </si>
  <si>
    <t>2026-04-19T01:33:04.692Z</t>
  </si>
  <si>
    <t>"1.0130 - MSWRK - 92e97fa1-2edf-4476-bdd6-9dd0b4dddc7b: [FAILED]"
Policy Value:
'1'
Actual Value:
'NOT_FOUND'</t>
  </si>
  <si>
    <t>"1.0279 - MSWRK - Ensure Do not enumerate connected users on domain-joined computers is set to Enabled: [FAILED]"
This policy setting prevents connected users from being enumerated on domain-joined computers.
See Also:
See HTH Policies and Standards
Reference:
NIST 800-53r5|AC-6(10)
Policy Value:
'1'
Actual Value:
'0'</t>
  </si>
  <si>
    <t>2026-04-19T01:33:04.693Z</t>
  </si>
  <si>
    <t>"1.0222 - MSWRK - Ensure Prohibit use of Internet Connection Sharing on your DNS domain network is set to Enabled: [PASSED]"
Although this \'legacy\' setting traditionally applied to the use of Internet Connection Sharing (ICS) in Windows 2000, Windows XP &amp; Server 2003, this setting now freshly applies to the Mobile Hotspot feature in Windows 10 &amp; Server 2016.
See Also:
See HTH Policies and Standards
Reference:
NIST 800-53r5|CM-6 CM-7
Policy Value:
'0'
Actual Value:
'0'</t>
  </si>
  <si>
    <t>2026-04-19T01:33:04.694Z</t>
  </si>
  <si>
    <t>"1.0447 - MSWRK - Ensure Windows Firewall: Public: Firewall state is set to On (recommended) - Publicprofile: [PASSED]"
This policy setting controls whether the built-in Public Firewall state is enabled or disabled.
See Also:
See HTH Policies and Standards
Reference:
NIST 800-53r5|SC-7 SC-7(5)
Policy Value:
'1'
Actual Value:
'1'</t>
  </si>
  <si>
    <t>2026-04-19T01:33:04.695Z</t>
  </si>
  <si>
    <t>"1.0314 - MSWRK - Ensure Prevent users from sharing files within their profile. is set to Enabled: [FAILED]"
This policy setting determines whether users can share files within their profile.
See Also:
See HTH Policies and Standards
Reference:
NIST 800-53r5|AC-3
Policy Value:
'1'
Actual Value:
'0'</t>
  </si>
  <si>
    <t>2026-04-19T01:33:04.696Z</t>
  </si>
  <si>
    <t>"1.0173 - MSWRK - Ensure Disallow Autoplay for non-volume devices is set to Enabled: [FAILED]"
This policy setting disallows AutoPlay for MTP devices like cameras or phones.
See Also:
See HTH Policies and Standards
Reference:
NIST 800-53r5|MP-7
Policy Value:
'1'
Actual Value:
'0'</t>
  </si>
  <si>
    <t>"1.0239 - MSWRK - Ensure Audit insecure guest logon is set to Enabled - Lanmanworkstation: [FAILED]"
This policy determines whether the Server Message Block (SMB) client will log events when the client is logged on as guest account.
See Also:
See HTH Policies and Standards
Reference:
NIST 800-53r5|AU-3 AU-3(1) AU-7 AU-12
Policy Value:
'1'
Actual Value:
'0'</t>
  </si>
  <si>
    <t>2026-04-19T01:33:04.697Z</t>
  </si>
  <si>
    <t>"1.0265 - MSWRK - Ensure Turn off Internet download for Web publishing and online ordering wizards is set to Enabled: [FAILED]"
This policy setting controls whether Windows will download a list of providers for the Web publishing and online ordering wizards.
See Also:
See HTH Policies and Standards
Reference:
NIST 800-53r5|CM-6 CM-7
Policy Value:
'1'
Actual Value:
'0'</t>
  </si>
  <si>
    <t>"1.0058 - MSWRK - Ensure Choose how BitLocker-protected operating system drives can be recovered: Recovery Password is set to Enabled: Require 48-digit recovery password: [FAILED]"
This policy setting allows you to control how BitLocker-protected operating system drives are recovered in the absence of the required startup key information.
See Also:
See HTH Policies and Standards
Reference:
NIST 800-53r5|SC-28
Policy Value:
'1'
Actual Value:
'2'</t>
  </si>
  <si>
    <t>"1.0198 - MSWRK - Value of DeferQualityUpdates: [FAILED]"
Policy Value:
'1'
Actual Value:
'0'</t>
  </si>
  <si>
    <t>2026-04-19T01:33:04.698Z</t>
  </si>
  <si>
    <t>"1.0262 - MSWRK - Ensure Continue experiences on this device is set to Disabled: [PASSED]"
This policy setting determines whether the Windows device is allowed to participate in cross-device experiences (continue experiences).
See Also:
See HTH Policies and Standards
Reference:
NIST 800-53r5|CM-6 CM-7
Policy Value:
'0'
Actual Value:
'0'</t>
  </si>
  <si>
    <t>"1.0102 - MSWRK - Ensure Do not apply the Mark of the Web tag to files copied from insecure sources is set to Disabled: [PASSED]"
This policy setting determines whether files that are sourced from insecure locations are tagged with Mark of the Web (MOTW).
See Also:
See HTH Policies and Standards
Reference:
NIST 800-53r5|SI-16
Policy Value:
'0'
Actual Value:
'0'</t>
  </si>
  <si>
    <t>2026-04-19T01:33:04.699Z</t>
  </si>
  <si>
    <t>"1.0487 - MSWRK - Services - Sentinel Helper Service: [PASSED]"
Helper service for SentinelOne Endpoint Protection Agent
See Also:
See corresponding HTH Policy or Standard
Reference:
NIST 800-53r5|CM-6
Policy Value:
'Running'
Actual Value:
'RunspaceId                           Value  _x000D_
----------                           -----  _x000D_
74f7da51-847a-446d-a24d-15fdf7023b96 Running'</t>
  </si>
  <si>
    <t>"1.0243 - MSWRK - Ensure Enable remote mailslots is set to Disabled - Networkprovider: [PASSED]"
This policy settings controls whether the SMB client will use remote mailslots over Multiple UNC Provider (MUP).
See Also:
See HTH Policies and Standards
Reference:
NIST 800-53r5|CM-6 CM-7
Policy Value:
'0'
Actual Value:
'0'</t>
  </si>
  <si>
    <t>"1.0490 - MSWRK - Services - Xbox Live Auth Manager: [PASSED]"
The Xbox Live Auth Manager Service is disabled.
See Also:
See corresponding HTH Policy or Standard
Reference:
NIST 800-53r5|CM-6
Policy Value:
'Stopped' || 'Service Not Found'
Actual Value:
'RunspaceId                           Value  _x000D_
----------                           -----  _x000D_
405f0b4c-fbb8-4cf5-ba82-b2b171c3d705 Stopped'</t>
  </si>
  <si>
    <t>2026-04-19T01:33:04.700Z</t>
  </si>
  <si>
    <t>"1.0145 - MSWRK - Ensure Turn on Microsoft Defender Application Guard in Managed Mode is set to Enabled: 1: [FAILED]"
This policy setting enables application isolation through Microsoft Defender Application Guard (Application Guard).
See Also:
See HTH Policies and Standards
Reference:
NIST 800-53r5|SI-16
Policy Value:
'1'
Actual Value:
'0'</t>
  </si>
  <si>
    <t>2026-04-19T01:33:04.701Z</t>
  </si>
  <si>
    <t>"1.0224 - MSWRK - NETLOGON: [FAILED]"
Policy Value:
'[Rr]equire([Mm]utual[Aa]uthentication|[Ii]ntegrity|[Pp]rivacy)=1.*[Rr]equire([Mm]utual[Aa]uthentication|[Ii]ntegrity|[Pp]rivacy)=1.*[Rr]equire([Mm]utual[Aa]uthentication|[Ii]ntegrity|[Pp]rivacy)=1'
Actual Value:
'RequireMutualAuthentication=1,RequireIntegrity=0,RequirePrivacy=0'</t>
  </si>
  <si>
    <t>"1.0024 - MSWRK - Ensure Audit Detailed File Share is set to include Failure: [PASSED]"
This subcategory allows you to audit attempts to access files and folders on a shared folder.
See Also:
See HTH Policies and Standards
Reference:
NIST 800-53r5|AU-3 AU-3(1) AU-7 AU-12
Policy Value:
'^(Failure|Success\ and\ Failure)$'
Actual Value:
'Failure'</t>
  </si>
  <si>
    <t>"1.0215 - MSWRK - Ensure MSS: (WarningLevel) Percentage threshold for the security event log at which the system will generate a warning is set to Enabled: 90% or less: [PASSED]"
This setting can generate a security audit in the Security event log when the log reaches a user-defined threshold.
See Also:
See HTH Policies and Standards
Reference:
NIST 800-53r5|AU-4
Policy Value:
'^(1|2|3|4|5|6|7|8|9|10|11|12|13|14|15|16|17|18|19|20|21|22|23|24|25|26|27|28|29|30|31|32|33|34|35|36|37|38|39|40|41|42|43|44|45|46|47|48|49|50|51|52|53|54|55|56|57|58|59|60|61|62|63|64|65|66|67|68|69|70|71|72|73|74|75|76|77|78|79|80|81|82|83|84|85|86|87|88|89|90)$'
Actual Value:
'90'</t>
  </si>
  <si>
    <t>2026-04-19T01:33:04.702Z</t>
  </si>
  <si>
    <t>"1.0266 - MSWRK - Ensure Enumeration policy for external devices incompatible with Kernel DMA Protection is set to Enabled: Block All: [FAILED]"
This policy is intended to provide additional security against external DMA-capable devices.
See Also:
See HTH Policies and Standards
Reference:
NIST 800-53r5|CM-8
Policy Value:
'0'
Actual Value:
'1'</t>
  </si>
  <si>
    <t>"1.0182 - MSWRK - Ensure Allow unencrypted traffic is set to Disabled - Client: [PASSED]"
This policy setting allows you to manage whether the Windows Remote Management (WinRM) client sends and receives unencrypted messages over the network.
See Also:
See HTH Policies and Standards
Reference:
NIST 800-53r5|AC-17(2) IA-5 IA-5(1) SC-8 SC-8(1)
Policy Value:
'0'
Actual Value:
'0'</t>
  </si>
  <si>
    <t>"1.0033 - MSWRK - Ensure Audit Sensitive Privilege Use is set to Success: [PASSED]"
This subcategory reports when a user account or service uses a sensitive privilege.
See Also:
See HTH Policies and Standards
Reference:
NIST 800-53r5|AU-3 AU-3(1) AU-7 AU-12
Policy Value:
'^(Success|Success\ and\ Failure)$'
Actual Value:
'Success and Failure'</t>
  </si>
  <si>
    <t>2026-04-19T01:33:04.703Z</t>
  </si>
  <si>
    <t>"1.0423 - MSWRK - Ensure Web Management Service (WMSvc) is set to Disabled or Not Installed - Wmsvc: [FAILED]"
The Web Management Service enables remote and delegated management capabilities for administrators to manage for the Web server, sites and applications present on the machine.
See Also:
See HTH Policies and Standards
Reference:
NIST 800-53r5|CM-6 CM-7
Policy Value:
'4'
Actual Value:
'0'</t>
  </si>
  <si>
    <t>"1.0388 - MSWRK - Ensure User Account Control: Behavior of the elevation prompt for standard users is set to Automatically deny elevation requests: [FAILED]"
This policy setting controls the behavior of the elevation prompt for standard users.
See Also:
See HTH Policies and Standards
Reference:
NIST 800-53r5|AC-6(10)
Policy Value:
'0'
Actual Value:
'3'</t>
  </si>
  <si>
    <t>"1.0304 - MSWRK - Ensure Turn On Virtualization Based Security: Require UEFI Memory Attributes Table is set to True (checked): [FAILED]"
This option will only enable Virtualization Based Protection of Code Integrity on devices with UEFI firmware support for the Memory Attributes Table.
See Also:
See HTH Policies and Standards
Reference:
NIST 800-53r5|SI-16
Policy Value:
'1'
Actual Value:
'0'</t>
  </si>
  <si>
    <t>2026-04-19T01:33:04.704Z</t>
  </si>
  <si>
    <t>"1.0309 - MSWRK - Ensure Prevent installation of devices using drivers that match these device setup classes is set to Enabled: [FAILED]"
This policy setting allows you to specify a list of device setup class globally unique identifiers (GUIDs) for device drivers that Windows is prevented from installing.
See Also:
See HTH Policies and Standards
Reference:
NIST 800-53r5|MP-7
Policy Value:
'1'
Actual Value:
'0'</t>
  </si>
  <si>
    <t>"1.0112 - MSWRK - Ensure Configure Remote Encryption Protection Mode is set to Enabled: Audit or higher: [FAILED]"
This policy setting configures the Brute-Force Protection feature in Microsoft Defender Antivirus.
See Also:
See HTH Policies and Standards
Reference:
NIST 800-53r5|SI-3
Policy Value:
'1' || '2'
Actual Value:
'0'</t>
  </si>
  <si>
    <t>2026-04-19T01:33:04.723Z</t>
  </si>
  <si>
    <t>"1.0123 - MSWRK - Ensure Configure Attack Surface Reduction rules is set to Enabled: [FAILED]"
This policy setting controls the state for the Attack Surface Reduction (ASR) rules.
See Also:
See HTH Policies and Standards
Reference:
NIST 800-53r5|SI-16
Policy Value:
'1'
Actual Value:
'0'</t>
  </si>
  <si>
    <t>"1.0103 - MSWRK - Ensure Turn off heap termination on corruption is set to Disabled: [PASSED]"
Without heap termination on corruption, legacy plug-in applications may continue to function when a File Explorer session has become corrupt.
See Also:
See HTH Policies and Standards
Reference:
NIST 800-53r5|CM-6 CM-7
Policy Value:
'0'
Actual Value:
'0'</t>
  </si>
  <si>
    <t>"1.0121 - MSWRK - Ensure Configure local setting override for reporting to Microsoft MAPS is set to Disabled: [PASSED]"
This policy setting configures a local override for the configuration to join Microsoft Active Protection Service (MAPS), which Microsoft renamed to Windows Defender Antivirus Cloud Protection Service and then Microsoft Defender Antivirus Cloud Protection Service.
See Also:
See HTH Policies and Standards
Reference:
NIST 800-53r5|CM-6 CM-7
Policy Value:
'0'
Actual Value:
'0'</t>
  </si>
  <si>
    <t>2026-04-19T01:33:04.724Z</t>
  </si>
  <si>
    <t>"1.0089 - MSWRK - Ensure Enable App Installer Hash Override is set to Disabled: [FAILED]"
This policy setting controls whether or not users can override the SHA256 security validation in the Windows Package Manager settings.
See Also:
See HTH Policies and Standards
Reference:
NIST 800-53r5|CM-6 CM-7
Policy Value:
'0'
Actual Value:
'1'</t>
  </si>
  <si>
    <t>"1.0242 - MSWRK - Ensure Enable insecure guest logons is set to Disabled: [PASSED]"
This policy setting determines if the SMB client will allow insecure guest logons to an SMB server.
See Also:
See HTH Policies and Standards
Reference:
NIST 800-53r5|CM-7b.
Policy Value:
'0'
Actual Value:
'0'</t>
  </si>
  <si>
    <t>2026-04-19T01:33:04.725Z</t>
  </si>
  <si>
    <t>"1.0483 - MSWRK - Computer Browser (Browser) is not Installed: [FAILED]"
Maintains an updated list of computers on the network and supplies this list to computers designated as browsers.
See Also:
See corresponding HTH Policy or Standard
Reference:
NIST 800-53r5|CM-6 CM-7
Policy Value:
'Disabled'
Actual Value:
'RunspaceId                           Value   _x000D_
----------                           -----   _x000D_
7e3aa797-e5eb-45d3-b641-96d1f5d80f2b Disabled'</t>
  </si>
  <si>
    <t>"1.0488 - MSWRK - Services - SentinelOne Agent Log Processing Service: [PASSED]"
Manage logs for SentinelOne Endpoint Protection
See Also:
See corresponding HTH Policy or Standard
Reference:
NIST 800-53r5|CM-6
Policy Value:
'Running'
Actual Value:
'RunspaceId                           Value  _x000D_
----------                           -----  _x000D_
2b7e8851-59e2-4e88-b3cf-b49a7a19bf94 Running'</t>
  </si>
  <si>
    <t>2026-04-19T01:33:04.726Z</t>
  </si>
  <si>
    <t>"1.0235 - MSWRK - Ensure Enable authentication rate limiter is set to Enabled: [FAILED]"
This policy settings configures the Server Message Block (SMB) server authentication rate limiter.
See Also:
See HTH Policies and Standards
Reference:
NIST 800-53r5|SC-7(20)
Policy Value:
'1'
Actual Value:
'0'</t>
  </si>
  <si>
    <t>"1.0078 - MSWRK - Ensure Turn off cloud consumer account state content is set to Enabled: [PASSED]"
This policy setting determines whether cloud consumer account state content is allowed in all Windows experiences.
See Also:
See HTH Policies and Standards
Reference:
NIST 800-53r5|AC-2(1)
Policy Value:
'1'
Actual Value:
'1'</t>
  </si>
  <si>
    <t>"1.0176 - MSWRK - Ensure Allow user control over installs is set to Disabled: [PASSED]"
This setting controls whether users are permitted to change installation options that typically are available only to system administrators.
See Also:
See HTH Policies and Standards
Reference:
NIST 800-53r5|AC-6(10)
Policy Value:
'0'
Actual Value:
'0'</t>
  </si>
  <si>
    <t>2026-04-19T01:33:04.731Z</t>
  </si>
  <si>
    <t>"1.0315 - MSWRK - Ensure Do not preserve zone information in file attachments is set to Disabled: [FAILED]"
This policy setting allows you to manage whether Windows marks file attachments with information about their zone of origin (such as restricted, Internet, intranet, local).
See Also:
See HTH Policies and Standards
Reference:
NIST 800-53r5|CM-6b.
Policy Value:
'2'
Actual Value:
'0'</t>
  </si>
  <si>
    <t>"1.0256 - MSWRK - Ensure Configure RPC over TCP port is set to Enabled: 0: [PASSED]"
This policy setting controls which port is used for RPC over TCP for incoming connections to the print spooler and outgoing connections to remote print spoolers.
See Also:
See HTH Policies and Standards
Reference:
NIST 800-53r5|CM-6b.
Policy Value:
'0'
Actual Value:
'0'</t>
  </si>
  <si>
    <t>"1.0220 - MSWRK - Ensure MSS: (SafeDllSearchMode) Enable Safe DLL search mode is set to Enabled: [PASSED]"
The DLL search order can be configured to search for DLLs that are requested by running processes in one of two ways: - Search folders specified in the system path first, and then search the current working folder.
See Also:
See HTH Policies and Standards
Reference:
NIST 800-53r5|SI-16
Policy Value:
'1'
Actual Value:
'1'</t>
  </si>
  <si>
    <t>2026-04-19T01:33:04.732Z</t>
  </si>
  <si>
    <t>"1.0236 - MSWRK - Ensure Enable remote mailslots is set to Disabled - Bowser: [PASSED]"
This policy settings controls whether the SMB server will use remote mailslots over the computer browser service.
See Also:
See HTH Policies and Standards
Reference:
NIST 800-53r5|CM-6 CM-7
Policy Value:
'0'
Actual Value:
'0'</t>
  </si>
  <si>
    <t>"1.0296 - MSWRK - Ensure Encryption Oracle Remediation is set to Enabled: Force Updated Clients: [FAILED]"
Some versions of the CredSSP protocol that is used by some applications (such as Remote Desktop Connection) are vulnerable to an encryption oracle attack against the client.
See Also:
See HTH Policies and Standards
Reference:
NIST 800-53r5|SI-16
Policy Value:
'0'
Actual Value:
'1'</t>
  </si>
  <si>
    <t>2026-04-19T01:33:04.733Z</t>
  </si>
  <si>
    <t>"1.0414 - MSWRK - Ensure Microsoft FTP Service (FTPSVC) is set to Disabled or Not Installed - Ftpsvc: [FAILED]"
Enables the server to be a File Transfer Protocol (FTP) server.
See Also:
See HTH Policies and Standards
Reference:
NIST 800-53r5|CM-6 CM-7
Policy Value:
'4'
Actual Value:
'0'</t>
  </si>
  <si>
    <t>2026-04-19T01:33:04.734Z</t>
  </si>
  <si>
    <t>"1.0477 - MSWRK - Services - BitLocker Drive Encryption Service: [PASSED]"
The BitLocker Drive Encryption service should be manually enabled on startup.
See Also:
See corresponding HTH Policy or Standard
Reference:
NIST 800-53r5|CM-6
Policy Value:
'Running'
Actual Value:
'RunspaceId                           Value  _x000D_
----------                           -----  _x000D_
c20aa46c-5c3d-47bc-b50c-84745d250f54 Running'</t>
  </si>
  <si>
    <t>2026-04-19T01:33:04.735Z</t>
  </si>
  <si>
    <t>"1.0318 - MSWRK - Ensure Do not suggest third-party content in Windows spotlight is set to Enabled: [FAILED]"
This policy setting determines whether Windows will suggest apps and content from third-party software publishers.
See Also:
See HTH Policies and Standards
Reference:
NIST 800-53r5|CM-7b.
Policy Value:
'1'
Actual Value:
'0'</t>
  </si>
  <si>
    <t>2026-04-19T01:33:04.736Z</t>
  </si>
  <si>
    <t>"1.0253 - MSWRK - Ensure Configure RPC connection settings: Use authentication for outgoing RPC connections is set to Enabled: Default: [PASSED]"
This policy setting controls which protocol and protocol settings to use for outgoing Remote Procedure Call (RPC) connections to a remote print spooler.
See Also:
See HTH Policies and Standards
Reference:
NIST 800-53r5|CM-6b.
Policy Value:
'0'
Actual Value:
'0'</t>
  </si>
  <si>
    <t>"1.0357 - MSWRK - Ensure Network access: Restrict clients allowed to make remote calls to SAM is set to Administrators: Remote Access: Allow: [FAILED]"
This policy setting allows you to restrict remote RPC connections to SAM.
See Also:
See HTH Policies and Standards
Reference:
NIST 800-53r5|AC-6(3)
Policy Value:
'O:BAG:BAD:(A;;RC;;;BA)'
Actual Value:
'NOT_FOUND'</t>
  </si>
  <si>
    <t>"1.0139 - MSWRK - Ensure Prevent non-admin users from installing packaged Windows apps is set to Enabled: [FAILED]"
This setting manages non-Administrator users' ability to install Windows app packages.
See Also:
See HTH Policies and Standards
Reference:
NIST 800-53r5|CM-7(5) CM-10
Policy Value:
'1'
Actual Value:
'0'</t>
  </si>
  <si>
    <t>2026-04-19T01:33:04.737Z</t>
  </si>
  <si>
    <t>"1.0435 - MSWRK - Ensure Windows Firewall: Domain: Settings: Display a notification is set to No - Domainprofile: [FAILED]"
Select this option to have Windows Firewall with Advanced Security display notifications to the user when a program is blocked from receiving inbound connections.
See Also:
See HTH Policies and Standards
Reference:
NIST 800-53r5|SC-7 SC-7(5)
Policy Value:
'1'
Actual Value:
'0'</t>
  </si>
  <si>
    <t>"1.0369 - MSWRK - Ensure Network security: Allow Local System to use computer identity for NTLM is set to Enabled: [FAILED]"
This policy setting determines whether Local System services that use Negotiate when reverting to NTLM authentication can use the computer identity.
See Also:
See HTH Policies and Standards
Reference:
NIST 800-53r5|IA-3
Policy Value:
'1'
Actual Value:
'0'</t>
  </si>
  <si>
    <t>2026-04-19T01:33:04.738Z</t>
  </si>
  <si>
    <t>"1.0175 - MSWRK - Ensure Set the default behavior for AutoRun is set to Enabled: Do not execute any autorun commands: [FAILED]"
This policy setting sets the default behavior for Autorun commands.
See Also:
See HTH Policies and Standards
Reference:
NIST 800-53r5|MP-7
Policy Value:
'1'
Actual Value:
'0'</t>
  </si>
  <si>
    <t>2026-04-19T01:33:04.739Z</t>
  </si>
  <si>
    <t>"1.0370 - MSWRK - Ensure Network security: Minimum session security for NTLM SSP based (including secure RPC) servers is set to Require NTLMv2 session security, Require 128-bit encryption: [FAILED]"
This policy setting determines which behaviors are allowed by servers for applications using the NTLM Security Support Provider (SSP).
See Also:
See HTH Policies and Standards
Reference:
NIST 800-53r5|AC-17(2) IA-5 IA-5(1) SC-8 SC-8(1)
Policy Value:
'537395200'
Actual Value:
'536870912'</t>
  </si>
  <si>
    <t>"1.0301 - MSWRK - Ensure Turn On Virtualization Based Security: Virtualization Based Protection of Code Integrity is set to Enabled with UEFI lock: [FAILED]"
This setting enables virtualization based protection of Kernel Mode Code Integrity.
See Also:
See HTH Policies and Standards
Reference:
NIST 800-53r5|SI-16
Policy Value:
'1'
Actual Value:
'0'</t>
  </si>
  <si>
    <t>2026-04-19T01:33:04.740Z</t>
  </si>
  <si>
    <t>"1.0030 - MSWRK - Ensure Audit Authorization Policy Change is set to include Success: [PASSED]"
This subcategory reports changes in authorization policy.
See Also:
See HTH Policies and Standards
Reference:
NIST 800-53r5|AU-3 AU-3(1) AU-7 AU-12
Policy Value:
'^(Success|Success\ and\ Failure)$'
Actual Value:
'Success'</t>
  </si>
  <si>
    <t>"1.0101 - MSWRK - Ensure Turn off Data Execution Prevention for Explorer is set to Disabled: [PASSED]"
Disabling Data Execution Prevention can allow certain legacy plug-in applications to function without terminating Explorer.
See Also:
See HTH Policies and Standards
Reference:
NIST 800-53r5|SI-16
Policy Value:
'0'
Actual Value:
'0'</t>
  </si>
  <si>
    <t>2026-04-19T01:33:04.741Z</t>
  </si>
  <si>
    <t>"1.0298 - MSWRK - Ensure Remote host allows delegation of non-exportable credentials is set to Enabled: [FAILED]"
When using credential delegation, devices provide an exportable version of credentials to the remote host.
See Also:
See HTH Policies and Standards
Reference:
NIST 800-53r5|IA-5
Policy Value:
'1'
Actual Value:
'0'</t>
  </si>
  <si>
    <t>"1.0040 - MSWRK - Ensure Configure use of hardware-based encryption for fixed data drives is set to Disabled: [PASSED]"
This policy setting allows you to manage BitLocker's use of hardware-based encryption on fixed data drives and specify which encryption algorithms it can use with hardware-based encryption.
See Also:
See HTH Policies and Standards
Reference:
NIST 800-53r5|AC-19(5)
Policy Value:
'0'
Actual Value:
'0'</t>
  </si>
  <si>
    <t>2026-04-19T01:33:04.742Z</t>
  </si>
  <si>
    <t>"1.0378 - MSWRK - Ensure Network security: LDAP client encryption requirements is set to Negotiate sealing or higher: [FAILED]"
This policy setting determines the level of data encryption that is requested on behalf of clients that issue LDAP BIND requests.
See Also:
See HTH Policies and Standards
Reference:
NIST 800-53r5|IA-3(1)
Policy Value:
'1' || '2'
Actual Value:
'0'</t>
  </si>
  <si>
    <t>2026-04-19T01:33:04.743Z</t>
  </si>
  <si>
    <t>"1.0316 - MSWRK - Ensure Notify antivirus programs when opening attachments is set to Enabled: [FAILED]"
This policy setting manages the behavior for notifying registered antivirus programs.
See Also:
See HTH Policies and Standards
Reference:
NIST 800-53r5|SI-3
Policy Value:
'3'
Actual Value:
'0'</t>
  </si>
  <si>
    <t>"1.0295 - MSWRK - Ensure Restrict Unauthenticated RPC clients is set to Enabled: Authenticated: [FAILED]"
This policy setting controls how the RPC server runtime handles unauthenticated RPC clients connecting to RPC servers.
See Also:
See HTH Policies and Standards
Reference:
NIST 800-53r5|CM-7b.
Policy Value:
'1'
Actual Value:
'0'</t>
  </si>
  <si>
    <t>"1.0306 - MSWRK - Ensure Turn On Virtualization Based Security: Credential Guard Configuration is set to Enabled with UEFI lock: [FAILED]"
This setting lets users turn on Credential Guard with virtualization-based security to help protect credentials.
See Also:
See HTH Policies and Standards
Reference:
NIST 800-53r5|SI-16
Policy Value:
'1'
Actual Value:
'0'</t>
  </si>
  <si>
    <t>2026-04-19T01:33:04.744Z</t>
  </si>
  <si>
    <t>"1.0436 - MSWRK - Ensure Windows Firewall: Domain: Logging: Name is configured: [FAILED]"
This policy setting is used to specify the path and name of the file in which Windows Firewall will write its log information.
See Also:
See HTH Policies and Standards
Reference:
NIST 800-53r5|AU-2 AU-7 AU-12
Policy Value:
'%SYSTEMROOT%\System32\logfiles\firewall\domainfw.log'
Actual Value:
'NOT_FOUND'</t>
  </si>
  <si>
    <t>"1.0288 - MSWRK - Ensure Allow standby states (S1-S3) when sleeping (on battery) is set to Disabled - Abfc2519-3608-4c2a-94ea-171b0ed546ab: [PASSED]"
This policy setting manages whether or not Windows is allowed to use standby states when putting the computer in a sleep state.
See Also:
See HTH Policies and Standards
Reference:
NIST 800-53r5|CM-1 CM-2 CM-6 CM-7 CM-7(1) CM-9 SA-3 SA-8 SA-10
Policy Value:
'0'
Actual Value:
'0'</t>
  </si>
  <si>
    <t>"1.0105 - MSWRK - Ensure Block all consumer Microsoft account user authentication is set to Enabled: [FAILED]"
This setting determines whether applications and services on the device can utilize new consumer Microsoft account authentication via the Windows OnlineID and WebAccountManager APIs.
See Also:
See HTH Policies and Standards
Reference:
NIST 800-53r5|AC-2(1)
Policy Value:
'1'
Actual Value:
'0'</t>
  </si>
  <si>
    <t>2026-04-19T01:33:04.745Z</t>
  </si>
  <si>
    <t>"1.0147 - MSWRK - Ensure Do not allow passwords to be saved is set to Enabled: [FAILED]"
This policy setting helps prevent Remote Desktop clients from saving passwords on a computer.
See Also:
See HTH Policies and Standards
Reference:
NIST 800-53r5|IA-5(13)
Policy Value:
'1'
Actual Value:
'0'</t>
  </si>
  <si>
    <t>"1.0131 - MSWRK - d3e037e1-3eb8-44c8-a917-57927947596d: [FAILED]"
Policy Value:
'1'
Actual Value:
'NOT_FOUND'</t>
  </si>
  <si>
    <t>"1.0081 - MSWRK - Ensure Do not display the password reveal button is set to Enabled: [FAILED]"
This policy setting allows you to configure the display of the password reveal button in password entry user experiences.
See Also:
See HTH Policies and Standards
Reference:
NIST 800-53r5|IA-5(1)
Policy Value:
'1'
Actual Value:
'0'</t>
  </si>
  <si>
    <t>2026-04-19T01:33:04.746Z</t>
  </si>
  <si>
    <t>"1.0122 - MSWRK - Ensure Join Microsoft MAPS is set to Enabled: Advanced: [FAILED]"
This policy setting configures Microsoft Active Protection Service (MAPS).
See Also:
See HTH Policies and Standards
Reference:
NIST 800-53r5|CM-6 CM-7
Policy Value:
'2'
Actual Value:
'0'</t>
  </si>
  <si>
    <t>"1.0064 - MSWRK - Ensure Configure use of hardware-based encryption for removable data drives is set to Disabled: [PASSED]"
This policy setting allows you to manage BitLocker's use of hardware-based encryption on removable data drives and specify which encryption algorithms it can use with hardware-based encryption.
See Also:
See HTH Policies and Standards
Reference:
NIST 800-53r5|AC-19(5)
Policy Value:
'0'
Actual Value:
'0'</t>
  </si>
  <si>
    <t>2026-04-19T01:33:04.747Z</t>
  </si>
  <si>
    <t>"1.0240 - MSWRK - Ensure Audit server does not support encryption is set to Enabled: [FAILED]"
This policy setting determines whether the Server Message Block (SMB) client will log events when the SMB server doesn't support encryption.
See Also:
See HTH Policies and Standards
Reference:
NIST 800-53r5|AU-3 AU-3(1) AU-7 AU-12
Policy Value:
'1'
Actual Value:
'0'</t>
  </si>
  <si>
    <t>"1.0041 - MSWRK - Ensure Configure use of passwords for fixed data drives is set to Disabled: [PASSED]"
This policy setting specifies whether a password is required to unlock BitLocker-protected fixed data drives.
See Also:
See HTH Policies and Standards
Reference:
NIST 800-53r5|IA-5(1)
Policy Value:
'0'
Actual Value:
'0'</t>
  </si>
  <si>
    <t>"1.0392 - MSWRK - Ensure User Account Control: Switch to the secure desktop when prompting for elevation is set to Enabled: [FAILED]"
This policy setting controls whether the elevation request prompt is displayed on the interactive user's desktop or the secure desktop.
See Also:
See HTH Policies and Standards
Reference:
NIST 800-53r5|AC-6(1)
Policy Value:
'1'
Actual Value:
'0'</t>
  </si>
  <si>
    <t>2026-04-19T01:33:04.748Z</t>
  </si>
  <si>
    <t>"1.0244 - MSWRK - Ensure Mandate the minimum version of SMB is set to Enabled: 3.1.1 - Lanmanworkstation: [FAILED]"
This policy settings controls the minimum version of Server Message Block (SMB) protocol that can be used on the system.
See Also:
See HTH Policies and Standards
Reference:
NIST 800-53r5|CM-6 CM-7
Policy Value:
'785'
Actual Value:
'0'</t>
  </si>
  <si>
    <t>"1.0073 - MSWRK - Ensure Choose how BitLocker-protected removable drives can be recovered: Recovery Key is set to Enabled: Do not allow 256-bit recovery key: [FAILED]"
This policy setting allows you to control how BitLocker-protected removable data drives are recovered in the absence of the required credentials.
See Also:
See HTH Policies and Standards
Reference:
NIST 800-53r5|MP-7
Policy Value:
'0'
Actual Value:
'2'</t>
  </si>
  <si>
    <t>"1.0067 - MSWRK - Ensure Configure use of smart cards on removable data drives: Require use of smart cards on removable data drives is set to Enabled: True: [FAILED]"
This policy setting specifies whether smart cards must be used to authenticate user access to BitLocker-protected removable data drives on a computer.
See Also:
See HTH Policies and Standards
Reference:
NIST 800-53r5|IA-2(1) IA-2(2) SC-28(1)
Policy Value:
'1'
Actual Value:
'0'</t>
  </si>
  <si>
    <t>2026-04-19T01:33:04.749Z</t>
  </si>
  <si>
    <t>"1.0281 - MSWRK - Ensure Turn off app notifications on the lock screen is set to Enabled: [FAILED]"
This policy setting allows you to prevent app notifications from appearing on the lock screen.
See Also:
See HTH Policies and Standards
Reference:
NIST 800-53r5|CM-6 CM-7
Policy Value:
'1'
Actual Value:
'0'</t>
  </si>
  <si>
    <t>"1.0475 - MSWRK - Services - Windows Firewall is enabled: [PASSED]"
The Windows Firewall service should be automatically enabled on startup.
See Also:
See corresponding HTH Policy or Standard
Reference:
NIST 800-53r5|CM-6
Policy Value:
'Running'
Actual Value:
'RunspaceId                           Value  _x000D_
----------                           -----  _x000D_
ae4dff49-da79-4635-9b00-6aa3fa708e5e Running'</t>
  </si>
  <si>
    <t>"1.0183 - MSWRK - Ensure Disallow Digest authentication is set to Enabled: [PASSED]"
This policy setting allows you to manage whether the Windows Remote Management (WinRM) client will not use Digest authentication.
See Also:
See HTH Policies and Standards
Reference:
NIST 800-53r5|AC-17(2) IA-5 IA-5(1) SC-8 SC-8(1)
Policy Value:
'0'
Actual Value:
'0'</t>
  </si>
  <si>
    <t>2026-04-19T01:33:04.750Z</t>
  </si>
  <si>
    <t>"1.0193 - MSWRK - Ensure Configure Automatic Updates: Scheduled install day is set to 0 - Every day: [PASSED]"
This policy setting specifies when computers in your environment will receive security updates from Windows Update or WSUS.
See Also:
See HTH Policies and Standards
Reference:
NIST 800-53r5|RA-5 RA-7 SI-2 SI-2(2)
Policy Value:
'0'
Actual Value:
'0'</t>
  </si>
  <si>
    <t>"1.0132 - MSWRK - 5beb7efe-fd9a-4556-801d-275e5ffc04cc: [FAILED]"
Policy Value:
'1'
Actual Value:
'NOT_FOUND'</t>
  </si>
  <si>
    <t>"1.0055 - MSWRK - Ensure Allow Secure Boot for integrity validation is set to Enabled: [FAILED]"
This policy setting allows you to configure whether Secure Boot will be allowed as the platform integrity provider for BitLocker operating system drives.
See Also:
See HTH Policies and Standards
Reference:
NIST 800-53r5|SI-16
Policy Value:
'1'
Actual Value:
'0'</t>
  </si>
  <si>
    <t>2026-04-19T01:33:04.751Z</t>
  </si>
  <si>
    <t>"1.0326 - MSWRK - Ensure Deny access to this computer from the network to include Guests, Local account: [FAILED]"
This policy setting prohibits users from connecting to a computer from across the network, which would allow users to access and potentially modify data remotely.
See Also:
See HTH Policies and Standards
Reference:
NIST 800-53r5|AC-2 AC-5 AC-6 AC-6(1) AC-6(7) AU-9(4)
Policy Value:
'(?=.*Guests)(?=.*Local\ account)'
Actual Value:
'NO_MEMBERS'</t>
  </si>
  <si>
    <t>"1.0190 - MSWRK - Ensure Prevent users from modifying settings is set to Enabled: [FAILED]"
This policy setting prevent users from making changes to the Exploit protection settings area in the Windows Security settings.
See Also:
See HTH Policies and Standards
Reference:
NIST 800-53r5|SI-16
Policy Value:
'1'
Actual Value:
'0'</t>
  </si>
  <si>
    <t>2026-04-19T01:33:04.752Z</t>
  </si>
  <si>
    <t>"1.0066 - MSWRK - Ensure Configure use of smart cards on removable data drives is set to Enabled: [FAILED]"
This policy setting specifies whether smart cards can be used to authenticate user access to BitLocker-protected removable data drives on a computer.
See Also:
See HTH Policies and Standards
Reference:
NIST 800-53r5|IA-2(1) IA-2(2) SC-28(1)
Policy Value:
'1'
Actual Value:
'0'</t>
  </si>
  <si>
    <t>"1.0092 - MSWRK - Ensure Enable App Installer ms-appinstaller protocol is set to Disabled: [FAILED]"
This policy setting controls whether users can install packages from a website that is using the ms-appinstaller protocol.
See Also:
See HTH Policies and Standards
Reference:
NIST 800-53r5|CM-6 CM-7
Policy Value:
'0'
Actual Value:
'1'</t>
  </si>
  <si>
    <t>"1.0457 - MSWRK - Network Information: [PASSED]"
This obtains relevent hosted view network information that may be used for additional evaluation.
See Also:
HTH Policies and Standards
Reference:
NIST 800-53r5|null
Policy Value:
'.*'
Actual Value:
'RunspaceId           : 537a7737-4fb2-4ec1-84dd-6d366dd58339_x000D_
ComputerName         : HTH4QVK6C4_x000D_
InterfaceAlias       : Ethernet 2_x000D_
InterfaceIndex       : 18_x000D_
InterfaceDescription : Cisco AnyConnect Virtual Miniport Adapter for Windows x64_x000D_
CompartmentId        : 1_x000D_
NetAdapter           : MSFT_NetAdapter (CreationClassName = "MSFT_NetAdapter", DeviceID = _x000D_
                       "{D2C81E75-185C-4511-88E0-EFF1B6DDE81C}", SystemCreationClassName = "CIM_NetworkPort", _x000D_
                       SystemName = "HTH4QVK6C4.HillTop.Global")_x000D_
NetCompartment       : MSFT_NetCompartment (InstanceID = ";55;")_x000D_
NetIPv6Interface     : _x000D_
NetIPv4Interface     : MSFT_NetIPInterface (Name = ";B55?55;", CreationClassName = "", SystemCreationClassName = "", _x000D_
                       SystemName = "")_x000D_
NetProfile           : MSFT_NetConnectionProfile (InstanceID = "{D2C81E75-185C-4511-88E0-EFF1B6DDE81C}")_x000D_
AllIPAddresses       : {MSFT_NetIPAddress (Name = ";:8C8??B8?A55;B55;55;", CreationClassName = "", _x000D_
                       SystemCreationClassName = "", SystemName = "")}_x000D_
IPv6Address          : {}_x000D_
IPv6TemporaryAddress : {}_x000D_
IPv6LinkLocalAddress : {}_x000D_
IPv4Address          : {MSFT_NetIPAddress (Name = ";:8C8??B8?A55;B55;55;", CreationClassName = "", _x000D_
                       SystemCreationClassName = "", SystemName = "")}_x000D_
IPv6DefaultGateway   : _x000D_
IPv4DefaultGateway   : {MSFT_NetRoute (InstanceID = ":8:8:8:9:55;B55;:8C8??B8;55;")}_x000D_
DNSServer            : {MSFT_DNSClientServerAddress (Name = "18", CreationClassName = "", SystemCreationClassName = _x000D_
                       "", SystemName = "23"), MSFT_DNSClientServerAddress (Name = "18", CreationClassName = "", _x000D_
                       SystemCreationClassName = "", SystemName = "2")}_x000D_
Detailed             : True_x000D_
_x000D_
RunspaceId           : 537a7737-4fb2-4ec1-84dd-6d366dd58339_x000D_
ComputerName         : HTH4QVK6C4_x000D_
InterfaceAlias       : Wi-Fi_x000D_
InterfaceIndex       : 20_x000D_
InterfaceDescription : Intel(R) Wi-Fi 6E AX211 160MHz_x000D_
CompartmentId        : 1_x000D_
NetAdapter           : MSFT_NetAdapter (CreationClassName = "MSFT_NetAdapter", DeviceID = _x000D_
                       "{E66EA24C-CF6C-4447-A888-2AD3760812F2}", SystemCreationClassName = "CIM_NetworkPort", _x000D_
                       SystemName = "HTH4QVK6C4.HillTop.Global")_x000D_
NetCompartment       : MSFT_NetCompartment (InstanceID = ";55;")_x000D_
NetIPv6Interface     : _x000D_
NetIPv4Interface     : MSFT_NetIPInterface (Name = "?:55?55;", CreationClassName = "", SystemCreationClassName = "", _x000D_
                       SystemName = "")_x000D_
NetProfile           : MSFT_NetConnectionProfile (InstanceID = "{E66EA24C-CF6C-4447-A888-2AD3760812F2}")_x000D_
AllIPAddresses       : {MSFT_NetIPAddress (Name = ";C?8;@B8;8?:B55?:55;55;", CreationClassName = "", _x000D_
                       SystemCreationClassName = "", SystemName = "")}_x000D_
IPv6Address          : {}_x000D_
IPv6TemporaryAddress : {}_x000D_
IPv6LinkLocalAddress : {}_x000D_
IPv4Address          : {MSFT_NetIPAddress (Name = ";C?8;@B8;8?:B55?:55;55;", CreationClassName = "", _x000D_
                       SystemCreationClassName = "", SystemName = "")}_x000D_
IPv6DefaultGateway   : _x000D_
IPv4DefaultGateway   : {MSFT_NetRoute (InstanceID = ":8:8:8:9:55?:55;C?8;@B8;8;55;")}_x000D_
DNSServer            : {MSFT_DNSClientServerAddress (Name = "20", CreationClassName = "", SystemCreationClassName = _x000D_
                       "", SystemName = "23"), MSFT_DNSClientServerAddress (Name = "20", CreationClassName = "", _x000D_
                       SystemCreationClassName = "", SystemName = "2")}_x000D_
Detailed             : True_x000D_
_x000D_
RunspaceId           : 537a7737-4fb2-4ec1-84dd-6d366dd58339_x000D_
ComputerName         : HTH4QVK6C4_x000D_
InterfaceAlias       : Bluetooth Network Connection_x000D_
InterfaceIndex       : 2_x000D_
InterfaceDescription : Bluetooth Device (Personal Area Network)_x000D_
CompartmentId        : 1_x000D_
NetAdapter           : MSFT_NetAdapter (CreationClassName = "MSFT_NetAdapter", DeviceID = _x000D_
                       "{02776AEA-A011-4D1F-A351-3DBBA1D4D9EF}", SystemCreationClassName = "CIM_NetworkPort", _x000D_
                       SystemName = "HTH4QVK6C4.HillTop.Global")_x000D_
NetCompartment       : MSFT_NetCompartment (InstanceID = ";55;")_x000D_
NetIPv6Interface     : _x000D_
NetIPv4Interface     : MSFT_NetIPInterface (Name = "?55?55;", CreationClassName = "", SystemCreationClassName = "", _x000D_
                       SystemName = "")_x000D_
NetProfile           : _x000D_
AllIPAddresses       : {}_x000D_
IPv6Address          : {}_x000D_
IPv6TemporaryAddress : {}_x000D_
IPv6LinkLocalAddress : {}_x000D_
IPv4Address          : _x000D_
IPv6DefaultGateway   : _x000D_
IPv4DefaultGateway   : _x000D_
DNSServer            : {MSFT_DNSClientServerAddress (Name = "2", CreationClassName = "", SystemCreationClassName = "", _x000D_
                       SystemName = "23"), MSFT_DNSClientServerAddress (Name = "2", CreationClassName = "", _x000D_
                       SystemCreationClassName = "", SystemName = "2")}_x000D_
Detailed             : True_x000D_
_x000D_
RunspaceId           : 537a7737-4fb2-4ec1-84dd-6d366dd58339_x000D_
ComputerName         : HTH4QVK6C4_x000D_
InterfaceAlias       : Ethernet_x000D_
InterfaceIndex       : 11_x000D_
InterfaceDescription : Intel(R) Ethernet Connection (24) I219-LM_x000D_
CompartmentId        : 1_x000D_
NetAdapter           : MSFT_NetAdapter (CreationClassName = "MSFT_NetAdapter", DeviceID = _x000D_
                       "{69F908C8-D720-42B0-810D-BC45EBC6B8DA}", SystemCreationClassName = "CIM_NetworkPort", _x000D_
                       SystemName = "HTH4QVK6C4.HillTop.Global")_x000D_
NetCompartment       : MSFT_NetCompartment (InstanceID = ";55;")_x000D_
NetIPv6Interface     : _x000D_
NetIPv4Interface     : MSFT_NetIPInterface (Name = ";;55?55;", CreationClassName = "", SystemCreationClassName = "", _x000D_
                       SystemName = "")_x000D_
NetProfile           : _x000D_
AllIPAddresses       : {}_x000D_
IPv6Address          : {}_x000D_
IPv6TemporaryAddress : {}_x000D_
IPv6LinkLocalAddress : {}_x000D_
IPv4Address          : _x000D_
IPv6DefaultGateway   : _x000D_
IPv4DefaultGateway   : _x000D_
DNSServer            : {MSFT_DNSClientServerAddress (Name = "11", CreationClassName = "", SystemCreationClassName = _x000D_
                       "", SystemName = "23"), MSFT_DNSClientServerAddress (Name = "11", CreationClassName = "", _x000D_
                       SystemCreationClassName = "", SystemName = "2")}_x000D_
Detailed             : True_x000D_
_x000D_
Enabled           : 1_x000D_
DisabledByDefault : 0_x000D_
PSPath            : Microsoft.PowerShell.Core\Registry::HKEY_LOCAL_MACHINE\SYSTEM\CurrentControlSet\Control\SecurityPro_x000D_
                    viders\SCHANNEL\Protocols\TLS 1.2\Server_x000D_
PSParentPath      : Microsoft.PowerShell.Core\Registry::HKEY_LOCAL_MACHINE\SYSTEM\CurrentControlSet\Control\SecurityPro_x000D_
                    viders\SCHANNEL\Protocols\TLS 1.2_x000D_
PSChildName       : Server_x000D_
PSDrive           : HKLM_x000D_
PSProvider        : Microsoft.PowerShell.Core\Registry_x000D_
RunspaceId        : 537a7737-4fb2-4ec1-84dd-6d366dd58339'</t>
  </si>
  <si>
    <t>2026-04-19T01:33:04.753Z</t>
  </si>
  <si>
    <t>"1.0125 - MSWRK - 9e6c4e1f-7d60-472f-ba1a-a39ef669e4b2: [FAILED]"
Policy Value:
'1'
Actual Value:
'NOT_FOUND'</t>
  </si>
  <si>
    <t>"1.0048 - MSWRK - Ensure Choose how BitLocker-protected fixed drives can be recovered: Omit recovery options from the BitLocker setup wizard is set to Enabled: True: [FAILED]"
This policy setting allows you to control how BitLocker-protected fixed data drives are recovered in the absence of the required credentials.
See Also:
See HTH Policies and Standards
Reference:
NIST 800-53r5|SC-28
Policy Value:
'1'
Actual Value:
'0'</t>
  </si>
  <si>
    <t>"1.0415 - MSWRK - Ensure OpenSSH SSH Server (sshd) is set to Disabled or Not Installed - Sshd: [FAILED]"
SSH protocol based service to provide secure encrypted communications between two untrusted hosts over an insecure network.
See Also:
See HTH Policies and Standards
Reference:
NIST 800-53r5|CM-6 CM-7
Policy Value:
'4'
Actual Value:
'0'</t>
  </si>
  <si>
    <t>2026-04-19T01:33:04.754Z</t>
  </si>
  <si>
    <t>"1.0225 - MSWRK - SYSVOL: [FAILED]"
Policy Value:
'[Rr]equire([Mm]utual[Aa]uthentication|[Ii]ntegrity|[Pp]rivacy)=1.*[Rr]equire([Mm]utual[Aa]uthentication|[Ii]ntegrity|[Pp]rivacy)=1.*[Rr]equire([Mm]utual[Aa]uthentication|[Ii]ntegrity|[Pp]rivacy)=1'
Actual Value:
'RequireMutualAuthentication=1,RequireIntegrity=0,RequirePrivacy=0'</t>
  </si>
  <si>
    <t>"1.0079 - MSWRK - Ensure Turn off Microsoft consumer experiences is set to Enabled: [PASSED]"
This policy setting turns off experiences that help consumers make the most of their devices and Microsoft account.
See Also:
See HTH Policies and Standards
Reference:
NIST 800-53r5|CM-6 CM-7
Policy Value:
'1'
Actual Value:
'1'</t>
  </si>
  <si>
    <t>"1.0221 - MSWRK - Ensure Prohibit installation and configuration of Network Bridge on your DNS domain network is set to Enabled: [PASSED]"
You can use this procedure to control a user's ability to install and configure a Network Bridge.
See Also:
See HTH Policies and Standards
Reference:
NIST 800-53r5|AC-18 AC-18(1) AC-18(3) CM-2 CM-6 CM-7 CM-7(1) CM-9
Policy Value:
'0'
Actual Value:
'0'</t>
  </si>
  <si>
    <t>2026-04-19T01:33:04.755Z</t>
  </si>
  <si>
    <t>"1.0284 - MSWRK - Ensure Include command line in process creation events is set to Enabled: [FAILED]"
This policy setting controls whether the process creation command line text is logged in security audit events when a new process has been created.
See Also:
See HTH Policies and Standards
Reference:
NIST 800-53r5|AU-2
Policy Value:
'1'
Actual Value:
'0'</t>
  </si>
  <si>
    <t>"1.0144 - MSWRK - Ensure Configure Microsoft Defender Application Guard clipboard settings: Clipboard behavior setting is set to Enabled: Enable clipboard operation from an isolated session to the host: [FAILED]"
This policy setting allows you to decide how the clipboard behaves while in Microsoft Defender Application Guard.
See Also:
See HTH Policies and Standards
Reference:
NIST 800-53r5|CM-6 CM-7
Policy Value:
'1'
Actual Value:
'0'</t>
  </si>
  <si>
    <t>2026-04-19T01:33:04.756Z</t>
  </si>
  <si>
    <t>"1.0152 - MSWRK - Ensure Require use of specific security layer for remote (RDP) connections is set to Enabled: SSL: [FAILED]"
This policy setting specifies whether to require the use of a specific security layer to secure communications between clients and RD Session Host servers during Remote Desktop Protocol (RDP) connections.
See Also:
See HTH Policies and Standards
Reference:
NIST 800-53r5|AC-17(2) IA-5 IA-5(1) SC-8 SC-8(1)
Policy Value:
'2'
Actual Value:
'0'</t>
  </si>
  <si>
    <t>"1.0137 - MSWRK - Ensure Prevent users and apps from accessing dangerous websites is set to Enabled: Block: [FAILED]"
This policy setting controls Microsoft Defender Exploit Guard network protection.
See Also:
See HTH Policies and Standards
Reference:
NIST 800-53r5|SC-7(3) SC-7(4) SI-16
Policy Value:
'1'
Actual Value:
'0'</t>
  </si>
  <si>
    <t>2026-04-19T01:33:04.757Z</t>
  </si>
  <si>
    <t>"1.0319 - MSWRK - Ensure Turn off Spotlight collection on Desktop is set to Enabled: [FAILED]"
This policy setting removes the Spotlight collection setting in Personalization, rendering the user unable to select and subsequently download daily images from Microsoft to the system desktop.
See Also:
See HTH Policies and Standards
Reference:
NIST 800-53r5|CM-6 CM-7
Policy Value:
'1'
Actual Value:
'0'</t>
  </si>
  <si>
    <t>"1.0313 - MSWRK - Ensure Turn off toast notifications on the lock screen is set to Enabled: [FAILED]"
This policy setting turns off toast notifications on the lock screen.
See Also:
See HTH Policies and Standards
Reference:
NIST 800-53r5|CM-6 CM-7
Policy Value:
'1'
Actual Value:
'0'</t>
  </si>
  <si>
    <t>2026-04-19T01:33:04.758Z</t>
  </si>
  <si>
    <t>"1.0418 - MSWRK - Ensure Simple TCP/IP Services (simptcp) is set to Disabled or Not Installed - Simptcp: [FAILED]"
Supports the following TCP/IP services: Character Generator, Daytime, Discard, Echo, and Quote of the Day.
See Also:
See HTH Policies and Standards
Reference:
NIST 800-53r5|CM-6 CM-7
Policy Value:
'4'
Actual Value:
'0'</t>
  </si>
  <si>
    <t>2026-04-19T01:33:04.759Z</t>
  </si>
  <si>
    <t>"1.0203 - MSWRK - Ensure Disable HTTP proxy features: Disable proxy authentication is set to Enabled: Disable authentication over loopback interfaces or higher: [FAILED]"
This policy setting determines whether Windows can authenticate over a loopback interface.
See Also:
See HTH Policies and Standards
Reference:
NIST 800-53r5|AC-3
Policy Value:
'256' || '287'
Actual Value:
'0'</t>
  </si>
  <si>
    <t>"1.0054 - MSWRK - Ensure Configure use of hardware-based encryption for operating system drives is set to Disabled: [PASSED]"
This policy setting allows you to manage BitLocker's use of hardware-based encryption on operating system drives and specify which encryption algorithms it can use with hardware-based encryption.
See Also:
See HTH Policies and Standards
Reference:
NIST 800-53r5|AC-19(5)
Policy Value:
'0'
Actual Value:
'0'</t>
  </si>
  <si>
    <t>"1.0194 - MSWRK - Ensure Enable features introduced via servicing that are off by default is set to Disabled: [PASSED]"
This policy settings configures whether or not features and enhancements that are introduced through monthly cumulative updates (servicing), are enabled on the system.
See Also:
See HTH Policies and Standards
Reference:
NIST 800-53r5|RA-5 RA-7 SI-2 SI-2(2)
Policy Value:
'0'
Actual Value:
'0'</t>
  </si>
  <si>
    <t>2026-04-19T01:33:04.760Z</t>
  </si>
  <si>
    <t>"1.0133 - MSWRK - 26190899-1602-49e8-8b27-eb1d0a1ce869: [FAILED]"
Policy Value:
'1'
Actual Value:
'NOT_FOUND'</t>
  </si>
  <si>
    <t>"1.0140 - MSWRK - Ensure Allow auditing events in Microsoft Defender Application Guard is set to Enabled: [FAILED]"
This policy setting allows you to decide whether auditing events can be collected from Microsoft Defender Application Guard.
See Also:
See HTH Policies and Standards
Reference:
NIST 800-53r5|AU-2 AU-7 AU-12
Policy Value:
'1'
Actual Value:
'0'</t>
  </si>
  <si>
    <t>2026-04-19T01:33:04.761Z</t>
  </si>
  <si>
    <t>"1.0258 - MSWRK - Ensure Boot-Start Driver Initialization Policy is set to Enabled: Good, unknown and bad but critical: [FAILED]"
This policy setting allows you to specify which boot-start drivers are initialized based on a classification determined by an Early Launch Antimalware boot-start driver.
See Also:
See HTH Policies and Standards
Reference:
NIST 800-53r5|SI-16
Policy Value:
'3'
Actual Value:
'0'</t>
  </si>
  <si>
    <t>"1.0371 - MSWRK - Ensure Network security: Restrict NTLM: Audit Incoming NTLM Traffic is set to Enable auditing for all accounts: [FAILED]"
This policy setting allows the auditing of incoming NTLM traffic.
See Also:
See HTH Policies and Standards
Reference:
NIST 800-53r5|AU-3 AU-3(1) AU-7 AU-12
Policy Value:
'2'
Actual Value:
'0'</t>
  </si>
  <si>
    <t>2026-04-19T01:33:04.762Z</t>
  </si>
  <si>
    <t>"1.0051 - MSWRK - Ensure Choose how BitLocker-protected fixed drives can be recovered: Do not enable BitLocker until recovery information is stored to AD DS for fixed data drives is set to Enabled: False: [PASSED]"
This policy setting allows you to control how BitLocker-protected fixed data drives are recovered in the absence of the required credentials.
See Also:
See HTH Policies and Standards
Reference:
NIST 800-53r5|SC-28
Policy Value:
'0'
Actual Value:
'0'</t>
  </si>
  <si>
    <t>"1.0248 - MSWRK - Ensure Manage processing of Queue-specific files is set to Enabled: Limit Queue-specific files to Color profiles: [FAILED]"
This policy setting manages how queue-specific files are processed during printer installation.
See Also:
See HTH Policies and Standards
Reference:
NIST 800-53r5|SI-16
Policy Value:
'1'
Actual Value:
'0'</t>
  </si>
  <si>
    <t>2026-04-19T01:33:04.763Z</t>
  </si>
  <si>
    <t>"1.0380 - MSWRK - Ensure Network security: Minimum session security for NTLM SSP based (including secure RPC) clients is set to Require NTLMv2 session security, Require 128-bit encryption: [FAILED]"
This policy setting determines which behaviors are allowed by clients for applications using the NTLM Security Support Provider (SSP).
See Also:
See HTH Policies and Standards
Reference:
NIST 800-53r5|AC-17(2) IA-5 IA-5(1) SC-8 SC-8(1)
Policy Value:
'537395200'
Actual Value:
'536870912'</t>
  </si>
  <si>
    <t>"1.0375 - MSWRK - Ensure Network security: Configure encryption types allowed for Kerberos is set to AES128_HMAC_SHA1, AES256_HMAC_SHA1, Future encryption types: [FAILED]"
This policy setting allows you to set the encryption types that Kerberos is allowed to use.
See Also:
See HTH Policies and Standards
Reference:
NIST 800-53r5|AC-17(2) IA-5 IA-5(1) SC-8 SC-8(1)
Policy Value:
'2147483640'
Actual Value:
'0'</t>
  </si>
  <si>
    <t>"1.0200 - MSWRK - Ensure Prevent enabling lock screen camera is set to Enabled: [FAILED]"
Disables the lock screen camera toggle switch in PC Settings and prevents a camera from being invoked on the lock screen.
See Also:
See HTH Policies and Standards
Reference:
NIST 800-53r5|AC-11
Policy Value:
'1'
Actual Value:
'0'</t>
  </si>
  <si>
    <t>2026-04-19T01:33:04.764Z</t>
  </si>
  <si>
    <t>"1.0143 - MSWRK - Ensure Allow files to download and save to the host operating system from Microsoft Defender Application Guard is set to Disabled: [PASSED]"
This policy setting determines whether to save downloaded files to the host operating system from the Microsoft Defender Application Guard container.
See Also:
See HTH Policies and Standards
Reference:
NIST 800-53r5|CM-6 CM-7
Policy Value:
'0'
Actual Value:
'0'</t>
  </si>
  <si>
    <t>"1.0232 - MSWRK - Ensure Audit client does not support encryption is set to Enabled: [FAILED]"
This policy setting determines whether the Server Message Block (SMB) server will log events when the SMB client doesn't support encryption.
See Also:
See HTH Policies and Standards
Reference:
NIST 800-53r5|AU-3 AU-3(1) AU-7 AU-12
Policy Value:
'1'
Actual Value:
'0'</t>
  </si>
  <si>
    <t>"1.0052 - MSWRK - Ensure Allow enhanced PINs for startup is set to Enabled: [FAILED]"
This policy setting allows you to configure whether or not enhanced startup PINs are used with BitLocker.
See Also:
See HTH Policies and Standards
Reference:
NIST 800-53r5|IA-5(1)
Policy Value:
'1'
Actual Value:
'0'</t>
  </si>
  <si>
    <t>2026-04-19T01:33:04.765Z</t>
  </si>
  <si>
    <t>"1.0419 - MSWRK - Ensure Special Administration Console Helper (sacsvr) is set to Disabled or Not Installed - Sacsvr: [FAILED]"
This service allows administrators to remotely access a command prompt using Emergency Management Services.
See Also:
See HTH Policies and Standards
Reference:
NIST 800-53r5|CM-6 CM-7
Policy Value:
'4'
Actual Value:
'0'</t>
  </si>
  <si>
    <t>2026-04-19T01:33:04.766Z</t>
  </si>
  <si>
    <t>"1.0317 - MSWRK - Ensure Configure Windows spotlight on lock screen is set to Disabled: [FAILED]"
This policy setting lets you configure Windows Spotlight on the lock screen.
See Also:
See HTH Policies and Standards
Reference:
NIST 800-53r5|AC-11
Policy Value:
'2'
Actual Value:
'0'</t>
  </si>
  <si>
    <t>"1.0484 - MSWRK - Services - BitLocker Drive Encryption Management Service: [PASSED]"
The BitLocker Management Client Service is automatically enabled on startup.
See Also:
See corresponding HTH Policy or Standard
Reference:
NIST 800-53r5|CM-6
Policy Value:
'Running'
Actual Value:
'RunspaceId                           Value  _x000D_
----------                           -----  _x000D_
42f52cf8-ba06-4c4a-a9fd-d4f6edf90069 Running'</t>
  </si>
  <si>
    <t>2026-04-19T01:33:04.767Z</t>
  </si>
  <si>
    <t>"1.0482 - MSWRK - Check if WinRM service is running: [PASSED]"
Windows Remote Management (WinRM) is the Microsoft implementation of the WS-Management protocol.
See Also:
See corresponding HTH Policy or Standard
Reference:
NIST 800-53r5|CM-6 CM-7
Policy Value:
'Running'
Actual Value:
'RunspaceId                           Value  _x000D_
----------                           -----  _x000D_
c31c3552-16b0-425d-92d6-563a65c32e36 Running'</t>
  </si>
  <si>
    <t>2026-04-19T01:33:04.768Z</t>
  </si>
  <si>
    <t>"1.0072 - MSWRK - Ensure Choose how BitLocker-protected removable drives can be recovered: Recovery Password is set to Enabled: Do not allow 48-digit recovery password: [FAILED]"
This policy setting allows you to control how BitLocker-protected removable data drives are recovered in the absence of the required credentials.
See Also:
See HTH Policies and Standards
Reference:
NIST 800-53r5|MP-7
Policy Value:
'0'
Actual Value:
'2'</t>
  </si>
  <si>
    <t>"1.0492 - MSWRK - Services - Xbox Live Networking Service: [PASSED]"
The Xbox Live Networking Service is disabled.
See Also:
See corresponding HTH Policy or Standard
Reference:
NIST 800-53r5|CM-6
Policy Value:
'Stopped' || 'Service Not Found'
Actual Value:
'RunspaceId                           Value  _x000D_
----------                           -----  _x000D_
6324997e-a731-4ba6-ac4d-b4ad74ec7383 Stopped'</t>
  </si>
  <si>
    <t>"1.0087 - MSWRK - Ensure Download Mode is NOT set to Enabled: Internet: [PASSED]"
This policy setting specifies the download method that Delivery Optimization can use in downloads of Windows Updates, Apps and App updates.
See Also:
See HTH Policies and Standards
Reference:
NIST 800-53r5|RA-5 RA-7 SI-2 SI-2(2)
Policy Value:
'0' || '1' || '2' || '99' || '100'
Actual Value:
'0'</t>
  </si>
  <si>
    <t>2026-04-19T01:33:04.769Z</t>
  </si>
  <si>
    <t>"1.0141 - MSWRK - Ensure Allow camera and microphone access in Microsoft Defender Application Guard is set to Disabled: [PASSED]"
The policy allows you to determine whether applications inside Microsoft Defender Application Guard can access the device's camera and microphone.
See Also:
See HTH Policies and Standards
Reference:
NIST 800-53r5|CM-6 CM-7
Policy Value:
'0'
Actual Value:
'0'</t>
  </si>
  <si>
    <t>"1.0358 - MSWRK - Ensure Network access: Shares that can be accessed anonymously is set to None: [FAILED]"
This policy setting determines which network shares can be accessed by anonymous users.
See Also:
See HTH Policies and Standards
Reference:
NIST 800-53r5|AC-3
Policy Value:
'NO_MEMBERS'
Actual Value:
'0,,C:\WINDOWS\system32\srvsvc.dll,1,15,1,1,1,1,144,105,151,135,10,19,41,73,159,16,136,66,177,48,146,178'</t>
  </si>
  <si>
    <t>"1.0085 - MSWRK - Ensure Do not show feedback notifications is set to Enabled: [PASSED]"
This policy setting allows an organization to prevent its devices from showing feedback questions from Microsoft.
See Also:
See HTH Policies and Standards
Reference:
NIST 800-53r5|CM-7b.
Policy Value:
'1'
Actual Value:
'1'</t>
  </si>
  <si>
    <t>2026-04-19T01:33:04.770Z</t>
  </si>
  <si>
    <t>"1.0489 - MSWRK - Services - SentinelOne Static Service: [PASSED]"
Manage static engines for SentinelOne Endpoint Protection.
See Also:
See corresponding HTH Policy or Standard
Reference:
NIST 800-53r5|CM-6
Policy Value:
'Running'
Actual Value:
'RunspaceId                           Value  _x000D_
----------                           -----  _x000D_
a45a22ed-a65c-461b-887d-58af9ac79b79 Running'</t>
  </si>
  <si>
    <t>2026-04-19T01:33:04.771Z</t>
  </si>
  <si>
    <t>"1.0491 - MSWRK - Services - Xbox Live Game Save Service: [PASSED]"
The Xbox Live Game Save Service is disabled.
See Also:
See corresponding HTH Policy or Standard
Reference:
NIST 800-53r5|CM-6
Policy Value:
'Stopped' || 'Service Not Found'
Actual Value:
'RunspaceId                           Value  _x000D_
----------                           -----  _x000D_
924c01f7-337b-4c54-8732-dcf5d250487c Stopped'</t>
  </si>
  <si>
    <t>"1.0362 - MSWRK - Ensure Network access: Do not allow storage of passwords and credentials for network authentication is set to Enabled: [FAILED]"
This policy setting determines whether Credential Manager (formerly called Stored User Names and Passwords) saves passwords or credentials for later use when it gains domain authentication.
See Also:
See HTH Policies and Standards
Reference:
NIST 800-53r5|IA-5(1)(c)
Policy Value:
'1'
Actual Value:
'0'</t>
  </si>
  <si>
    <t>"1.0084 - MSWRK - Ensure Allow Diagnostic Data is set to Enabled: Diagnostic data off (not recommended) or Enabled: Send required diagnostic data: [PASSED]"
This policy setting determines the amount of diagnostic and usage data reported to Microsoft: - A value of (0) Diagnostic data off (not recommended).
See Also:
See HTH Policies and Standards
Reference:
NIST 800-53r5|CM-7b.
Policy Value:
'0' || '1'
Actual Value:
'1'</t>
  </si>
  <si>
    <t>2026-04-19T01:33:04.772Z</t>
  </si>
  <si>
    <t>"1.0277 - MSWRK - Ensure Block user from showing account details on sign-in is set to Enabled: [FAILED]"
This policy prevents the user from showing account details (email address or user name) on the sign-in screen.
See Also:
See HTH Policies and Standards
Reference:
NIST 800-53r5|CM-1 CM-2 CM-6 CM-7 CM-7(1) CM-9 SA-3 SA-8 SA-10
Policy Value:
'1'
Actual Value:
'0'</t>
  </si>
  <si>
    <t>"1.0075 - MSWRK - Ensure Choose how BitLocker-protected removable drives can be recovered: Save BitLocker recovery information to AD DS for removable data drives is set to Enabled: False: [FAILED]"
This policy setting allows you to control how BitLocker-protected removable data drives are recovered in the absence of the required credentials.
See Also:
See HTH Policies and Standards
Reference:
NIST 800-53r5|MP-7
Policy Value:
'0'
Actual Value:
'1'</t>
  </si>
  <si>
    <t>"1.0307 - MSWRK - Ensure Turn On Virtualization Based Security: Secure Launch Configuration is set to Enabled: [FAILED]"
Secure Launch protects the Virtualization Based Security environment from exploited vulnerabilities in device firmware.
See Also:
See HTH Policies and Standards
Reference:
NIST 800-53r5|SI-16
Policy Value:
'1'
Actual Value:
'0'</t>
  </si>
  <si>
    <t>2026-04-19T01:33:04.773Z</t>
  </si>
  <si>
    <t>"1.0017 - MSWRK - Ensure Audit Process Creation is set to include Success: [PASSED]"
This subcategory reports the creation of a process and the name of the program or user that created it.
See Also:
See HTH Policies and Standards
Reference:
NIST 800-53r5|AU-3 AU-3(1) AU-7 AU-12
Policy Value:
'^(Success|Success\ and\ Failure)$'
Actual Value:
'Success'</t>
  </si>
  <si>
    <t>"1.0372 - MSWRK - Ensure Network security: Restrict NTLM: Outgoing NTLM traffic to remote servers is set to Audit all or higher: [FAILED]"
This policy setting allows the auditing of outgoing NTLM traffic.
See Also:
See HTH Policies and Standards
Reference:
NIST 800-53r5|AU-3 AU-3(1) AU-7 AU-12
Policy Value:
'1' || '2'
Actual Value:
'0'</t>
  </si>
  <si>
    <t>2026-04-19T01:33:04.774Z</t>
  </si>
  <si>
    <t>"1.0138 - MSWRK - Ensure Enable file hash computation feature is set to Enabled: [FAILED]"
This setting determines whether hash values are computed for files scanned by Microsoft Defender.
See Also:
See HTH Policies and Standards
Reference:
NIST 800-53r5|SI-3
Policy Value:
'1'
Actual Value:
'0'</t>
  </si>
  <si>
    <t>"1.0179 - MSWRK - Ensure Configure the transmission of the users password in the content of MPR notifications sent by winlogon. is set to Disabled: [PASSED]"
This policy setting controls whether winlogon includes a user's password in the content of Multiple Provider Router (MPR) notifications.
See Also:
See HTH Policies and Standards
Reference:
NIST 800-53r5|CM-6 CM-7
Policy Value:
'0'
Actual Value:
'0'</t>
  </si>
  <si>
    <t>2026-04-19T01:33:04.775Z</t>
  </si>
  <si>
    <t>"1.0116 - MSWRK - Ensure Trigger a quick scan after X days without any scans is set to Enabled: 7: [FAILED]"
This policy setting configures the number of days after the last scan (of any type) before an aggressive Quick Scan is automatically triggered.
See Also:
See HTH Policies and Standards
Reference:
NIST 800-53r5|SI-3
Policy Value:
'7'
Actual Value:
'0'</t>
  </si>
  <si>
    <t>"1.0432 - MSWRK - Ensure Infrared monitor service (irmon) is set to Disabled or Not Installed - Irmon: [FAILED]"
Detects other Infrared devices that are in range and launches the file transfer application.
See Also:
See HTH Policies and Standards
Reference:
NIST 800-53r5|CM-6 CM-7
Policy Value:
'4'
Actual Value:
'0'</t>
  </si>
  <si>
    <t>"1.0049 - MSWRK - Ensure Choose how BitLocker-protected fixed drives can be recovered: Save BitLocker recovery information to AD DS for fixed data drives is set to Enabled: False: [PASSED]"
This policy setting allows you to control how BitLocker-protected fixed data drives are recovered in the absence of the required credentials.
See Also:
See HTH Policies and Standards
Reference:
NIST 800-53r5|SC-28
Policy Value:
'0'
Actual Value:
'0'</t>
  </si>
  <si>
    <t>2026-04-19T01:33:04.776Z</t>
  </si>
  <si>
    <t>"1.0019 - MSWRK - Ensure Audit Group Membership is set to include Success: [PASSED]"
This policy allows you to audit the group membership information in the user's logon token.
See Also:
See HTH Policies and Standards
Reference:
NIST 800-53r5|AU-3 AU-3(1) AU-7 AU-12
Policy Value:
'^(Success|Success\ and\ Failure)$'
Actual Value:
'Success'</t>
  </si>
  <si>
    <t>2026-04-19T01:33:04.899Z</t>
  </si>
  <si>
    <t>2026-04-19T01:33:04.901Z</t>
  </si>
  <si>
    <t>"1.0045 - MSWRK - Ensure Choose how BitLocker-protected fixed drives can be recovered: Allow data recovery agent is set to Enabled: True: [FAILED]"
This policy setting allows you to control how BitLocker-protected fixed data drives are recovered in the absence of the required credentials.
See Also:
See HTH Policies and Standards
Reference:
NIST 800-53r5|SC-28
Policy Value:
'1'
Actual Value:
'0'</t>
  </si>
  <si>
    <t>2026-04-19T01:33:04.902Z</t>
  </si>
  <si>
    <t>"1.0376 - MSWRK - Ensure Network security: Force logoff when logon hours expire is set to Enabled: [FAILED]"
This policy setting determines whether to disconnect users who are connected to the local computer outside their user account's valid logon hours.
See Also:
See HTH Policies and Standards
Reference:
NIST 800-53r5|AC-2(12)
Policy Value:
'Enabled'
Actual Value:
'Disabled'</t>
  </si>
  <si>
    <t>2026-04-19T01:33:04.903Z</t>
  </si>
  <si>
    <t>"1.0059 - MSWRK - Ensure Choose how BitLocker-protected operating system drives can be recovered: Recovery Key is set to Enabled: Do not allow 256-bit recovery key: [FAILED]"
This policy setting allows you to control how BitLocker-protected operating system drives are recovered in the absence of the required startup key information.
See Also:
See HTH Policies and Standards
Reference:
NIST 800-53r5|SC-28
Policy Value:
'0'
Actual Value:
'2'</t>
  </si>
  <si>
    <t>"1.0160 - MSWRK - Ensure Allow Microsoft accounts to be optional is set to Enabled: [FAILED]"
This policy setting lets you control whether Microsoft accounts are optional for Windows Store apps that require an account to sign in.
See Also:
See HTH Policies and Standards
Reference:
NIST 800-53r5|AC-2(1)
Policy Value:
'1'
Actual Value:
'0'</t>
  </si>
  <si>
    <t>2026-04-19T01:33:04.904Z</t>
  </si>
  <si>
    <t>"1.0274 - MSWRK - Ensure Post-authentication actions: Actions is set to Enabled: Reset the password and logoff the managed account or higher: [FAILED]"
This policy settings configures post-authentication actions which will be executed after detecting an authentication by the LAPS managed account.
See Also:
See HTH Policies and Standards
Reference:
NIST 800-53r5|IA-5(1)
Policy Value:
'3' || '5' || '11'
Actual Value:
'0'</t>
  </si>
  <si>
    <t>"1.0273 - MSWRK - Ensure Post-authentication actions: Grace period (hours) is set to Enabled: 8 or fewer hours, but not 0: [FAILED]"
This policy settings configures post-authentication actions which will be executed after detecting an authentication by the Windows LAPS managed account.
See Also:
See HTH Policies and Standards
Reference:
NIST 800-53r5|IA-5(1)
Policy Value:
'^(1|2|3|4|5|6|7|8)$'
Actual Value:
'0'</t>
  </si>
  <si>
    <t>2026-04-19T01:33:04.905Z</t>
  </si>
  <si>
    <t>"1.0290 - MSWRK - Ensure Require a password when a computer wakes (on battery) is set to Enabled - 0e796bdb-100d-47d6-a2d5-f7d2daa51f51: [PASSED]"
Specifies whether or not the user is prompted for a password when the system resumes from sleep.
See Also:
See HTH Policies and Standards
Reference:
NIST 800-53r5|AC-11
Policy Value:
'1'
Actual Value:
'1'</t>
  </si>
  <si>
    <t>"1.0478 - MSWRK - Services - Security Accounts Manager: [PASSED]"
The Security Accounts Manager service should be automatically enabled on startup.
See Also:
See corresponding HTH Policy or Standard
Reference:
NIST 800-53r5|CM-6
Policy Value:
'Running'
Actual Value:
'RunspaceId                           Value  _x000D_
----------                           -----  _x000D_
bb49608b-0822-4238-b359-881ab3f27f84 Running'</t>
  </si>
  <si>
    <t>2026-04-19T01:33:04.906Z</t>
  </si>
  <si>
    <t>"1.0268 - MSWRK - Ensure Do not allow password expiration time longer than required by policy is set to Enabled: [FAILED]"
This policy setting configures whether the password age dictated by the Windows LAPS \'Password Settings\' policy is enforced and cannot be extended manually (only shortened) by an authorized technician.
See Also:
See HTH Policies and Standards
Reference:
NIST 800-53r5|IA-5(1)(d)
Policy Value:
'1'
Actual Value:
'0'</t>
  </si>
  <si>
    <t>"1.0454 - MSWRK - Ensure Windows Firewall: Public: Logging: Log dropped packets is set to Yes: [PASSED]"
Use this option to log when Windows Firewall with Advanced Security discards an inbound packet for any reason.
See Also:
See HTH Policies and Standards
Reference:
NIST 800-53r5|AU-3 AU-3(1) AU-7 AU-12 SC-7 SC-7(5)
Policy Value:
'1'
Actual Value:
'1'</t>
  </si>
  <si>
    <t>"1.0445 - MSWRK - Ensure Windows Firewall: Private: Logging: Log dropped packets is set to Yes: [PASSED]"
Use this option to log when Windows Firewall with Advanced Security discards an inbound packet for any reason.
See Also:
See HTH Policies and Standards
Reference:
NIST 800-53r5|AU-3 AU-3(1) AU-7 AU-12 SC-7 SC-7(5)
Policy Value:
'1'
Actual Value:
'1'</t>
  </si>
  <si>
    <t>2026-04-19T01:33:04.907Z</t>
  </si>
  <si>
    <t>"1.0168 - MSWRK - Ensure Service Enabled is set to Enabled: [FAILED]"
This policy setting determines whether Enhanced Phishing Protection is in audit mode.
See Also:
See HTH Policies and Standards
Reference:
NIST 800-53r5|SI-16
Policy Value:
'1'
Actual Value:
'0'</t>
  </si>
  <si>
    <t>"1.0420 - MSWRK - Ensure Computer Browser (Browser) is set to Disabled or Not Installed: [FAILED]"
Maintains an updated list of computers on the network and supplies this list to computers designated as browsers.
See Also:
See HTH Policies and Standards
Reference:
NIST 800-53r5|CM-6 CM-7
Policy Value:
'4'
Actual Value:
'0'</t>
  </si>
  <si>
    <t>2026-04-19T01:33:04.908Z</t>
  </si>
  <si>
    <t>"1.0294 - MSWRK - Ensure Enable RPC Endpoint Mapper Client Authentication is set to Enabled: [FAILED]"
This policy setting controls whether RPC clients authenticate with the Endpoint Mapper Service when the call they are making contains authentication information.
See Also:
See HTH Policies and Standards
Reference:
NIST 800-53r5|CM-7b.
Policy Value:
'1'
Actual Value:
'0'</t>
  </si>
  <si>
    <t>"1.0364 - MSWRK - Ensure Network access: Named Pipes that can be accessed anonymously is set to None: [FAILED]"
This policy setting determines which communication sessions, or pipes, will have attributes and permissions that allow anonymous access.
See Also:
See HTH Policies and Standards
Reference:
NIST 800-53r5|IA-2(2)
Policy Value:
'NO_MEMBERS'
Actual Value:
'0,,C:\WINDOWS\system32\srvsvc.dll,1,15,1,1,1,1,144,105,151,135,10,19,41,73,159,16,136,66,177,48,146,178'</t>
  </si>
  <si>
    <t>"1.0065 - MSWRK - Ensure Configure use of passwords for removable data drives is set to Disabled: [FAILED]"
This policy setting allows you to specify whether a password is required to unlock BitLocker-protected removable data drives.
See Also:
See HTH Policies and Standards
Reference:
NIST 800-53r5|IA-5(1)
Policy Value:
'0'
Actual Value:
'1'</t>
  </si>
  <si>
    <t>2026-04-19T01:33:04.909Z</t>
  </si>
  <si>
    <t>"1.0186 - MSWRK - Ensure Disallow WinRM from storing RunAs credentials is set to Enabled: [FAILED]"
This policy setting allows you to manage whether the Windows Remote Management (WinRM) service will allow RunAs credentials to be stored for any plug-ins.
See Also:
See HTH Policies and Standards
Reference:
NIST 800-53r5|SC-7(21)
Policy Value:
'1'
Actual Value:
'0'</t>
  </si>
  <si>
    <t>"1.0486 - MSWRK - Sentinel Agent: [PASSED]"
SentinelOne Endpoint Protection Agent
See Also:
See corresponding HTH Policy or Standard
Reference:
NIST 800-53r5|CM-6
Policy Value:
'Running'
Actual Value:
'RunspaceId                           Value  _x000D_
----------                           -----  _x000D_
cf7ea396-0664-45e8-91d8-5f79a339674c Running'</t>
  </si>
  <si>
    <t>2026-04-19T01:33:04.910Z</t>
  </si>
  <si>
    <t>"1.0149 - MSWRK - Ensure Do not allow drive redirection is set to Enabled: [FAILED]"
This policy setting prevents users from sharing the local drives on their client computers to Remote Desktop Servers that they access.
See Also:
See HTH Policies and Standards
Reference:
NIST 800-53r5|CM-6 CM-7
Policy Value:
'1'
Actual Value:
'0'</t>
  </si>
  <si>
    <t>2026-04-19T01:33:04.911Z</t>
  </si>
  <si>
    <t>"1.0172 - MSWRK - Ensure Enable ESS with Supported Peripherals is set to Enabled: 1: [FAILED]"
Enhanced Sign-in Security isolates Windows Hello biometric (face and fingerprint) template data and matching operations to trusted hardware or specified memory regions.
See Also:
See HTH Policies and Standards
Reference:
NIST 800-53r5|SI-16
Policy Value:
'1'
Actual Value:
'0'</t>
  </si>
  <si>
    <t>"1.0177 - MSWRK - Ensure Always install with elevated privileges is set to Disabled: [PASSED]"
This setting controls whether or not Windows Installer should use system permissions when it installs any program on the system.
See Also:
See HTH Policies and Standards
Reference:
NIST 800-53r5|AC-2(9)
Policy Value:
'0'
Actual Value:
'0'</t>
  </si>
  <si>
    <t>2026-04-19T01:33:04.912Z</t>
  </si>
  <si>
    <t>"1.0260 - MSWRK - Ensure Configure security policy processing: Do not apply during periodic background processing is set to Enabled: FALSE: [PASSED]"
The \'Do not apply during periodic background processing\' option prevents the system from updating affected security policies in the background while the computer is in use.
See Also:
See HTH Policies and Standards
Reference:
NIST 800-53r5|CM-1 CM-2 CM-6 CM-7 CM-7(1) CM-9 SA-3 SA-8 SA-10
Policy Value:
'0'
Actual Value:
'0'</t>
  </si>
  <si>
    <t>"1.0043 - MSWRK - Ensure Configure use of smart cards on fixed data drives: Require use of smart cards on fixed data drives is set to Enabled: True: [FAILED]"
This policy setting allows you to specify whether smart cards must be used to authenticate user access to the BitLocker-protected fixed data drives on a computer.
See Also:
See HTH Policies and Standards
Reference:
NIST 800-53r5|IA-2(1) IA-2(2) SC-28(1)
Policy Value:
'1'
Actual Value:
'0'</t>
  </si>
  <si>
    <t>2026-04-19T01:33:04.913Z</t>
  </si>
  <si>
    <t>"1.0374 - MSWRK - Ensure Network Security: Allow PKU2U authentication requests to this computer to use online identities is set to Disabled: [PASSED]"
This setting determines if online identities are able to authenticate to this computer.
See Also:
See HTH Policies and Standards
Reference:
NIST 800-53r5|CM-1 CM-2 CM-6 CM-7 CM-7(1) CM-9 SA-3 SA-8 SA-10
Policy Value:
'0'
Actual Value:
'0'</t>
  </si>
  <si>
    <t>"1.0196 - MSWRK - Ensure Manage preview builds is set to Disabled: [FAILED]"
This policy setting manages which updates that are received prior to the update being released.
See Also:
See HTH Policies and Standards
Reference:
NIST 800-53r5|CM-7(5) CM-10
Policy Value:
'1'
Actual Value:
'0'</t>
  </si>
  <si>
    <t>"1.0032 - MSWRK - Ensure Audit Other Policy Change Events is set to include Failure: [PASSED]"
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See Also:
See HTH Policies and Standards
Reference:
NIST 800-53r5|AU-3 AU-3(1) AU-7 AU-12
Policy Value:
'^(Failure|Success\ and\ Failure)$'
Actual Value:
'Failure'</t>
  </si>
  <si>
    <t>"1.0451 - MSWRK - Ensure Windows Firewall: Public: Settings: Apply local connection security rules is set to No: [PASSED]"
This setting controls whether local administrators are allowed to create connection security rules that apply together with connection security rules configured by Group Policy.
See Also:
See HTH Policies and Standards
Reference:
NIST 800-53r5|SC-7 SC-7(5)
Policy Value:
'0'
Actual Value:
'0'</t>
  </si>
  <si>
    <t>2026-04-19T01:33:04.914Z</t>
  </si>
  <si>
    <t>2026-04-19T01:33:04.915Z</t>
  </si>
  <si>
    <t>"1.0305 - MSWRK - (L1) Ensure Configure the behavior of the sudo command is set to Enabled: Disabled - Sudo: [PASSED]"
This policy setting configures the use of the sudo.
See Also:
See HTH Policies and Standards
Reference:
NIST 800-53r5|CM-7b.
Policy Value:
'0'
Actual Value:
'0'</t>
  </si>
  <si>
    <t>"1.0440 - MSWRK - Ensure Windows Firewall: Private: Firewall state is set to On (recommended) - Privateprofile: [PASSED]"
This policy setting controls whether the built-in Private Firewall state is enabled or disabled.
See Also:
See HTH Policies and Standards
Reference:
NIST 800-53r5|SC-7 SC-7(5)
Policy Value:
'1'
Actual Value:
'1'</t>
  </si>
  <si>
    <t>"1.0111 - MSWRK - Ensure Turn on script scanning is set to Enabled: [FAILED]"
This policy setting allows script scanning to be turned on/off.
See Also:
See HTH Policies and Standards
Reference:
NIST 800-53r5|SI-4
Policy Value:
'0'
Actual Value:
'1'</t>
  </si>
  <si>
    <t>2026-04-19T01:33:04.916Z</t>
  </si>
  <si>
    <t>"1.0403 - MSWRK - Ensure Interactive logon: Machine inactivity limit is set to 900 or fewer second(s), but not 0: [PASSED]"
Windows notices inactivity of a logon session, and if the amount of inactive time exceeds the inactivity limit, then the screen saver will run, locking the session.
See Also:
See HTH Policies and Standards
Reference:
NIST 800-53r5|AC-2(5) AC-11 AC-11(1) AC-12
Policy Value:
'^(1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
Actual Value:
'900'</t>
  </si>
  <si>
    <t>"1.0449 - MSWRK - Ensure Windows Firewall: Public: Settings: Display a notification is set to No - Publicprofile: [PASSED]"
Select this option to have Windows Firewall with Advanced Security display notifications to the user when a program is blocked from receiving inbound connections.
See Also:
See HTH Policies and Standards
Reference:
NIST 800-53r5|SC-7 SC-7(5)
Policy Value:
'1'
Actual Value:
'1'</t>
  </si>
  <si>
    <t>"1.0448 - MSWRK - Ensure Windows Firewall: Public: Inbound connections is set to Block (default) - Publicprofile: [FAILED]"
This setting determines the behavior for inbound connections that do not match an inbound firewall rule.
See Also:
See HTH Policies and Standards
Reference:
NIST 800-53r5|SC-7 SC-7(5)
Policy Value:
'1'
Actual Value:
'0'</t>
  </si>
  <si>
    <t>2026-04-19T01:33:04.917Z</t>
  </si>
  <si>
    <t>"1.0327 - MSWRK - Ensure Deny log on as a batch job to include Guests: [FAILED]"
This policy setting determines which accounts will not be able to log on to the computer as a batch job.
See Also:
See HTH Policies and Standards
Reference:
NIST 800-53r5|AC-2 AC-5 AC-6 AC-6(1) AC-6(7) AU-9(4)
Policy Value:
'(?=.*Guests)'
Actual Value:
'NO_MEMBERS'</t>
  </si>
  <si>
    <t>"1.0452 - MSWRK - Ensure Windows Firewall: Public: Logging: Name is configured: [PASSED]"
This policy setting is used to specify the path and name of the file in which Windows Firewall will write its log information.
See Also:
See HTH Policies and Standards
Reference:
NIST 800-53r5|AU-2 AU-7 AU-12
Policy Value:
'%SYSTEMROOT%\System32\logfiles\firewall\publicfw.log'
Actual Value:
'%systemroot%\system32\logfiles\firewall\publicfw.log'</t>
  </si>
  <si>
    <t>2026-04-19T01:33:04.918Z</t>
  </si>
  <si>
    <t>"1.0201 - MSWRK - Ensure Disable HTTP proxy features: Disable WPAD is set to Enabled: Checked: [PASSED]"
This policy setting determines whether Web Proxy Auto-Discovery protocol (WPAD) is disabled on the system.
See Also:
See HTH Policies and Standards
Reference:
NIST 800-53r5|CM-7b.
Policy Value:
'1'
Actual Value:
'1'</t>
  </si>
  <si>
    <t>"1.0076 - MSWRK - Ensure Choose how BitLocker-protected removable drives can be recovered: Configure storage of BitLocker recovery information to AD DS: is set to Enabled: Backup recovery passwords and key packages: [PASSED]"
This policy setting allows you to control how BitLocker-protected removable data drives are recovered in the absence of the required credentials.
See Also:
See HTH Policies and Standards
Reference:
NIST 800-53r5|MP-7
Policy Value:
'1'
Actual Value:
'1'</t>
  </si>
  <si>
    <t>"1.0252 - MSWRK - Ensure Configure RPC connection settings: Protocol to use for outgoing RPC connections is set to Enabled: RPC over TCP: [PASSED]"
This policy setting controls which protocol and protocol settings to use for outgoing Remote Procedure Call (RPC) connections to a remote print spooler.
See Also:
See HTH Policies and Standards
Reference:
NIST 800-53r5|CM-6b.
Policy Value:
'0'
Actual Value:
'0'</t>
  </si>
  <si>
    <t>"1.0174 - MSWRK - Ensure Allow Windows Ink Workspace is set to Enabled: On, but disallow access above lock OR Enabled: Disabled: [PASSED]"
This policy setting determines whether Windows Ink items are allowed above the lock screen.
See Also:
See HTH Policies and Standards
Reference:
NIST 800-53r5|CM-7b.
Policy Value:
'0' || '1'
Actual Value:
'0'</t>
  </si>
  <si>
    <t>2026-04-19T01:33:04.919Z</t>
  </si>
  <si>
    <t>"1.0178 - MSWRK - Ensure Turn off Autoplay is set to Enabled: All drives: [FAILED]"
This policy setting controls Autoplay.
See Also:
See HTH Policies and Standards
Reference:
NIST 800-53r5|MP-7
Policy Value:
'255'
Actual Value:
'0'</t>
  </si>
  <si>
    <t>"1.0312 - MSWRK - Ensure Prevent automatic download of applications associated with device metadata is set to Enabled: [FAILED]"
This policy setting allows you to prevent Windows from retrieving device metadata from the Internet.
See Also:
See HTH Policies and Standards
Reference:
NIST 800-53r5|CM-7(5) CM-10 SI-16
Policy Value:
'1'
Actual Value:
'0'</t>
  </si>
  <si>
    <t>2026-04-19T01:33:04.920Z</t>
  </si>
  <si>
    <t>"1.0068 - MSWRK - Ensure Deny write access to removable drives not protected by BitLocker is set to Enabled: [PASSED]"
This policy setting configures whether BitLocker protection is required for a computer to be able to write data to a removable data drive.
See Also:
See HTH Policies and Standards
Reference:
NIST 800-53r5|MP-7
Policy Value:
'1'
Actual Value:
'1'</t>
  </si>
  <si>
    <t>"1.0227 - MSWRK - Ensure Prohibit connection to non-domain networks when connected to domain authenticated network is set to Enabled: [FAILED]"
This policy setting prevents computers from connecting to both a domain based network and a non-domain based network at the same time.
See Also:
See HTH Policies and Standards
Reference:
NIST 800-53r5|SC-7
Policy Value:
'1'
Actual Value:
'0'</t>
  </si>
  <si>
    <t>"1.0247 - MSWRK - Ensure Limits print driver installation to Administrators is set to Enabled: [FAILED]"
This policy setting controls whether users who aren't Administrators can install print drivers on the system.
See Also:
See HTH Policies and Standards
Reference:
NIST 800-53r5|SI-4
Policy Value:
'1'
Actual Value:
'0'</t>
  </si>
  <si>
    <t>2026-04-19T01:33:04.921Z</t>
  </si>
  <si>
    <t>"1.0255 - MSWRK - Ensure Configure RPC listener settings: Authentication protocol to use for incoming RPC connections: is set to Enabled: Negotiate or higher: [PASSED]"
This policy setting controls which protocols incoming Remote Procedure Call (RPC) connections to the print spooler are allowed to use.
See Also:
See HTH Policies and Standards
Reference:
NIST 800-53r5|IA-3(1)
Policy Value:
'0' || '1'
Actual Value:
'0'</t>
  </si>
  <si>
    <t>"1.0405 - MSWRK - Configure Interactive logon: Message title for users attempting to log on: [FAILED]"
This policy setting specifies the text displayed in the title bar of the window that is displayed to users when they log on to the system.
See Also:
See HTH Policies and Standards
Reference:
NIST 800-53r5|AC-8
Policy Value:
'LEGAL_CAPTION_TEXT'
Actual Value:
'NOT_FOUND'</t>
  </si>
  <si>
    <t>2026-04-19T01:33:04.922Z</t>
  </si>
  <si>
    <t>"1.0012 - MSWRK - Ensure Audit Credential Validation is set to Success and Failure: [PASSED]"
This subcategory reports the results of validation tests on credentials submitted for a user account logon request.
See Also:
See HTH Policies and Standards
Reference:
NIST 800-53r5|AU-3 AU-3(1) AU-7 AU-12
Policy Value:
'Success and Failure'
Actual Value:
'Success and Failure'</t>
  </si>
  <si>
    <t>"1.0015 - MSWRK - Ensure Audit User Account Management is set to Success and Failure: [PASSED]"
This subcategory reports each event of user account management, such as when a user account is created, changed, or deleted; a user account is renamed, disabled, or enabled; or a password is set or changed.
See Also:
See HTH Policies and Standards
Reference:
NIST 800-53r5|AU-3 AU-3(1) AU-7 AU-12
Policy Value:
'Success and Failure'
Actual Value:
'Success and Failure'</t>
  </si>
  <si>
    <t>"1.0164 - MSWRK - Ensure Automatic Data Collection is set to Enabled: [FAILED]"
This policy setting determines whether Enhanced Phishing Protection can collect additional information such as content displayed, sounds played, and application memory when users enter their work or school password into a suspicious website or app.
See Also:
See HTH Policies and Standards
Reference:
NIST 800-53r5|SI-16
Policy Value:
'1'
Actual Value:
'0'</t>
  </si>
  <si>
    <t>2026-04-19T01:33:04.923Z</t>
  </si>
  <si>
    <t>"1.0416 - MSWRK - Ensure Remote Procedure Call (RPC) Locator (RpcLocator) is set to Disabled - Rpclocator: [FAILED]"
In Windows 2003 and older versions of Windows, the Remote Procedure Call (RPC) Locator service manages the RPC name service database.
See Also:
See HTH Policies and Standards
Reference:
NIST 800-53r5|CM-6 CM-7
Policy Value:
'4'
Actual Value:
'3'</t>
  </si>
  <si>
    <t>"1.0366 - MSWRK - Ensure Network access: Remotely accessible registry paths and sub-paths is configured: [FAILED]"
This policy setting determines which registry paths and sub-paths will be accessible over the network, regardless of the users or groups listed in the access control list (ACL) of the winreg registry key.
See Also:
See HTH Policies and Standards
Reference:
NIST 800-53r5|AC-6(7)(b)
Policy Value:
'Software\Microsoft\OLAP Server,Software\Microsoft\Windows NT\CurrentVersion\Perflib,Software\Microsoft\Windows NT\CurrentVersion\Print,Software\Microsoft\Windows NT\CurrentVersion\Windows,System\CurrentControlSet\Control\ContentIndex,System\CurrentControlSet\Control\Print\Printers,System\CurrentControlSet\Control\Terminal Server,System\CurrentControlSet\Control\Terminal Server\DefaultUserConfiguration,System\CurrentControlSet\Control\Terminal Server\UserConfig,System\CurrentControlSet\Services\Eventlog,System\CurrentControlSet\Services\Sysmonlog'
Actual Value:
'System\CurrentControlSet\Control\Print\Printers,System\CurrentControlSet\Services\Eventlog,Software\Microsoft\OLAP Server,Software\Microsoft\Windows NT\CurrentVersion\Print,Software\Microsoft\Windows NT\CurrentVersion\Windows,System\CurrentControlSet\Control\ContentIndex,System\CurrentControlSet\Control\Terminal Server,System\CurrentControlSet\Control\Terminal Server\UserConfig,System\CurrentControlSet\Control\Terminal Server\DefaultUserConfiguration,Software\Microsoft\Windows NT\CurrentVersion\Perflib,System\CurrentControlSet\Services\SysmonLog'</t>
  </si>
  <si>
    <t>"1.0407 - MSWRK - Ensure Interactive logon: Smart card removal behavior is set to Lock Workstation or higher: [FAILED]"
This policy setting determines what happens when the smart card for a logged-on user is removed from the smart card reader.
See Also:
See HTH Policies and Standards
Reference:
NIST 800-53r5|AC-2(5) AC-11 AC-11(1) AC-12
Policy Value:
'^(1|2|3)$'
Actual Value:
'0'</t>
  </si>
  <si>
    <t>2026-04-19T01:33:04.924Z</t>
  </si>
  <si>
    <t>"1.0014 - MSWRK - Ensure Audit Security Group Management is set to include Success: [PASSED]"
This subcategory reports each event of security group management, such as when a security group is created, changed, or deleted or when a member is added to or removed from a security group.
See Also:
See HTH Policies and Standards
Reference:
NIST 800-53r5|AU-3 AU-3(1) AU-7 AU-12
Policy Value:
'^(Success|Success\ and\ Failure)$'
Actual Value:
'Success'</t>
  </si>
  <si>
    <t>2026-04-19T01:33:04.925Z</t>
  </si>
  <si>
    <t>"1.0410 - MSWRK - Ensure Microsoft network server: Amount of idle time required before suspending session is set to 15 or fewer minute(s): [PASSED]"
This policy setting allows you to specify the amount of continuous idle time that must pass in an SMB session before the session is suspended because of inactivity.
See Also:
See HTH Policies and Standards
Reference:
NIST 800-53r5|AC-11
Policy Value:
'^(1|2|3|4|5|6|7|8|9|10|11|12|13|14|15)$'
Actual Value:
'15'</t>
  </si>
  <si>
    <t>2026-04-19T01:33:04.926Z</t>
  </si>
  <si>
    <t>"1.0148 - MSWRK - Ensure Do not delete temp folders upon exit is set to Disabled: [FAILED]"
This policy setting specifies whether Remote Desktop Services retains a user's per-session temporary folders at logoff.
See Also:
See HTH Policies and Standards
Reference:
NIST 800-53r5|AU-11 SI-12
Policy Value:
'1'
Actual Value:
'0'</t>
  </si>
  <si>
    <t>"1.0476 - MSWRK - Services - Windows Defender: [PASSED]"
The Windows Defender service should be automatically enabled on startup.
See Also:
See corresponding HTH Policy or Standard
Reference:
NIST 800-53r5|CM-6
Policy Value:
'Running'
Actual Value:
'RunspaceId                           Value  _x000D_
----------                           -----  _x000D_
db153e08-853f-4437-abc3-d291263530f7 Running'</t>
  </si>
  <si>
    <t>"1.0091 - MSWRK - Ensure Enable App Installer Microsoft Store Source Certificate Validation Bypass is set to Disabled: [PASSED]"
This policy setting controls whether Windows Package Manager validates the Microsoft Store certificate hash to match a known Microsoft Store certificate when it initiates a connection to the Microsoft Store source.
See Also:
See HTH Policies and Standards
Reference:
NIST 800-53r5|CM-6 CM-7
Policy Value:
'0'
Actual Value:
'0'</t>
  </si>
  <si>
    <t>2026-04-19T01:33:04.927Z</t>
  </si>
  <si>
    <t>"1.0264 - MSWRK - Ensure Turn off downloading of print drivers over HTTP is set to Enabled: [FAILED]"
This policy setting controls whether the computer can download print driver packages over HTTP.
See Also:
See HTH Policies and Standards
Reference:
NIST 800-53r5|CM-7(5)
Policy Value:
'1'
Actual Value:
'0'</t>
  </si>
  <si>
    <t>"1.0077 - MSWRK - Ensure Choose how BitLocker-protected removable drives can be recovered: Do not enable BitLocker until recovery information is stored to AD DS for removable data drives is set to Enabled: False: [FAILED]"
This policy setting allows you to control how BitLocker-protected removable data drives are recovered in the absence of the required credentials.
See Also:
See HTH Policies and Standards
Reference:
NIST 800-53r5|MP-7
Policy Value:
'0'
Actual Value:
'1'</t>
  </si>
  <si>
    <t>2026-04-19T01:33:04.928Z</t>
  </si>
  <si>
    <t>"1.0218 - MSWRK - Ensure MSS: (EnableICMPRedirect) Allow ICMP redirects to override OSPF generated routes is set to Disabled: [PASSED]"
Internet Control Message Protocol (ICMP) redirects cause the IPv4 stack to plumb host routes.
See Also:
See HTH Policies and Standards
Reference:
NIST 800-53r5|CM-1 CM-2 CM-6 CM-7 CM-7(1) CM-9 SA-3 SA-8 SA-10
Policy Value:
'0'
Actual Value:
'0'</t>
  </si>
  <si>
    <t>"1.0157 - MSWRK - Ensure Allow Cortana above lock screen is set to Disabled: [PASSED]"
This policy setting determines whether or not the user can interact with Cortana using speech while the system is locked.
See Also:
See HTH Policies and Standards
Reference:
NIST 800-53r5|CM-6 CM-7
Policy Value:
'0'
Actual Value:
'0'</t>
  </si>
  <si>
    <t>2026-04-19T01:33:04.929Z</t>
  </si>
  <si>
    <t>"1.0088 - MSWRK - Ensure Enable App Installer Experimental Features is set to Disabled: [FAILED]"
This policy setting controls whether users can enable experimental features in the Windows Package Manager.
See Also:
See HTH Policies and Standards
Reference:
NIST 800-53r5|CM-6 CM-7
Policy Value:
'0'
Actual Value:
'1'</t>
  </si>
  <si>
    <t>"1.0455 - MSWRK - Ensure Windows Firewall: Public: Logging: Log successful connections is set to Yes: [PASSED]"
Use this option to log when Windows Firewall with Advanced Security allows an inbound connection.
See Also:
See HTH Policies and Standards
Reference:
NIST 800-53r5|AU-3 AU-3(1) AU-7 AU-12 SC-7 SC-7(5)
Policy Value:
'1'
Actual Value:
'1'</t>
  </si>
  <si>
    <t>"1.0114 - MSWRK - Ensure Scan packed executables is set to Enabled: [FAILED]"
This policy setting manages whether or not Microsoft Defender Antivirus scans packed executables.
See Also:
See HTH Policies and Standards
Reference:
NIST 800-53r5|MP-7 SI-3
Policy Value:
'0'
Actual Value:
'1'</t>
  </si>
  <si>
    <t>2026-04-19T01:33:04.930Z</t>
  </si>
  <si>
    <t>"1.0246 - MSWRK - Ensure Allow Print Spooler to accept client connections is set to Disabled: [FAILED]"
This policy setting controls whether the Print Spooler service will accept client connections.
See Also:
See HTH Policies and Standards
Reference:
NIST 800-53r5|CM-1 CM-2 CM-6 CM-7 CM-7(1) CM-9 SA-3 SA-8 SA-10
Policy Value:
'2'
Actual Value:
'0'</t>
  </si>
  <si>
    <t>"1.0289 - MSWRK - Ensure Allow standby states (S1-S3) when sleeping (plugged in) is set to Disabled - Abfc2519-3608-4c2a-94ea-171b0ed546ab: [PASSED]"
This policy setting manages whether or not Windows is allowed to use standby states when putting the computer in a sleep state.
See Also:
See HTH Policies and Standards
Reference:
NIST 800-53r5|CM-1 CM-2 CM-6 CM-7 CM-7(1) CM-9 SA-3 SA-8 SA-10
Policy Value:
'0'
Actual Value:
'0'</t>
  </si>
  <si>
    <t>"1.0446 - MSWRK - Ensure Windows Firewall: Private: Logging: Log successful connections is set to Yes: [PASSED]"
Use this option to log when Windows Firewall with Advanced Security allows an inbound connection.
See Also:
See HTH Policies and Standards
Reference:
NIST 800-53r5|AU-3 AU-3(1) AU-7 AU-12 SC-7 SC-7(5)
Policy Value:
'1'
Actual Value:
'1'</t>
  </si>
  <si>
    <t>2026-04-19T01:33:04.931Z</t>
  </si>
  <si>
    <t>"1.0006 - MSWRK - Ensure Relax minimum password length limits is set to Enabled: [FAILED]"
This policy setting determines whether the minimum password length setting can be increased beyond the legacy limit of 14 characters.
See Also:
See HTH Policies and Standards
Reference:
NIST 800-53r5|IA-5(1)
Policy Value:
'1'
Actual Value:
'0'</t>
  </si>
  <si>
    <t>"1.0069 - MSWRK - Ensure Deny write access to removable drives not protected by BitLocker: Do not allow write access to devices configured in another organization is set to Enabled: False: [PASSED]"
This policy setting configures whether the computer will be able to write data to BitLocker-protected removable drives that were configured in another organization.
See Also:
See HTH Policies and Standards
Reference:
NIST 800-53r5|MP-7
Policy Value:
'0'
Actual Value:
'0'</t>
  </si>
  <si>
    <t>2026-04-19T01:33:04.932Z</t>
  </si>
  <si>
    <t>"1.0311 - MSWRK - Ensure Prevent installation of devices using drivers that match these device setup classes: Also apply to matching devices that are already installed. is set to True (checked): [FAILED]"
This policy setting allows you to specify a list of device setup class globally unique identifiers (GUIDs) for device drivers that Windows is prevented from installing.
See Also:
See HTH Policies and Standards
Reference:
NIST 800-53r5|SI-16
Policy Value:
'1'
Actual Value:
'0'</t>
  </si>
  <si>
    <t>2026-04-19T01:33:04.933Z</t>
  </si>
  <si>
    <t>"1.0135 - MSWRK - be9ba2d9-53ea-4cdc-84e5-9b1eeee46550: [FAILED]"
Policy Value:
'1'
Actual Value:
'NOT_FOUND'</t>
  </si>
  <si>
    <t>"1.0026 - MSWRK - Ensure Audit Other Object Access Events is set to Success and Failure: [PASSED]"
This policy setting allows you to audit events generated by the management of task scheduler jobs or COM+ objects.
See Also:
See HTH Policies and Standards
Reference:
NIST 800-53r5|AU-3 AU-3(1) AU-7 AU-12
Policy Value:
'Success and Failure'
Actual Value:
'Success and Failure'</t>
  </si>
  <si>
    <t>"1.0402 - MSWRK - Ensure Interactive logon: Dont display last signed-in is set to Enabled: [FAILED]"
This policy setting determines whether the account name of the last user to log on to the client computers in your organization will be displayed on each computer's respective Windows logon screen.
See Also:
See HTH Policies and Standards
Reference:
NIST 800-53r5|CM-1 CM-2 CM-6 CM-7 CM-7(1) CM-9 SA-3 SA-8 SA-10
Policy Value:
'1'
Actual Value:
'0'</t>
  </si>
  <si>
    <t>2026-04-19T01:33:04.934Z</t>
  </si>
  <si>
    <t>"1.0404 - MSWRK - Configure Interactive logon: Message text for users attempting to log on: [FAILED]"
This policy setting specifies a text message that is displayed to users when they log on.
See Also:
See HTH Policies and Standards
Reference:
NIST 800-53r5|AC-8
Policy Value:
'LEGAL_NOTICE_TEXT'
Actual Value:
'</t>
  </si>
  <si>
    <t>"1.0062 - MSWRK - Ensure Choose how BitLocker-protected operating system drives can be recovered: Configure storage of BitLocker recovery information to AD DS: is set to Enabled: Store recovery passwords and key packages: [PASSED]"
This policy setting allows you to control how BitLocker-protected operating system drives are recovered in the absence of the required startup key information.
See Also:
See HTH Policies and Standards
Reference:
NIST 800-53r5|SC-28
Policy Value:
'1'
Actual Value:
'1'</t>
  </si>
  <si>
    <t>"1.0199 - MSWRK - Ensure Enable optional updates is set to Disabled: [PASSED]"
This policy setting controls whether devices are able to receive optional updates (including Controlled Feature Rollout (CFRs)).
See Also:
See HTH Policies and Standards
Reference:
NIST 800-53r5|RA-5 RA-7 SI-2 SI-2(2)
Policy Value:
'0'
Actual Value:
'0'</t>
  </si>
  <si>
    <t>2026-04-19T01:33:04.935Z</t>
  </si>
  <si>
    <t>"1.0433 - MSWRK - Ensure Windows Firewall: Domain: Firewall state is set to On (recommended) - Domainprofile: [PASSED]"
This policy setting controls whether the built-in Domain Firewall state is enabled or disabled.
See Also:
See HTH Policies and Standards
Reference:
NIST 800-53r5|SC-7 SC-7(5)
Policy Value:
'1'
Actual Value:
'1'</t>
  </si>
  <si>
    <t>"1.0479 - MSWRK - Services - Cisco VPN Secure Client: [PASSED]"
The Cisco VPN Secure Client service should be automatically enabled on startup.
See Also:
See corresponding HTH Policy or Standard
Reference:
NIST 800-53r5|CM-6
Policy Value:
'Running'
Actual Value:
'RunspaceId                           Value  _x000D_
----------                           -----  _x000D_
e4822e7c-1511-4c55-9c46-dce4a157e3ce Running'</t>
  </si>
  <si>
    <t>"1.0170 - MSWRK - EnableSmartScreen: [FAILED]"
Policy Value:
'1'
Actual Value:
'0'</t>
  </si>
  <si>
    <t>2026-04-19T01:33:04.936Z</t>
  </si>
  <si>
    <t>"1.0113 - MSWRK - Ensure Scan excluded files and directories during quick scans is set to Enabled: 1: [FAILED]"
This policy setting manages whether or not Microsoft Defender Antivirus scans excluded files and directories when running a Quick Scan.
See Also:
See HTH Policies and Standards
Reference:
NIST 800-53r5|SI-3
Policy Value:
'1'
Actual Value:
'0'</t>
  </si>
  <si>
    <t>"1.0119 - MSWRK - Ensure Control whether exclusions are visible to local users is set to Enabled: [FAILED]"
This policy setting controls whether Microsoft Defender Antivirus exclusions are visible to local users on the system.
See Also:
See HTH Policies and Standards
Reference:
NIST 800-53r5|SI-3
Policy Value:
'1'
Actual Value:
'0'</t>
  </si>
  <si>
    <t>2026-04-19T01:33:04.937Z</t>
  </si>
  <si>
    <t>"1.0386 - MSWRK - Ensure User Account Control: Admin Approval Mode for the Built-in Administrator account is set to Enabled: [PASSED]"
This policy setting controls the behavior of Admin Approval Mode for the built-in Administrator account.
See Also:
See HTH Policies and Standards
Reference:
NIST 800-53r5|IA-5(1)
Policy Value:
'1'
Actual Value:
'1'</t>
  </si>
  <si>
    <t>"1.0271 - MSWRK - Ensure Password Settings: Password Length is set to Enabled: 15 or more: [FAILED]"
This policy setting configures the Windows LAPS Password Settings policy for password length.
See Also:
See HTH Policies and Standards
Reference:
NIST 800-53r5|IA-5(1)
Policy Value:
'^(8|9|10|11|12|13|14|15|16|17|18|19|20)$'
Actual Value:
'0'</t>
  </si>
  <si>
    <t>"1.0056 - MSWRK - Ensure Choose how BitLocker-protected operating system drives can be recovered is set to Enabled: [PASSED]"
This policy setting allows you to control how BitLocker-protected operating system drives are recovered in the absence of the required startup key information.
See Also:
See HTH Policies and Standards
Reference:
NIST 800-53r5|SC-28
Policy Value:
'1'
Actual Value:
'1'</t>
  </si>
  <si>
    <t>2026-04-19T01:33:04.938Z</t>
  </si>
  <si>
    <t>"1.0237 - MSWRK - Ensure Mandate the minimum version of SMB is set to Enabled: 3.1.1 - Lanmanserver: [FAILED]"
This policy settings controls the minimum version of Server Message Block (SMB) protocol that can be used on the system.
See Also:
See HTH Policies and Standards
Reference:
NIST 800-53r5|CM-6 CM-7
Policy Value:
'785'
Actual Value:
'0'</t>
  </si>
  <si>
    <t>"1.0086 - MSWRK - Ensure Enable OneSettings Auditing is set to Enabled: [PASSED]"
This policy setting controls whether Windows records attempts to connect with the OneSettings service to the Event Log.
See Also:
See HTH Policies and Standards
Reference:
NIST 800-53r5|AU-3 AU-3(1) AU-7 AU-12
Policy Value:
'1'
Actual Value:
'1'</t>
  </si>
  <si>
    <t>2026-04-19T01:33:04.939Z</t>
  </si>
  <si>
    <t>"1.0308 - MSWRK - Ensure Turn On Virtualization Based Security: Kernel-mode Hardware-enforced Stack Protection is set to Enabled: Enabled in enforcement mode: [FAILED]"
This policy setting enables Hardware-enforced Stack Protection for kernel-mode code.
See Also:
See HTH Policies and Standards
Reference:
NIST 800-53r5|SI-16
Policy Value:
'1'
Actual Value:
'0'</t>
  </si>
  <si>
    <t>"1.0104 - MSWRK - Ensure Turn off shell protocol protected mode is set to Disabled: [PASSED]"
This policy setting allows you to configure the amount of functionality that the shell protocol can have.
See Also:
See HTH Policies and Standards
Reference:
NIST 800-53r5|CM-6 CM-7
Policy Value:
'0'
Actual Value:
'0'</t>
  </si>
  <si>
    <t>"1.0230 - MSWRK - Ensure Configure NetBIOS settings is set to Enabled: Disable NetBIOS name resolution on public networks: [PASSED]"
This policy setting specifies if the Domain Name System (DNS) client will perform name resolution over Network Basic Input/Output System (NetBIOS).
See Also:
See HTH Policies and Standards
Reference:
NIST 800-53r5|CM-6 CM-7
Policy Value:
'0' || '2'
Actual Value:
'0'</t>
  </si>
  <si>
    <t>2026-04-19T01:33:04.940Z</t>
  </si>
  <si>
    <t>"1.0210 - MSWRK - Ensure Enable Structured Exception Handling Overwrite Protection (SEHOP) is set to Enabled: [PASSED]"
Windows includes support for Structured Exception Handling Overwrite Protection (SEHOP).
See Also:
See HTH Policies and Standards
Reference:
NIST 800-53r5|SI-16
Policy Value:
'0'
Actual Value:
'0'</t>
  </si>
  <si>
    <t>"1.0053 - MSWRK - Ensure Choose how BitLocker-protected operating system drives can be recovered: Do not enable BitLocker until recovery information is stored to AD DS for operating system drives is set to Enabled: True: [PASSED]"
This policy setting allows you to control how BitLocker-protected operating system drives are recovered in the absence of the required startup key information.
See Also:
See HTH Policies and Standards
Reference:
NIST 800-53r5|SC-28
Policy Value:
'1'
Actual Value:
'1'</t>
  </si>
  <si>
    <t>"1.0389 - MSWRK - Ensure User Account Control: Detect application installations and prompt for elevation is set to Enabled: [PASSED]"
This policy setting controls the behavior of application installation detection for the computer.
See Also:
See HTH Policies and Standards
Reference:
NIST 800-53r5|AC-6(8)
Policy Value:
'1'
Actual Value:
'1'</t>
  </si>
  <si>
    <t>2026-04-19T01:33:04.941Z</t>
  </si>
  <si>
    <t>"1.0080 - MSWRK - Ensure Require pin for pairing is set to Enabled: First Time OR Enabled: Always: [FAILED]"
This policy setting controls whether or not a PIN is required for pairing to a wireless display device.
See Also:
See HTH Policies and Standards
Reference:
NIST 800-53r5|IA-5c.
Policy Value:
'1' || '2'
Actual Value:
'0'</t>
  </si>
  <si>
    <t>"1.0117 - MSWRK - Ensure Turn on e-mail scanning is set to Enabled: [FAILED]"
This policy setting configures e-mail scanning.
See Also:
See HTH Policies and Standards
Reference:
NIST 800-53r5|SI-3
Policy Value:
'0'
Actual Value:
'1'</t>
  </si>
  <si>
    <t>2026-04-19T01:33:04.942Z</t>
  </si>
  <si>
    <t>"1.0195 - MSWRK - 18.10.94.2.4 Ensure \Remove access to \Pause updates\ feature\ is set to \Enabled\: [FAILED]"
This policy removes access to \'Pause updates\' feature.
See Also:
See HTH Policies and Standards
Reference:
NIST 800-53r5|RA-5 RA-7 SI-2 SI-2(2)
Policy Value:
'1'
Actual Value:
'0'</t>
  </si>
  <si>
    <t>"1.0181 - MSWRK - Ensure Allow Basic authentication is set to Disabled - Client: [PASSED]"
This policy setting allows you to manage whether the Windows Remote Management (WinRM) client uses Basic authentication.
See Also:
See HTH Policies and Standards
Reference:
NIST 800-53r5|AC-17(2) IA-5 IA-5(1) SC-8 SC-8(1)
Policy Value:
'0'
Actual Value:
'0'</t>
  </si>
  <si>
    <t>"1.0042 - MSWRK - Ensure Configure use of smart cards on fixed data drives is set to Enabled: [FAILED]"
This policy setting allows you to specify whether smart cards can be used to authenticate user access to the BitLocker-protected fixed data drives on a computer.
See Also:
See HTH Policies and Standards
Reference:
NIST 800-53r5|IA-2(1) IA-2(2) SC-28(1)
Policy Value:
'1'
Actual Value:
'0'</t>
  </si>
  <si>
    <t>2026-04-19T01:33:04.943Z</t>
  </si>
  <si>
    <t>"1.0031 - MSWRK - Ensure Audit MPSSVC Rule-Level Policy Change is set to Success and Failure: [PASSED]"
This subcategory determines whether the operating system generates audit events when changes are made to policy rules for the Microsoft Protection Service (MPSSVC.
See Also:
See HTH Policies and Standards
Reference:
NIST 800-53r5|AU-3 AU-3(1) AU-7 AU-12
Policy Value:
'Success and Failure'
Actual Value:
'Success and Failure'</t>
  </si>
  <si>
    <t>"1.0187 - MSWRK - Ensure Configure enhanced anti-spoofing is set to Enabled: [FAILED]"
This policy setting determines whether enhanced anti-spoofing is configured for devices which support it.
See Also:
See HTH Policies and Standards
Reference:
NIST 800-53r5|SC-39 SI-16
Policy Value:
'1'
Actual Value:
'0'</t>
  </si>
  <si>
    <t>2026-04-19T01:33:04.944Z</t>
  </si>
  <si>
    <t>"1.0151 - MSWRK - Ensure Require secure RPC communication is set to Enabled: [FAILED]"
This policy setting allows you to specify whether Remote Desktop Services requires secure Remote Procedure Call (RPC) communication with all clients or allows unsecured communication.
See Also:
See HTH Policies and Standards
Reference:
NIST 800-53r5|AC-17(2) IA-5 IA-5(1) SC-8 SC-8(1)
Policy Value:
'1'
Actual Value:
'0'</t>
  </si>
  <si>
    <t>"1.0027 - MSWRK - Ensure Audit Removable Storage is set to Success and Failure: [PASSED]"
This policy setting allows you to audit user attempts to access file system objects on a removable storage device.
See Also:
See HTH Policies and Standards
Reference:
NIST 800-53r5|AU-3 AU-3(1) AU-7 AU-12
Policy Value:
'Success and Failure'
Actual Value:
'Success and Failure'</t>
  </si>
  <si>
    <t>"1.0128 - MSWRK - d4f940ab-401b-4efc-aadc-ad5f3c50688a: [FAILED]"
Policy Value:
'1'
Actual Value:
'NOT_FOUND'</t>
  </si>
  <si>
    <t>2026-04-19T01:33:04.945Z</t>
  </si>
  <si>
    <t>"1.0238 - MSWRK - Ensure Set authentication rate limiter delay (milliseconds) is set to Enabled: 2000 or more: [FAILED]"
This policy settings configures the SMB server invalid authentication delay value in milliseconds.
See Also:
See HTH Policies and Standards
Reference:
NIST 800-53r5|SC-7(20)
Policy Value:
'^([1-9][0-9]{4,}|[3-9][0-9]{3}|2[1-9][0-9]{2}|20[1-9][0-9]{1}|200[0-9])$'
Actual Value:
'0'</t>
  </si>
  <si>
    <t>"1.0272 - MSWRK - Ensure Password Settings: Password Age (Days) is set to Enabled: 30 or fewer: [PASSED]"
This policy setting configures the Windows LAPS Password Settings policy for password age.
See Also:
See HTH Policies and Standards
Reference:
NIST 800-53r5|IA-5(1)
Policy Value:
'^(0|1|2|3|4|5|6|7|8|9|10|11|12|13|14|15|16|17|18|19|20|21|22|23|24|25|26|27|28|29|30)$'
Actual Value:
'0'</t>
  </si>
  <si>
    <t>"1.0057 - MSWRK - Ensure Choose how BitLocker-protected operating system drives can be recovered: Allow data recovery agent is set to Enabled: False: [FAILED]"
This policy setting allows you to control how BitLocker-protected operating system drives are recovered in the absence of the required startup key information.
See Also:
See HTH Policies and Standards
Reference:
NIST 800-53r5|SC-28
Policy Value:
'0'
Actual Value:
'1'</t>
  </si>
  <si>
    <t>"1.0453 - MSWRK - Ensure Windows Firewall: Public: Logging: Size limit (KB) is set to 16,384 KB or greater: [PASSED]"
Use this option to specify the size limit of the file in which Windows Firewall will write its log information.
See Also:
See HTH Policies and Standards
Reference:
NIST 800-53r5|AU-4
Policy Value:
'^([1-9][0-9]{5,}|[2-9][0-9]{4}|1[7-9][0-9]{3}|16[4-9][0-9]{2}|163[9-9][0-9]{1}|1638[4-9])$'
Actual Value:
'16384'</t>
  </si>
  <si>
    <t>2026-04-19T01:33:04.946Z</t>
  </si>
  <si>
    <t>"1.0061 - MSWRK - Ensure Choose how BitLocker-protected operating system drives can be recovered: Save BitLocker recovery information to AD DS for operating system drives is set to Enabled: True: [PASSED]"
This policy setting allows you to control how BitLocker-protected operating system drives are recovered in the absence of the required startup key information.
See Also:
See HTH Policies and Standards
Reference:
NIST 800-53r5|SC-28
Policy Value:
'1'
Actual Value:
'1'</t>
  </si>
  <si>
    <t>"1.0034 - MSWRK - Ensure Audit IPsec Driver is set to Success and Failure: [PASSED]"
This subcategory reports on the activities of the Internet Protocol security (IPsec) driver.
See Also:
See HTH Policies and Standards
Reference:
NIST 800-53r5|AU-3 AU-3(1) AU-7 AU-12
Policy Value:
'Success and Failure'
Actual Value:
'Success and Failure'</t>
  </si>
  <si>
    <t>2026-04-19T01:33:04.947Z</t>
  </si>
  <si>
    <t>"1.0166 - MSWRK - Ensure Notify Password Reuse is set to Enabled: [FAILED]"
This policy setting determines whether Enhanced Phishing Protection in Microsoft Defender SmartScreen warns users if they reuse their work or school password.
See Also:
See HTH Policies and Standards
Reference:
NIST 800-53r5|SI-16
Policy Value:
'1'
Actual Value:
'0'</t>
  </si>
  <si>
    <t>"1.0063 - MSWRK - Ensure Allow access to BitLocker-protected removable data drives from earlier versions of Windows is set to Disabled: [FAILED]"
This policy setting configures whether or not removable data drives formatted with the FAT file system can be unlocked and viewed on computers running Windows Server 2008 (non-R2), Windows Vista, Windows XP with Service Pack 3 (SP3), or Windows XP with Service Pack 2 (SP2) operating systems.
See Also:
See HTH Policies and Standards
Reference:
NIST 800-53r5|AC-19(5)
Policy Value:
'NOT_EXISTS'
Actual Value:
'EXISTS'</t>
  </si>
  <si>
    <t>2026-04-19T01:33:04.948Z</t>
  </si>
  <si>
    <t>"1.0292 - MSWRK - Ensure Configure Offer Remote Assistance is set to Disabled: [PASSED]"
This policy setting allows you to turn on or turn off Offer (Unsolicited) Remote Assistance on this computer.
See Also:
See HTH Policies and Standards
Reference:
NIST 800-53r5|CM-6 CM-7
Policy Value:
'0'
Actual Value:
'0'</t>
  </si>
  <si>
    <t>"1.0259 - MSWRK - Ensure Enable / disable CLFS logfile authentication is set to Enabled: [FAILED]"
This policy setting configures Common Log File System (CLFS) logfile authentication.
See Also:
See HTH Policies and Standards
Reference:
NIST 800-53r5|AU-9(3)
Policy Value:
'1'
Actual Value:
'0'</t>
  </si>
  <si>
    <t>"1.0450 - MSWRK - Ensure Windows Firewall: Public: Settings: Apply local firewall rules is set to No: [PASSED]"
This setting controls whether local administrators are allowed to create local firewall rules that apply together with firewall rules configured by Group Policy.
See Also:
See HTH Policies and Standards
Reference:
NIST 800-53r5|SC-7 SC-7(5)
Policy Value:
'0'
Actual Value:
'0'</t>
  </si>
  <si>
    <t>2026-04-19T01:33:04.949Z</t>
  </si>
  <si>
    <t>"1.0456 - MSWRK - System/Domain Identification: [PASSED]"
This obtains specific user and system information that may be used for additional evaluation.
See Also:
HTH Policies and Standards
Reference:
NIST 800-53r5|null
Policy Value:
'.*'
Actual Value:
'OSDisplayVersion : 23H2_x000D_
CsManufacturer   : Dell Inc._x000D_
CsModel          : Dell Pro Max 16 MC16250_x000D_
BiosBIOSVersion  : {DELL   - 2, 1.4.0, Dell - 10000}_x000D_
BiosSeralNumber  : 4QVK6C4_x000D_
CsUserName       : HILLTOP\brian.simpson_x000D_
OsName           : Microsoft Windows 11 Enterprise_x000D_
OsBuildNumber    : 22631_x000D_
OsProductType    : WorkStation_x000D_
CsDNSHostName    : HTH4QVK6C4_x000D_
CsDomain         : HillTop.Global_x000D_
RunspaceId       : 8a10977b-2ee2-4d49-be2f-77387befe2a2'</t>
  </si>
  <si>
    <t>"1.0431 - MSWRK - Ensure IIS Admin Service (IISADMIN) is set to Disabled or Not Installed - Iisadmin: [FAILED]"
Enables the server to administer the IIS metabase.
See Also:
See HTH Policies and Standards
Reference:
NIST 800-53r5|CM-6 CM-7
Policy Value:
'4'
Actual Value:
'0'</t>
  </si>
  <si>
    <t>"1.0444 - MSWRK - Ensure Windows Firewall: Private: Logging: Size limit (KB) is set to 16,384 KB or greater: [PASSED]"
Use this option to specify the size limit of the file in which Windows Firewall will write its log information.
See Also:
See HTH Policies and Standards
Reference:
NIST 800-53r5|AU-4
Policy Value:
'^([1-9][0-9]{5,}|[2-9][0-9]{4}|1[7-9][0-9]{3}|16[4-9][0-9]{2}|163[9-9][0-9]{1}|1638[4-9])$'
Actual Value:
'16384'</t>
  </si>
  <si>
    <t>2026-04-19T01:33:04.950Z</t>
  </si>
  <si>
    <t>"1.0016 - MSWRK - Ensure Audit PNP Activity is set to include Success: [PASSED]"
This policy setting allows you to audit when plug and play detects an external device.
See Also:
See HTH Policies and Standards
Reference:
NIST 800-53r5|AU-3 AU-3(1) AU-7 AU-12
Policy Value:
'^(Success|Success\ and\ Failure)$'
Actual Value:
'Success'</t>
  </si>
  <si>
    <t>"1.0394 - MSWRK - Ensure Audit: Force audit policy subcategory settings (Windows Vista or later) to override audit policy category settings is set to Enabled: [PASSED]"
This policy setting allows administrators to enable the more precise auditing capabilities present in Windows Vista.
See Also:
See HTH Policies and Standards
Reference:
NIST 800-53r5|AU-3 AU-3(1) AU-7 AU-12
Policy Value:
'1'
Actual Value:
'1'</t>
  </si>
  <si>
    <t>2026-04-19T01:33:04.951Z</t>
  </si>
  <si>
    <t>"1.0071 - MSWRK - Ensure Choose how BitLocker-protected removable drives can be recovered: Allow data recovery agent is set to Enabled: True: [PASSED]"
This policy setting allows you to control how BitLocker-protected removable data drives are recovered in the absence of the required credentials.
See Also:
See HTH Policies and Standards
Reference:
NIST 800-53r5|MP-7
Policy Value:
'1'
Actual Value:
'1'</t>
  </si>
  <si>
    <t>"1.0229 - MSWRK - Ensure Configure multicast DNS (mDNS) protocol is set to Disabled: [PASSED]"
This policy setting determines if the DNS client will perform name resolution over Multicast DNS (mDNS).
See Also:
See HTH Policies and Standards
Reference:
NIST 800-53r5|CM-7b.
Policy Value:
'0'
Actual Value:
'0'</t>
  </si>
  <si>
    <t>2026-04-19T01:33:04.952Z</t>
  </si>
  <si>
    <t>"1.0270 - MSWRK - Ensure Password Settings: Password Complexity is set to Enabled: Large letters + small letters + numbers + special characters or Passphrase: [FAILED]"
This policy setting configures the Windows LAPS Password Settings policy for password complexity.
See Also:
See HTH Policies and Standards
Reference:
NIST 800-53r5|IA-5(1)
Policy Value:
'4' || '6' || '7' || '8'
Actual Value:
'0'</t>
  </si>
  <si>
    <t>"1.0162 - MSWRK - Ensure Turn off the offer to update to the latest version of Windows is set to Enabled: [FAILED]"
Enables or disables the Microsoft Store offer to update to the latest version of Windows.
See Also:
See HTH Policies and Standards
Reference:
NIST 800-53r5|CM-7b.
Policy Value:
'1'
Actual Value:
'0'</t>
  </si>
  <si>
    <t>2026-04-19T01:33:04.953Z</t>
  </si>
  <si>
    <t>"1.0480 - MSWRK - Services - Windows Event Log: [PASSED]"
The Windows Event Log service should be automatically enabled on startup.
See Also:
See corresponding HTH Policy or Standard
Reference:
NIST 800-53r5|CM-6
Policy Value:
'Running'
Actual Value:
'RunspaceId                           Value  _x000D_
----------                           -----  _x000D_
9dfc38a6-353f-4278-8ec0-2652676e3202 Running'</t>
  </si>
  <si>
    <t>"1.0212 - MSWRK - Ensure WDigest Authentication is set to Disabled: [PASSED]"
When WDigest authentication is enabled, Lsass.
See Also:
See HTH Policies and Standards
Reference:
NIST 800-53r5|IA-5(1) SC-28 SC-28(1)
Policy Value:
'0'
Actual Value:
'0'</t>
  </si>
  <si>
    <t>2026-04-19T01:33:04.954Z</t>
  </si>
  <si>
    <t>"1.0285 - MSWRK - Ensure Block NetBIOS-based discovery for domain controller location is set to Enabled: [FAILED]"
This policy setting determines whether the Domain Controller (DC) location algorithm uses NetBIOS-based discovery for the Domain Controller's location.
See Also:
See HTH Policies and Standards
Reference:
NIST 800-53r5|CM-6 CM-7
Policy Value:
'1'
Actual Value:
'0'</t>
  </si>
  <si>
    <t>2026-04-19T01:33:04.955Z</t>
  </si>
  <si>
    <t>"1.0278 - MSWRK - Ensure Do not display network selection UI is set to Enabled: [FAILED]"
This policy setting allows you to control whether anyone can interact with available networks UI on the logon screen.
See Also:
See HTH Policies and Standards
Reference:
NIST 800-53r5|AC-6(10)
Policy Value:
'1'
Actual Value:
'0'</t>
  </si>
  <si>
    <t>2026-04-19T01:33:04.956Z</t>
  </si>
  <si>
    <t>"1.0134 - MSWRK - b2b3f03d-6a65-4f7b-a9c7-1c7ef74a9ba4: [FAILED]"
Policy Value:
'1'
Actual Value:
'NOT_FOUND'</t>
  </si>
  <si>
    <t>"1.0090 - MSWRK - Ensure Enable App Installer Local Archive Malware Scan Override is set to Disabled: [PASSED]"
This policy setting controls the ability to override malware scans when the following conditions are true: - installing an archive file - using a local manifest - via command line arguments The recommended state for this setting is: Disabled.
See Also:
See HTH Policies and Standards
Reference:
NIST 800-53r5|CM-6 CM-7
Policy Value:
'0'
Actual Value:
'0'</t>
  </si>
  <si>
    <t>2026-04-19T01:33:04.962Z</t>
  </si>
  <si>
    <t>"1.0280 - MSWRK - Ensure Enumerate local users on domain-joined computers is set to Disabled: [PASSED]"
This policy setting allows local users to be enumerated on domain-joined computers.
See Also:
See HTH Policies and Standards
Reference:
NIST 800-53r5|AC-6(10)
Policy Value:
'0'
Actual Value:
'0'</t>
  </si>
  <si>
    <t>"1.0233 - MSWRK - Ensure Audit client does not support signing is set to Enabled: [FAILED]"
This policy setting determines whether the Server Message Block (SMB) server will log events when the SMB client doesn't support signing.
See Also:
See HTH Policies and Standards
Reference:
NIST 800-53r5|AU-3 AU-3(1) AU-7 AU-12
Policy Value:
'1'
Actual Value:
'0'</t>
  </si>
  <si>
    <t>2026-04-19T01:33:04.963Z</t>
  </si>
  <si>
    <t>"1.0291 - MSWRK - Ensure Require a password when a computer wakes (plugged in) is set to Enabled - 0e796bdb-100d-47d6-a2d5-f7d2daa51f51: [PASSED]"
Specifies whether or not the user is prompted for a password when the system resumes from sleep.
See Also:
See HTH Policies and Standards
Reference:
NIST 800-53r5|AC-11
Policy Value:
'1'
Actual Value:
'1'</t>
  </si>
  <si>
    <t>"1.0276 - MSWRK - Ensure Configures LSASS to run as a protected process is set to Enabled: Enabled with UEFI Lock: [FAILED]"
This policy setting controls whether the Local Security Authority Subservice Service (LSASS) runs in protected mode and also has the option to lock in protected mode with Unified Extensible Firmware Interface (UEFI).
See Also:
See HTH Policies and Standards
Reference:
NIST 800-53r5|SI-16
Policy Value:
'1'
Actual Value:
'0'</t>
  </si>
  <si>
    <t>2026-04-19T01:33:04.964Z</t>
  </si>
  <si>
    <t>"1.0254 - MSWRK - Ensure Configure RPC listener settings: Protocols to allow for incoming RPC connections is set to Enabled: RPC over TCP: [FAILED]"
This policy setting controls which protocols incoming Remote Procedure Call (RPC) connections to the print spooler are allowed to use.
See Also:
See HTH Policies and Standards
Reference:
NIST 800-53r5|CM-6b.
Policy Value:
'5'
Actual Value:
'0'</t>
  </si>
  <si>
    <t>"1.0039 - MSWRK - Ensure Allow access to BitLocker-protected fixed data drives from earlier versions of Windows is set to Disabled: [PASSED]"
This policy setting configures whether or not fixed data drives formatted with the FAT file system can be unlocked and viewed on computers running Windows Server 2008 (non-R2), Windows Vista, Windows XP with Service Pack 3 (SP3), or Windows XP with Service Pack 2 (SP2) operating systems.
See Also:
See HTH Policies and Standards
Reference:
NIST 800-53r5|AC-19(5)
Policy Value:
'NOT_EXISTS'
Actual Value:
'NOT_EXISTS'</t>
  </si>
  <si>
    <t>2026-04-19T01:33:04.965Z</t>
  </si>
  <si>
    <t>"1.0442 - MSWRK - Ensure Windows Firewall: Private: Settings: Display a notification is set to No - Privateprofile: [PASSED]"
Select this option to have Windows Firewall with Advanced Security display notifications to the user when a program is blocked from receiving inbound connections.
See Also:
See HTH Policies and Standards
Reference:
NIST 800-53r5|SC-7 SC-7(5)
Policy Value:
'1'
Actual Value:
'1'</t>
  </si>
  <si>
    <t>"1.0302 - MSWRK - Ensure Enable Windows NTP Client is set to Enabled - Ntpclient: [FAILED]"
This policy setting specifies whether the Windows NTP Client is enabled.
See Also:
See HTH Policies and Standards
Reference:
NIST 800-53r5|AU-7 AU-8
Policy Value:
'1'
Actual Value:
'0'</t>
  </si>
  <si>
    <t>"1.0373 - MSWRK - Ensure Network security: Allow LocalSystem NULL session fallback is set to Disabled: [PASSED]"
This policy setting determines whether NTLM is allowed to fall back to a NULL session when used with LocalSystem.
See Also:
See HTH Policies and Standards
Reference:
NIST 800-53r5|AC-6(10)
Policy Value:
'0'
Actual Value:
'0'</t>
  </si>
  <si>
    <t>2026-04-19T01:33:04.966Z</t>
  </si>
  <si>
    <t>"1.0074 - MSWRK - Ensure Choose how BitLocker-protected removable drives can be recovered: Omit recovery options from the BitLocker setup wizard is set to Enabled: True: [PASSED]"
This policy setting allows you to control how BitLocker-protected removable data drives are recovered in the absence of the required credentials.
See Also:
See HTH Policies and Standards
Reference:
NIST 800-53r5|MP-7
Policy Value:
'1'
Actual Value:
'1'</t>
  </si>
  <si>
    <t>"1.0245 - MSWRK - Ensure Require Encryption is set to Enabled: [FAILED]"
This policy setting controls whether the SMB client will require encryption.
See Also:
See HTH Policies and Standards
Reference:
NIST 800-53r5|AC-17(2) IA-5 IA-5(1) SC-8 SC-8(1)
Policy Value:
'1'
Actual Value:
'0'</t>
  </si>
  <si>
    <t>2026-04-19T01:33:04.967Z</t>
  </si>
  <si>
    <t>"1.0261 - MSWRK - Ensure Configure security policy processing: Process even if the Group Policy objects have not changed is set to Enabled: TRUE: [PASSED]"
The \'Process even if the Group Policy objects have not changed\' option updates and reapplies security policies even if the security policies have not changed.
See Also:
See HTH Policies and Standards
Reference:
NIST 800-53r5|CM-1 CM-2 CM-6 CM-7 CM-7(1) CM-9 SA-3 SA-8 SA-10
Policy Value:
'0'
Actual Value:
'0'</t>
  </si>
  <si>
    <t>"1.0146 - MSWRK - Ensure Let Windows apps activate with voice while the system is locked is set to Enabled: Force Deny: [FAILED]"
This policy setting specifies whether Windows apps can be activated by voice (apps and Cortana) while the system is locked.
See Also:
See HTH Policies and Standards
Reference:
NIST 800-53r5|CM-7b.
Policy Value:
'2'
Actual Value:
'0'</t>
  </si>
  <si>
    <t>2026-04-19T01:33:04.968Z</t>
  </si>
  <si>
    <t>"1.0163 - MSWRK - Ensure Allow Recall to be enabled is set to Disabled: [PASSED]"
This policy setting controls whether the Recall optional component is available for end users to enable on the system.
See Also:
See HTH Policies and Standards
Reference:
NIST 800-53r5|CM-6 CM-7
Policy Value:
'0'
Actual Value:
'0'</t>
  </si>
  <si>
    <t>"1.0282 - MSWRK - Ensure Turn off picture password sign-in is set to Enabled: [FAILED]"
This policy setting allows you to control whether a domain user can sign in using a picture password.
See Also:
See HTH Policies and Standards
Reference:
NIST 800-53r5|CM-6 CM-7
Policy Value:
'1'
Actual Value:
'0'</t>
  </si>
  <si>
    <t>2026-04-19T01:33:04.969Z</t>
  </si>
  <si>
    <t>"1.0205 - MSWRK - Ensure Apply UAC restrictions to local accounts on network logons is set to Enabled: [PASSED]"
This setting controls whether local accounts can be used for remote administration via network logon (e.
See Also:
See HTH Policies and Standards
Reference:
NIST 800-53r5|AC-2(9)
Policy Value:
'0'
Actual Value:
'0'</t>
  </si>
  <si>
    <t>"1.0219 - MSWRK - Ensure MSS: (NoNameReleaseOnDemand) Allow the computer to ignore NetBIOS name release requests except from WINS servers is set to Enabled: [PASSED]"
NetBIOS over TCP/IP is a network protocol that among other things provides a way to easily resolve NetBIOS names that are registered on Windows-based systems to the IP addresses that are configured on those systems.
See Also:
See HTH Policies and Standards
Reference:
NIST 800-53r5|AC-18 AC-18(1) AC-18(3) CM-2 CM-6 CM-7 CM-7(1) CM-9
Policy Value:
'1'
Actual Value:
'1'</t>
  </si>
  <si>
    <t>"1.0275 - MSWRK - Ensure Allow Custom SSPs and APs to be loaded into LSASS is set to Disabled: [PASSED]"
This policy setting controls the configuration under which the Local Security Authority Subsystem Service (LSASS) will load custom Security Support Provider/Authentication Package (SSP/AP).
See Also:
See HTH Policies and Standards
Reference:
NIST 800-53r5|SI-16
Policy Value:
'0'
Actual Value:
'0'</t>
  </si>
  <si>
    <t>2026-04-19T01:33:04.970Z</t>
  </si>
  <si>
    <t>"1.0438 - MSWRK - Ensure Windows Firewall: Domain: Logging: Log dropped packets is set to Yes: [PASSED]"
Use this option to log when Windows Firewall with Advanced Security discards an inbound packet for any reason.
See Also:
See HTH Policies and Standards
Reference:
NIST 800-53r5|AU-3 AU-3(1) AU-7 AU-12 SC-7 SC-7(5)
Policy Value:
'1'
Actual Value:
'1'</t>
  </si>
  <si>
    <t>"1.0197 - MSWRK - Value of DeferQualityUpdatesPeriodInDays: [PASSED]"
Policy Value:
'0'
Actual Value:
'0'</t>
  </si>
  <si>
    <t>2026-04-19T01:33:04.971Z</t>
  </si>
  <si>
    <t>"1.0213 - MSWRK - Ensure AutoAdminLogon is Windows: Registry Value to 0: [PASSED]"
Policy Value:
'0'
Actual Value:
'0'</t>
  </si>
  <si>
    <t>"1.0120 - MSWRK - Ensure Enable EDR in block mode is set to Enabled: [FAILED]"
This policy setting controls whether Microsoft Defender Antivirus Endpoint Detection and Response (EDR) is enabled in block mode (passive remediation).
See Also:
See HTH Policies and Standards
Reference:
NIST 800-53r5|SI-3
Policy Value:
'1'
Actual Value:
'0'</t>
  </si>
  <si>
    <t>"1.0159 - MSWRK - Ensure Allow search and Cortana to use location is set to Disabled: [PASSED]"
This policy setting specifies whether search and Cortana can provide location aware search and Cortana results.
See Also:
See HTH Policies and Standards
Reference:
NIST 800-53r5|CM-6 CM-7
Policy Value:
'0'
Actual Value:
'0'</t>
  </si>
  <si>
    <t>2026-04-19T01:33:04.972Z</t>
  </si>
  <si>
    <t>2026-04-19T01:33:04.973Z</t>
  </si>
  <si>
    <t>"1.0115 - MSWRK - Ensure Scan removable drives is set to Enabled: [FAILED]"
This policy setting manages whether to scan for malicious software and unwanted software in the contents of removable drives, such as USB flash drives, when running a full scan.
See Also:
See HTH Policies and Standards
Reference:
NIST 800-53r5|MP-7 SI-3
Policy Value:
'0'
Actual Value:
'1'</t>
  </si>
  <si>
    <t>"1.0426 - MSWRK - Ensure World Wide Web Publishing Service (W3SVC) is set to Disabled or Not Installed - W3svc: [FAILED]"
Provides Web connectivity and administration through the Internet Information Services Manager.
See Also:
See HTH Policies and Standards
Reference:
NIST 800-53r5|CM-6 CM-7
Policy Value:
'4'
Actual Value:
'0'</t>
  </si>
  <si>
    <t>"1.0070 - MSWRK - Ensure Choose how BitLocker-protected removable drives can be recovered is set to Enabled: [PASSED]"
This policy setting allows you to control how BitLocker-protected removable data drives are recovered in the absence of the required credentials.
See Also:
See HTH Policies and Standards
Reference:
NIST 800-53r5|MP-7
Policy Value:
'1'
Actual Value:
'1'</t>
  </si>
  <si>
    <t>2026-04-19T01:33:04.974Z</t>
  </si>
  <si>
    <t>"1.0142 - MSWRK - Ensure Allow data persistence for Microsoft Defender Application Guard is set to Disabled: [PASSED]"
This policy setting allows you to decide whether data should persist across different sessions in Microsoft Defender Application Guard.
See Also:
See HTH Policies and Standards
Reference:
NIST 800-53r5|CM-6 CM-7
Policy Value:
'0'
Actual Value:
'0'</t>
  </si>
  <si>
    <t>"1.0050 - MSWRK - Ensure Choose how BitLocker-protected fixed drives can be recovered: Configure storage of BitLocker recovery information to AD DS is set to Enabled: Backup recovery passwords and key packages: [FAILED]"
This policy setting allows you to control how BitLocker-protected fixed data drives are recovered in the absence of the required credentials.
See Also:
See HTH Policies and Standards
Reference:
NIST 800-53r5|SC-28
Policy Value:
'1'
Actual Value:
'0'</t>
  </si>
  <si>
    <t>2026-04-19T01:33:04.996Z</t>
  </si>
  <si>
    <t>"1.0044 - MSWRK - Ensure Choose how BitLocker-protected fixed drives can be recovered is set to Enabled: [FAILED]"
This policy setting allows you to control how BitLocker-protected fixed data drives are recovered in the absence of the required credentials.
See Also:
See HTH Policies and Standards
Reference:
NIST 800-53r5|SC-28
Policy Value:
'1'
Actual Value:
'0'</t>
  </si>
  <si>
    <t>2026-04-19T01:33:04.997Z</t>
  </si>
  <si>
    <t>"1.0025 - MSWRK - Ensure Audit File Share is set to Success and Failure: [PASSED]"
This policy setting allows you to audit attempts to access a shared folder.
See Also:
See HTH Policies and Standards
Reference:
NIST 800-53r5|AU-3 AU-3(1) AU-7 AU-12
Policy Value:
'Success and Failure'
Actual Value:
'Success and Failure'</t>
  </si>
  <si>
    <t>"1.0107 - MSWRK - Ensure Configure real-time protection and Security Intelligence Updates during OOBE is set to Enabled: [FAILED]"
This policy setting configures whether Real-time Protection and Security Intelligence Updates are enabled during the Out of Box experience (OOBE).
See Also:
See HTH Policies and Standards
Reference:
NIST 800-53r5|SI-3
Policy Value:
'1'
Actual Value:
'0'</t>
  </si>
  <si>
    <t>"1.0267 - MSWRK - Ensure Configure password backup directory is set to Enabled: Active Directory or Enabled: Azure Active Directory: [FAILED]"
This policy setting configures which directory Windows LAPS will use to back up the local admin account password.
See Also:
See HTH Policies and Standards
Reference:
NIST 800-53r5|CP-9
Policy Value:
'1' || '2'
Actual Value:
'0'</t>
  </si>
  <si>
    <t>2026-04-19T01:33:04.998Z</t>
  </si>
  <si>
    <t>"1.0223 - MSWRK - Ensure Require domain users to elevate when setting a networks location is set to Enabled: [FAILED]"
This policy setting determines whether to require domain users to elevate when setting a network's location.
See Also:
See HTH Policies and Standards
Reference:
NIST 800-53r5|AC-2(9)
Policy Value:
'1'
Actual Value:
'0'</t>
  </si>
  <si>
    <t>2026-04-19T01:33:04.999Z</t>
  </si>
  <si>
    <t>"1.0494 - MSWRK - SMB v1 server is set to Disabled: [FAILED]"
This setting configures the server-side processing of the Server Message Block version 1 (SMBv1) protocol.
See Also:
See corresponding HTH Policy or Standard
Reference:
NIST 800-53r5|CM-6 CM-7
Policy Value:
'Disabled'
Actual Value:
'RunspaceId                           Value   _x000D_
----------                           -----   _x000D_
e21c434e-ad8a-45ee-966b-74bc0907a550 Disabled'</t>
  </si>
  <si>
    <t>"1.0165 - MSWRK - Ensure Notify Malicious is set to Enabled: [FAILED]"
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See Also:
See HTH Policies and Standards
Reference:
NIST 800-53r5|SI-16
Policy Value:
'1'
Actual Value:
'0'</t>
  </si>
  <si>
    <t>2026-04-19T01:33:05Z</t>
  </si>
  <si>
    <t>Item</t>
  </si>
  <si>
    <t>Audit Name</t>
  </si>
  <si>
    <t>Status</t>
  </si>
  <si>
    <t>Short Description</t>
  </si>
  <si>
    <t>Already Pass/Not Assessed</t>
  </si>
  <si>
    <t>1.0012</t>
  </si>
  <si>
    <t>Ensure Audit Credential Validation is set to Success and Failure</t>
  </si>
  <si>
    <t>1.0012 - MSWRK - Ensure Audit Credential Validation is set to Success and Failure</t>
  </si>
  <si>
    <t>PASSED</t>
  </si>
  <si>
    <t>1.0013</t>
  </si>
  <si>
    <t>Ensure Audit Application Group Management is set to Success and Failure</t>
  </si>
  <si>
    <t>1.0013 - MSWRK - Ensure Audit Application Group Management is set to Success and Failure</t>
  </si>
  <si>
    <t>1.0014</t>
  </si>
  <si>
    <t>Ensure Audit Security Group Management is set to include Success</t>
  </si>
  <si>
    <t>1.0014 - MSWRK - Ensure Audit Security Group Management is set to include Success</t>
  </si>
  <si>
    <t>1.0015</t>
  </si>
  <si>
    <t>Ensure Audit User Account Management is set to Success and Failure</t>
  </si>
  <si>
    <t>1.0015 - MSWRK - Ensure Audit User Account Management is set to Success and Failure</t>
  </si>
  <si>
    <t>1.0016</t>
  </si>
  <si>
    <t>Ensure Audit PNP Activity is set to include Success</t>
  </si>
  <si>
    <t>1.0016 - MSWRK - Ensure Audit PNP Activity is set to include Success</t>
  </si>
  <si>
    <t>1.0017</t>
  </si>
  <si>
    <t>Ensure Audit Process Creation is set to include Success</t>
  </si>
  <si>
    <t>1.0017 - MSWRK - Ensure Audit Process Creation is set to include Success</t>
  </si>
  <si>
    <t>1.0019</t>
  </si>
  <si>
    <t>Ensure Audit Group Membership is set to include Success</t>
  </si>
  <si>
    <t>1.0019 - MSWRK - Ensure Audit Group Membership is set to include Success</t>
  </si>
  <si>
    <t>1.0024</t>
  </si>
  <si>
    <t>Ensure Audit Detailed File Share is set to include Failure</t>
  </si>
  <si>
    <t>1.0024 - MSWRK - Ensure Audit Detailed File Share is set to include Failure</t>
  </si>
  <si>
    <t>1.0025</t>
  </si>
  <si>
    <t>Ensure Audit File Share is set to Success and Failure</t>
  </si>
  <si>
    <t>1.0025 - MSWRK - Ensure Audit File Share is set to Success and Failure</t>
  </si>
  <si>
    <t>1.0026</t>
  </si>
  <si>
    <t>Ensure Audit Other Object Access Events is set to Success and Failure</t>
  </si>
  <si>
    <t>1.0026 - MSWRK - Ensure Audit Other Object Access Events is set to Success and Failure</t>
  </si>
  <si>
    <t>1.0027</t>
  </si>
  <si>
    <t>Ensure Audit Removable Storage is set to Success and Failure</t>
  </si>
  <si>
    <t>1.0027 - MSWRK - Ensure Audit Removable Storage is set to Success and Failure</t>
  </si>
  <si>
    <t>1.0030</t>
  </si>
  <si>
    <t>Ensure Audit Authorization Policy Change is set to include Success</t>
  </si>
  <si>
    <t>1.0030 - MSWRK - Ensure Audit Authorization Policy Change is set to include Success</t>
  </si>
  <si>
    <t>1.0031</t>
  </si>
  <si>
    <t>Ensure Audit MPSSVC Rule-Level Policy Change is set to Success and Failure</t>
  </si>
  <si>
    <t>1.0031 - MSWRK - Ensure Audit MPSSVC Rule-Level Policy Change is set to Success and Failure</t>
  </si>
  <si>
    <t>1.0032</t>
  </si>
  <si>
    <t>Ensure Audit Other Policy Change Events is set to include Failure</t>
  </si>
  <si>
    <t>1.0032 - MSWRK - Ensure Audit Other Policy Change Events is set to include Failure</t>
  </si>
  <si>
    <t>1.0033</t>
  </si>
  <si>
    <t>Ensure Audit Sensitive Privilege Use is set to Success</t>
  </si>
  <si>
    <t>1.0033 - MSWRK - Ensure Audit Sensitive Privilege Use is set to Success</t>
  </si>
  <si>
    <t>1.0034</t>
  </si>
  <si>
    <t>Ensure Audit IPsec Driver is set to Success and Failure</t>
  </si>
  <si>
    <t>1.0034 - MSWRK - Ensure Audit IPsec Driver is set to Success and Failure</t>
  </si>
  <si>
    <t>1.0039</t>
  </si>
  <si>
    <t>Ensure Allow access to BitLocker-protected fixed data drives from earlier versions of Windows is set to Disabled</t>
  </si>
  <si>
    <t>1.0039 - MSWRK - Ensure Allow access to BitLocker-protected fixed data drives from earlier versions of Windows is set to Disabled</t>
  </si>
  <si>
    <t>1.0040</t>
  </si>
  <si>
    <t>Ensure Configure use of hardware-based encryption for fixed data drives is set to Disabled</t>
  </si>
  <si>
    <t>1.0040 - MSWRK - Ensure Configure use of hardware-based encryption for fixed data drives is set to Disabled</t>
  </si>
  <si>
    <t>1.0041</t>
  </si>
  <si>
    <t>Ensure Configure use of passwords for fixed data drives is set to Disabled</t>
  </si>
  <si>
    <t>1.0041 - MSWRK - Ensure Configure use of passwords for fixed data drives is set to Disabled</t>
  </si>
  <si>
    <t>1.0049</t>
  </si>
  <si>
    <t>Ensure Choose how BitLocker-protected fixed drives can be recovered</t>
  </si>
  <si>
    <t>1.0049 - MSWRK - Ensure Choose how BitLocker-protected fixed drives can be recovered: Save BitLocker recovery information to AD DS for fixed data drives is set to Enabled: False</t>
  </si>
  <si>
    <t>1.0051</t>
  </si>
  <si>
    <t>1.0051 - MSWRK - Ensure Choose how BitLocker-protected fixed drives can be recovered: Do not enable BitLocker until recovery information is stored to AD DS for fixed data drives is set to Enabled: False</t>
  </si>
  <si>
    <t>1.0053</t>
  </si>
  <si>
    <t>Ensure Choose how BitLocker-protected operating system drives can be recovered</t>
  </si>
  <si>
    <t>1.0053 - MSWRK - Ensure Choose how BitLocker-protected operating system drives can be recovered: Do not enable BitLocker until recovery information is stored to AD DS for operating system drives is set to Enabled: True</t>
  </si>
  <si>
    <t>1.0054</t>
  </si>
  <si>
    <t>Ensure Configure use of hardware-based encryption for operating system drives is set to Disabled</t>
  </si>
  <si>
    <t>1.0054 - MSWRK - Ensure Configure use of hardware-based encryption for operating system drives is set to Disabled</t>
  </si>
  <si>
    <t>1.0056</t>
  </si>
  <si>
    <t>Ensure Choose how BitLocker-protected operating system drives can be recovered is set to Enabled</t>
  </si>
  <si>
    <t>1.0056 - MSWRK - Ensure Choose how BitLocker-protected operating system drives can be recovered is set to Enabled</t>
  </si>
  <si>
    <t>1.0060</t>
  </si>
  <si>
    <t>1.0060 - MSWRK - Ensure Choose how BitLocker-protected operating system drives can be recovered: Omit recovery options from the BitLocker setup wizard is set to Enabled: True</t>
  </si>
  <si>
    <t>1.0061</t>
  </si>
  <si>
    <t>1.0061 - MSWRK - Ensure Choose how BitLocker-protected operating system drives can be recovered: Save BitLocker recovery information to AD DS for operating system drives is set to Enabled: True</t>
  </si>
  <si>
    <t>1.0062</t>
  </si>
  <si>
    <t>1.0062 - MSWRK - Ensure Choose how BitLocker-protected operating system drives can be recovered: Configure storage of BitLocker recovery information to AD DS: is set to Enabled: Store recovery passwords and key packages</t>
  </si>
  <si>
    <t>1.0064</t>
  </si>
  <si>
    <t>Ensure Configure use of hardware-based encryption for removable data drives is set to Disabled</t>
  </si>
  <si>
    <t>1.0064 - MSWRK - Ensure Configure use of hardware-based encryption for removable data drives is set to Disabled</t>
  </si>
  <si>
    <t>1.0068</t>
  </si>
  <si>
    <t>Ensure Deny write access to removable drives not protected by BitLocker is set to Enabled</t>
  </si>
  <si>
    <t>1.0068 - MSWRK - Ensure Deny write access to removable drives not protected by BitLocker is set to Enabled</t>
  </si>
  <si>
    <t>1.0069</t>
  </si>
  <si>
    <t>Ensure Deny write access to removable drives not protected by BitLocker</t>
  </si>
  <si>
    <t>1.0069 - MSWRK - Ensure Deny write access to removable drives not protected by BitLocker: Do not allow write access to devices configured in another organization is set to Enabled: False</t>
  </si>
  <si>
    <t>1.0070</t>
  </si>
  <si>
    <t>Ensure Choose how BitLocker-protected removable drives can be recovered is set to Enabled</t>
  </si>
  <si>
    <t>1.0070 - MSWRK - Ensure Choose how BitLocker-protected removable drives can be recovered is set to Enabled</t>
  </si>
  <si>
    <t>1.0071</t>
  </si>
  <si>
    <t>Ensure Choose how BitLocker-protected removable drives can be recovered</t>
  </si>
  <si>
    <t>1.0071 - MSWRK - Ensure Choose how BitLocker-protected removable drives can be recovered: Allow data recovery agent is set to Enabled: True</t>
  </si>
  <si>
    <t>1.0074</t>
  </si>
  <si>
    <t>1.0074 - MSWRK - Ensure Choose how BitLocker-protected removable drives can be recovered: Omit recovery options from the BitLocker setup wizard is set to Enabled: True</t>
  </si>
  <si>
    <t>1.0076</t>
  </si>
  <si>
    <t>1.0076 - MSWRK - Ensure Choose how BitLocker-protected removable drives can be recovered: Configure storage of BitLocker recovery information to AD DS: is set to Enabled: Backup recovery passwords and key packages</t>
  </si>
  <si>
    <t>1.0078</t>
  </si>
  <si>
    <t>Ensure Turn off cloud consumer account state content is set to Enabled</t>
  </si>
  <si>
    <t>1.0078 - MSWRK - Ensure Turn off cloud consumer account state content is set to Enabled</t>
  </si>
  <si>
    <t>1.0079</t>
  </si>
  <si>
    <t>Ensure Turn off Microsoft consumer experiences is set to Enabled</t>
  </si>
  <si>
    <t>1.0079 - MSWRK - Ensure Turn off Microsoft consumer experiences is set to Enabled</t>
  </si>
  <si>
    <t>1.0084</t>
  </si>
  <si>
    <t>Ensure Allow Diagnostic Data is set to Enabled</t>
  </si>
  <si>
    <t>1.0084 - MSWRK - Ensure Allow Diagnostic Data is set to Enabled: Diagnostic data off (not recommended) or Enabled: Send required diagnostic data</t>
  </si>
  <si>
    <t>1.0085</t>
  </si>
  <si>
    <t>Ensure Do not show feedback notifications is set to Enabled</t>
  </si>
  <si>
    <t>1.0085 - MSWRK - Ensure Do not show feedback notifications is set to Enabled</t>
  </si>
  <si>
    <t>1.0086</t>
  </si>
  <si>
    <t>Ensure Enable OneSettings Auditing is set to Enabled</t>
  </si>
  <si>
    <t>1.0086 - MSWRK - Ensure Enable OneSettings Auditing is set to Enabled</t>
  </si>
  <si>
    <t>1.0087</t>
  </si>
  <si>
    <t>Ensure Download Mode is NOT set to Enabled</t>
  </si>
  <si>
    <t>1.0087 - MSWRK - Ensure Download Mode is NOT set to Enabled: Internet</t>
  </si>
  <si>
    <t>1.0090</t>
  </si>
  <si>
    <t>Ensure Enable App Installer Local Archive Malware Scan Override is set to Disabled</t>
  </si>
  <si>
    <t>1.0090 - MSWRK - Ensure Enable App Installer Local Archive Malware Scan Override is set to Disabled</t>
  </si>
  <si>
    <t>1.0091</t>
  </si>
  <si>
    <t>Ensure Enable App Installer Microsoft Store Source Certificate Validation Bypass is set to Disabled</t>
  </si>
  <si>
    <t>1.0091 - MSWRK - Ensure Enable App Installer Microsoft Store Source Certificate Validation Bypass is set to Disabled</t>
  </si>
  <si>
    <t>1.0101</t>
  </si>
  <si>
    <t>Ensure Turn off Data Execution Prevention for Explorer is set to Disabled</t>
  </si>
  <si>
    <t>1.0101 - MSWRK - Ensure Turn off Data Execution Prevention for Explorer is set to Disabled</t>
  </si>
  <si>
    <t>1.0102</t>
  </si>
  <si>
    <t>Ensure Do not apply the Mark of the Web tag to files copied from insecure sources is set to Disabled</t>
  </si>
  <si>
    <t>1.0102 - MSWRK - Ensure Do not apply the Mark of the Web tag to files copied from insecure sources is set to Disabled</t>
  </si>
  <si>
    <t>1.0103</t>
  </si>
  <si>
    <t>Ensure Turn off heap termination on corruption is set to Disabled</t>
  </si>
  <si>
    <t>1.0103 - MSWRK - Ensure Turn off heap termination on corruption is set to Disabled</t>
  </si>
  <si>
    <t>1.0104</t>
  </si>
  <si>
    <t>Ensure Turn off shell protocol protected mode is set to Disabled</t>
  </si>
  <si>
    <t>1.0104 - MSWRK - Ensure Turn off shell protocol protected mode is set to Disabled</t>
  </si>
  <si>
    <t>1.0121</t>
  </si>
  <si>
    <t>Ensure Configure local setting override for reporting to Microsoft MAPS is set to Disabled</t>
  </si>
  <si>
    <t>1.0121 - MSWRK - Ensure Configure local setting override for reporting to Microsoft MAPS is set to Disabled</t>
  </si>
  <si>
    <t>1.0141</t>
  </si>
  <si>
    <t>Ensure Allow camera and microphone access in Microsoft Defender Application Guard is set to Disabled</t>
  </si>
  <si>
    <t>1.0141 - MSWRK - Ensure Allow camera and microphone access in Microsoft Defender Application Guard is set to Disabled</t>
  </si>
  <si>
    <t>1.0142</t>
  </si>
  <si>
    <t>Ensure Allow data persistence for Microsoft Defender Application Guard is set to Disabled</t>
  </si>
  <si>
    <t>1.0142 - MSWRK - Ensure Allow data persistence for Microsoft Defender Application Guard is set to Disabled</t>
  </si>
  <si>
    <t>1.0143</t>
  </si>
  <si>
    <t>Ensure Allow files to download and save to the host operating system from Microsoft Defender Application Guard is set to Disabled</t>
  </si>
  <si>
    <t>1.0143 - MSWRK - Ensure Allow files to download and save to the host operating system from Microsoft Defender Application Guard is set to Disabled</t>
  </si>
  <si>
    <t>1.0157</t>
  </si>
  <si>
    <t>Ensure Allow Cortana above lock screen is set to Disabled</t>
  </si>
  <si>
    <t>1.0157 - MSWRK - Ensure Allow Cortana above lock screen is set to Disabled</t>
  </si>
  <si>
    <t>1.0158</t>
  </si>
  <si>
    <t>Ensure Allow indexing of encrypted files is set to Disabled</t>
  </si>
  <si>
    <t>1.0158 - MSWRK - Ensure Allow indexing of encrypted files is set to Disabled</t>
  </si>
  <si>
    <t>1.0159</t>
  </si>
  <si>
    <t>Ensure Allow search and Cortana to use location is set to Disabled</t>
  </si>
  <si>
    <t>1.0159 - MSWRK - Ensure Allow search and Cortana to use location is set to Disabled</t>
  </si>
  <si>
    <t>1.0163</t>
  </si>
  <si>
    <t>Ensure Allow Recall to be enabled is set to Disabled</t>
  </si>
  <si>
    <t>1.0163 - MSWRK - Ensure Allow Recall to be enabled is set to Disabled</t>
  </si>
  <si>
    <t>1.0174</t>
  </si>
  <si>
    <t>Ensure Allow Windows Ink Workspace is set to Enabled</t>
  </si>
  <si>
    <t>1.0174 - MSWRK - Ensure Allow Windows Ink Workspace is set to Enabled: On, but disallow access above lock OR Enabled: Disabled</t>
  </si>
  <si>
    <t>1.0176</t>
  </si>
  <si>
    <t>Ensure Allow user control over installs is set to Disabled</t>
  </si>
  <si>
    <t>1.0176 - MSWRK - Ensure Allow user control over installs is set to Disabled</t>
  </si>
  <si>
    <t>1.0177</t>
  </si>
  <si>
    <t>Ensure Always install with elevated privileges is set to Disabled</t>
  </si>
  <si>
    <t>1.0177 - MSWRK - Ensure Always install with elevated privileges is set to Disabled</t>
  </si>
  <si>
    <t>1.0179</t>
  </si>
  <si>
    <t>Ensure Configure the transmission of the users password in the content of MPR notifications sent by winlogon. is set to Disabled</t>
  </si>
  <si>
    <t>1.0179 - MSWRK - Ensure Configure the transmission of the users password in the content of MPR notifications sent by winlogon. is set to Disabled</t>
  </si>
  <si>
    <t>1.0181</t>
  </si>
  <si>
    <t>Ensure Allow Basic authentication is set to Disabled - Client</t>
  </si>
  <si>
    <t>1.0181 - MSWRK - Ensure Allow Basic authentication is set to Disabled - Client</t>
  </si>
  <si>
    <t>1.0182</t>
  </si>
  <si>
    <t>Ensure Allow unencrypted traffic is set to Disabled - Client</t>
  </si>
  <si>
    <t>1.0182 - MSWRK - Ensure Allow unencrypted traffic is set to Disabled - Client</t>
  </si>
  <si>
    <t>1.0183</t>
  </si>
  <si>
    <t>Ensure Disallow Digest authentication is set to Enabled</t>
  </si>
  <si>
    <t>1.0183 - MSWRK - Ensure Disallow Digest authentication is set to Enabled</t>
  </si>
  <si>
    <t>1.0191</t>
  </si>
  <si>
    <t>Ensure No auto-restart with logged on users for scheduled automatic updates installations is set to Disabled</t>
  </si>
  <si>
    <t>1.0191 - MSWRK - Ensure No auto-restart with logged on users for scheduled automatic updates installations is set to Disabled</t>
  </si>
  <si>
    <t>1.0193</t>
  </si>
  <si>
    <t>Ensure Configure Automatic Updates</t>
  </si>
  <si>
    <t>1.0193 - MSWRK - Ensure Configure Automatic Updates: Scheduled install day is set to 0 - Every day</t>
  </si>
  <si>
    <t>1.0194</t>
  </si>
  <si>
    <t>Ensure Enable features introduced via servicing that are off by default is set to Disabled</t>
  </si>
  <si>
    <t>1.0194 - MSWRK - Ensure Enable features introduced via servicing that are off by default is set to Disabled</t>
  </si>
  <si>
    <t>1.0197</t>
  </si>
  <si>
    <t>Value of DeferQualityUpdatesPeriodInDays</t>
  </si>
  <si>
    <t>1.0197 - MSWRK - Value of DeferQualityUpdatesPeriodInDays</t>
  </si>
  <si>
    <t>1.0199</t>
  </si>
  <si>
    <t>Ensure Enable optional updates is set to Disabled</t>
  </si>
  <si>
    <t>1.0199 - MSWRK - Ensure Enable optional updates is set to Disabled</t>
  </si>
  <si>
    <t>1.0201</t>
  </si>
  <si>
    <t>Ensure Disable HTTP proxy features</t>
  </si>
  <si>
    <t>1.0201 - MSWRK - Ensure Disable HTTP proxy features: Disable WPAD is set to Enabled: Checked</t>
  </si>
  <si>
    <t>1.0205</t>
  </si>
  <si>
    <t>Ensure Apply UAC restrictions to local accounts on network logons is set to Enabled</t>
  </si>
  <si>
    <t>1.0205 - MSWRK - Ensure Apply UAC restrictions to local accounts on network logons is set to Enabled</t>
  </si>
  <si>
    <t>1.0207</t>
  </si>
  <si>
    <t>Ensure Configure SMB v1 server is set to Disabled</t>
  </si>
  <si>
    <t>1.0207 - MSWRK - Ensure Configure SMB v1 server is set to Disabled</t>
  </si>
  <si>
    <t>1.0209</t>
  </si>
  <si>
    <t>32-bit subsystem on 64-bit OS - Config</t>
  </si>
  <si>
    <t>1.0209 - MSWRK - 32-bit subsystem on 64-bit OS - Config</t>
  </si>
  <si>
    <t>1.0210</t>
  </si>
  <si>
    <t>Ensure Enable Structured Exception Handling Overwrite Protection (SEHOP) is set to Enabled</t>
  </si>
  <si>
    <t>1.0210 - MSWRK - Ensure Enable Structured Exception Handling Overwrite Protection (SEHOP) is set to Enabled</t>
  </si>
  <si>
    <t>1.0212</t>
  </si>
  <si>
    <t>Ensure WDigest Authentication is set to Disabled</t>
  </si>
  <si>
    <t>1.0212 - MSWRK - Ensure WDigest Authentication is set to Disabled</t>
  </si>
  <si>
    <t>1.0213</t>
  </si>
  <si>
    <t>Ensure AutoAdminLogon is Windows</t>
  </si>
  <si>
    <t>1.0213 - MSWRK - Ensure AutoAdminLogon is Windows: Registry Value to 0</t>
  </si>
  <si>
    <t>1.0214</t>
  </si>
  <si>
    <t>Ensure DefaultPassword does not exist</t>
  </si>
  <si>
    <t>1.0214 - MSWRK - Ensure DefaultPassword does not exist</t>
  </si>
  <si>
    <t>1.0215</t>
  </si>
  <si>
    <t>Ensure MSS: (WarningLevel) Percentage threshold for the security event log at which the system will generate a warning is set to Enabled</t>
  </si>
  <si>
    <t>1.0215 - MSWRK - Ensure MSS: (WarningLevel) Percentage threshold for the security event log at which the system will generate a warning is set to Enabled: 90% or less</t>
  </si>
  <si>
    <t>1.0218</t>
  </si>
  <si>
    <t>Ensure MSS: (EnableICMPRedirect) Allow ICMP redirects to override OSPF generated routes is set to Disabled</t>
  </si>
  <si>
    <t>1.0218 - MSWRK - Ensure MSS: (EnableICMPRedirect) Allow ICMP redirects to override OSPF generated routes is set to Disabled</t>
  </si>
  <si>
    <t>1.0219</t>
  </si>
  <si>
    <t>Ensure MSS: (NoNameReleaseOnDemand) Allow the computer to ignore NetBIOS name release requests except from WINS servers is set to Enabled</t>
  </si>
  <si>
    <t>1.0219 - MSWRK - Ensure MSS: (NoNameReleaseOnDemand) Allow the computer to ignore NetBIOS name release requests except from WINS servers is set to Enabled</t>
  </si>
  <si>
    <t>1.0220</t>
  </si>
  <si>
    <t>Ensure MSS: (SafeDllSearchMode) Enable Safe DLL search mode is set to Enabled</t>
  </si>
  <si>
    <t>1.0220 - MSWRK - Ensure MSS: (SafeDllSearchMode) Enable Safe DLL search mode is set to Enabled</t>
  </si>
  <si>
    <t>1.0221</t>
  </si>
  <si>
    <t>Ensure Prohibit installation and configuration of Network Bridge on your DNS domain network is set to Enabled</t>
  </si>
  <si>
    <t>1.0221 - MSWRK - Ensure Prohibit installation and configuration of Network Bridge on your DNS domain network is set to Enabled</t>
  </si>
  <si>
    <t>1.0222</t>
  </si>
  <si>
    <t>Ensure Prohibit use of Internet Connection Sharing on your DNS domain network is set to Enabled</t>
  </si>
  <si>
    <t>1.0222 - MSWRK - Ensure Prohibit use of Internet Connection Sharing on your DNS domain network is set to Enabled</t>
  </si>
  <si>
    <t>1.0229</t>
  </si>
  <si>
    <t>Ensure Configure multicast DNS (mDNS) protocol is set to Disabled</t>
  </si>
  <si>
    <t>1.0229 - MSWRK - Ensure Configure multicast DNS (mDNS) protocol is set to Disabled</t>
  </si>
  <si>
    <t>1.0230</t>
  </si>
  <si>
    <t>Ensure Configure NetBIOS settings is set to Enabled</t>
  </si>
  <si>
    <t>1.0230 - MSWRK - Ensure Configure NetBIOS settings is set to Enabled: Disable NetBIOS name resolution on public networks</t>
  </si>
  <si>
    <t>1.0236</t>
  </si>
  <si>
    <t>Ensure Enable remote mailslots is set to Disabled - Bowser</t>
  </si>
  <si>
    <t>1.0236 - MSWRK - Ensure Enable remote mailslots is set to Disabled - Bowser</t>
  </si>
  <si>
    <t>1.0242</t>
  </si>
  <si>
    <t>Ensure Enable insecure guest logons is set to Disabled</t>
  </si>
  <si>
    <t>1.0242 - MSWRK - Ensure Enable insecure guest logons is set to Disabled</t>
  </si>
  <si>
    <t>1.0243</t>
  </si>
  <si>
    <t>Ensure Enable remote mailslots is set to Disabled - Networkprovider</t>
  </si>
  <si>
    <t>1.0243 - MSWRK - Ensure Enable remote mailslots is set to Disabled - Networkprovider</t>
  </si>
  <si>
    <t>1.0252</t>
  </si>
  <si>
    <t>Ensure Configure RPC connection settings</t>
  </si>
  <si>
    <t>1.0252 - MSWRK - Ensure Configure RPC connection settings: Protocol to use for outgoing RPC connections is set to Enabled: RPC over TCP</t>
  </si>
  <si>
    <t>1.0253</t>
  </si>
  <si>
    <t>1.0253 - MSWRK - Ensure Configure RPC connection settings: Use authentication for outgoing RPC connections is set to Enabled: Default</t>
  </si>
  <si>
    <t>1.0255</t>
  </si>
  <si>
    <t>Ensure Configure RPC listener settings</t>
  </si>
  <si>
    <t>1.0255 - MSWRK - Ensure Configure RPC listener settings: Authentication protocol to use for incoming RPC connections: is set to Enabled: Negotiate or higher</t>
  </si>
  <si>
    <t>1.0256</t>
  </si>
  <si>
    <t>Ensure Configure RPC over TCP port is set to Enabled</t>
  </si>
  <si>
    <t>1.0256 - MSWRK - Ensure Configure RPC over TCP port is set to Enabled: 0</t>
  </si>
  <si>
    <t>1.0260</t>
  </si>
  <si>
    <t>Ensure Configure security policy processing</t>
  </si>
  <si>
    <t>1.0260 - MSWRK - Ensure Configure security policy processing: Do not apply during periodic background processing is set to Enabled: FALSE</t>
  </si>
  <si>
    <t>1.0261</t>
  </si>
  <si>
    <t>1.0261 - MSWRK - Ensure Configure security policy processing: Process even if the Group Policy objects have not changed is set to Enabled: TRUE</t>
  </si>
  <si>
    <t>1.0262</t>
  </si>
  <si>
    <t>Ensure Continue experiences on this device is set to Disabled</t>
  </si>
  <si>
    <t>1.0262 - MSWRK - Ensure Continue experiences on this device is set to Disabled</t>
  </si>
  <si>
    <t>1.0263</t>
  </si>
  <si>
    <t>Ensure Turn off background refresh of Group Policy is set to Disabled</t>
  </si>
  <si>
    <t>1.0263 - MSWRK - Ensure Turn off background refresh of Group Policy is set to Disabled</t>
  </si>
  <si>
    <t>1.0272</t>
  </si>
  <si>
    <t>Ensure Password Settings</t>
  </si>
  <si>
    <t>1.0272 - MSWRK - Ensure Password Settings: Password Age (Days) is set to Enabled: 30 or fewer</t>
  </si>
  <si>
    <t>1.0275</t>
  </si>
  <si>
    <t>Ensure Allow Custom SSPs and APs to be loaded into LSASS is set to Disabled</t>
  </si>
  <si>
    <t>1.0275 - MSWRK - Ensure Allow Custom SSPs and APs to be loaded into LSASS is set to Disabled</t>
  </si>
  <si>
    <t>1.0280</t>
  </si>
  <si>
    <t>Ensure Enumerate local users on domain-joined computers is set to Disabled</t>
  </si>
  <si>
    <t>1.0280 - MSWRK - Ensure Enumerate local users on domain-joined computers is set to Disabled</t>
  </si>
  <si>
    <t>1.0288</t>
  </si>
  <si>
    <t>Ensure Allow standby states (S1-S3) when sleeping (on battery) is set to Disabled - Abfc2519-3608-4c2a-94ea-171b0ed546ab</t>
  </si>
  <si>
    <t>1.0288 - MSWRK - Ensure Allow standby states (S1-S3) when sleeping (on battery) is set to Disabled - Abfc2519-3608-4c2a-94ea-171b0ed546ab</t>
  </si>
  <si>
    <t>1.0289</t>
  </si>
  <si>
    <t>Ensure Allow standby states (S1-S3) when sleeping (plugged in) is set to Disabled - Abfc2519-3608-4c2a-94ea-171b0ed546ab</t>
  </si>
  <si>
    <t>1.0289 - MSWRK - Ensure Allow standby states (S1-S3) when sleeping (plugged in) is set to Disabled - Abfc2519-3608-4c2a-94ea-171b0ed546ab</t>
  </si>
  <si>
    <t>1.0290</t>
  </si>
  <si>
    <t>Ensure Require a password when a computer wakes (on battery) is set to Enabled - 0e796bdb-100d-47d6-a2d5-f7d2daa51f51</t>
  </si>
  <si>
    <t>1.0290 - MSWRK - Ensure Require a password when a computer wakes (on battery) is set to Enabled - 0e796bdb-100d-47d6-a2d5-f7d2daa51f51</t>
  </si>
  <si>
    <t>1.0291</t>
  </si>
  <si>
    <t>Ensure Require a password when a computer wakes (plugged in) is set to Enabled - 0e796bdb-100d-47d6-a2d5-f7d2daa51f51</t>
  </si>
  <si>
    <t>1.0291 - MSWRK - Ensure Require a password when a computer wakes (plugged in) is set to Enabled - 0e796bdb-100d-47d6-a2d5-f7d2daa51f51</t>
  </si>
  <si>
    <t>1.0292</t>
  </si>
  <si>
    <t>Ensure Configure Offer Remote Assistance is set to Disabled</t>
  </si>
  <si>
    <t>1.0292 - MSWRK - Ensure Configure Offer Remote Assistance is set to Disabled</t>
  </si>
  <si>
    <t>1.0303</t>
  </si>
  <si>
    <t>Ensure Enable Windows NTP Server is set to Disabled - Ntpserver</t>
  </si>
  <si>
    <t>1.0303 - MSWRK - Ensure Enable Windows NTP Server is set to Disabled - Ntpserver</t>
  </si>
  <si>
    <t>1.0305</t>
  </si>
  <si>
    <t>(L1) Ensure Configure the behavior of the sudo command is set to Enabled</t>
  </si>
  <si>
    <t>1.0305 - MSWRK - (L1) Ensure Configure the behavior of the sudo command is set to Enabled: Disabled - Sudo</t>
  </si>
  <si>
    <t>1.0356</t>
  </si>
  <si>
    <t>Ensure Network access</t>
  </si>
  <si>
    <t>1.0356 - MSWRK - Ensure Network access: Allow anonymous SID/Name translation is set to Disabled</t>
  </si>
  <si>
    <t>1.0361</t>
  </si>
  <si>
    <t>1.0361 - MSWRK - Ensure Network access: Do not allow anonymous enumeration of SAM accounts and shares is set to Enabled</t>
  </si>
  <si>
    <t>1.0373</t>
  </si>
  <si>
    <t>Ensure Network security</t>
  </si>
  <si>
    <t>1.0373 - MSWRK - Ensure Network security: Allow LocalSystem NULL session fallback is set to Disabled</t>
  </si>
  <si>
    <t>1.0374</t>
  </si>
  <si>
    <t>Ensure Network Security</t>
  </si>
  <si>
    <t>1.0374 - MSWRK - Ensure Network Security: Allow PKU2U authentication requests to this computer to use online identities is set to Disabled</t>
  </si>
  <si>
    <t>1.0386</t>
  </si>
  <si>
    <t>Ensure User Account Control</t>
  </si>
  <si>
    <t>1.0386 - MSWRK - Ensure User Account Control: Admin Approval Mode for the Built-in Administrator account is set to Enabled</t>
  </si>
  <si>
    <t>1.0389</t>
  </si>
  <si>
    <t>1.0389 - MSWRK - Ensure User Account Control: Detect application installations and prompt for elevation is set to Enabled</t>
  </si>
  <si>
    <t>1.0394</t>
  </si>
  <si>
    <t>Ensure Audit: Force audit policy subcategory settings (Windows Vista or later) to override audit policy category settings is set to Enabled</t>
  </si>
  <si>
    <t>1.0394 - MSWRK - Ensure Audit: Force audit policy subcategory settings (Windows Vista or later) to override audit policy category settings is set to Enabled</t>
  </si>
  <si>
    <t>1.0403</t>
  </si>
  <si>
    <t>Ensure Interactive logon</t>
  </si>
  <si>
    <t>1.0403 - MSWRK - Ensure Interactive logon: Machine inactivity limit is set to 900 or fewer second(s), but not 0</t>
  </si>
  <si>
    <t>1.0410</t>
  </si>
  <si>
    <t>Ensure Microsoft network server</t>
  </si>
  <si>
    <t>1.0410 - MSWRK - Ensure Microsoft network server: Amount of idle time required before suspending session is set to 15 or fewer minute(s)</t>
  </si>
  <si>
    <t>1.0433</t>
  </si>
  <si>
    <t>Ensure Windows Firewall</t>
  </si>
  <si>
    <t>1.0433 - MSWRK - Ensure Windows Firewall: Domain: Firewall state is set to On (recommended) - Domainprofile</t>
  </si>
  <si>
    <t>1.0437</t>
  </si>
  <si>
    <t>1.0437 - MSWRK - Ensure Windows Firewall: Domain: Logging: Size limit (KB) is set to 16,384 KB or greater</t>
  </si>
  <si>
    <t>1.0438</t>
  </si>
  <si>
    <t>1.0438 - MSWRK - Ensure Windows Firewall: Domain: Logging: Log dropped packets is set to Yes</t>
  </si>
  <si>
    <t>1.0439</t>
  </si>
  <si>
    <t>1.0439 - MSWRK - Ensure Windows Firewall: Domain: Logging: Log successful connections is set to Yes</t>
  </si>
  <si>
    <t>1.0440</t>
  </si>
  <si>
    <t>1.0440 - MSWRK - Ensure Windows Firewall: Private: Firewall state is set to On (recommended) - Privateprofile</t>
  </si>
  <si>
    <t>1.0442</t>
  </si>
  <si>
    <t>1.0442 - MSWRK - Ensure Windows Firewall: Private: Settings: Display a notification is set to No - Privateprofile</t>
  </si>
  <si>
    <t>1.0443</t>
  </si>
  <si>
    <t>1.0443 - MSWRK - Ensure Windows Firewall: Private: Logging: Name is configured</t>
  </si>
  <si>
    <t>1.0444</t>
  </si>
  <si>
    <t>1.0444 - MSWRK - Ensure Windows Firewall: Private: Logging: Size limit (KB) is set to 16,384 KB or greater</t>
  </si>
  <si>
    <t>1.0445</t>
  </si>
  <si>
    <t>1.0445 - MSWRK - Ensure Windows Firewall: Private: Logging: Log dropped packets is set to Yes</t>
  </si>
  <si>
    <t>1.0446</t>
  </si>
  <si>
    <t>1.0446 - MSWRK - Ensure Windows Firewall: Private: Logging: Log successful connections is set to Yes</t>
  </si>
  <si>
    <t>1.0447</t>
  </si>
  <si>
    <t>1.0447 - MSWRK - Ensure Windows Firewall: Public: Firewall state is set to On (recommended) - Publicprofile</t>
  </si>
  <si>
    <t>1.0449</t>
  </si>
  <si>
    <t>1.0449 - MSWRK - Ensure Windows Firewall: Public: Settings: Display a notification is set to No - Publicprofile</t>
  </si>
  <si>
    <t>1.0450</t>
  </si>
  <si>
    <t>1.0450 - MSWRK - Ensure Windows Firewall: Public: Settings: Apply local firewall rules is set to No</t>
  </si>
  <si>
    <t>1.0451</t>
  </si>
  <si>
    <t>1.0451 - MSWRK - Ensure Windows Firewall: Public: Settings: Apply local connection security rules is set to No</t>
  </si>
  <si>
    <t>1.0452</t>
  </si>
  <si>
    <t>1.0452 - MSWRK - Ensure Windows Firewall: Public: Logging: Name is configured</t>
  </si>
  <si>
    <t>1.0453</t>
  </si>
  <si>
    <t>1.0453 - MSWRK - Ensure Windows Firewall: Public: Logging: Size limit (KB) is set to 16,384 KB or greater</t>
  </si>
  <si>
    <t>1.0454</t>
  </si>
  <si>
    <t>1.0454 - MSWRK - Ensure Windows Firewall: Public: Logging: Log dropped packets is set to Yes</t>
  </si>
  <si>
    <t>1.0455</t>
  </si>
  <si>
    <t>1.0455 - MSWRK - Ensure Windows Firewall: Public: Logging: Log successful connections is set to Yes</t>
  </si>
  <si>
    <t>===============================================================================</t>
  </si>
  <si>
    <t>AUDIT FILE COMPARISON REPORT</t>
  </si>
  <si>
    <t>Generated : 2026-04-20 13:54:41</t>
  </si>
  <si>
    <t>SIMILAR ITEMS RELABELLED</t>
  </si>
  <si>
    <t xml:space="preserve">    1.0181 - MSWRK - Ensure Allow Basic authentication is set to Disabled -&gt; Added (Client)</t>
  </si>
  <si>
    <t xml:space="preserve">    1.0184 - MSWRK - Ensure Allow Basic authentication is set to Disabled -&gt; Added (Service)</t>
  </si>
  <si>
    <t xml:space="preserve">    1.0182 - MSWRK - Ensure Allow unencrypted traffic is set to Disabled -&gt; Added (Client)</t>
  </si>
  <si>
    <t xml:space="preserve">    1.0185 - MSWRK - Ensure Allow unencrypted traffic is set to Disabled -&gt; Added (Service)</t>
  </si>
  <si>
    <t xml:space="preserve">    1.0206 - MSWRK - Ensure Configure SMB v1 client driver is set to Enabled: Disable driver (recommended) -&gt; Added (Mrxsmb10)</t>
  </si>
  <si>
    <t xml:space="preserve">    1.0414 - MSWRK - Ensure Microsoft FTP Service (FTPSVC) is set to Disabled or Not Installed -&gt; Added (Ftpsvc)</t>
  </si>
  <si>
    <t xml:space="preserve">    1.0415 - MSWRK - Ensure OpenSSH SSH Server (sshd) is set to Disabled or Not Installed -&gt; Added (Sshd)</t>
  </si>
  <si>
    <t xml:space="preserve">    1.0416 - MSWRK - Ensure Remote Procedure Call (RPC) Locator (RpcLocator) is set to Disabled -&gt; Added (Rpclocator)</t>
  </si>
  <si>
    <t xml:space="preserve">    1.0417 - MSWRK - Ensure Routing and Remote Access (RemoteAccess) is set to Disabled -&gt; Added (Remoteaccess)</t>
  </si>
  <si>
    <t xml:space="preserve">    1.0418 - MSWRK - Ensure Simple TCP/IP Services (simptcp) is set to Disabled or Not Installed -&gt; Added (Simptcp)</t>
  </si>
  <si>
    <t xml:space="preserve">    1.0419 - MSWRK - Ensure Special Administration Console Helper (sacsvr) is set to Disabled or Not Installed -&gt; Added (Sacsvr)</t>
  </si>
  <si>
    <t xml:space="preserve">    1.0421 - MSWRK - Ensure SSDP Discovery (SSDPSRV) is set to Disabled -&gt; Added (Ssdpsrv)</t>
  </si>
  <si>
    <t xml:space="preserve">    1.0422 - MSWRK - Ensure UPnP Device Host (upnphost) is set to Disabled -&gt; Added (Upnphost)</t>
  </si>
  <si>
    <t xml:space="preserve">    1.0423 - MSWRK - Ensure Web Management Service (WMSvc) is set to Disabled or Not Installed -&gt; Added (Wmsvc)</t>
  </si>
  <si>
    <t xml:space="preserve">    1.0424 - MSWRK - Ensure Windows Media Player Network Sharing Service (WMPNetworkSvc) is set to Disabled or Not Installed -&gt; Added (Wmpnetworksvc)</t>
  </si>
  <si>
    <t xml:space="preserve">    1.0425 - MSWRK - Ensure Windows Mobile Hotspot Service (icssvc) is set to Disabled -&gt; Added (Icssvc)</t>
  </si>
  <si>
    <t xml:space="preserve">    1.0426 - MSWRK - Ensure World Wide Web Publishing Service (W3SVC) is set to Disabled or Not Installed -&gt; Added (W3svc)</t>
  </si>
  <si>
    <t xml:space="preserve">    1.0427 - MSWRK - Ensure Xbox Accessory Management Service (XboxGipSvc) is set to Disabled -&gt; Added (Xboxgipsvc)</t>
  </si>
  <si>
    <t xml:space="preserve">    1.0428 - MSWRK - Ensure Xbox Live Auth Manager (XblAuthManager) is set to Disabled -&gt; Added (Xblauthmanager)</t>
  </si>
  <si>
    <t xml:space="preserve">    1.0429 - MSWRK - Ensure Xbox Live Game Save (XblGameSave) is set to Disabled -&gt; Added (Xblgamesave)</t>
  </si>
  <si>
    <t xml:space="preserve">    1.0430 - MSWRK - Ensure Xbox Live Networking Service (XboxNetApiSvc) is set to Disabled -&gt; Added (Xboxnetapisvc)</t>
  </si>
  <si>
    <t xml:space="preserve">    1.0431 - MSWRK - Ensure IIS Admin Service (IISADMIN) is set to Disabled or Not Installed -&gt; Added (Iisadmin)</t>
  </si>
  <si>
    <t xml:space="preserve">    1.0432 - MSWRK - Ensure Infrared monitor service (irmon) is set to Disabled or Not Installed -&gt; Added (Irmon)</t>
  </si>
  <si>
    <t xml:space="preserve">    1.0208 - MSWRK - default -&gt; Added (Config)</t>
  </si>
  <si>
    <t xml:space="preserve">    1.0209 - MSWRK - 32-bit subsystem on 64-bit OS -&gt; Added (Config)</t>
  </si>
  <si>
    <t xml:space="preserve">    1.0216 - MSWRK - Ensure MSS: (DisableIPSourceRouting IPv6) IP source routing protection level is set to Enabled: Highest protection, source routing is completely disabled -&gt; Added (Parameters)</t>
  </si>
  <si>
    <t xml:space="preserve">    1.0217 - MSWRK - Ensure MSS: (DisableIPSourceRouting) IP source routing protection level is set to Enabled: Highest protection, source routing is completely disabled -&gt; Added (Parameters)</t>
  </si>
  <si>
    <t xml:space="preserve">    1.0234 - MSWRK - Ensure Audit insecure guest logon is set to Enabled -&gt; Added (Lanmanserver)</t>
  </si>
  <si>
    <t xml:space="preserve">    1.0239 - MSWRK - Ensure Audit insecure guest logon is set to Enabled -&gt; Added (Lanmanworkstation)</t>
  </si>
  <si>
    <t xml:space="preserve">    1.0236 - MSWRK - Ensure Enable remote mailslots is set to Disabled -&gt; Added (Bowser)</t>
  </si>
  <si>
    <t xml:space="preserve">    1.0243 - MSWRK - Ensure Enable remote mailslots is set to Disabled -&gt; Added (Networkprovider)</t>
  </si>
  <si>
    <t xml:space="preserve">    1.0237 - MSWRK - Ensure Mandate the minimum version of SMB is set to Enabled: 3.1.1 -&gt; Added (Lanmanserver)</t>
  </si>
  <si>
    <t xml:space="preserve">    1.0244 - MSWRK - Ensure Mandate the minimum version of SMB is set to Enabled: 3.1.1 -&gt; Added (Lanmanworkstation)</t>
  </si>
  <si>
    <t xml:space="preserve">    1.0286 - MSWRK - Ensure Allow network connectivity during connected-standby (on battery) is set to Disabled -&gt; Added (F15576e8-98b7-4186-b944-eafa664402d9)</t>
  </si>
  <si>
    <t xml:space="preserve">    1.0288 - MSWRK - Ensure Allow standby states (S1-S3) when sleeping (on battery) is set to Disabled -&gt; Added (Abfc2519-3608-4c2a-94ea-171b0ed546ab)</t>
  </si>
  <si>
    <t xml:space="preserve">    1.0290 - MSWRK - Ensure Require a password when a computer wakes (on battery) is set to Enabled -&gt; Added (0e796bdb-100d-47d6-a2d5-f7d2daa51f51)</t>
  </si>
  <si>
    <t xml:space="preserve">    1.0287 - MSWRK - Ensure Allow network connectivity during connected-standby (plugged in) is set to Disabled -&gt; Added (F15576e8-98b7-4186-b944-eafa664402d9)</t>
  </si>
  <si>
    <t xml:space="preserve">    1.0289 - MSWRK - Ensure Allow standby states (S1-S3) when sleeping (plugged in) is set to Disabled -&gt; Added (Abfc2519-3608-4c2a-94ea-171b0ed546ab)</t>
  </si>
  <si>
    <t xml:space="preserve">    1.0291 - MSWRK - Ensure Require a password when a computer wakes (plugged in) is set to Enabled -&gt; Added (0e796bdb-100d-47d6-a2d5-f7d2daa51f51)</t>
  </si>
  <si>
    <t xml:space="preserve">    1.0302 - MSWRK - Ensure Enable Windows NTP Client is set to Enabled -&gt; Added (Ntpclient)</t>
  </si>
  <si>
    <t xml:space="preserve">    1.0303 - MSWRK - Ensure Enable Windows NTP Server is set to Disabled -&gt; Added (Ntpserver)</t>
  </si>
  <si>
    <t xml:space="preserve">    1.0305 - MSWRK - (L1) Ensure Configure the behavior of the sudo command is set to Enabled: Disabled -&gt; Added (Sudo)</t>
  </si>
  <si>
    <t xml:space="preserve">    1.0408 - MSWRK - Ensure Microsoft network client: Digitally sign communications (always) is set to Enabled -&gt; Added (Parameters)</t>
  </si>
  <si>
    <t xml:space="preserve">    1.0411 - MSWRK - Ensure Microsoft network server: Digitally sign communications (always) is set to Enabled -&gt; Added (Parameters)</t>
  </si>
  <si>
    <t xml:space="preserve">    1.0433 - MSWRK - Ensure Windows Firewall: Domain: Firewall state is set to On (recommended) -&gt; Added (Domainprofile)</t>
  </si>
  <si>
    <t xml:space="preserve">    1.0440 - MSWRK - Ensure Windows Firewall: Private: Firewall state is set to On (recommended) -&gt; Added (Privateprofile)</t>
  </si>
  <si>
    <t xml:space="preserve">    1.0447 - MSWRK - Ensure Windows Firewall: Public: Firewall state is set to On (recommended) -&gt; Added (Publicprofile)</t>
  </si>
  <si>
    <t xml:space="preserve">    1.0434 - MSWRK - Ensure Windows Firewall: Domain: Inbound connections is set to Block (default) -&gt; Added (Domainprofile)</t>
  </si>
  <si>
    <t xml:space="preserve">    1.0441 - MSWRK - Ensure Windows Firewall: Private: Inbound connections is set to Block (default) -&gt; Added (Privateprofile)</t>
  </si>
  <si>
    <t xml:space="preserve">    1.0448 - MSWRK - Ensure Windows Firewall: Public: Inbound connections is set to Block (default) -&gt; Added (Publicprofile)</t>
  </si>
  <si>
    <t xml:space="preserve">    1.0435 - MSWRK - Ensure Windows Firewall: Domain: Settings: Display a notification is set to No -&gt; Added (Domainprofile)</t>
  </si>
  <si>
    <t xml:space="preserve">    1.0442 - MSWRK - Ensure Windows Firewall: Private: Settings: Display a notification is set to No -&gt; Added (Privateprofile)</t>
  </si>
  <si>
    <t xml:space="preserve">    1.0449 - MSWRK - Ensure Windows Firewall: Public: Settings: Display a notification is set to No -&gt; Added (Publicprofile)</t>
  </si>
  <si>
    <t xml:space="preserve">    AC - MSWRK - Network access: Remotely accessible registry paths is configured -&gt; Added (Allowedexactpaths)</t>
  </si>
  <si>
    <t xml:space="preserve">    AC - MSWRK - Network access: Remotely accessible registry paths and sub-paths is configured -&gt; Added (Allowedpaths)</t>
  </si>
  <si>
    <t>DUPLICATE CHECKS FOUND (140)</t>
  </si>
  <si>
    <t xml:space="preserve">   1. OG : "IA - MSWRK - Password History - 24 passwords remembered"</t>
  </si>
  <si>
    <t xml:space="preserve">      New: "1.0001 - MSWRK - Ensure Enforce password history is set to 24 or more password(s)"</t>
  </si>
  <si>
    <t xml:space="preserve">      Key: secedit:passwordhistorysize</t>
  </si>
  <si>
    <t xml:space="preserve">   2. OG : "IA - MSWRK - Password Maximum Age - 60 days"</t>
  </si>
  <si>
    <t xml:space="preserve">      New: "1.0002 - MSWRK - Ensure Maximum password age is set to 365 or fewer days, but not 0"</t>
  </si>
  <si>
    <t xml:space="preserve">      Key: secedit:maximumpasswordage</t>
  </si>
  <si>
    <t xml:space="preserve">   3. OG : "IA - MSWRK - Password - Password Minimum Age - 1 day"</t>
  </si>
  <si>
    <t xml:space="preserve">      New: "1.0003 - MSWRK - Ensure Minimum password age is set to 1 or more day(s)"</t>
  </si>
  <si>
    <t xml:space="preserve">      Key: secedit:minimumpasswordage</t>
  </si>
  <si>
    <t xml:space="preserve">   4. OG : "IA - MSWRK - Password Length - 8 characters"</t>
  </si>
  <si>
    <t xml:space="preserve">      New: "1.0004 - MSWRK - Ensure Minimum password length is set to 14 or more character(s)"</t>
  </si>
  <si>
    <t xml:space="preserve">      Key: secedit:minimumpasswordlength</t>
  </si>
  <si>
    <t xml:space="preserve">   5. OG : "IA - MSWRK - Password - Complexity Requirements - Enabled"</t>
  </si>
  <si>
    <t xml:space="preserve">      New: "1.0005 - MSWRK - Ensure Password must meet complexity requirements is set to Enabled"</t>
  </si>
  <si>
    <t xml:space="preserve">      Key: secedit:passwordcomplexity</t>
  </si>
  <si>
    <t xml:space="preserve">   6. OG : "IA - MSWRK - Password - Reversible Encryption - Disabled"</t>
  </si>
  <si>
    <t xml:space="preserve">      New: "1.0007 - MSWRK - Ensure Store passwords using reversible encryption is set to Disabled"</t>
  </si>
  <si>
    <t xml:space="preserve">      Key: secedit:cleartextpassword</t>
  </si>
  <si>
    <t xml:space="preserve">   7. OG : "AC - MSWRK - Password - Acount Lockout Duration - 60 minutes"</t>
  </si>
  <si>
    <t xml:space="preserve">      New: "1.0008 - MSWRK - Ensure Account lockout duration is set to 15 or more minute(s)"</t>
  </si>
  <si>
    <t xml:space="preserve">      Key: secedit:lockoutduration</t>
  </si>
  <si>
    <t xml:space="preserve">   8. OG : "AC - MSWRK - Password - Acount Lockout Threshold - 5 invalid attempts"</t>
  </si>
  <si>
    <t xml:space="preserve">      New: "1.0009 - MSWRK - Ensure Account lockout threshold is set to 5 or fewer invalid logon attempt(s), but not 0"</t>
  </si>
  <si>
    <t xml:space="preserve">      Key: secedit:lockoutbadcount</t>
  </si>
  <si>
    <t xml:space="preserve">   9. OG : "IA - MSWRK - Password - Lockout Admins - Enabled"</t>
  </si>
  <si>
    <t xml:space="preserve">      New: "1.0010 - MSWRK - Ensure Allow Administrator account lockout is set to Enabled"</t>
  </si>
  <si>
    <t xml:space="preserve">      Key: secedit:allowadministratorlockout</t>
  </si>
  <si>
    <t xml:space="preserve">  10. OG : "AC - MSWRK - Password - Acount Lockout Reset - 1 day"</t>
  </si>
  <si>
    <t xml:space="preserve">      New: "1.0011 - MSWRK - Ensure Reset account lockout counter after is set to 15 or more minute(s)"</t>
  </si>
  <si>
    <t xml:space="preserve">      Key: secedit:resetlockoutcount</t>
  </si>
  <si>
    <t xml:space="preserve">  11. OG : "AU - MSWRK - Audit Account Lockout is set to include Failure"</t>
  </si>
  <si>
    <t xml:space="preserve">      New: "1.0018 - MSWRK - Ensure Audit Account Lockout is set to include Failure"</t>
  </si>
  <si>
    <t xml:space="preserve">      Key: auditpol:account lockout</t>
  </si>
  <si>
    <t xml:space="preserve">  12. OG : "AU - MSWRK - Audit Logoff is set to include Success"</t>
  </si>
  <si>
    <t xml:space="preserve">      New: "1.0020 - MSWRK - Ensure Audit Logoff is set to include Success"</t>
  </si>
  <si>
    <t xml:space="preserve">      Key: auditpol:logoff</t>
  </si>
  <si>
    <t xml:space="preserve">  13. OG : "AU - MSWRK - Audit Logon is set to Success and Failure"</t>
  </si>
  <si>
    <t xml:space="preserve">      New: "1.0021 - MSWRK - Ensure Audit Logon is set to Success and Failure"</t>
  </si>
  <si>
    <t xml:space="preserve">      Key: auditpol:logon</t>
  </si>
  <si>
    <t xml:space="preserve">  14. OG : "AU - MSWRK - Audit Other Logon/Logoff Events is set to Success and Failure"</t>
  </si>
  <si>
    <t xml:space="preserve">      New: "1.0022 - MSWRK - Ensure Audit Other Logon/Logoff Events is set to Success and Failure"</t>
  </si>
  <si>
    <t xml:space="preserve">      Key: auditpol:other logon/logoff events</t>
  </si>
  <si>
    <t xml:space="preserve">  15. OG : "AU - MSWRK - Audit Special Logon is set to include Success"</t>
  </si>
  <si>
    <t xml:space="preserve">      New: "1.0023 - MSWRK - Ensure Audit Special Logon is set to include Success"</t>
  </si>
  <si>
    <t xml:space="preserve">      Key: auditpol:special logon</t>
  </si>
  <si>
    <t xml:space="preserve">  16. OG : "AU - MSWRK - Audit Policy Change is set to include Success"</t>
  </si>
  <si>
    <t xml:space="preserve">      New: "1.0028 - MSWRK - Ensure Audit Audit Policy Change is set to include Success"</t>
  </si>
  <si>
    <t xml:space="preserve">      Key: auditpol:audit policy change</t>
  </si>
  <si>
    <t xml:space="preserve">  17. OG : "AU - MSWRK - Audit Authentication Policy Change is set to include Success"</t>
  </si>
  <si>
    <t xml:space="preserve">      New: "1.0029 - MSWRK - Ensure Audit Authentication Policy Change is set to include Success"</t>
  </si>
  <si>
    <t xml:space="preserve">      Key: auditpol:authentication policy change</t>
  </si>
  <si>
    <t xml:space="preserve">  18. OG : "AU - MSWRK - Audit Other System Events is set to Success and Failure"</t>
  </si>
  <si>
    <t xml:space="preserve">      New: "1.0035 - MSWRK - Ensure Audit Other System Events is set to Success and Failure"</t>
  </si>
  <si>
    <t xml:space="preserve">      Key: auditpol:other system events</t>
  </si>
  <si>
    <t xml:space="preserve">  19. OG : "AU - MSWRK - Audit Security State Change is set to include Success"</t>
  </si>
  <si>
    <t xml:space="preserve">      New: "1.0036 - MSWRK - Ensure Audit Security State Change is set to include Success"</t>
  </si>
  <si>
    <t xml:space="preserve">      Key: auditpol:security state change</t>
  </si>
  <si>
    <t xml:space="preserve">  20. OG : "AU - MSWRK - Audit Security System Extension is set to include Success"</t>
  </si>
  <si>
    <t xml:space="preserve">      New: "1.0037 - MSWRK - Ensure Audit Security System Extension is set to include Success"</t>
  </si>
  <si>
    <t xml:space="preserve">      Key: auditpol:security system extension</t>
  </si>
  <si>
    <t xml:space="preserve">  21. OG : "AU - MSWRK - Audit System Integrity is set to Success and Failure"</t>
  </si>
  <si>
    <t xml:space="preserve">      New: "1.0038 - MSWRK - Ensure Audit System Integrity is set to Success and Failure"</t>
  </si>
  <si>
    <t xml:space="preserve">      Key: auditpol:system integrity</t>
  </si>
  <si>
    <t xml:space="preserve">  22. OG : "AC - MSWRK - Enumerate administrator accounts on elevation is set to Disabled"</t>
  </si>
  <si>
    <t xml:space="preserve">      New: "1.0082 - MSWRK - Ensure Enumerate administrator accounts on elevation is set to Disabled"</t>
  </si>
  <si>
    <t xml:space="preserve">      Key: registry:hkey_local_machine\software\microsoft\windows\currentversion\policies\credui|enumerateadministrators</t>
  </si>
  <si>
    <t xml:space="preserve">  23. OG : "CM - MSWRK - Prevent the use of security questions for local accounts is set to Enabled"</t>
  </si>
  <si>
    <t xml:space="preserve">      New: "1.0083 - MSWRK - Ensure Prevent the use of security questions for local accounts is set to Enabled"</t>
  </si>
  <si>
    <t xml:space="preserve">      Key: registry:hkey_local_machine\software\policies\microsoft\windows\system|nolocalpasswordresetquestions</t>
  </si>
  <si>
    <t xml:space="preserve">  24. OG : "AU - MSWRK - Application: Control Event Log behavior when the log file reaches its maximum size is set to Disabled"</t>
  </si>
  <si>
    <t xml:space="preserve">      New: "1.0093 - MSWRK - Ensure Application: Control Event Log behavior when the log file reaches its maximum size is set to Disabled"</t>
  </si>
  <si>
    <t xml:space="preserve">      Key: registry:hkey_local_machine\software\policies\microsoft\windows\eventlog\application|retention</t>
  </si>
  <si>
    <t xml:space="preserve">  25. OG : "AU - MSWRK - Application: Specify the maximum log file size (KB) is set to Enabled: 32,768 or greater"</t>
  </si>
  <si>
    <t xml:space="preserve">      New: "1.0094 - MSWRK - Ensure Application: Specify the maximum log file size (KB) is set to Enabled: 32,768 or greater"</t>
  </si>
  <si>
    <t xml:space="preserve">      Key: registry:hkey_local_machine\software\policies\microsoft\windows\eventlog\application|maxsize</t>
  </si>
  <si>
    <t xml:space="preserve">  26. OG : "AU - MSWRK - Security: Control Event Log behavior when the log file reaches its maximum size is set to Disabled"</t>
  </si>
  <si>
    <t xml:space="preserve">      New: "1.0095 - MSWRK - Ensure Security: Control Event Log behavior when the log file reaches its maximum size is set to Disabled"</t>
  </si>
  <si>
    <t xml:space="preserve">      Key: registry:hkey_local_machine\software\policies\microsoft\windows\eventlog\security|retention</t>
  </si>
  <si>
    <t xml:space="preserve">  27. OG : "AU - MSWRK - Security: Specify the maximum log file size (KB) is set to Enabled: 196,608 or greater"</t>
  </si>
  <si>
    <t xml:space="preserve">      New: "1.0096 - MSWRK - Ensure Security: Specify the maximum log file size (KB) is set to Enabled: 196,608 or greater"</t>
  </si>
  <si>
    <t xml:space="preserve">      Key: registry:hkey_local_machine\software\policies\microsoft\windows\eventlog\security|maxsize</t>
  </si>
  <si>
    <t xml:space="preserve">  28. OG : "AU - MSWRK - Setup: Control Event Log behavior when the log file reaches its maximum size is set to Disabled"</t>
  </si>
  <si>
    <t xml:space="preserve">      New: "1.0097 - MSWRK - Ensure Setup: Control Event Log behavior when the log file reaches its maximum size is set to Disabled"</t>
  </si>
  <si>
    <t xml:space="preserve">      Key: registry:hkey_local_machine\software\policies\microsoft\windows\eventlog\setup|retention</t>
  </si>
  <si>
    <t xml:space="preserve">  29. OG : "AU - MSWRK - Setup: Specify the maximum log file size (KB) is set to Enabled: 32,768 or greater"</t>
  </si>
  <si>
    <t xml:space="preserve">      New: "1.0098 - MSWRK - Ensure Setup: Specify the maximum log file size (KB) is set to Enabled: 32,768 or greater"</t>
  </si>
  <si>
    <t xml:space="preserve">      Key: registry:hkey_local_machine\software\policies\microsoft\windows\eventlog\setup|maxsize</t>
  </si>
  <si>
    <t xml:space="preserve">  30. OG : "AU - MSWRK - System: Control Event Log behavior when the log file reaches its maximum size is set to Disabled"</t>
  </si>
  <si>
    <t xml:space="preserve">      New: "1.0099 - MSWRK - Ensure System: Control Event Log behavior when the log file reaches its maximum size is set to Disabled"</t>
  </si>
  <si>
    <t xml:space="preserve">      Key: registry:hkey_local_machine\software\policies\microsoft\windows\eventlog\system|retention</t>
  </si>
  <si>
    <t xml:space="preserve">  31. OG : "AU - MSWRK - System: Specify the maximum log file size (KB) is set to Enabled: 32,768 or greater"</t>
  </si>
  <si>
    <t xml:space="preserve">      New: "1.0100 - MSWRK - Ensure System: Specify the maximum log file size (KB) is set to Enabled: 32,768 or greater"</t>
  </si>
  <si>
    <t xml:space="preserve">      Key: registry:hkey_local_machine\software\policies\microsoft\windows\eventlog\system|maxsize</t>
  </si>
  <si>
    <t xml:space="preserve">  32. OG : "SI - MSWRK - Ensure 'Scan all downloaded files and attachments' is set to 'Disabled'"</t>
  </si>
  <si>
    <t xml:space="preserve">      New: "1.0108 - MSWRK - Ensure Scan all downloaded files and attachments is set to Enabled"</t>
  </si>
  <si>
    <t xml:space="preserve">      Key: registry:hkey_local_machine\software\policies\microsoft\windows defender\real-time protection|disableioavprotection</t>
  </si>
  <si>
    <t xml:space="preserve">  33. OG : "SI - MSWRK - Ensure 'Turn off real-time protection' is set to 'Disabled'"</t>
  </si>
  <si>
    <t xml:space="preserve">      New: "1.0109 - MSWRK - Ensure Turn off real-time protection is set to Disabled"</t>
  </si>
  <si>
    <t xml:space="preserve">      Key: registry:hkey_local_machine\software\policies\microsoft\windows defender\real-time protection|disablerealtimemonitoring</t>
  </si>
  <si>
    <t xml:space="preserve">  34. OG : "SI - MSWRK - Ensure 'Turn on behavior monitoring' is set to 'Enabled'"</t>
  </si>
  <si>
    <t xml:space="preserve">      New: "1.0110 - MSWRK - Ensure Turn on behavior monitoring is set to Enabled"</t>
  </si>
  <si>
    <t xml:space="preserve">      Key: registry:hkey_local_machine\software\policies\microsoft\windows defender\real-time protection|disablebehaviormonitoring</t>
  </si>
  <si>
    <t xml:space="preserve">  35. OG : "SI - MSWRK - Ensure 'Configure detection for potentially unwanted applications' is set to 'Disabled'"</t>
  </si>
  <si>
    <t xml:space="preserve">      New: "1.0118 - MSWRK - Ensure Configure detection for potentially unwanted applications is set to Enabled: Block"</t>
  </si>
  <si>
    <t xml:space="preserve">      Key: registry:hkey_local_machine\software\policies\microsoft\windows defender|puaprotection</t>
  </si>
  <si>
    <t xml:space="preserve">  36. OG : "SI - MSWRK - Ensure 'Always prompt for password upon connection' is set to 'Disabled'"</t>
  </si>
  <si>
    <t xml:space="preserve">      New: "1.0150 - MSWRK - Ensure Always prompt for password upon connection is set to Enabled"</t>
  </si>
  <si>
    <t xml:space="preserve">      Key: registry:hkey_local_machine\software\policies\microsoft\windows nt\terminal services|fpromptforpassword</t>
  </si>
  <si>
    <t xml:space="preserve">  37. OG : "AC - MSWRK - Ensure 'Require user authentication for remote connections by using Network Level Authentication' is set to 'Enabled'"</t>
  </si>
  <si>
    <t xml:space="preserve">      New: "1.0153 - MSWRK - Ensure Require user authentication for remote connections by using Network Level Authentication is set to Enabled"</t>
  </si>
  <si>
    <t xml:space="preserve">      Key: registry:hkey_local_machine\software\policies\microsoft\windows nt\terminal services|userauthentication</t>
  </si>
  <si>
    <t xml:space="preserve">  38. OG : "AC - MSWRK - Ensure 'Set client connection encryption level' is set to 'Enabled: High Level'"</t>
  </si>
  <si>
    <t xml:space="preserve">      New: "1.0154 - MSWRK - Ensure Set client connection encryption level is set to Enabled: High Level"</t>
  </si>
  <si>
    <t xml:space="preserve">      Key: registry:hkey_local_machine\software\policies\microsoft\windows nt\terminal services|minencryptionlevel</t>
  </si>
  <si>
    <t xml:space="preserve">  39. OG : "CM - MSWRK - Ensure 'Allow Cortana' is set to 'Disabled'"</t>
  </si>
  <si>
    <t xml:space="preserve">      New: "1.0156 - MSWRK - Ensure Allow Cortana is set to Disabled"</t>
  </si>
  <si>
    <t xml:space="preserve">      Key: registry:hkey_local_machine\software\policies\microsoft\windows\windows search|allowcortana</t>
  </si>
  <si>
    <t xml:space="preserve">  40. OG : "RA - MSWRK - Ensure Turn off Automatic Download and Install of updates is set to Disabled."</t>
  </si>
  <si>
    <t xml:space="preserve">      New: "1.0161 - MSWRK - Ensure Turn off Automatic Download and Install of updates is set to Disabled"</t>
  </si>
  <si>
    <t xml:space="preserve">      Key: registry:hkey_local_machine\software\policies\microsoft\windowsstore|autodownload</t>
  </si>
  <si>
    <t xml:space="preserve">  41. OG : "CM - MSWRK - Enables or disables Windows Game Recording and Broadcasting is set to Disabled"</t>
  </si>
  <si>
    <t xml:space="preserve">      New: "1.0171 - MSWRK - Ensure Enables or disables Windows Game Recording and Broadcasting is set to Disabled"</t>
  </si>
  <si>
    <t xml:space="preserve">      Key: registry:hkey_local_machine\software\policies\microsoft\windows\gamedvr|allowgamedvr</t>
  </si>
  <si>
    <t xml:space="preserve">  42. OG : "AC - MSWRK - Ensure Sign-in and lock last interactive user automatically after a restart is set to Disabled."</t>
  </si>
  <si>
    <t xml:space="preserve">      New: "1.0180 - MSWRK - Ensure Sign-in and lock last interactive user automatically after a restart is set to Disabled"</t>
  </si>
  <si>
    <t xml:space="preserve">      Key: registry:hkey_local_machine\software\microsoft\windows\currentversion\policies\system|disableautomaticrestartsignon</t>
  </si>
  <si>
    <t xml:space="preserve">  43. OG : "AC - MSWRK - Ensure 'Allow Basic authentication' is set to 'Enabled'"</t>
  </si>
  <si>
    <t xml:space="preserve">      New: "1.0184 - MSWRK - Ensure Allow Basic authentication is set to Disabled"</t>
  </si>
  <si>
    <t xml:space="preserve">      Key: registry:hkey_local_machine\software\policies\microsoft\windows\winrm\service|allowbasic</t>
  </si>
  <si>
    <t xml:space="preserve">  44. OG : "AC - MSWRK - Allow unencrypted traffic is set to Disabled for service"</t>
  </si>
  <si>
    <t xml:space="preserve">      New: "1.0185 - MSWRK - Ensure Allow unencrypted traffic is set to Disabled"</t>
  </si>
  <si>
    <t xml:space="preserve">      Key: registry:hkey_local_machine\software\policies\microsoft\windows\winrm\service|allowunencryptedtraffic</t>
  </si>
  <si>
    <t xml:space="preserve">  45. OG : "CM - MSWRK - Ensure 'Allow clipboard sharing with Windows Sandbox' is set to 'Disabled'"</t>
  </si>
  <si>
    <t xml:space="preserve">      New: "1.0188 - MSWRK - Ensure Allow clipboard sharing with Windows Sandbox is set to Disabled"</t>
  </si>
  <si>
    <t xml:space="preserve">      Key: registry:hkey_local_machine\software\policies\microsoft\windows\sandbox|allowclipboardredirection</t>
  </si>
  <si>
    <t xml:space="preserve">  46. OG : "CM - MSWRK - Ensure 'Allow networking in Windows Sandbox' is set to 'Disabled'"</t>
  </si>
  <si>
    <t xml:space="preserve">      New: "1.0189 - MSWRK - Ensure Allow networking in Windows Sandbox is set to Disabled"</t>
  </si>
  <si>
    <t xml:space="preserve">      Key: registry:hkey_local_machine\software\policies\microsoft\windows\sandbox|allownetworking</t>
  </si>
  <si>
    <t xml:space="preserve">  47. OG : "RA - MSWRK - Ensure 'Configure Automatic Updates' is set to 'Disabled'"</t>
  </si>
  <si>
    <t xml:space="preserve">      New: "1.0192 - MSWRK - Ensure Configure Automatic Updates is set to Enabled"</t>
  </si>
  <si>
    <t xml:space="preserve">      Key: registry:hkey_local_machine\software\policies\microsoft\windows\windowsupdate\au|noautoupdate</t>
  </si>
  <si>
    <t xml:space="preserve">  48. OG : "AC - MSWRK - Prevent enabling lock screen slide show is set to Enabled"</t>
  </si>
  <si>
    <t xml:space="preserve">      New: "1.0202 - MSWRK - Ensure Prevent enabling lock screen slide show is set to Enabled"</t>
  </si>
  <si>
    <t xml:space="preserve">      Key: registry:hkey_local_machine\software\policies\microsoft\windows\personalization|nolockscreenslideshow</t>
  </si>
  <si>
    <t xml:space="preserve">  49. OG : "CM - MSWRK - Allow users to enable online speech recognition services is set to Disabled"</t>
  </si>
  <si>
    <t xml:space="preserve">      New: "1.0204 - MSWRK - Ensure Allow users to enable online speech recognition services is set to Disabled"</t>
  </si>
  <si>
    <t xml:space="preserve">      Key: registry:hkey_local_machine\software\policies\microsoft\inputpersonalization|allowinputpersonalization</t>
  </si>
  <si>
    <t xml:space="preserve">  50. OG : "CM - MSWRK - Configure SMB v1 client driver is set to Enabled: Disable driver (recommended)"</t>
  </si>
  <si>
    <t xml:space="preserve">      New: "1.0206 - MSWRK - Ensure Configure SMB v1 client driver is set to Enabled: Disable driver (recommended)"</t>
  </si>
  <si>
    <t xml:space="preserve">      Key: registry:hkey_local_machine\system\currentcontrolset\services\mrxsmb10|start</t>
  </si>
  <si>
    <t xml:space="preserve">  51. OG : "CM - MSWRK - Disable SMB v1 client driver."</t>
  </si>
  <si>
    <t xml:space="preserve">  52. OG : "SC - MSWRK - Enable Certificate Padding is set to Enabled"</t>
  </si>
  <si>
    <t xml:space="preserve">      New: "1.0208 - MSWRK - default"</t>
  </si>
  <si>
    <t xml:space="preserve">      Key: registry:hkey_local_machine\software\microsoft\cryptography\wintrust\config|enablecertpaddingcheck</t>
  </si>
  <si>
    <t xml:space="preserve">  53. OG : "CM - MSWRK - NetBT NodeType configuration is set to Enabled: P-node (recommended)"</t>
  </si>
  <si>
    <t xml:space="preserve">      New: "1.0211 - MSWRK - Ensure NetBT NodeType configuration is set to Enabled: P-node (recommended)"</t>
  </si>
  <si>
    <t xml:space="preserve">      Key: registry:hkey_local_machine\system\currentcontrolset\services\netbt\parameters|nodetype</t>
  </si>
  <si>
    <t xml:space="preserve">  54. OG : "SC - MSWRK - MSS: (DisableIPSourceRouting IPv6) IP source routing protection level is set to Enabled: Highest protection, source routing is completely disabled"</t>
  </si>
  <si>
    <t xml:space="preserve">      New: "1.0216 - MSWRK - Ensure MSS: (DisableIPSourceRouting IPv6) IP source routing protection level is set to Enabled: Highest protection, source routing is completely disabled"</t>
  </si>
  <si>
    <t xml:space="preserve">      Key: registry:hkey_local_machine\system\currentcontrolset\services\tcpip6\parameters|disableipsourcerouting</t>
  </si>
  <si>
    <t xml:space="preserve">  55. OG : "SC - MSWRK - MSS: (DisableIPSourceRouting) IP source routing protection level is set to Enabled: Highest protection, source routing is completely disabled"</t>
  </si>
  <si>
    <t xml:space="preserve">      New: "1.0217 - MSWRK - Ensure MSS: (DisableIPSourceRouting) IP source routing protection level is set to Enabled: Highest protection, source routing is completely disabled"</t>
  </si>
  <si>
    <t xml:space="preserve">      Key: registry:hkey_local_machine\system\currentcontrolset\services\tcpip\parameters|disableipsourcerouting</t>
  </si>
  <si>
    <t xml:space="preserve">  56. OG : "CM - MSWRK - Minimize the number of simultaneous connections to the Internet or a Windows Domain is set to Enabled: 3 = Prevent Wi-Fi when on Ethernet"</t>
  </si>
  <si>
    <t xml:space="preserve">      New: "1.0226 - MSWRK - Ensure Minimize the number of simultaneous connections to the Internet or a Windows Domain is set to Enabled: 3 = Prevent Wi-Fi when on Ethernet"</t>
  </si>
  <si>
    <t xml:space="preserve">      Key: registry:hkey_local_machine\software\policies\microsoft\windows\wcmsvc\grouppolicy|fminimizeconnections</t>
  </si>
  <si>
    <t xml:space="preserve">  57. OG : "CM - MSWRK - Allow Windows to automatically connect to suggested open hotspots, to networks shared by contacts, and to hotspots offering paid services is set to Disabled"</t>
  </si>
  <si>
    <t xml:space="preserve">      New: "1.0228 - MSWRK - Ensure Allow Windows to automatically connect to suggested open hotspots, to networks shared by contacts, and to hotspots offering paid services is set to Disabled"</t>
  </si>
  <si>
    <t xml:space="preserve">      Key: registry:hkey_local_machine\software\microsoft\wcmsvc\wifinetworkmanager\config|autoconnectallowedoem</t>
  </si>
  <si>
    <t xml:space="preserve">  58. OG : "CM - MSWRK - Turn off multicast name resolution is set to Enabled"</t>
  </si>
  <si>
    <t xml:space="preserve">      New: "1.0231 - MSWRK - Ensure Turn off multicast name resolution is set to Enabled"</t>
  </si>
  <si>
    <t xml:space="preserve">      Key: registry:hkey_local_machine\software\policies\microsoft\windows nt\dnsclient|enablemulticast</t>
  </si>
  <si>
    <t xml:space="preserve">  59. OG : "CM - MSWRK - Turn off multicast name resolution"</t>
  </si>
  <si>
    <t xml:space="preserve">  60. OG : "AC - MSWRK - Point and Print Restrictions: When installing drivers for a new connection is set to Enabled: Show warning and elevation prompt"</t>
  </si>
  <si>
    <t xml:space="preserve">      New: "1.0249 - MSWRK - Ensure Point and Print Restrictions: When installing drivers for a new connection is set to Enabled: Show warning and elevation prompt"</t>
  </si>
  <si>
    <t xml:space="preserve">      Key: registry:hkey_local_machine\software\policies\microsoft\windows nt\printers\pointandprint|nowarningnoelevationoninstall</t>
  </si>
  <si>
    <t xml:space="preserve">  61. OG : "CM - MSWRK - Point and Print Restrictions: When updating drivers for an existing connection is set to Enabled: Show warning and elevation prompt"</t>
  </si>
  <si>
    <t xml:space="preserve">      New: "1.0250 - MSWRK - Ensure Point and Print Restrictions: When updating drivers for an existing connection is set to Enabled: Show warning and elevation prompt"</t>
  </si>
  <si>
    <t xml:space="preserve">      Key: registry:hkey_local_machine\software\policies\microsoft\windows nt\printers\pointandprint|updatepromptsettings</t>
  </si>
  <si>
    <t xml:space="preserve">  62. OG : "CM - MSWRK - Turn on convenience PIN sign-in is set to Disabled"</t>
  </si>
  <si>
    <t xml:space="preserve">      New: "1.0283 - MSWRK - Ensure Turn on convenience PIN sign-in is set to Disabled"</t>
  </si>
  <si>
    <t xml:space="preserve">      Key: registry:hkey_local_machine\software\policies\microsoft\windows\system|allowdomainpinlogon</t>
  </si>
  <si>
    <t xml:space="preserve">  63. OG : "CM - MSWRK - Allow network connectivity during connected-standby (on battery) is set to Disabled"</t>
  </si>
  <si>
    <t xml:space="preserve">      New: "1.0286 - MSWRK - Ensure Allow network connectivity during connected-standby (on battery) is set to Disabled"</t>
  </si>
  <si>
    <t xml:space="preserve">      Key: registry:hkey_local_machine\software\policies\microsoft\power\powersettings\f15576e8-98b7-4186-b944-eafa664402d9|dcsettingindex</t>
  </si>
  <si>
    <t xml:space="preserve">  64. OG : "CM - MSWRK - Allow network connectivity during connected-standby (plugged in) is set to Disabled"</t>
  </si>
  <si>
    <t xml:space="preserve">      New: "1.0287 - MSWRK - Ensure Allow network connectivity during connected-standby (plugged in) is set to Disabled"</t>
  </si>
  <si>
    <t xml:space="preserve">      Key: registry:hkey_local_machine\software\policies\microsoft\power\powersettings\f15576e8-98b7-4186-b944-eafa664402d9|acsettingindex</t>
  </si>
  <si>
    <t xml:space="preserve">  65. OG : "CM - MSWRK - Configure Solicited Remote Assistance is set to Disabled"</t>
  </si>
  <si>
    <t xml:space="preserve">      New: "1.0293 - MSWRK - Ensure Configure Solicited Remote Assistance is set to Disabled"</t>
  </si>
  <si>
    <t xml:space="preserve">      Key: registry:hkey_local_machine\software\policies\microsoft\windows nt\terminal services|fallowtogethelp</t>
  </si>
  <si>
    <t xml:space="preserve">  66. OG : "SI - MSWRK - Turn On Virtualization Based Security is set to Enabled"</t>
  </si>
  <si>
    <t xml:space="preserve">      New: "1.0299 - MSWRK - Ensure Turn On Virtualization Based Security is set to Enabled"</t>
  </si>
  <si>
    <t xml:space="preserve">      Key: registry:hkey_local_machine\software\policies\microsoft\windows\deviceguard|enablevirtualizationbasedsecurity</t>
  </si>
  <si>
    <t xml:space="preserve">  67. OG : "SI - MSWRK - Turn On Virtualization Based Security: Select Platform Security Level is set to Secure Boot or higher"</t>
  </si>
  <si>
    <t xml:space="preserve">      New: "1.0300 - MSWRK - Ensure Turn On Virtualization Based Security: Select Platform Security Level is set to Secure Boot or higher"</t>
  </si>
  <si>
    <t xml:space="preserve">      Key: registry:hkey_local_machine\software\policies\microsoft\windows\deviceguard|requireplatformsecurityfeatures</t>
  </si>
  <si>
    <t xml:space="preserve">  68. OG : "AC - MSWRK - Access Credential Manager as a trusted caller is set to No One"</t>
  </si>
  <si>
    <t xml:space="preserve">      New: "1.0320 - MSWRK - Ensure Access Credential Manager as a trusted caller is set to No One"</t>
  </si>
  <si>
    <t xml:space="preserve">      Key: userrights:setrustedcredmanaccessprivilege</t>
  </si>
  <si>
    <t xml:space="preserve">  69. OG : "AC - MSWRK - Create a token object is set to No One"</t>
  </si>
  <si>
    <t xml:space="preserve">      New: "1.0321 - MSWRK - Ensure Create a token object is set to No One"</t>
  </si>
  <si>
    <t xml:space="preserve">      Key: userrights:secreatetokenprivilege</t>
  </si>
  <si>
    <t xml:space="preserve">  70. OG : "AC - MSWRK - Create global objects is set to Administrators, LOCAL SERVICE, NETWORK SERVICE, SERVICE"</t>
  </si>
  <si>
    <t xml:space="preserve">      New: "1.0322 - MSWRK - Ensure Create global objects is set to Administrators, LOCAL SERVICE, NETWORK SERVICE, SERVICE"</t>
  </si>
  <si>
    <t xml:space="preserve">      Key: userrights:secreateglobalprivilege</t>
  </si>
  <si>
    <t xml:space="preserve">  71. OG : "AC - MSWRK - Create permanent shared objects is set to No One"</t>
  </si>
  <si>
    <t xml:space="preserve">      New: "1.0323 - MSWRK - Ensure Create permanent shared objects is set to No One"</t>
  </si>
  <si>
    <t xml:space="preserve">      Key: userrights:secreatepermanentprivilege</t>
  </si>
  <si>
    <t xml:space="preserve">  72. OG : "AC - MSWRK - Configure Create symbolic links"</t>
  </si>
  <si>
    <t xml:space="preserve">      New: "1.0324 - MSWRK - Ensure Create symbolic links is set to Administrators"</t>
  </si>
  <si>
    <t xml:space="preserve">      Key: userrights:secreatesymboliclinkprivilege</t>
  </si>
  <si>
    <t xml:space="preserve">  73. OG : "AC - MSWRK - Debug programs is set to Administrators"</t>
  </si>
  <si>
    <t xml:space="preserve">      New: "1.0325 - MSWRK - Ensure Debug programs is set to Administrators"</t>
  </si>
  <si>
    <t xml:space="preserve">      Key: userrights:sedebugprivilege</t>
  </si>
  <si>
    <t xml:space="preserve">  74. OG : "AC - MSWRK - Deny log on as a service to include Guests"</t>
  </si>
  <si>
    <t xml:space="preserve">      New: "1.0328 - MSWRK - Ensure Deny log on as a service to include Guests"</t>
  </si>
  <si>
    <t xml:space="preserve">      Key: userrights:sedenyservicelogonright</t>
  </si>
  <si>
    <t xml:space="preserve">  75. OG : "AC - MSWRK - Ensure Deny log on locally to include Guests"</t>
  </si>
  <si>
    <t xml:space="preserve">      New: "1.0329 - MSWRK - Ensure Deny log on locally to include Guests"</t>
  </si>
  <si>
    <t xml:space="preserve">      Key: userrights:sedenyinteractivelogonright</t>
  </si>
  <si>
    <t xml:space="preserve">  76. OG : "AC - MSWRK - Access this computer from the network is set to Administrators, Remote Desktop Users"</t>
  </si>
  <si>
    <t xml:space="preserve">      New: "1.0331 - MSWRK - Ensure Access this computer from the network is set to Administrators, Remote Desktop Users"</t>
  </si>
  <si>
    <t xml:space="preserve">      Key: userrights:senetworklogonright</t>
  </si>
  <si>
    <t xml:space="preserve">  77. OG : "AC - MSWRK - Enable computer and user accounts to be trusted for delegation is set to No One"</t>
  </si>
  <si>
    <t xml:space="preserve">      New: "1.0332 - MSWRK - Ensure Enable computer and user accounts to be trusted for delegation is set to No One"</t>
  </si>
  <si>
    <t xml:space="preserve">      Key: userrights:seenabledelegationprivilege</t>
  </si>
  <si>
    <t xml:space="preserve">  78. OG : "AC - MSWRK - Force shutdown from a remote system is set to Administrators"</t>
  </si>
  <si>
    <t xml:space="preserve">      New: "1.0333 - MSWRK - Ensure Force shutdown from a remote system is set to Administrators"</t>
  </si>
  <si>
    <t xml:space="preserve">      Key: userrights:seremoteshutdownprivilege</t>
  </si>
  <si>
    <t xml:space="preserve">  79. OG : "AC - MSWRK - Generate security audits is set to LOCAL SERVICE, NETWORK SERVICE"</t>
  </si>
  <si>
    <t xml:space="preserve">      New: "1.0334 - MSWRK - Ensure Generate security audits is set to LOCAL SERVICE, NETWORK SERVICE, RESTRICTED SERVICES\PrintSpoolerService"</t>
  </si>
  <si>
    <t xml:space="preserve">      Key: userrights:seauditprivilege</t>
  </si>
  <si>
    <t xml:space="preserve">  80. OG : "AC - MSWRK - Impersonate a client after authentication is set to Administrators, LOCAL SERVICE, NETWORK SERVICE, SERVICE"</t>
  </si>
  <si>
    <t xml:space="preserve">      New: "1.0335 - MSWRK - Ensure Impersonate a client after authentication is set to Administrators, LOCAL SERVICE, NETWORK SERVICE, SERVICE, RESTRICTED SERVICES\PrintSpoolerService"</t>
  </si>
  <si>
    <t xml:space="preserve">      Key: userrights:seimpersonateprivilege</t>
  </si>
  <si>
    <t xml:space="preserve">  81. OG : "AC - MSWRK - Increase scheduling priority is set to Administrators, Window Manager\Window Manager Group"</t>
  </si>
  <si>
    <t xml:space="preserve">      New: "1.0336 - MSWRK - Ensure Increase scheduling priority is set to Administrators, Window Manager\Window Manager Group"</t>
  </si>
  <si>
    <t xml:space="preserve">      Key: userrights:seincreasebasepriorityprivilege</t>
  </si>
  <si>
    <t xml:space="preserve">  82. OG : "AC - MSWRK - Load and unload device drivers is set to Administrators"</t>
  </si>
  <si>
    <t xml:space="preserve">      New: "1.0337 - MSWRK - Ensure Load and unload device drivers is set to Administrators"</t>
  </si>
  <si>
    <t xml:space="preserve">      Key: userrights:seloaddriverprivilege</t>
  </si>
  <si>
    <t xml:space="preserve">  83. OG : "AC - MSWRK - Lock pages in memory is set to No One"</t>
  </si>
  <si>
    <t xml:space="preserve">      New: "1.0338 - MSWRK - Ensure Lock pages in memory is set to No One"</t>
  </si>
  <si>
    <t xml:space="preserve">      Key: userrights:selockmemoryprivilege</t>
  </si>
  <si>
    <t xml:space="preserve">  84. OG : "AC - MSWRK - Manage auditing and security log is set to Administrators"</t>
  </si>
  <si>
    <t xml:space="preserve">      New: "1.0339 - MSWRK - Ensure Manage auditing and security log is set to Administrators"</t>
  </si>
  <si>
    <t xml:space="preserve">      Key: userrights:sesecurityprivilege</t>
  </si>
  <si>
    <t xml:space="preserve">  85. OG : "AC - MSWRK - Act as part of the operating system is set to No One"</t>
  </si>
  <si>
    <t xml:space="preserve">      New: "1.0340 - MSWRK - Ensure Act as part of the operating system is set to No One"</t>
  </si>
  <si>
    <t xml:space="preserve">      Key: userrights:setcbprivilege</t>
  </si>
  <si>
    <t xml:space="preserve">  86. OG : "AC - MSWRK - Modify an object label is set to No One"</t>
  </si>
  <si>
    <t xml:space="preserve">      New: "1.0341 - MSWRK - Ensure Modify an object label is set to No One"</t>
  </si>
  <si>
    <t xml:space="preserve">      Key: userrights:serelabelprivilege</t>
  </si>
  <si>
    <t xml:space="preserve">  87. OG : "AC - MSWRK - Modify firmware environment values is set to Administrators"</t>
  </si>
  <si>
    <t xml:space="preserve">      New: "1.0342 - MSWRK - Ensure Modify firmware environment values is set to Administrators"</t>
  </si>
  <si>
    <t xml:space="preserve">      Key: userrights:sesystemenvironmentprivilege</t>
  </si>
  <si>
    <t xml:space="preserve">  88. OG : "AC - MSWRK - Perform volume maintenance tasks is set to Administrators"</t>
  </si>
  <si>
    <t xml:space="preserve">      New: "1.0343 - MSWRK - Ensure Perform volume maintenance tasks is set to Administrators"</t>
  </si>
  <si>
    <t xml:space="preserve">      Key: userrights:semanagevolumeprivilege</t>
  </si>
  <si>
    <t xml:space="preserve">  89. OG : "AC - MSWRK - Profile single process is set to Administrators"</t>
  </si>
  <si>
    <t xml:space="preserve">      New: "1.0344 - MSWRK - Ensure Profile single process is set to Administrators"</t>
  </si>
  <si>
    <t xml:space="preserve">      Key: userrights:seprofilesingleprocessprivilege</t>
  </si>
  <si>
    <t xml:space="preserve">  90. OG : "AC - MSWRK - Profile system performance is set to Administrators, NT SERVICE\WdiServiceHost"</t>
  </si>
  <si>
    <t xml:space="preserve">      New: "1.0345 - MSWRK - Ensure Profile system performance is set to Administrators, NT SERVICE\WdiServiceHost"</t>
  </si>
  <si>
    <t xml:space="preserve">      Key: userrights:sesystemprofileprivilege</t>
  </si>
  <si>
    <t xml:space="preserve">  91. OG : "AC - MSWRK - Replace a process level token is set to LOCAL SERVICE, NETWORK SERVICE"</t>
  </si>
  <si>
    <t xml:space="preserve">      New: "1.0346 - MSWRK - Ensure Replace a process level token is set to LOCAL SERVICE, NETWORK SERVICE"</t>
  </si>
  <si>
    <t xml:space="preserve">      Key: userrights:seassignprimarytokenprivilege</t>
  </si>
  <si>
    <t xml:space="preserve">  92. OG : "AC - MSWRK - Restore files and directories is set to Administrators"</t>
  </si>
  <si>
    <t xml:space="preserve">      New: "1.0347 - MSWRK - Ensure Restore files and directories is set to Administrators"</t>
  </si>
  <si>
    <t xml:space="preserve">      Key: userrights:serestoreprivilege</t>
  </si>
  <si>
    <t xml:space="preserve">  93. OG : "AC - MSWRK - Shut down the system is set to Administrators, Users"</t>
  </si>
  <si>
    <t xml:space="preserve">      New: "1.0348 - MSWRK - Ensure Shut down the system is set to Administrators, Users"</t>
  </si>
  <si>
    <t xml:space="preserve">      Key: userrights:seshutdownprivilege</t>
  </si>
  <si>
    <t xml:space="preserve">  94. OG : "AC - MSWRK - Take ownership of files or other objects is set to Administrators"</t>
  </si>
  <si>
    <t xml:space="preserve">      New: "1.0349 - MSWRK - Ensure Take ownership of files or other objects is set to Administrators"</t>
  </si>
  <si>
    <t xml:space="preserve">      Key: userrights:setakeownershipprivilege</t>
  </si>
  <si>
    <t xml:space="preserve">  95. OG : "AC - MSWRK - Adjust memory quotas for a process is set to Administrators, LOCAL SERVICE, NETWORK SERVICE"</t>
  </si>
  <si>
    <t xml:space="preserve">      New: "1.0350 - MSWRK - Ensure Adjust memory quotas for a process is set to Administrators, LOCAL SERVICE, NETWORK SERVICE"</t>
  </si>
  <si>
    <t xml:space="preserve">      Key: userrights:seincreasequotaprivilege</t>
  </si>
  <si>
    <t xml:space="preserve">  96. OG : "AC - MSWRK - Allow log on locally is set to Administrators, Users"</t>
  </si>
  <si>
    <t xml:space="preserve">      New: "1.0351 - MSWRK - Ensure Allow log on locally is set to Administrators, Users"</t>
  </si>
  <si>
    <t xml:space="preserve">      Key: userrights:seinteractivelogonright</t>
  </si>
  <si>
    <t xml:space="preserve">  97. OG : "AC - MSWRK - Allow log on through Remote Desktop Services is set to Administrators, Remote Desktop Users"</t>
  </si>
  <si>
    <t xml:space="preserve">      New: "1.0352 - MSWRK - Ensure Allow log on through Remote Desktop Services is set to Administrators, Remote Desktop Users"</t>
  </si>
  <si>
    <t xml:space="preserve">      Key: userrights:seremoteinteractivelogonright</t>
  </si>
  <si>
    <t xml:space="preserve">  98. OG : "AC - MSWRK - Back up files and directories is set to Administrators"</t>
  </si>
  <si>
    <t xml:space="preserve">      New: "1.0353 - MSWRK - Ensure Back up files and directories is set to Administrators"</t>
  </si>
  <si>
    <t xml:space="preserve">      Key: userrights:sebackupprivilege</t>
  </si>
  <si>
    <t xml:space="preserve">  99. OG : "AC - MSWRK - Ensure Change the system time is set to Administrators, LOCAL SERVICE'"</t>
  </si>
  <si>
    <t xml:space="preserve">      New: "1.0354 - MSWRK - Ensure Change the system time is set to Administrators, LOCAL SERVICE"</t>
  </si>
  <si>
    <t xml:space="preserve">      Key: userrights:sesystemtimeprivilege</t>
  </si>
  <si>
    <t xml:space="preserve"> 100. OG : "AC - MSWRK - Ensure Create a pagefile is set to Administrators"</t>
  </si>
  <si>
    <t xml:space="preserve">      New: "1.0355 - MSWRK - Ensure Create a pagefile is set to Administrators"</t>
  </si>
  <si>
    <t xml:space="preserve">      Key: userrights:secreatepagefileprivilege</t>
  </si>
  <si>
    <t xml:space="preserve"> 101. OG : "AC - MSWRK - Create a pagefileallowed for Administrators"</t>
  </si>
  <si>
    <t xml:space="preserve"> 102. OG : "CM - MSWRK - Network access: Sharing and security model for local accounts is set to Classic - local users authenticate as themselves"</t>
  </si>
  <si>
    <t xml:space="preserve">      New: "1.0359 - MSWRK - Ensure Network access: Sharing and security model for local accounts is set to Classic - local users authenticate as themselves"</t>
  </si>
  <si>
    <t xml:space="preserve">      Key: registry:hkey_local_machine\system\currentcontrolset\control\lsa|forceguest</t>
  </si>
  <si>
    <t xml:space="preserve"> 103. OG : "AC - MSWRK - Network access: Do not allow anonymous enumeration of SAM accounts is set to Enabled"</t>
  </si>
  <si>
    <t xml:space="preserve">      New: "1.0360 - MSWRK - Ensure Network access: Do not allow anonymous enumeration of SAM accounts is set to Enabled"</t>
  </si>
  <si>
    <t xml:space="preserve">      Key: registry:hkey_local_machine\system\currentcontrolset\control\lsa|restrictanonymoussam</t>
  </si>
  <si>
    <t xml:space="preserve"> 104. OG : "AC - MSWRK - Network access: Let Everyone permissions apply to anonymous users is set to Disabled"</t>
  </si>
  <si>
    <t xml:space="preserve">      New: "1.0363 - MSWRK - Ensure Network access: Let Everyone permissions apply to anonymous users is set to Disabled"</t>
  </si>
  <si>
    <t xml:space="preserve">      Key: registry:hkey_local_machine\system\currentcontrolset\control\lsa|everyoneincludesanonymous</t>
  </si>
  <si>
    <t xml:space="preserve"> 105. OG : "AC - MSWRK - Network access: Restrict anonymous access to Named Pipes and Shares is set to Enabled"</t>
  </si>
  <si>
    <t xml:space="preserve">      New: "1.0367 - MSWRK - Ensure Network access: Restrict anonymous access to Named Pipes and Shares is set to Enabled"</t>
  </si>
  <si>
    <t xml:space="preserve">      Key: registry:hkey_local_machine\system\currentcontrolset\services\lanmanserver\parameters|restrictnullsessaccess</t>
  </si>
  <si>
    <t xml:space="preserve"> 106. OG : "IA - MSWRK - Account - Guest Account Disabled"</t>
  </si>
  <si>
    <t xml:space="preserve">      New: "1.0368 - MSWRK - Ensure Accounts: Guest account status is set to Disabled"</t>
  </si>
  <si>
    <t xml:space="preserve">      Key: account:guest</t>
  </si>
  <si>
    <t xml:space="preserve"> 107. OG : "IA - MSWRK - Account - Rename Guest Account"</t>
  </si>
  <si>
    <t xml:space="preserve"> 108. OG : "AC - MSWRK - Network security: LAN Manager authentication level is set to Send NTLMv2 response only. Refuse LM &amp; NTLM"</t>
  </si>
  <si>
    <t xml:space="preserve">      New: "1.0377 - MSWRK - Ensure Network security: LAN Manager authentication level is set to Send NTLMv2 response only. Refuse LM &amp; NTLM"</t>
  </si>
  <si>
    <t xml:space="preserve">      Key: registry:hkey_local_machine\system\currentcontrolset\control\lsa|lmcompatibilitylevel</t>
  </si>
  <si>
    <t xml:space="preserve"> 109. OG : "AC - MSWRK - Network security: LDAP client signing requirements is set to Negotiate signing or higher"</t>
  </si>
  <si>
    <t xml:space="preserve">      New: "1.0379 - MSWRK - Ensure Network security: LDAP client signing requirements is set to Negotiate signing or higher"</t>
  </si>
  <si>
    <t xml:space="preserve">      Key: registry:hkey_local_machine\system\currentcontrolset\services\ldap|ldapclientintegrity</t>
  </si>
  <si>
    <t xml:space="preserve"> 110. OG : "IA - MSWRK - Accounts: Limit local account use of blank passwords to console logon only is set to Enabled"</t>
  </si>
  <si>
    <t xml:space="preserve">      New: "1.0381 - MSWRK - Ensure Accounts: Limit local account use of blank passwords to console logon only is set to Enabled"</t>
  </si>
  <si>
    <t xml:space="preserve">      Key: registry:hkey_local_machine\system\currentcontrolset\control\lsa|limitblankpassworduse</t>
  </si>
  <si>
    <t xml:space="preserve"> 111. OG : "IA - MSWRK - Account - Local Admin Account Enabled"</t>
  </si>
  <si>
    <t xml:space="preserve">      New: "1.0382 - MSWRK - Configure Accounts: Rename administrator account"</t>
  </si>
  <si>
    <t xml:space="preserve">      Key: account:builtin_administrator</t>
  </si>
  <si>
    <t xml:space="preserve"> 112. OG : "IA - MSWRK - Account - Rename Local Admin"</t>
  </si>
  <si>
    <t xml:space="preserve"> 113. OG : "IA - MSWRK - Account - Guest Account Disabled"</t>
  </si>
  <si>
    <t xml:space="preserve">      New: "1.0383 - MSWRK - Configure Accounts: Rename guest account"</t>
  </si>
  <si>
    <t xml:space="preserve"> 114. OG : "IA - MSWRK - Account - Rename Guest Account"</t>
  </si>
  <si>
    <t xml:space="preserve"> 115. OG : "CM - MSWRK - System objects: Require case insensitivity for non-Windows subsystems is set to Enabled"</t>
  </si>
  <si>
    <t xml:space="preserve">      New: "1.0384 - MSWRK - Ensure System objects: Require case insensitivity for non-Windows subsystems is set to Enabled"</t>
  </si>
  <si>
    <t xml:space="preserve">      Key: registry:hkey_local_machine\system\currentcontrolset\control\session manager\kernel|obcaseinsensitive</t>
  </si>
  <si>
    <t xml:space="preserve"> 116. OG : "CM - MSWRK - System objects: Strengthen default permissions of internal system objects (e.g. Symbolic Links) is set to Enabled"</t>
  </si>
  <si>
    <t xml:space="preserve">      New: "1.0385 - MSWRK - Ensure System objects: Strengthen default permissions of internal system objects (e.g. Symbolic Links) is set to Enabled"</t>
  </si>
  <si>
    <t xml:space="preserve">      Key: registry:hkey_local_machine\system\currentcontrolset\control\session manager|protectionmode</t>
  </si>
  <si>
    <t xml:space="preserve"> 117. OG : "AC - MSWRK - User Account Control: Only elevate UIAccess applications that are installed in secure locations is set to Enabled"</t>
  </si>
  <si>
    <t xml:space="preserve">      New: "1.0390 - MSWRK - Ensure User Account Control: Only elevate UIAccess applications that are installed in secure locations is set to Enabled"</t>
  </si>
  <si>
    <t xml:space="preserve">      Key: registry:hkey_local_machine\software\microsoft\windows\currentversion\policies\system|enablesecureuiapaths</t>
  </si>
  <si>
    <t xml:space="preserve"> 118. OG : "AC - MSWRK - User Account Control: Run all administrators in Admin Approval Mode is set to Enabled"</t>
  </si>
  <si>
    <t xml:space="preserve">      New: "1.0391 - MSWRK - Ensure User Account Control: Run all administrators in Admin Approval Mode is set to Enabled"</t>
  </si>
  <si>
    <t xml:space="preserve">      Key: registry:hkey_local_machine\software\microsoft\windows\currentversion\policies\system|enablelua</t>
  </si>
  <si>
    <t xml:space="preserve"> 119. OG : "SC - MSWRK - User Account Control: Virtualize file and registry write failures to per-user locations is set to Enabled"</t>
  </si>
  <si>
    <t xml:space="preserve">      New: "1.0393 - MSWRK - Ensure User Account Control: Virtualize file and registry write failures to per-user locations is set to Enabled"</t>
  </si>
  <si>
    <t xml:space="preserve">      Key: registry:hkey_local_machine\software\microsoft\windows\currentversion\policies\system|enablevirtualization</t>
  </si>
  <si>
    <t xml:space="preserve"> 120. OG : "AU - MSWRK - Audit: Shut down system immediately if unable to log security audits is set to Disabled"</t>
  </si>
  <si>
    <t xml:space="preserve">      New: "1.0395 - MSWRK - Ensure Audit: Shut down system immediately if unable to log security audits is set to Disabled"</t>
  </si>
  <si>
    <t xml:space="preserve">      Key: registry:hkey_local_machine\system\currentcontrolset\control\lsa|crashonauditfail</t>
  </si>
  <si>
    <t xml:space="preserve"> 121. OG : "AC - MSWRK - Domain member: Digitally encrypt or sign secure channel data (always) is set to Enabled"</t>
  </si>
  <si>
    <t xml:space="preserve">      New: "1.0396 - MSWRK - Ensure Domain member: Digitally encrypt or sign secure channel data (always) is set to Enabled"</t>
  </si>
  <si>
    <t xml:space="preserve">      Key: registry:hkey_local_machine\system\currentcontrolset\services\netlogon\parameters|requiresignorseal</t>
  </si>
  <si>
    <t xml:space="preserve"> 122. OG : "AC - MSWRK - Domain member: Digitally encrypt secure channel data (when possible) is set to Enabled"</t>
  </si>
  <si>
    <t xml:space="preserve">      New: "1.0397 - MSWRK - Ensure Domain member: Digitally encrypt secure channel data (when possible) is set to Enabled"</t>
  </si>
  <si>
    <t xml:space="preserve">      Key: registry:hkey_local_machine\system\currentcontrolset\services\netlogon\parameters|sealsecurechannel</t>
  </si>
  <si>
    <t xml:space="preserve"> 123. OG : "AC - MSWRK - Domain member: Digitally sign secure channel data (when possible) is set to Enabled"</t>
  </si>
  <si>
    <t xml:space="preserve">      New: "1.0398 - MSWRK - Ensure Domain member: Digitally sign secure channel data (when possible) is set to Enabled"</t>
  </si>
  <si>
    <t xml:space="preserve">      Key: registry:hkey_local_machine\system\currentcontrolset\services\netlogon\parameters|signsecurechannel</t>
  </si>
  <si>
    <t xml:space="preserve"> 124. OG : "AC - MSWRK - Domain member: Disable machine account password changes is set to Disabled"</t>
  </si>
  <si>
    <t xml:space="preserve">      New: "1.0399 - MSWRK - Ensure Domain member: Disable machine account password changes is set to Disabled"</t>
  </si>
  <si>
    <t xml:space="preserve">      Key: registry:hkey_local_machine\system\currentcontrolset\services\netlogon\parameters|disablepasswordchange</t>
  </si>
  <si>
    <t xml:space="preserve"> 125. OG : "IA - MSWRK - Domain member: Maximum machine account password age is set to 30 or fewer days, but not 0"</t>
  </si>
  <si>
    <t xml:space="preserve">      New: "1.0400 - MSWRK - Ensure Domain member: Maximum machine account password age is set to 30 or fewer days, but not 0"</t>
  </si>
  <si>
    <t xml:space="preserve">      Key: registry:hkey_local_machine\system\currentcontrolset\services\netlogon\parameters|maximumpasswordage</t>
  </si>
  <si>
    <t xml:space="preserve"> 126. OG : "AC - MSWRK - Domain member: Require strong (Windows 2000 or later) session key is set to Enabled"</t>
  </si>
  <si>
    <t xml:space="preserve">      New: "1.0401 - MSWRK - Ensure Domain member: Require strong (Windows 2000 or later) session key is set to Enabled"</t>
  </si>
  <si>
    <t xml:space="preserve">      Key: registry:hkey_local_machine\system\currentcontrolset\services\netlogon\parameters|requirestrongkey</t>
  </si>
  <si>
    <t xml:space="preserve"> 127. OG : "IA - MSWRK - Interactive logon Prompt user to change password before expiration is set to between 5 and 14 days"</t>
  </si>
  <si>
    <t xml:space="preserve">      New: "1.0406 - MSWRK - Ensure Interactive logon: Prompt user to change password before expiration is set to between 5 and 14 days"</t>
  </si>
  <si>
    <t xml:space="preserve">      Key: registry:hkey_local_machine\software\microsoft\windows nt\currentversion\winlogon|passwordexpirywarning</t>
  </si>
  <si>
    <t xml:space="preserve"> 128. OG : "AC - MSWRK - Microsoft network client: Digitally sign communications (always) is set to Enabled"</t>
  </si>
  <si>
    <t xml:space="preserve">      New: "1.0408 - MSWRK - Ensure Microsoft network client: Digitally sign communications (always) is set to Enabled"</t>
  </si>
  <si>
    <t xml:space="preserve">      Key: registry:hkey_local_machine\system\currentcontrolset\services\lanmanworkstation\parameters|requiresecuritysignature</t>
  </si>
  <si>
    <t xml:space="preserve"> 129. OG : "AC - MSWRK - Microsoft network client: Send unencrypted password to third-party SMB servers is set to Disabled"</t>
  </si>
  <si>
    <t xml:space="preserve">      New: "1.0409 - MSWRK - Ensure Microsoft network client: Send unencrypted password to third-party SMB servers is set to Disabled"</t>
  </si>
  <si>
    <t xml:space="preserve">      Key: registry:hkey_local_machine\system\currentcontrolset\services\lanmanworkstation\parameters|enableplaintextpassword</t>
  </si>
  <si>
    <t xml:space="preserve"> 130. OG : "AC - MSWRK - Microsoft network server: Digitally sign communications (always) is set to Enabled"</t>
  </si>
  <si>
    <t xml:space="preserve">      New: "1.0411 - MSWRK - Ensure Microsoft network server: Digitally sign communications (always) is set to Enabled"</t>
  </si>
  <si>
    <t xml:space="preserve">      Key: registry:hkey_local_machine\system\currentcontrolset\services\lanmanserver\parameters|requiresecuritysignature</t>
  </si>
  <si>
    <t xml:space="preserve"> 131. OG : "AC - MSWRK - Microsoft network server: Disconnect clients when logon hours expire is set to Enabled"</t>
  </si>
  <si>
    <t xml:space="preserve">      New: "1.0412 - MSWRK - Ensure Microsoft network server: Disconnect clients when logon hours expire is set to Enabled"</t>
  </si>
  <si>
    <t xml:space="preserve">      Key: registry:hkey_local_machine\system\currentcontrolset\services\lanmanserver\parameters|enableforcedlogoff</t>
  </si>
  <si>
    <t xml:space="preserve"> 132. OG : "CM - MSWRK - Routing and Remote Access (RemoteAccess) is set to Disabled"</t>
  </si>
  <si>
    <t xml:space="preserve">      New: "1.0417 - MSWRK - Ensure Routing and Remote Access (RemoteAccess) is set to Disabled"</t>
  </si>
  <si>
    <t xml:space="preserve">      Key: registry:hkey_local_machine\system\currentcontrolset\services\remoteaccess|start</t>
  </si>
  <si>
    <t xml:space="preserve"> 133. OG : "CM - MSWRK - SSDP Discovery (SSDPSRV) is set to Disabled"</t>
  </si>
  <si>
    <t xml:space="preserve">      New: "1.0421 - MSWRK - Ensure SSDP Discovery (SSDPSRV) is set to Disabled"</t>
  </si>
  <si>
    <t xml:space="preserve">      Key: registry:hkey_local_machine\system\currentcontrolset\services\ssdpsrv|start</t>
  </si>
  <si>
    <t xml:space="preserve"> 134. OG : "CM - MSWRK - UPnP Device Host (upnphost) is set to Disabled"</t>
  </si>
  <si>
    <t xml:space="preserve">      New: "1.0422 - MSWRK - Ensure UPnP Device Host (upnphost) is set to Disabled"</t>
  </si>
  <si>
    <t xml:space="preserve">      Key: registry:hkey_local_machine\system\currentcontrolset\services\upnphost|start</t>
  </si>
  <si>
    <t xml:space="preserve"> 135. OG : "CM - MSWRK - Windows Media Player Network Sharing Service (WMPNetworkSvc) is set to Disabled or Not Installed"</t>
  </si>
  <si>
    <t xml:space="preserve">      New: "1.0424 - MSWRK - Ensure Windows Media Player Network Sharing Service (WMPNetworkSvc) is set to Disabled or Not Installed"</t>
  </si>
  <si>
    <t xml:space="preserve">      Key: registry:hkey_local_machine\system\currentcontrolset\services\wmpnetworksvc|start</t>
  </si>
  <si>
    <t xml:space="preserve"> 136. OG : "CM - MSWRK - Windows Mobile Hotspot Service (icssvc) is set to Disabled"</t>
  </si>
  <si>
    <t xml:space="preserve">      New: "1.0425 - MSWRK - Ensure Windows Mobile Hotspot Service (icssvc) is set to Disabled"</t>
  </si>
  <si>
    <t xml:space="preserve">      Key: registry:hkey_local_machine\system\currentcontrolset\services\icssvc|start</t>
  </si>
  <si>
    <t xml:space="preserve"> 137. OG : "CM - MSWRK - Xbox Accessory Management Service (XboxGipSvc) is set to Disabled"</t>
  </si>
  <si>
    <t xml:space="preserve">      New: "1.0427 - MSWRK - Ensure Xbox Accessory Management Service (XboxGipSvc) is set to Disabled"</t>
  </si>
  <si>
    <t xml:space="preserve">      Key: registry:hkey_local_machine\system\currentcontrolset\services\xboxgipsvc|start</t>
  </si>
  <si>
    <t xml:space="preserve"> 138. OG : "CM - MSWRK - Xbox Live Auth Manager (XblAuthManager) is set to Disabled"</t>
  </si>
  <si>
    <t xml:space="preserve">      New: "1.0428 - MSWRK - Ensure Xbox Live Auth Manager (XblAuthManager) is set to Disabled"</t>
  </si>
  <si>
    <t xml:space="preserve">      Key: registry:hkey_local_machine\system\currentcontrolset\services\xblauthmanager|start</t>
  </si>
  <si>
    <t xml:space="preserve"> 139. OG : "CM - MSWRK - Xbox Live Game Save (XblGameSave) is set to Disabled"</t>
  </si>
  <si>
    <t xml:space="preserve">      New: "1.0429 - MSWRK - Ensure Xbox Live Game Save (XblGameSave) is set to Disabled"</t>
  </si>
  <si>
    <t xml:space="preserve">      Key: registry:hkey_local_machine\system\currentcontrolset\services\xblgamesave|start</t>
  </si>
  <si>
    <t xml:space="preserve"> 140. OG : "CM - MSWRK - Xbox Live Networking Service (XboxNetApiSvc) is set to Disabled"</t>
  </si>
  <si>
    <t xml:space="preserve">      New: "1.0430 - MSWRK - Ensure Xbox Live Networking Service (XboxNetApiSvc) is set to Disabled"</t>
  </si>
  <si>
    <t xml:space="preserve">      Key: registry:hkey_local_machine\system\currentcontrolset\services\xboxnetapisvc|start</t>
  </si>
  <si>
    <t>ORPHANED OG ITEMS</t>
  </si>
  <si>
    <t>Total : 39</t>
  </si>
  <si>
    <t xml:space="preserve">   1. "System/Domain Identification"</t>
  </si>
  <si>
    <t xml:space="preserve">      Key: info:system_identification</t>
  </si>
  <si>
    <t xml:space="preserve">   2. "Network Information"</t>
  </si>
  <si>
    <t xml:space="preserve">      Key: info:network_tls_info</t>
  </si>
  <si>
    <t xml:space="preserve">   3. "Windows 10 is installed"</t>
  </si>
  <si>
    <t xml:space="preserve">      Key: registry:hkey_local_machine\software\microsoft\windows nt\currentversion|productname</t>
  </si>
  <si>
    <t xml:space="preserve">   4. "Windows 11 is installed"</t>
  </si>
  <si>
    <t xml:space="preserve">      Key: registry:hkey_local_machine\software\microsoft\windows nt\currentversion|currentbuildnumber</t>
  </si>
  <si>
    <t xml:space="preserve">   5. "CM - MSWRK - Ensure Only display the private store within the Microsoft Store is set to 'Disabled'"</t>
  </si>
  <si>
    <t xml:space="preserve">      Key: registry:hkey_local_machine\software\policies\microsoft\windowsstore|requireprivatestoreonly</t>
  </si>
  <si>
    <t xml:space="preserve">   6. "CM - MSWRK - Allow widgets is set to Disabled"</t>
  </si>
  <si>
    <t xml:space="preserve">      Key: registry:hkey_local_machine\software\policies\microsoft\dsh|allownewsandinterests</t>
  </si>
  <si>
    <t xml:space="preserve">   7. "AC - MSWRK - MSS: (ScreenSaverGracePeriod) The time in seconds before the screen saver grace period expires is set to Enabled: 5 or fewer seconds"</t>
  </si>
  <si>
    <t xml:space="preserve">      Key: registry:hkey_local_machine\software\microsoft\windows nt\currentversion\winlogon|screensavergraceperiod</t>
  </si>
  <si>
    <t xml:space="preserve">   8. "AC - MSWRK - Screensaver - Enabled"</t>
  </si>
  <si>
    <t xml:space="preserve">      Key: registry:hkey_users|screensaveactive</t>
  </si>
  <si>
    <t xml:space="preserve">   9. "AC - MSWRK - Screensaver - Password protect the screen saver- Enabled"</t>
  </si>
  <si>
    <t xml:space="preserve">      Key: registry:hkey_users|screensaverissecure</t>
  </si>
  <si>
    <t xml:space="preserve">  10. "AC - MSWRK - Ensure Change the time zone is set to Administrators, LOCAL SERVICE'"</t>
  </si>
  <si>
    <t xml:space="preserve">      Key: userrights:setimezoneprivilege</t>
  </si>
  <si>
    <t xml:space="preserve">  11. "AC - MSWRK - Network access: Allow anonymous SID/Name translation is set to Disabled"</t>
  </si>
  <si>
    <t xml:space="preserve">      Key: lsa:anonymousnamelookup</t>
  </si>
  <si>
    <t xml:space="preserve">  12. "AC - MSWRK - Network access: Shares that can be accessed anonymously is set to None"</t>
  </si>
  <si>
    <t xml:space="preserve">      Key: registry:hkey_local_machine\system\currentcontrolset\services\lanmanserver\parameters|nullsessionshares</t>
  </si>
  <si>
    <t xml:space="preserve">  13. "IA - MSWRK - Network access: Named Pipes that can be accessed anonymously is set to None"</t>
  </si>
  <si>
    <t xml:space="preserve">      Key: registry:hkey_local_machine\system\currentcontrolset\services\lanmanserver\parameters|nullsessionpipes</t>
  </si>
  <si>
    <t xml:space="preserve">  14. "AC - MSWRK - Network access: Remotely accessible registry paths is configured - Allowedexactpaths"</t>
  </si>
  <si>
    <t xml:space="preserve">      Key: registry:hkey_local_machine\system\currentcontrolset\control\securepipeservers\winreg\allowedexactpaths|machine</t>
  </si>
  <si>
    <t xml:space="preserve">  15. "AC - MSWRK - Network access: Remotely accessible registry paths and sub-paths is configured - Allowedpaths"</t>
  </si>
  <si>
    <t xml:space="preserve">      Key: registry:hkey_local_machine\system\currentcontrolset\control\securepipeservers\winreg\allowedpaths|machine</t>
  </si>
  <si>
    <t xml:space="preserve">  16. "IA - MSWRK - Network security: Do not store LAN Manager hash value on next password change is set to Enabled"</t>
  </si>
  <si>
    <t xml:space="preserve">      Key: registry:hkey_local_machine\system\currentcontrolset\control\lsa|nolmhash</t>
  </si>
  <si>
    <t xml:space="preserve">  17. "CM - MSWRK - Interactive logon: Do not require CTRL+ALT+DEL is set to Disabled"</t>
  </si>
  <si>
    <t xml:space="preserve">      Key: registry:hkey_local_machine\software\microsoft\windows\currentversion\policies\system|disablecad</t>
  </si>
  <si>
    <t xml:space="preserve">  18. "AC - MSWRK - Screensaver - Timeout is set to 900 seconds or fewer"</t>
  </si>
  <si>
    <t xml:space="preserve">      Key: None</t>
  </si>
  <si>
    <t xml:space="preserve">  19. "AC - MSWRK - Microsoft network client: Digitally sign communications (if server agrees) is set to Enabled"</t>
  </si>
  <si>
    <t xml:space="preserve">      Key: registry:hkey_local_machine\system\currentcontrolset\services\lanmanworkstation\parameters|enablesecuritysignature</t>
  </si>
  <si>
    <t xml:space="preserve">  20. "SC - MSWRK - Services - Windows Firewall is enabled"</t>
  </si>
  <si>
    <t xml:space="preserve">      Key: service:mpssvc</t>
  </si>
  <si>
    <t xml:space="preserve">  21. "CM - MSWRK - Services - Windows Defender"</t>
  </si>
  <si>
    <t xml:space="preserve">      Key: service:sense</t>
  </si>
  <si>
    <t xml:space="preserve">  22. "CM - MSWRK - Services - BitLocker Drive Encryption Service"</t>
  </si>
  <si>
    <t xml:space="preserve">      Key: service:bdesvc</t>
  </si>
  <si>
    <t xml:space="preserve">  23. "CM - MSWRK - Services - Security Accounts Manager"</t>
  </si>
  <si>
    <t xml:space="preserve">      Key: service:samss</t>
  </si>
  <si>
    <t xml:space="preserve">  24. "CM - MSWRK - Services - Cisco VPN Secure Client"</t>
  </si>
  <si>
    <t xml:space="preserve">  25. "CM - MSWRK - Services - Windows Event Log"</t>
  </si>
  <si>
    <t xml:space="preserve">  26. "CM - MSWRK - TCPIP6 is disabled"</t>
  </si>
  <si>
    <t xml:space="preserve">      Key: registry:hkey_local_machine\system\currentcontrolset\services\tcpip6\parameters|disabledcomponents</t>
  </si>
  <si>
    <t xml:space="preserve">  27. "CM - MSWRK - Check if WinRM service is running"</t>
  </si>
  <si>
    <t xml:space="preserve">      Key: service:winrm</t>
  </si>
  <si>
    <t xml:space="preserve">  28. "CM - MSWRK - Computer Browser (Browser) is not Installed"</t>
  </si>
  <si>
    <t xml:space="preserve">  29. "CM - MSWRK - Services - BitLocker Drive Encryption Management Service"</t>
  </si>
  <si>
    <t xml:space="preserve">      Key: service:mbamagent</t>
  </si>
  <si>
    <t xml:space="preserve">  30. "CM - MSWRK - Services - Rapid7 Insight Agent Service"</t>
  </si>
  <si>
    <t xml:space="preserve">      Key: service:ir_agent</t>
  </si>
  <si>
    <t xml:space="preserve">  31. "CM - MSWRK - Sentinel Agent"</t>
  </si>
  <si>
    <t xml:space="preserve">      Key: service:sentinelagent</t>
  </si>
  <si>
    <t xml:space="preserve">  32. "CM - MSWRK - Services - Sentinel Helper Service"</t>
  </si>
  <si>
    <t xml:space="preserve">      Key: service:sentinelhelperservice</t>
  </si>
  <si>
    <t xml:space="preserve">  33. "CM - MSWRK - Services - SentinelOne Agent Log Processing Service"</t>
  </si>
  <si>
    <t xml:space="preserve">      Key: service:logprocessorservice</t>
  </si>
  <si>
    <t xml:space="preserve">  34. "CM - MSWRK - Services - SentinelOne Static Service"</t>
  </si>
  <si>
    <t xml:space="preserve">      Key: service:sentinelstaticengine</t>
  </si>
  <si>
    <t xml:space="preserve">  35. "CM - MSWRK - Services - Xbox Live Auth Manager"</t>
  </si>
  <si>
    <t xml:space="preserve">      Key: service:xblauthmanager</t>
  </si>
  <si>
    <t xml:space="preserve">  36. "CM - MSWRK - Services - Xbox Live Game Save Service"</t>
  </si>
  <si>
    <t xml:space="preserve">      Key: service:xblgamesave</t>
  </si>
  <si>
    <t xml:space="preserve">  37. "CM - MSWRK - Services - Xbox Live Networking Service"</t>
  </si>
  <si>
    <t xml:space="preserve">      Key: service:xboxnetapisvc</t>
  </si>
  <si>
    <t xml:space="preserve">  38. "CM - MSWRK - Simple TCP/IP Services (simptcp) is Not Installed"</t>
  </si>
  <si>
    <t xml:space="preserve">      Key: service:simpt*</t>
  </si>
  <si>
    <t xml:space="preserve">  39. "CM - MSWRK - SMB v1 server is set to Disabled"</t>
  </si>
  <si>
    <t>&lt;check_type:"Windows" version:"2"&gt;</t>
  </si>
  <si>
    <t>&lt;group_policy:"CIS Microsoft Windows 11 Enterprise"&gt;</t>
  </si>
  <si>
    <t>&lt;if&gt;</t>
  </si>
  <si>
    <t xml:space="preserve">  &lt;condition type:"AND"&gt;</t>
  </si>
  <si>
    <t>&lt;custom_item&gt;</t>
  </si>
  <si>
    <t xml:space="preserve">  type                      : AUDIT_POWERSHELL</t>
  </si>
  <si>
    <t xml:space="preserve">  description               : "Windows 11 is installed"</t>
  </si>
  <si>
    <t xml:space="preserve">  check_type                : CHECK_REGEX</t>
  </si>
  <si>
    <t xml:space="preserve">  value_type                : POLICY_TEXT</t>
  </si>
  <si>
    <t xml:space="preserve">  value_data                : "2[26][0-9]{3}"</t>
  </si>
  <si>
    <t xml:space="preserve">  powershell_args           : "$p = Get-ItemProperty -Path 'Registry::HKEY_LOCAL_MACHINE\Software\Microsoft\Windows Nt\Currentversion' -ErrorAction SilentlyContinue; $raw = if ($p -and $p.PSObject.Properties['CurrentBuild'] -ne $null) { [string]$p.'CurrentBuild' } else { $null }; if ($raw) { $raw } else { 'NOT_FOUND' }"</t>
  </si>
  <si>
    <t>&lt;/custom_item&gt;</t>
  </si>
  <si>
    <t xml:space="preserve">  description               : "Windows 11 installation type"</t>
  </si>
  <si>
    <t xml:space="preserve">  value_data                : "Client"</t>
  </si>
  <si>
    <t xml:space="preserve">  powershell_args           : "$p = Get-ItemProperty -Path 'Registry::HKEY_LOCAL_MACHINE\Software\Microsoft\Windows Nt\Currentversion' -ErrorAction SilentlyContinue; $raw = if ($p -and $p.PSObject.Properties['InstallationType'] -ne $null) { [string]$p.'InstallationType' } else { $null }; if ($raw) { $raw } else { 'NOT_FOUND' }"</t>
  </si>
  <si>
    <t xml:space="preserve">  &lt;/condition&gt;</t>
  </si>
  <si>
    <t xml:space="preserve">  &lt;then&gt;</t>
  </si>
  <si>
    <t xml:space="preserve">  description               : "1.0001 - MSWRK - Ensure Enforce password history is set to 24 or more password(s)"</t>
  </si>
  <si>
    <t xml:space="preserve">  info                      : "This policy setting determines the number of renewed, unique passwords that have to be associated with a user account before you can reuse an old password."</t>
  </si>
  <si>
    <t xml:space="preserve">  reference                 : "NIST 800-53r5|IA-5(1)"</t>
  </si>
  <si>
    <t xml:space="preserve">  see_also                  : "See HTH Policies and Standards"</t>
  </si>
  <si>
    <t xml:space="preserve">  value_data                : 24</t>
  </si>
  <si>
    <t xml:space="preserve">  powershell_args           : "$line = net accounts | Where-Object { $_ -match 'Length of password history' }; if ($line -match '(\d+)$') { $matches[1] } else { 'NOT_FOUND' }"</t>
  </si>
  <si>
    <t xml:space="preserve">  description               : "1.0002 - MSWRK - Ensure Maximum password age is set to 365 or fewer days, but not 0"</t>
  </si>
  <si>
    <t xml:space="preserve">  info                      : "This policy setting defines how long a user can use their password before it expires."</t>
  </si>
  <si>
    <t xml:space="preserve">  value_data                : "60"</t>
  </si>
  <si>
    <t xml:space="preserve">  powershell_args           : "$tmp = [System.IO.Path]::GetTempFileName(); secedit /export /cfg $tmp /quiet; $val = (Get-Content $tmp | Where-Object { $_ -match '^MaximumPasswordAge\s*=' } | Select-Object -Last 1) -replace '.*=\s*',''; Remove-Item $tmp -Force; if ($val -ne '') { $val.Trim() } else { 'NOT_FOUND' }"</t>
  </si>
  <si>
    <t xml:space="preserve">  description               : "1.0003 - MSWRK - Ensure Minimum password age is set to 1 or more day(s)"</t>
  </si>
  <si>
    <t xml:space="preserve">  info                      : "This policy setting determines the number of days that you must use a password before you can change it."</t>
  </si>
  <si>
    <t xml:space="preserve">  value_data                : "1"</t>
  </si>
  <si>
    <t xml:space="preserve">  powershell_args           : "$tmp = [System.IO.Path]::GetTempFileName(); secedit /export /cfg $tmp /quiet; $val = (Get-Content $tmp | Where-Object { $_ -match '^MinimumPasswordAge\s*=' } | Select-Object -Last 1) -replace '.*=\s*',''; Remove-Item $tmp -Force; if ($val -ne '') { $val.Trim() } else { 'NOT_FOUND' }"</t>
  </si>
  <si>
    <t xml:space="preserve">  description               : "1.0004 - MSWRK - Ensure Minimum password length is set to 14 or more character(s)"</t>
  </si>
  <si>
    <t xml:space="preserve">  info                      : "This policy setting determines the least number of characters that make up a password for a user account."</t>
  </si>
  <si>
    <t xml:space="preserve">  value_data                : "^(8|9|10|11|12|13|14|15|16|17|18|19|20)$"</t>
  </si>
  <si>
    <t xml:space="preserve">  powershell_args           : "$tmp = [System.IO.Path]::GetTempFileName(); secedit /export /cfg $tmp /quiet; $val = (Get-Content $tmp | Where-Object { $_ -match '^MinimumPasswordLength\s*=' } | Select-Object -Last 1) -replace '.*=\s*',''; Remove-Item $tmp -Force; if ($val -ne '') { $val.Trim() } else { 'NOT_FOUND' }"</t>
  </si>
  <si>
    <t xml:space="preserve">  description               : "1.0005 - MSWRK - Ensure Password must meet complexity requirements is set to Enabled"</t>
  </si>
  <si>
    <t xml:space="preserve">  info                      : "This policy setting checks all new passwords to ensure that they meet basic requirements for strong passwords."</t>
  </si>
  <si>
    <t xml:space="preserve">  value_data                : "Enabled"</t>
  </si>
  <si>
    <t xml:space="preserve">  powershell_args           : "$tmp = [System.IO.Path]::GetTempFileName(); secedit /export /cfg $tmp /quiet; $val = (Get-Content $tmp | Where-Object { $_ -match '^PasswordComplexity\s*=' } | Select-Object -Last 1) -replace '.*=\s*',''; Remove-Item $tmp -Force; if ($val -eq '1') { 'Enabled' } elseif ($val -eq '0') { 'Disabled' } else { 'NOT_FOUND' }"</t>
  </si>
  <si>
    <t xml:space="preserve">  description               : "1.0006 - MSWRK - Ensure Relax minimum password length limits is set to Enabled"</t>
  </si>
  <si>
    <t xml:space="preserve">  info                      : "This policy setting determines whether the minimum password length setting can be increased beyond the legacy limit of 14 characters."</t>
  </si>
  <si>
    <t xml:space="preserve">  powershell_args           : "$p = Get-ItemProperty -Path 'Registry::HKEY_LOCAL_MACHINE\System\CurrentControlSet\Control\SAM' -ErrorAction SilentlyContinue; $val = if ($p -and $p.PSObject.Properties['RelaxMinimumPasswordLengthLimits'] -ne $null) { [int]$p.'RelaxMinimumPasswordLengthLimits' } else { 0 }; [string]$val"</t>
  </si>
  <si>
    <t xml:space="preserve">  description               : "1.0007 - MSWRK - Ensure Store passwords using reversible encryption is set to Disabled"</t>
  </si>
  <si>
    <t xml:space="preserve">  info                      : "This policy setting determines whether the operating system stores passwords in a way that uses reversible encryption, which provides support for application protocols that require knowledge of the user's password for authentication purposes."</t>
  </si>
  <si>
    <t xml:space="preserve">  reference                 : "NIST 800-53r5|IA-5(1) SC-28 SC-28(1)"</t>
  </si>
  <si>
    <t xml:space="preserve">  value_data                : "Disabled"</t>
  </si>
  <si>
    <t xml:space="preserve">  powershell_args           : "$tmp = [System.IO.Path]::GetTempFileName(); secedit /export /cfg $tmp /quiet; $val = (Get-Content $tmp | Where-Object { $_ -match '^ClearTextPassword\s*=' } | Select-Object -Last 1) -replace '.*=\s*',''; Remove-Item $tmp -Force; if ($val -eq '1') { 'Enabled' } elseif ($val -eq '0') { 'Disabled' } else { 'NOT_FOUND' }"</t>
  </si>
  <si>
    <t xml:space="preserve">  description               : "1.0008 - MSWRK - Ensure Account lockout duration is set to 15 or more minute(s)"</t>
  </si>
  <si>
    <t xml:space="preserve">  info                      : "This policy setting determines the length of time that must pass before a locked account is unlocked and a user can try to log on again."</t>
  </si>
  <si>
    <t xml:space="preserve">  reference                 : "NIST 800-53r5|AC-7 AC-19"</t>
  </si>
  <si>
    <t xml:space="preserve">  value_data                : "^([1-9][0-9]{2,}|[2-9][0-9]{1}|1[5-9])$"</t>
  </si>
  <si>
    <t xml:space="preserve">  powershell_args           : "$tmp = [System.IO.Path]::GetTempFileName(); secedit /export /cfg $tmp /quiet; $val = (Get-Content $tmp | Where-Object { $_ -match '^LockoutDuration\s*=' } | Select-Object -Last 1) -replace '.*=\s*',''; Remove-Item $tmp -Force; if ($val -ne '') { $val.Trim() } else { 'NOT_FOUND' }"</t>
  </si>
  <si>
    <t xml:space="preserve">  description               : "1.0009 - MSWRK - Ensure Account lockout threshold is set to 5 or fewer invalid logon attempt(s), but not 0"</t>
  </si>
  <si>
    <t xml:space="preserve">  info                      : "This policy setting determines the number of failed logon attempts before the account is locked."</t>
  </si>
  <si>
    <t xml:space="preserve">  value_data                : "^(1|2|3|4|5)$"</t>
  </si>
  <si>
    <t xml:space="preserve">  powershell_args           : "$tmp = [System.IO.Path]::GetTempFileName(); secedit /export /cfg $tmp /quiet; $val = (Get-Content $tmp | Where-Object { $_ -match '^LockoutBadCount\s*=' } | Select-Object -Last 1) -replace '.*=\s*',''; Remove-Item $tmp -Force; if ($val -ne '') { $val.Trim() } else { 'NOT_FOUND' }"</t>
  </si>
  <si>
    <t xml:space="preserve">  description               : "1.0010 - MSWRK - Ensure Allow Administrator account lockout is set to Enabled"</t>
  </si>
  <si>
    <t xml:space="preserve">  info                      : "This policy setting determines whether the built-in Administrator account is subject to the following Account Lockout Policy settings: Account lockout duration, Account lockout threshold, and Reset account lockout counter."</t>
  </si>
  <si>
    <t xml:space="preserve">  powershell_args           : "$tmp = [System.IO.Path]::GetTempFileName(); secedit /export /cfg $tmp /quiet; $val = (Get-Content $tmp | Where-Object { $_ -match '^AllowAdministratorLockout\s*=' } | Select-Object -Last 1) -replace '.*=\s*',''; Remove-Item $tmp -Force; if ($val -eq '1') { 'Enabled' } elseif ($val -eq '0') { 'Disabled' } else { 'NOT_FOUND' }"</t>
  </si>
  <si>
    <t xml:space="preserve">  description               : "1.0011 - MSWRK - Ensure Reset account lockout counter after is set to 15 or more minute(s)"</t>
  </si>
  <si>
    <t xml:space="preserve">  info                      : "This policy setting determines the length of time before the Account lockout threshold resets to zero."</t>
  </si>
  <si>
    <t xml:space="preserve">  powershell_args           : "$tmp = [System.IO.Path]::GetTempFileName(); secedit /export /cfg $tmp /quiet; $val = (Get-Content $tmp | Where-Object { $_ -match '^ResetLockoutCount\s*=' } | Select-Object -Last 1) -replace '.*=\s*',''; Remove-Item $tmp -Force; if ($val -ne '') { $val.Trim() } else { 'NOT_FOUND' }"</t>
  </si>
  <si>
    <t xml:space="preserve">  description               : "1.0012 - MSWRK - Ensure Audit Credential Validation is set to Success and Failure"</t>
  </si>
  <si>
    <t xml:space="preserve">  info                      : "This subcategory reports the results of validation tests on credentials submitted for a user account logon request."</t>
  </si>
  <si>
    <t xml:space="preserve">  reference                 : "NIST 800-53r5|AU-3 AU-3(1) AU-7 AU-12"</t>
  </si>
  <si>
    <t xml:space="preserve">  value_data                : "Success and Failure"</t>
  </si>
  <si>
    <t xml:space="preserve">  powershell_args           : "$r = auditpol /get /subcategory:'Credential Validation'; $line = $r | Where-Object { $_ -like '*Credential Validation*' } | Select-Object -Last 1; if ($line) { ($line -split '\s{2,}')[-1].Trim() } else { 'No Auditing' }"</t>
  </si>
  <si>
    <t xml:space="preserve">  description               : "1.0013 - MSWRK - Ensure Audit Application Group Management is set to Success and Failure"</t>
  </si>
  <si>
    <t xml:space="preserve">  info                      : "This policy setting allows you to audit events generated by changes to application groups such as the following: - Application group is created, changed, or deleted."</t>
  </si>
  <si>
    <t xml:space="preserve">  powershell_args           : "$r = auditpol /get /subcategory:'Application Group Management'; $line = $r | Where-Object { $_ -like '*Application Group Management*' } | Select-Object -Last 1; if ($line) { ($line -split '\s{2,}')[-1].Trim() } else { 'No Auditing' }"</t>
  </si>
  <si>
    <t xml:space="preserve">  description               : "1.0014 - MSWRK - Ensure Audit Security Group Management is set to include Success"</t>
  </si>
  <si>
    <t xml:space="preserve">  info                      : "This subcategory reports each event of security group management, such as when a security group is created, changed, or deleted or when a member is added to or removed from a security group."</t>
  </si>
  <si>
    <t xml:space="preserve">  value_data                : "^(Success|Success\ and\ Failure)$"</t>
  </si>
  <si>
    <t xml:space="preserve">  powershell_args           : "$r = auditpol /get /subcategory:'Security Group Management'; $line = $r | Where-Object { $_ -like '*Security Group Management*' } | Select-Object -Last 1; if ($line) { ($line -split '\s{2,}')[-1].Trim() } else { 'No Auditing' }"</t>
  </si>
  <si>
    <t xml:space="preserve">  description               : "1.0015 - MSWRK - Ensure Audit User Account Management is set to Success and Failure"</t>
  </si>
  <si>
    <t xml:space="preserve">  info                      : "This subcategory reports each event of user account management, such as when a user account is created, changed, or deleted; a user account is renamed, disabled, or enabled; or a password is set or changed."</t>
  </si>
  <si>
    <t xml:space="preserve">  powershell_args           : "$r = auditpol /get /subcategory:'User Account Management'; $line = $r | Where-Object { $_ -like '*User Account Management*' } | Select-Object -Last 1; if ($line) { ($line -split '\s{2,}')[-1].Trim() } else { 'No Auditing' }"</t>
  </si>
  <si>
    <t xml:space="preserve">  description               : "1.0016 - MSWRK - Ensure Audit PNP Activity is set to include Success"</t>
  </si>
  <si>
    <t xml:space="preserve">  info                      : "This policy setting allows you to audit when plug and play detects an external device."</t>
  </si>
  <si>
    <t xml:space="preserve">  powershell_args           : "$r = auditpol /get /subcategory:'Plug and Play Events'; $line = $r | Where-Object { $_ -like '*Plug and Play Events*' } | Select-Object -Last 1; if ($line) { ($line -split '\s{2,}')[-1].Trim() } else { 'No Auditing' }"</t>
  </si>
  <si>
    <t xml:space="preserve">  description               : "1.0017 - MSWRK - Ensure Audit Process Creation is set to include Success"</t>
  </si>
  <si>
    <t xml:space="preserve">  info                      : "This subcategory reports the creation of a process and the name of the program or user that created it."</t>
  </si>
  <si>
    <t xml:space="preserve">  powershell_args           : "$r = auditpol /get /subcategory:'Process Creation'; $line = $r | Where-Object { $_ -like '*Process Creation*' } | Select-Object -Last 1; if ($line) { ($line -split '\s{2,}')[-1].Trim() } else { 'No Auditing' }"</t>
  </si>
  <si>
    <t xml:space="preserve">  description               : "1.0018 - MSWRK - Ensure Audit Account Lockout is set to include Failure"</t>
  </si>
  <si>
    <t xml:space="preserve">  info                      : "This subcategory reports when a user's account is locked out as a result of too many failed logon attempts."</t>
  </si>
  <si>
    <t xml:space="preserve">  value_data                : "^(Failure|Success\ and\ Failure)$"</t>
  </si>
  <si>
    <t xml:space="preserve">  powershell_args           : "$r = auditpol /get /subcategory:'Account Lockout'; $line = $r | Where-Object { $_ -like '*Account Lockout*' } | Select-Object -Last 1; if ($line) { ($line -split '\s{2,}')[-1].Trim() } else { 'No Auditing' }"</t>
  </si>
  <si>
    <t xml:space="preserve">  description               : "1.0019 - MSWRK - Ensure Audit Group Membership is set to include Success"</t>
  </si>
  <si>
    <t xml:space="preserve">  info                      : "This policy allows you to audit the group membership information in the user's logon token."</t>
  </si>
  <si>
    <t xml:space="preserve">  powershell_args           : "$r = auditpol /get /subcategory:'Group Membership'; $line = $r | Where-Object { $_ -like '*Group Membership*' } | Select-Object -Last 1; if ($line) { ($line -split '\s{2,}')[-1].Trim() } else { 'No Auditing' }"</t>
  </si>
  <si>
    <t xml:space="preserve">  description               : "1.0020 - MSWRK - Ensure Audit Logoff is set to include Success"</t>
  </si>
  <si>
    <t xml:space="preserve">  info                      : "This subcategory reports when a user logs off from the system."</t>
  </si>
  <si>
    <t xml:space="preserve">  powershell_args           : "$r = auditpol /get /subcategory:'Logoff'; $line = $r | Where-Object { $_ -like '*Logoff*' } | Select-Object -Last 1; if ($line) { ($line -split '\s{2,}')[-1].Trim() } else { 'No Auditing' }"</t>
  </si>
  <si>
    <t xml:space="preserve">  description               : "1.0021 - MSWRK - Ensure Audit Logon is set to Success and Failure"</t>
  </si>
  <si>
    <t xml:space="preserve">  info                      : "This subcategory reports when a user attempts to log on to the system."</t>
  </si>
  <si>
    <t xml:space="preserve">  powershell_args           : "$r = auditpol /get /subcategory:'Logon'; $line = $r | Where-Object { $_ -like '*Logon*' } | Select-Object -Last 1; if ($line) { ($line -split '\s{2,}')[-1].Trim() } else { 'No Auditing' }"</t>
  </si>
  <si>
    <t xml:space="preserve">  description               : "1.0022 - MSWRK - Ensure Audit Other Logon/Logoff Events is set to Success and Failure"</t>
  </si>
  <si>
    <t xml:space="preserve">  info                      : "This subcategory reports other logon/logoff-related events, such as Remote Desktop Services session disconnects and reconnects, using RunAs to run processes under a different account, and locking and unlocking a workstation."</t>
  </si>
  <si>
    <t xml:space="preserve">  powershell_args           : "$r = auditpol /get /subcategory:'Other Logon/Logoff Events'; $line = $r | Where-Object { $_ -like '*Other Logon/Logoff Events*' } | Select-Object -Last 1; if ($line) { ($line -split '\s{2,}')[-1].Trim() } else { 'No Auditing' }"</t>
  </si>
  <si>
    <t xml:space="preserve">  description               : "1.0023 - MSWRK - Ensure Audit Special Logon is set to include Success"</t>
  </si>
  <si>
    <t xml:space="preserve">  info                      : "This subcategory reports when a special logon is used."</t>
  </si>
  <si>
    <t xml:space="preserve">  powershell_args           : "$r = auditpol /get /subcategory:'Special Logon'; $line = $r | Where-Object { $_ -like '*Special Logon*' } | Select-Object -Last 1; if ($line) { ($line -split '\s{2,}')[-1].Trim() } else { 'No Auditing' }"</t>
  </si>
  <si>
    <t xml:space="preserve">  description               : "1.0024 - MSWRK - Ensure Audit Detailed File Share is set to include Failure"</t>
  </si>
  <si>
    <t xml:space="preserve">  info                      : "This subcategory allows you to audit attempts to access files and folders on a shared folder."</t>
  </si>
  <si>
    <t xml:space="preserve">  powershell_args           : "$r = auditpol /get /subcategory:'Detailed File Share'; $line = $r | Where-Object { $_ -like '*Detailed File Share*' } | Select-Object -Last 1; if ($line) { ($line -split '\s{2,}')[-1].Trim() } else { 'No Auditing' }"</t>
  </si>
  <si>
    <t xml:space="preserve">  description               : "1.0025 - MSWRK - Ensure Audit File Share is set to Success and Failure"</t>
  </si>
  <si>
    <t xml:space="preserve">  info                      : "This policy setting allows you to audit attempts to access a shared folder."</t>
  </si>
  <si>
    <t xml:space="preserve">  powershell_args           : "$r = auditpol /get /subcategory:'File Share'; $line = $r | Where-Object { $_ -like '*File Share*' } | Select-Object -Last 1; if ($line) { ($line -split '\s{2,}')[-1].Trim() } else { 'No Auditing' }"</t>
  </si>
  <si>
    <t xml:space="preserve">  description               : "1.0026 - MSWRK - Ensure Audit Other Object Access Events is set to Success and Failure"</t>
  </si>
  <si>
    <t xml:space="preserve">  info                      : "This policy setting allows you to audit events generated by the management of task scheduler jobs or COM+ objects."</t>
  </si>
  <si>
    <t xml:space="preserve">  powershell_args           : "$r = auditpol /get /subcategory:'Other Object Access Events'; $line = $r | Where-Object { $_ -like '*Other Object Access Events*' } | Select-Object -Last 1; if ($line) { ($line -split '\s{2,}')[-1].Trim() } else { 'No Auditing' }"</t>
  </si>
  <si>
    <t xml:space="preserve">  description               : "1.0027 - MSWRK - Ensure Audit Removable Storage is set to Success and Failure"</t>
  </si>
  <si>
    <t xml:space="preserve">  info                      : "This policy setting allows you to audit user attempts to access file system objects on a removable storage device."</t>
  </si>
  <si>
    <t xml:space="preserve">  powershell_args           : "$r = auditpol /get /subcategory:'Removable Storage'; $line = $r | Where-Object { $_ -like '*Removable Storage*' } | Select-Object -Last 1; if ($line) { ($line -split '\s{2,}')[-1].Trim() } else { 'No Auditing' }"</t>
  </si>
  <si>
    <t xml:space="preserve">  description               : "1.0028 - MSWRK - Ensure Audit Audit Policy Change is set to include Success"</t>
  </si>
  <si>
    <t xml:space="preserve">  info                      : "This subcategory reports changes in audit policy including SACL changes."</t>
  </si>
  <si>
    <t xml:space="preserve">  powershell_args           : "$r = auditpol /get /subcategory:'Audit Policy Change'; $line = $r | Where-Object { $_ -like '*Audit Policy Change*' } | Select-Object -Last 1; if ($line) { ($line -split '\s{2,}')[-1].Trim() } else { 'No Auditing' }"</t>
  </si>
  <si>
    <t xml:space="preserve">  description               : "1.0029 - MSWRK - Ensure Audit Authentication Policy Change is set to include Success"</t>
  </si>
  <si>
    <t xml:space="preserve">  info                      : "This subcategory reports changes in authentication policy."</t>
  </si>
  <si>
    <t xml:space="preserve">  powershell_args           : "$r = auditpol /get /subcategory:'Authentication Policy Change'; $line = $r | Where-Object { $_ -like '*Authentication Policy Change*' } | Select-Object -Last 1; if ($line) { ($line -split '\s{2,}')[-1].Trim() } else { 'No Auditing' }"</t>
  </si>
  <si>
    <t xml:space="preserve">  description               : "1.0030 - MSWRK - Ensure Audit Authorization Policy Change is set to include Success"</t>
  </si>
  <si>
    <t xml:space="preserve">  info                      : "This subcategory reports changes in authorization policy."</t>
  </si>
  <si>
    <t xml:space="preserve">  powershell_args           : "$r = auditpol /get /subcategory:'Authorization Policy Change'; $line = $r | Where-Object { $_ -like '*Authorization Policy Change*' } | Select-Object -Last 1; if ($line) { ($line -split '\s{2,}')[-1].Trim() } else { 'No Auditing' }"</t>
  </si>
  <si>
    <t xml:space="preserve">  description               : "1.0031 - MSWRK - Ensure Audit MPSSVC Rule-Level Policy Change is set to Success and Failure"</t>
  </si>
  <si>
    <t xml:space="preserve">  info                      : "This subcategory determines whether the operating system generates audit events when changes are made to policy rules for the Microsoft Protection Service (MPSSVC."</t>
  </si>
  <si>
    <t xml:space="preserve">  powershell_args           : "$r = auditpol /get /subcategory:'MPSSVC Rule-Level Policy Change'; $line = $r | Where-Object { $_ -like '*MPSSVC Rule-Level Policy Change*' } | Select-Object -Last 1; if ($line) { ($line -split '\s{2,}')[-1].Trim() } else { 'No Auditing' }"</t>
  </si>
  <si>
    <t xml:space="preserve">  description               : "1.0032 - MSWRK - Ensure Audit Other Policy Change Events is set to include Failure"</t>
  </si>
  <si>
    <t xml:space="preserve">  info                      : "This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t>
  </si>
  <si>
    <t xml:space="preserve">  powershell_args           : "$r = auditpol /get /subcategory:'Other Policy Change Events'; $line = $r | Where-Object { $_ -like '*Other Policy Change Events*' } | Select-Object -Last 1; if ($line) { ($line -split '\s{2,}')[-1].Trim() } else { 'No Auditing' }"</t>
  </si>
  <si>
    <t xml:space="preserve">  description               : "1.0033 - MSWRK - Ensure Audit Sensitive Privilege Use is set to Success"</t>
  </si>
  <si>
    <t xml:space="preserve">  info                      : "This subcategory reports when a user account or service uses a sensitive privilege."</t>
  </si>
  <si>
    <t xml:space="preserve">  powershell_args           : "$r = auditpol /get /subcategory:'Sensitive Privilege Use'; $line = $r | Where-Object { $_ -like '*Sensitive Privilege Use*' } | Select-Object -Last 1; if ($line) { ($line -split '\s{2,}')[-1].Trim() } else { 'No Auditing' }"</t>
  </si>
  <si>
    <t xml:space="preserve">  description               : "1.0034 - MSWRK - Ensure Audit IPsec Driver is set to Success and Failure"</t>
  </si>
  <si>
    <t xml:space="preserve">  info                      : "This subcategory reports on the activities of the Internet Protocol security (IPsec) driver."</t>
  </si>
  <si>
    <t xml:space="preserve">  powershell_args           : "$r = auditpol /get /subcategory:'IPsec Driver'; $line = $r | Where-Object { $_ -like '*IPsec Driver*' } | Select-Object -Last 1; if ($line) { ($line -split '\s{2,}')[-1].Trim() } else { 'No Auditing' }"</t>
  </si>
  <si>
    <t xml:space="preserve">  description               : "1.0035 - MSWRK - Ensure Audit Other System Events is set to Success and Failure"</t>
  </si>
  <si>
    <t xml:space="preserve">  info                      : "This subcategory reports on other system events."</t>
  </si>
  <si>
    <t xml:space="preserve">  powershell_args           : "$r = auditpol /get /subcategory:'Other System Events'; $line = $r | Where-Object { $_ -like '*Other System Events*' } | Select-Object -Last 1; if ($line) { ($line -split '\s{2,}')[-1].Trim() } else { 'No Auditing' }"</t>
  </si>
  <si>
    <t xml:space="preserve">  description               : "1.0036 - MSWRK - Ensure Audit Security State Change is set to include Success"</t>
  </si>
  <si>
    <t xml:space="preserve">  info                      : "This subcategory reports changes in security state of the system, such as when the security subsystem starts and stops."</t>
  </si>
  <si>
    <t xml:space="preserve">  powershell_args           : "$r = auditpol /get /subcategory:'Security State Change'; $line = $r | Where-Object { $_ -like '*Security State Change*' } | Select-Object -Last 1; if ($line) { ($line -split '\s{2,}')[-1].Trim() } else { 'No Auditing' }"</t>
  </si>
  <si>
    <t xml:space="preserve">  description               : "1.0037 - MSWRK - Ensure Audit Security System Extension is set to include Success"</t>
  </si>
  <si>
    <t xml:space="preserve">  info                      : "This subcategory reports the loading of extension code such as authentication packages by the security subsystem."</t>
  </si>
  <si>
    <t xml:space="preserve">  powershell_args           : "$r = auditpol /get /subcategory:'Security System Extension'; $line = $r | Where-Object { $_ -like '*Security System Extension*' } | Select-Object -Last 1; if ($line) { ($line -split '\s{2,}')[-1].Trim() } else { 'No Auditing' }"</t>
  </si>
  <si>
    <t xml:space="preserve">  description               : "1.0038 - MSWRK - Ensure Audit System Integrity is set to Success and Failure"</t>
  </si>
  <si>
    <t xml:space="preserve">  info                      : "This subcategory reports on violations of integrity of the security subsystem."</t>
  </si>
  <si>
    <t xml:space="preserve">  powershell_args           : "$r = auditpol /get /subcategory:'System Integrity'; $line = $r | Where-Object { $_ -like '*System Integrity*' } | Select-Object -Last 1; if ($line) { ($line -split '\s{2,}')[-1].Trim() } else { 'No Auditing' }"</t>
  </si>
  <si>
    <t xml:space="preserve">  description               : "1.0039 - MSWRK - Ensure Allow access to BitLocker-protected fixed data drives from earlier versions of Windows is set to Disabled"</t>
  </si>
  <si>
    <t xml:space="preserve">  info                      : "This policy setting configures whether or not fixed data drives formatted with the FAT file system can be unlocked and viewed on computers running Windows Server 2008 (non-R2), Windows Vista, Windows XP with Service Pack 3 (SP3), or Windows XP with Service Pack 2 (SP2) operating systems."</t>
  </si>
  <si>
    <t xml:space="preserve">  reference                 : "NIST 800-53r5|AC-19(5)"</t>
  </si>
  <si>
    <t xml:space="preserve">  value_data                : "NOT_EXISTS"</t>
  </si>
  <si>
    <t xml:space="preserve">  powershell_args           : "$p = Get-ItemProperty -Path 'Registry::HKEY_LOCAL_MACHINE\Software\Policies\Microsoft\FVE' -ErrorAction SilentlyContinue; if ($p -eq $null -or $p.PSObject.Properties['FDVDiscoveryVolumeType'] -eq $null) { 'NOT_EXISTS' } else { 'EXISTS' }"</t>
  </si>
  <si>
    <t xml:space="preserve">  description               : "1.0040 - MSWRK - Ensure Configure use of hardware-based encryption for fixed data drives is set to Disabled"</t>
  </si>
  <si>
    <t xml:space="preserve">  info                      : "This policy setting allows you to manage BitLocker's use of hardware-based encryption on fixed data drives and specify which encryption algorithms it can use with hardware-based encryption."</t>
  </si>
  <si>
    <t xml:space="preserve">  value_data                : "0"</t>
  </si>
  <si>
    <t xml:space="preserve">  powershell_args           : "$p = Get-ItemProperty -Path 'Registry::HKEY_LOCAL_MACHINE\Software\Policies\Microsoft\FVE' -ErrorAction SilentlyContinue; $val = if ($p -and $p.PSObject.Properties['FDVHardwareEncryption'] -ne $null) { [int]$p.'FDVHardwareEncryption' } else { 0 }; [string]$val"</t>
  </si>
  <si>
    <t xml:space="preserve">  description               : "1.0041 - MSWRK - Ensure Configure use of passwords for fixed data drives is set to Disabled"</t>
  </si>
  <si>
    <t xml:space="preserve">  info                      : "This policy setting specifies whether a password is required to unlock BitLocker-protected fixed data drives."</t>
  </si>
  <si>
    <t xml:space="preserve">  powershell_args           : "$p = Get-ItemProperty -Path 'Registry::HKEY_LOCAL_MACHINE\Software\Policies\Microsoft\FVE' -ErrorAction SilentlyContinue; $val = if ($p -and $p.PSObject.Properties['FDVPassphrase'] -ne $null) { [int]$p.'FDVPassphrase' } else { 0 }; [string]$val"</t>
  </si>
  <si>
    <t xml:space="preserve">  description               : "1.0042 - MSWRK - Ensure Configure use of smart cards on fixed data drives is set to Enabled"</t>
  </si>
  <si>
    <t xml:space="preserve">  info                      : "This policy setting allows you to specify whether smart cards can be used to authenticate user access to the BitLocker-protected fixed data drives on a computer."</t>
  </si>
  <si>
    <t xml:space="preserve">  reference                 : "NIST 800-53r5|IA-2(1) IA-2(2) SC-28(1)"</t>
  </si>
  <si>
    <t xml:space="preserve">  powershell_args           : "$p = Get-ItemProperty -Path 'Registry::HKEY_LOCAL_MACHINE\Software\Policies\Microsoft\FVE' -ErrorAction SilentlyContinue; $val = if ($p -and $p.PSObject.Properties['FDVAllowUserCert'] -ne $null) { [int]$p.'FDVAllowUserCert' } else { 0 }; [string]$val"</t>
  </si>
  <si>
    <t xml:space="preserve">  description               : "1.0043 - MSWRK - Ensure Configure use of smart cards on fixed data drives: Require use of smart cards on fixed data drives is set to Enabled: True"</t>
  </si>
  <si>
    <t xml:space="preserve">  info                      : "This policy setting allows you to specify whether smart cards must be used to authenticate user access to the BitLocker-protected fixed data drives on a computer."</t>
  </si>
  <si>
    <t xml:space="preserve">  powershell_args           : "$p = Get-ItemProperty -Path 'Registry::HKEY_LOCAL_MACHINE\Software\Policies\Microsoft\FVE' -ErrorAction SilentlyContinue; $val = if ($p -and $p.PSObject.Properties['FDVEnforceUserCert'] -ne $null) { [int]$p.'FDVEnforceUserCert' } else { 0 }; [string]$val"</t>
  </si>
  <si>
    <t xml:space="preserve">  description               : "1.0044 - MSWRK - Ensure Choose how BitLocker-protected fixed drives can be recovered is set to Enabled"</t>
  </si>
  <si>
    <t xml:space="preserve">  info                      : "This policy setting allows you to control how BitLocker-protected fixed data drives are recovered in the absence of the required credentials."</t>
  </si>
  <si>
    <t xml:space="preserve">  reference                 : "NIST 800-53r5|SC-28"</t>
  </si>
  <si>
    <t xml:space="preserve">  powershell_args           : "$p = Get-ItemProperty -Path 'Registry::HKEY_LOCAL_MACHINE\SOFTWARE\Policies\Microsoft\FVE' -ErrorAction SilentlyContinue; $val = if ($p -and $p.PSObject.Properties['FDVRecovery'] -ne $null) { [int]$p.'FDVRecovery' } else { 0 }; [string]$val"</t>
  </si>
  <si>
    <t xml:space="preserve">  description               : "1.0045 - MSWRK - Ensure Choose how BitLocker-protected fixed drives can be recovered: Allow data recovery agent is set to Enabled: True"</t>
  </si>
  <si>
    <t xml:space="preserve">  powershell_args           : "$p = Get-ItemProperty -Path 'Registry::HKEY_LOCAL_MACHINE\Software\Policies\Microsoft\FVE' -ErrorAction SilentlyContinue; $val = if ($p -and $p.PSObject.Properties['FDVManageDRA'] -ne $null) { [int]$p.'FDVManageDRA' } else { 0 }; [string]$val"</t>
  </si>
  <si>
    <t xml:space="preserve">  description               : "1.0046 - MSWRK - Ensure Choose how BitLocker-protected fixed drives can be recovered: Recovery Password is set to Enabled: Allow 48-digit recovery password or higher"</t>
  </si>
  <si>
    <t xml:space="preserve">  value_data                : "2" || "1"</t>
  </si>
  <si>
    <t xml:space="preserve">  powershell_args           : "$p = Get-ItemProperty -Path 'Registry::HKEY_LOCAL_MACHINE\Software\Policies\Microsoft\FVE' -ErrorAction SilentlyContinue; $val = if ($p -and $p.PSObject.Properties['FDVRecoveryPassword'] -ne $null) { [int]$p.'FDVRecoveryPassword' } else { 0 }; [string]$val"</t>
  </si>
  <si>
    <t xml:space="preserve">  description               : "1.0047 - MSWRK - Ensure Choose how BitLocker-protected fixed drives can be recovered: Recovery Key is set to Enabled: Allow 256-bit recovery key or higher"</t>
  </si>
  <si>
    <t xml:space="preserve">  powershell_args           : "$p = Get-ItemProperty -Path 'Registry::HKEY_LOCAL_MACHINE\Software\Policies\Microsoft\FVE' -ErrorAction SilentlyContinue; $val = if ($p -and $p.PSObject.Properties['FDVRecoveryKey'] -ne $null) { [int]$p.'FDVRecoveryKey' } else { 0 }; [string]$val"</t>
  </si>
  <si>
    <t xml:space="preserve">  description               : "1.0048 - MSWRK - Ensure Choose how BitLocker-protected fixed drives can be recovered: Omit recovery options from the BitLocker setup wizard is set to Enabled: True"</t>
  </si>
  <si>
    <t xml:space="preserve">  powershell_args           : "$p = Get-ItemProperty -Path 'Registry::HKEY_LOCAL_MACHINE\Software\Policies\Microsoft\FVE' -ErrorAction SilentlyContinue; $val = if ($p -and $p.PSObject.Properties['FDVHideRecoveryPage'] -ne $null) { [int]$p.'FDVHideRecoveryPage' } else { 0 }; [string]$val"</t>
  </si>
  <si>
    <t xml:space="preserve">  description               : "1.0049 - MSWRK - Ensure Choose how BitLocker-protected fixed drives can be recovered: Save BitLocker recovery information to AD DS for fixed data drives is set to Enabled: False"</t>
  </si>
  <si>
    <t xml:space="preserve">  powershell_args           : "$p = Get-ItemProperty -Path 'Registry::HKEY_LOCAL_MACHINE\Software\Policies\Microsoft\FVE' -ErrorAction SilentlyContinue; $val = if ($p -and $p.PSObject.Properties['FDVActiveDirectoryBackup'] -ne $null) { [int]$p.'FDVActiveDirectoryBackup' } else { 0 }; [string]$val"</t>
  </si>
  <si>
    <t xml:space="preserve">  description               : "1.0050 - MSWRK - Ensure Choose how BitLocker-protected fixed drives can be recovered: Configure storage of BitLocker recovery information to AD DS is set to Enabled: Backup recovery passwords and key packages"</t>
  </si>
  <si>
    <t xml:space="preserve">  powershell_args           : "$p = Get-ItemProperty -Path 'Registry::HKEY_LOCAL_MACHINE\Software\Policies\Microsoft\FVE' -ErrorAction SilentlyContinue; $val = if ($p -and $p.PSObject.Properties['FDVActiveDirectoryInfoToStore'] -ne $null) { [int]$p.'FDVActiveDirectoryInfoToStore' } else { 0 }; [string]$val"</t>
  </si>
  <si>
    <t xml:space="preserve">  description               : "1.0051 - MSWRK - Ensure Choose how BitLocker-protected fixed drives can be recovered: Do not enable BitLocker until recovery information is stored to AD DS for fixed data drives is set to Enabled: False"</t>
  </si>
  <si>
    <t xml:space="preserve">  powershell_args           : "$p = Get-ItemProperty -Path 'Registry::HKEY_LOCAL_MACHINE\Software\Policies\Microsoft\FVE' -ErrorAction SilentlyContinue; $val = if ($p -and $p.PSObject.Properties['FDVRequireActiveDirectoryBackup'] -ne $null) { [int]$p.'FDVRequireActiveDirectoryBackup' } else { 0 }; [string]$val"</t>
  </si>
  <si>
    <t xml:space="preserve">  description               : "1.0052 - MSWRK - Ensure Allow enhanced PINs for startup is set to Enabled"</t>
  </si>
  <si>
    <t xml:space="preserve">  info                      : "This policy setting allows you to configure whether or not enhanced startup PINs are used with BitLocker."</t>
  </si>
  <si>
    <t xml:space="preserve">  powershell_args           : "$p = Get-ItemProperty -Path 'Registry::HKEY_LOCAL_MACHINE\Software\Policies\Microsoft\FVE' -ErrorAction SilentlyContinue; $val = if ($p -and $p.PSObject.Properties['UseEnhancedPin'] -ne $null) { [int]$p.'UseEnhancedPin' } else { 0 }; [string]$val"</t>
  </si>
  <si>
    <t xml:space="preserve">  description               : "1.0053 - MSWRK - Ensure Choose how BitLocker-protected operating system drives can be recovered: Do not enable BitLocker until recovery information is stored to AD DS for operating system drives is set to Enabled: True"</t>
  </si>
  <si>
    <t xml:space="preserve">  info                      : "This policy setting allows you to control how BitLocker-protected operating system drives are recovered in the absence of the required startup key information."</t>
  </si>
  <si>
    <t xml:space="preserve">  powershell_args           : "$p = Get-ItemProperty -Path 'Registry::HKEY_LOCAL_MACHINE\Software\Policies\Microsoft\FVE' -ErrorAction SilentlyContinue; $val = if ($p -and $p.PSObject.Properties['OSRequireActiveDirectoryBackup'] -ne $null) { [int]$p.'OSRequireActiveDirectoryBackup' } else { 0 }; [string]$val"</t>
  </si>
  <si>
    <t xml:space="preserve">  description               : "1.0054 - MSWRK - Ensure Configure use of hardware-based encryption for operating system drives is set to Disabled"</t>
  </si>
  <si>
    <t xml:space="preserve">  info                      : "This policy setting allows you to manage BitLocker's use of hardware-based encryption on operating system drives and specify which encryption algorithms it can use with hardware-based encryption."</t>
  </si>
  <si>
    <t xml:space="preserve">  powershell_args           : "$p = Get-ItemProperty -Path 'Registry::HKEY_LOCAL_MACHINE\Software\Policies\Microsoft\FVE' -ErrorAction SilentlyContinue; $val = if ($p -and $p.PSObject.Properties['OSHardwareEncryption'] -ne $null) { [int]$p.'OSHardwareEncryption' } else { 0 }; [string]$val"</t>
  </si>
  <si>
    <t xml:space="preserve">  description               : "1.0055 - MSWRK - Ensure Allow Secure Boot for integrity validation is set to Enabled"</t>
  </si>
  <si>
    <t xml:space="preserve">  info                      : "This policy setting allows you to configure whether Secure Boot will be allowed as the platform integrity provider for BitLocker operating system drives."</t>
  </si>
  <si>
    <t xml:space="preserve">  reference                 : "NIST 800-53r5|SI-16"</t>
  </si>
  <si>
    <t xml:space="preserve">  powershell_args           : "$p = Get-ItemProperty -Path 'Registry::HKEY_LOCAL_MACHINE\Software\Policies\Microsoft\FVE' -ErrorAction SilentlyContinue; $val = if ($p -and $p.PSObject.Properties['OSAllowSecureBootForIntegrity'] -ne $null) { [int]$p.'OSAllowSecureBootForIntegrity' } else { 0 }; [string]$val"</t>
  </si>
  <si>
    <t xml:space="preserve">  description               : "1.0056 - MSWRK - Ensure Choose how BitLocker-protected operating system drives can be recovered is set to Enabled"</t>
  </si>
  <si>
    <t xml:space="preserve">  powershell_args           : "$p = Get-ItemProperty -Path 'Registry::HKEY_LOCAL_MACHINE\Software\Policies\Microsoft\FVE' -ErrorAction SilentlyContinue; $val = if ($p -and $p.PSObject.Properties['OSRecovery'] -ne $null) { [int]$p.'OSRecovery' } else { 0 }; [string]$val"</t>
  </si>
  <si>
    <t xml:space="preserve">  description               : "1.0057 - MSWRK - Ensure Choose how BitLocker-protected operating system drives can be recovered: Allow data recovery agent is set to Enabled: False"</t>
  </si>
  <si>
    <t xml:space="preserve">  powershell_args           : "$p = Get-ItemProperty -Path 'Registry::HKEY_LOCAL_MACHINE\Software\Policies\Microsoft\FVE' -ErrorAction SilentlyContinue; $val = if ($p -and $p.PSObject.Properties['OSManageDRA'] -ne $null) { [int]$p.'OSManageDRA' } else { 0 }; [string]$val"</t>
  </si>
  <si>
    <t xml:space="preserve">  description               : "1.0058 - MSWRK - Ensure Choose how BitLocker-protected operating system drives can be recovered: Recovery Password is set to Enabled: Require 48-digit recovery password"</t>
  </si>
  <si>
    <t xml:space="preserve">  powershell_args           : "$p = Get-ItemProperty -Path 'Registry::HKEY_LOCAL_MACHINE\Software\Policies\Microsoft\FVE' -ErrorAction SilentlyContinue; $val = if ($p -and $p.PSObject.Properties['OSRecoveryPassword'] -ne $null) { [int]$p.'OSRecoveryPassword' } else { 0 }; [string]$val"</t>
  </si>
  <si>
    <t xml:space="preserve">  description               : "1.0059 - MSWRK - Ensure Choose how BitLocker-protected operating system drives can be recovered: Recovery Key is set to Enabled: Do not allow 256-bit recovery key"</t>
  </si>
  <si>
    <t xml:space="preserve">  powershell_args           : "$p = Get-ItemProperty -Path 'Registry::HKEY_LOCAL_MACHINE\Software\Policies\Microsoft\FVE' -ErrorAction SilentlyContinue; $val = if ($p -and $p.PSObject.Properties['OSRecoveryKey'] -ne $null) { [int]$p.'OSRecoveryKey' } else { 0 }; [string]$val"</t>
  </si>
  <si>
    <t xml:space="preserve">  description               : "1.0060 - MSWRK - Ensure Choose how BitLocker-protected operating system drives can be recovered: Omit recovery options from the BitLocker setup wizard is set to Enabled: True"</t>
  </si>
  <si>
    <t xml:space="preserve">  powershell_args           : "$p = Get-ItemProperty -Path 'Registry::HKEY_LOCAL_MACHINE\Software\Policies\Microsoft\FVE' -ErrorAction SilentlyContinue; $val = if ($p -and $p.PSObject.Properties['OSHideRecoveryPage'] -ne $null) { [int]$p.'OSHideRecoveryPage' } else { 0 }; [string]$val"</t>
  </si>
  <si>
    <t xml:space="preserve">  description               : "1.0061 - MSWRK - Ensure Choose how BitLocker-protected operating system drives can be recovered: Save BitLocker recovery information to AD DS for operating system drives is set to Enabled: True"</t>
  </si>
  <si>
    <t xml:space="preserve">  powershell_args           : "$p = Get-ItemProperty -Path 'Registry::HKEY_LOCAL_MACHINE\Software\Policies\Microsoft\FVE' -ErrorAction SilentlyContinue; $val = if ($p -and $p.PSObject.Properties['OSActiveDirectoryBackup'] -ne $null) { [int]$p.'OSActiveDirectoryBackup' } else { 0 }; [string]$val"</t>
  </si>
  <si>
    <t xml:space="preserve">  description               : "1.0062 - MSWRK - Ensure Choose how BitLocker-protected operating system drives can be recovered: Configure storage of BitLocker recovery information to AD DS: is set to Enabled: Store recovery passwords and key packages"</t>
  </si>
  <si>
    <t xml:space="preserve">  powershell_args           : "$p = Get-ItemProperty -Path 'Registry::HKEY_LOCAL_MACHINE\Software\Policies\Microsoft\FVE' -ErrorAction SilentlyContinue; $val = if ($p -and $p.PSObject.Properties['OSActiveDirectoryInfoToStore'] -ne $null) { [int]$p.'OSActiveDirectoryInfoToStore' } else { 0 }; [string]$val"</t>
  </si>
  <si>
    <t xml:space="preserve">  description               : "1.0063 - MSWRK - Ensure Allow access to BitLocker-protected removable data drives from earlier versions of Windows is set to Disabled"</t>
  </si>
  <si>
    <t xml:space="preserve">  info                      : "This policy setting configures whether or not removable data drives formatted with the FAT file system can be unlocked and viewed on computers running Windows Server 2008 (non-R2), Windows Vista, Windows XP with Service Pack 3 (SP3), or Windows XP with Service Pack 2 (SP2) operating systems."</t>
  </si>
  <si>
    <t xml:space="preserve">  powershell_args           : "$p = Get-ItemProperty -Path 'Registry::HKEY_LOCAL_MACHINE\Software\Policies\Microsoft\FVE' -ErrorAction SilentlyContinue; if ($p -eq $null -or $p.PSObject.Properties['RDVDiscoveryVolumeType'] -eq $null) { 'NOT_EXISTS' } else { 'EXISTS' }"</t>
  </si>
  <si>
    <t xml:space="preserve">  description               : "1.0064 - MSWRK - Ensure Configure use of hardware-based encryption for removable data drives is set to Disabled"</t>
  </si>
  <si>
    <t xml:space="preserve">  info                      : "This policy setting allows you to manage BitLocker's use of hardware-based encryption on removable data drives and specify which encryption algorithms it can use with hardware-based encryption."</t>
  </si>
  <si>
    <t xml:space="preserve">  powershell_args           : "$p = Get-ItemProperty -Path 'Registry::HKEY_LOCAL_MACHINE\Software\Policies\Microsoft\FVE' -ErrorAction SilentlyContinue; $val = if ($p -and $p.PSObject.Properties['RDVHardwareEncryption'] -ne $null) { [int]$p.'RDVHardwareEncryption' } else { 0 }; [string]$val"</t>
  </si>
  <si>
    <t xml:space="preserve">  description               : "1.0065 - MSWRK - Ensure Configure use of passwords for removable data drives is set to Disabled"</t>
  </si>
  <si>
    <t xml:space="preserve">  info                      : "This policy setting allows you to specify whether a password is required to unlock BitLocker-protected removable data drives."</t>
  </si>
  <si>
    <t xml:space="preserve">  powershell_args           : "$p = Get-ItemProperty -Path 'Registry::HKEY_LOCAL_MACHINE\Software\Policies\Microsoft\FVE' -ErrorAction SilentlyContinue; $val = if ($p -and $p.PSObject.Properties['RDVPassphrase'] -ne $null) { [int]$p.'RDVPassphrase' } else { 0 }; [string]$val"</t>
  </si>
  <si>
    <t xml:space="preserve">  description               : "1.0066 - MSWRK - Ensure Configure use of smart cards on removable data drives is set to Enabled"</t>
  </si>
  <si>
    <t xml:space="preserve">  info                      : "This policy setting specifies whether smart cards can be used to authenticate user access to BitLocker-protected removable data drives on a computer."</t>
  </si>
  <si>
    <t xml:space="preserve">  powershell_args           : "$p = Get-ItemProperty -Path 'Registry::HKEY_LOCAL_MACHINE\Software\Policies\Microsoft\FVE' -ErrorAction SilentlyContinue; $val = if ($p -and $p.PSObject.Properties['RDVAllowUserCert'] -ne $null) { [int]$p.'RDVAllowUserCert' } else { 0 }; [string]$val"</t>
  </si>
  <si>
    <t xml:space="preserve">  description               : "1.0067 - MSWRK - Ensure Configure use of smart cards on removable data drives: Require use of smart cards on removable data drives is set to Enabled: True"</t>
  </si>
  <si>
    <t xml:space="preserve">  info                      : "This policy setting specifies whether smart cards must be used to authenticate user access to BitLocker-protected removable data drives on a computer."</t>
  </si>
  <si>
    <t xml:space="preserve">  powershell_args           : "$p = Get-ItemProperty -Path 'Registry::HKEY_LOCAL_MACHINE\Software\Policies\Microsoft\FVE' -ErrorAction SilentlyContinue; $val = if ($p -and $p.PSObject.Properties['RDVEnforceUserCert'] -ne $null) { [int]$p.'RDVEnforceUserCert' } else { 0 }; [string]$val"</t>
  </si>
  <si>
    <t xml:space="preserve">  description               : "1.0068 - MSWRK - Ensure Deny write access to removable drives not protected by BitLocker is set to Enabled"</t>
  </si>
  <si>
    <t xml:space="preserve">  info                      : "This policy setting configures whether BitLocker protection is required for a computer to be able to write data to a removable data drive."</t>
  </si>
  <si>
    <t xml:space="preserve">  reference                 : "NIST 800-53r5|MP-7"</t>
  </si>
  <si>
    <t xml:space="preserve">  powershell_args           : "$p = Get-ItemProperty -Path 'Registry::HKEY_LOCAL_MACHINE\System\CurrentControlSet\Policies\Microsoft\FVE' -ErrorAction SilentlyContinue; $val = if ($p -and $p.PSObject.Properties['RDVDenyWriteAccess'] -ne $null) { [int]$p.'RDVDenyWriteAccess' } else { 0 }; [string]$val"</t>
  </si>
  <si>
    <t xml:space="preserve">  description               : "1.0069 - MSWRK - Ensure Deny write access to removable drives not protected by BitLocker: Do not allow write access to devices configured in another organization is set to Enabled: False"</t>
  </si>
  <si>
    <t xml:space="preserve">  info                      : "This policy setting configures whether the computer will be able to write data to BitLocker-protected removable drives that were configured in another organization."</t>
  </si>
  <si>
    <t xml:space="preserve">  powershell_args           : "$p = Get-ItemProperty -Path 'Registry::HKEY_LOCAL_MACHINE\Software\Policies\Microsoft\FVE' -ErrorAction SilentlyContinue; $val = if ($p -and $p.PSObject.Properties['RDVDenyCrossOrg'] -ne $null) { [int]$p.'RDVDenyCrossOrg' } else { 0 }; [string]$val"</t>
  </si>
  <si>
    <t xml:space="preserve">  description               : "1.0070 - MSWRK - Ensure Choose how BitLocker-protected removable drives can be recovered is set to Enabled"</t>
  </si>
  <si>
    <t xml:space="preserve">  info                      : "This policy setting allows you to control how BitLocker-protected removable data drives are recovered in the absence of the required credentials."</t>
  </si>
  <si>
    <t xml:space="preserve">  powershell_args           : "$p = Get-ItemProperty -Path 'Registry::HKEY_LOCAL_MACHINE\Software\Policies\Microsoft\FVE' -ErrorAction SilentlyContinue; $val = if ($p -and $p.PSObject.Properties['RDVRecovery'] -ne $null) { [int]$p.'RDVRecovery' } else { 0 }; [string]$val"</t>
  </si>
  <si>
    <t xml:space="preserve">  description               : "1.0071 - MSWRK - Ensure Choose how BitLocker-protected removable drives can be recovered: Allow data recovery agent is set to Enabled: True"</t>
  </si>
  <si>
    <t xml:space="preserve">  powershell_args           : "$p = Get-ItemProperty -Path 'Registry::HKEY_LOCAL_MACHINE\Software\Policies\Microsoft\FVE' -ErrorAction SilentlyContinue; $val = if ($p -and $p.PSObject.Properties['RDVManageDRA'] -ne $null) { [int]$p.'RDVManageDRA' } else { 0 }; [string]$val"</t>
  </si>
  <si>
    <t xml:space="preserve">  description               : "1.0072 - MSWRK - Ensure Choose how BitLocker-protected removable drives can be recovered: Recovery Password is set to Enabled: Do not allow 48-digit recovery password"</t>
  </si>
  <si>
    <t xml:space="preserve">  powershell_args           : "$p = Get-ItemProperty -Path 'Registry::HKEY_LOCAL_MACHINE\Software\Policies\Microsoft\FVE' -ErrorAction SilentlyContinue; $val = if ($p -and $p.PSObject.Properties['RDVRecoveryPassword'] -ne $null) { [int]$p.'RDVRecoveryPassword' } else { 0 }; [string]$val"</t>
  </si>
  <si>
    <t xml:space="preserve">  description               : "1.0073 - MSWRK - Ensure Choose how BitLocker-protected removable drives can be recovered: Recovery Key is set to Enabled: Do not allow 256-bit recovery key"</t>
  </si>
  <si>
    <t xml:space="preserve">  powershell_args           : "$p = Get-ItemProperty -Path 'Registry::HKEY_LOCAL_MACHINE\Software\Policies\Microsoft\FVE' -ErrorAction SilentlyContinue; $val = if ($p -and $p.PSObject.Properties['RDVRecoveryKey'] -ne $null) { [int]$p.'RDVRecoveryKey' } else { 0 }; [string]$val"</t>
  </si>
  <si>
    <t xml:space="preserve">  description               : "1.0074 - MSWRK - Ensure Choose how BitLocker-protected removable drives can be recovered: Omit recovery options from the BitLocker setup wizard is set to Enabled: True"</t>
  </si>
  <si>
    <t xml:space="preserve">  powershell_args           : "$p = Get-ItemProperty -Path 'Registry::HKEY_LOCAL_MACHINE\Software\Policies\Microsoft\FVE' -ErrorAction SilentlyContinue; $val = if ($p -and $p.PSObject.Properties['RDVHideRecoveryPage'] -ne $null) { [int]$p.'RDVHideRecoveryPage' } else { 0 }; [string]$val"</t>
  </si>
  <si>
    <t xml:space="preserve">  description               : "1.0075 - MSWRK - Ensure Choose how BitLocker-protected removable drives can be recovered: Save BitLocker recovery information to AD DS for removable data drives is set to Enabled: False"</t>
  </si>
  <si>
    <t xml:space="preserve">  powershell_args           : "$p = Get-ItemProperty -Path 'Registry::HKEY_LOCAL_MACHINE\Software\Policies\Microsoft\FVE' -ErrorAction SilentlyContinue; $val = if ($p -and $p.PSObject.Properties['RDVActiveDirectoryBackup'] -ne $null) { [int]$p.'RDVActiveDirectoryBackup' } else { 0 }; [string]$val"</t>
  </si>
  <si>
    <t xml:space="preserve">  description               : "1.0076 - MSWRK - Ensure Choose how BitLocker-protected removable drives can be recovered: Configure storage of BitLocker recovery information to AD DS: is set to Enabled: Backup recovery passwords and key packages"</t>
  </si>
  <si>
    <t xml:space="preserve">  powershell_args           : "$p = Get-ItemProperty -Path 'Registry::HKEY_LOCAL_MACHINE\Software\Policies\Microsoft\FVE' -ErrorAction SilentlyContinue; $val = if ($p -and $p.PSObject.Properties['RDVActiveDirectoryInfoToStore'] -ne $null) { [int]$p.'RDVActiveDirectoryInfoToStore' } else { 0 }; [string]$val"</t>
  </si>
  <si>
    <t xml:space="preserve">  description               : "1.0077 - MSWRK - Ensure Choose how BitLocker-protected removable drives can be recovered: Do not enable BitLocker until recovery information is stored to AD DS for removable data drives is set to Enabled: False"</t>
  </si>
  <si>
    <t xml:space="preserve">  powershell_args           : "$p = Get-ItemProperty -Path 'Registry::HKEY_LOCAL_MACHINE\Software\Policies\Microsoft\FVE' -ErrorAction SilentlyContinue; $val = if ($p -and $p.PSObject.Properties['RDVRequireActiveDirectoryBackup'] -ne $null) { [int]$p.'RDVRequireActiveDirectoryBackup' } else { 0 }; [string]$val"</t>
  </si>
  <si>
    <t xml:space="preserve">  description               : "1.0078 - MSWRK - Ensure Turn off cloud consumer account state content is set to Enabled"</t>
  </si>
  <si>
    <t xml:space="preserve">  info                      : "This policy setting determines whether cloud consumer account state content is allowed in all Windows experiences."</t>
  </si>
  <si>
    <t xml:space="preserve">  reference                 : "NIST 800-53r5|AC-2(1)"</t>
  </si>
  <si>
    <t xml:space="preserve">  powershell_args           : "$p = Get-ItemProperty -Path 'Registry::HKEY_LOCAL_MACHINE\Software\Policies\Microsoft\Windows\CloudContent' -ErrorAction SilentlyContinue; $val = if ($p -and $p.PSObject.Properties['DisableConsumerAccountStateContent'] -ne $null) { [int]$p.'DisableConsumerAccountStateContent' } else { 0 }; [string]$val"</t>
  </si>
  <si>
    <t xml:space="preserve">  description               : "1.0079 - MSWRK - Ensure Turn off Microsoft consumer experiences is set to Enabled"</t>
  </si>
  <si>
    <t xml:space="preserve">  info                      : "This policy setting turns off experiences that help consumers make the most of their devices and Microsoft account."</t>
  </si>
  <si>
    <t xml:space="preserve">  reference                 : "NIST 800-53r5|CM-6 CM-7"</t>
  </si>
  <si>
    <t xml:space="preserve">  powershell_args           : "$p = Get-ItemProperty -Path 'Registry::HKEY_LOCAL_MACHINE\Software\Policies\Microsoft\Windows\CloudContent' -ErrorAction SilentlyContinue; $val = if ($p -and $p.PSObject.Properties['DisableWindowsConsumerFeatures'] -ne $null) { [int]$p.'DisableWindowsConsumerFeatures' } else { 0 }; [string]$val"</t>
  </si>
  <si>
    <t xml:space="preserve">  description               : "1.0080 - MSWRK - Ensure Require pin for pairing is set to Enabled: First Time OR Enabled: Always"</t>
  </si>
  <si>
    <t xml:space="preserve">  info                      : "This policy setting controls whether or not a PIN is required for pairing to a wireless display device."</t>
  </si>
  <si>
    <t xml:space="preserve">  reference                 : "NIST 800-53r5|IA-5c."</t>
  </si>
  <si>
    <t xml:space="preserve">  value_data                : "1" || "2"</t>
  </si>
  <si>
    <t xml:space="preserve">  powershell_args           : "$p = Get-ItemProperty -Path 'Registry::HKEY_LOCAL_MACHINE\Software\Policies\Microsoft\Windows\Connect' -ErrorAction SilentlyContinue; $val = if ($p -and $p.PSObject.Properties['RequirePinForPairing'] -ne $null) { [int]$p.'RequirePinForPairing' } else { 0 }; [string]$val"</t>
  </si>
  <si>
    <t xml:space="preserve">  description               : "1.0081 - MSWRK - Ensure Do not display the password reveal button is set to Enabled"</t>
  </si>
  <si>
    <t xml:space="preserve">  info                      : "This policy setting allows you to configure the display of the password reveal button in password entry user experiences."</t>
  </si>
  <si>
    <t xml:space="preserve">  powershell_args           : "$p = Get-ItemProperty -Path 'Registry::HKEY_LOCAL_MACHINE\Software\Policies\Microsoft\Windows\CredUI' -ErrorAction SilentlyContinue; $val = if ($p -and $p.PSObject.Properties['DisablePasswordReveal'] -ne $null) { [int]$p.'DisablePasswordReveal' } else { 0 }; [string]$val"</t>
  </si>
  <si>
    <t xml:space="preserve">  description               : "1.0082 - MSWRK - Ensure Enumerate administrator accounts on elevation is set to Disabled"</t>
  </si>
  <si>
    <t xml:space="preserve">  info                      : "This policy setting controls whether administrator accounts are displayed when a user attempts to elevate a running application."</t>
  </si>
  <si>
    <t xml:space="preserve">  reference                 : "NIST 800-53r5|AC-6(10)"</t>
  </si>
  <si>
    <t xml:space="preserve">  powershell_args           : "$p = Get-ItemProperty -Path 'Registry::HKEY_LOCAL_MACHINE\Software\Microsoft\Windows\CurrentVersion\Policies\CredUI' -ErrorAction SilentlyContinue; $val = if ($p -and $p.PSObject.Properties['EnumerateAdministrators'] -ne $null) { [int]$p.'EnumerateAdministrators' } else { 0 }; [string]$val"</t>
  </si>
  <si>
    <t xml:space="preserve">  description               : "1.0083 - MSWRK - Ensure Prevent the use of security questions for local accounts is set to Enabled"</t>
  </si>
  <si>
    <t xml:space="preserve">  info                      : "This policy setting controls whether security questions can be used to reset local account passwords."</t>
  </si>
  <si>
    <t xml:space="preserve">  reference                 : "NIST 800-53r5|CM-6b."</t>
  </si>
  <si>
    <t xml:space="preserve">  powershell_args           : "$p = Get-ItemProperty -Path 'Registry::HKEY_LOCAL_MACHINE\Software\Policies\Microsoft\Windows\System' -ErrorAction SilentlyContinue; $val = if ($p -and $p.PSObject.Properties['NoLocalPasswordResetQuestions'] -ne $null) { [int]$p.'NoLocalPasswordResetQuestions' } else { 0 }; [string]$val"</t>
  </si>
  <si>
    <t xml:space="preserve">  description               : "1.0084 - MSWRK - Ensure Allow Diagnostic Data is set to Enabled: Diagnostic data off (not recommended) or Enabled: Send required diagnostic data"</t>
  </si>
  <si>
    <t xml:space="preserve">  info                      : "This policy setting determines the amount of diagnostic and usage data reported to Microsoft: - A value of (0) Diagnostic data off (not recommended)."</t>
  </si>
  <si>
    <t xml:space="preserve">  reference                 : "NIST 800-53r5|CM-7b."</t>
  </si>
  <si>
    <t xml:space="preserve">  value_data                : "0" || "1"</t>
  </si>
  <si>
    <t xml:space="preserve">  powershell_args           : "$p = Get-ItemProperty -Path 'Registry::HKEY_LOCAL_MACHINE\Software\Policies\Microsoft\Windows\DataCollection' -ErrorAction SilentlyContinue; $val = if ($p -and $p.PSObject.Properties['AllowTelemetry'] -ne $null) { [int]$p.'AllowTelemetry' } else { 0 }; [string]$val"</t>
  </si>
  <si>
    <t xml:space="preserve">  description               : "1.0085 - MSWRK - Ensure Do not show feedback notifications is set to Enabled"</t>
  </si>
  <si>
    <t xml:space="preserve">  info                      : "This policy setting allows an organization to prevent its devices from showing feedback questions from Microsoft."</t>
  </si>
  <si>
    <t xml:space="preserve">  powershell_args           : "$p = Get-ItemProperty -Path 'Registry::HKEY_LOCAL_MACHINE\Software\Policies\Microsoft\Windows\DataCollection' -ErrorAction SilentlyContinue; $val = if ($p -and $p.PSObject.Properties['DoNotShowFeedbackNotifications'] -ne $null) { [int]$p.'DoNotShowFeedbackNotifications' } else { 0 }; [string]$val"</t>
  </si>
  <si>
    <t xml:space="preserve">  description               : "1.0086 - MSWRK - Ensure Enable OneSettings Auditing is set to Enabled"</t>
  </si>
  <si>
    <t xml:space="preserve">  info                      : "This policy setting controls whether Windows records attempts to connect with the OneSettings service to the Event Log."</t>
  </si>
  <si>
    <t xml:space="preserve">  powershell_args           : "$p = Get-ItemProperty -Path 'Registry::HKEY_LOCAL_MACHINE\Software\Policies\Microsoft\Windows\DataCollection' -ErrorAction SilentlyContinue; $val = if ($p -and $p.PSObject.Properties['EnableOneSettingsAuditing'] -ne $null) { [int]$p.'EnableOneSettingsAuditing' } else { 0 }; [string]$val"</t>
  </si>
  <si>
    <t xml:space="preserve">  description               : "1.0087 - MSWRK - Ensure Download Mode is NOT set to Enabled: Internet"</t>
  </si>
  <si>
    <t xml:space="preserve">  info                      : "This policy setting specifies the download method that Delivery Optimization can use in downloads of Windows Updates, Apps and App updates."</t>
  </si>
  <si>
    <t xml:space="preserve">  reference                 : "NIST 800-53r5|RA-5 RA-7 SI-2 SI-2(2)"</t>
  </si>
  <si>
    <t xml:space="preserve">  value_data                : "0" || "1" || "2" || "99" || "100"</t>
  </si>
  <si>
    <t xml:space="preserve">  powershell_args           : "$p = Get-ItemProperty -Path 'Registry::HKEY_LOCAL_MACHINE\Software\Policies\Microsoft\Windows\DeliveryOptimization' -ErrorAction SilentlyContinue; $val = if ($p -and $p.PSObject.Properties['DODownloadMode'] -ne $null) { [int]$p.'DODownloadMode' } else { 0 }; [string]$val"</t>
  </si>
  <si>
    <t xml:space="preserve">  description               : "1.0088 - MSWRK - Ensure Enable App Installer Experimental Features is set to Disabled"</t>
  </si>
  <si>
    <t xml:space="preserve">  info                      : "This policy setting controls whether users can enable experimental features in the Windows Package Manager."</t>
  </si>
  <si>
    <t xml:space="preserve">  powershell_args           : "$p = Get-ItemProperty -Path 'Registry::HKEY_LOCAL_MACHINE\Software\Policies\Microsoft\Windows\AppInstaller' -ErrorAction SilentlyContinue; $val = if ($p -and $p.PSObject.Properties['EnableExperimentalFeatures'] -ne $null) { [int]$p.'EnableExperimentalFeatures' } else { 0 }; [string]$val"</t>
  </si>
  <si>
    <t xml:space="preserve">  description               : "1.0089 - MSWRK - Ensure Enable App Installer Hash Override is set to Disabled"</t>
  </si>
  <si>
    <t xml:space="preserve">  info                      : "This policy setting controls whether or not users can override the SHA256 security validation in the Windows Package Manager settings."</t>
  </si>
  <si>
    <t xml:space="preserve">  powershell_args           : "$p = Get-ItemProperty -Path 'Registry::HKEY_LOCAL_MACHINE\Software\Policies\Microsoft\Windows\AppInstaller' -ErrorAction SilentlyContinue; $val = if ($p -and $p.PSObject.Properties['EnableHashOverride'] -ne $null) { [int]$p.'EnableHashOverride' } else { 0 }; [string]$val"</t>
  </si>
  <si>
    <t xml:space="preserve">  description               : "1.0090 - MSWRK - Ensure Enable App Installer Local Archive Malware Scan Override is set to Disabled"</t>
  </si>
  <si>
    <t xml:space="preserve">  info                      : "This policy setting controls the ability to override malware scans when the following conditions are true: - installing an archive file - using a local manifest - via command line arguments The recommended state for this setting is: Disabled."</t>
  </si>
  <si>
    <t xml:space="preserve">  powershell_args           : "$p = Get-ItemProperty -Path 'Registry::HKEY_LOCAL_MACHINE\Software\Policies\Microsoft\Windows\AppInstaller' -ErrorAction SilentlyContinue; $val = if ($p -and $p.PSObject.Properties['EnableLocalArchiveMalwareScanOverride'] -ne $null) { [int]$p.'EnableLocalArchiveMalwareScanOverride' } else { 0 }; [string]$val"</t>
  </si>
  <si>
    <t xml:space="preserve">  description               : "1.0091 - MSWRK - Ensure Enable App Installer Microsoft Store Source Certificate Validation Bypass is set to Disabled"</t>
  </si>
  <si>
    <t xml:space="preserve">  info                      : "This policy setting controls whether Windows Package Manager validates the Microsoft Store certificate hash to match a known Microsoft Store certificate when it initiates a connection to the Microsoft Store source."</t>
  </si>
  <si>
    <t xml:space="preserve">  powershell_args           : "$p = Get-ItemProperty -Path 'Registry::HKEY_LOCAL_MACHINE\Software\Policies\Microsoft\Windows\AppInstaller' -ErrorAction SilentlyContinue; $val = if ($p -and $p.PSObject.Properties['EnableBypassCertificatePinningForMicrosoftStore'] -ne $null) { [int]$p.'EnableBypassCertificatePinningForMicrosoftStore' } else { 0 }; [string]$val"</t>
  </si>
  <si>
    <t xml:space="preserve">  description               : "1.0092 - MSWRK - Ensure Enable App Installer ms-appinstaller protocol is set to Disabled"</t>
  </si>
  <si>
    <t xml:space="preserve">  info                      : "This policy setting controls whether users can install packages from a website that is using the ms-appinstaller protocol."</t>
  </si>
  <si>
    <t xml:space="preserve">  powershell_args           : "$p = Get-ItemProperty -Path 'Registry::HKEY_LOCAL_MACHINE\Software\Policies\Microsoft\Windows\AppInstaller' -ErrorAction SilentlyContinue; $val = if ($p -and $p.PSObject.Properties['EnableMSAppInstallerProtocol'] -ne $null) { [int]$p.'EnableMSAppInstallerProtocol' } else { 0 }; [string]$val"</t>
  </si>
  <si>
    <t xml:space="preserve">  description               : "1.0093 - MSWRK - Ensure Application: Control Event Log behavior when the log file reaches its maximum size is set to Disabled"</t>
  </si>
  <si>
    <t xml:space="preserve">  info                      : "This policy setting controls Event Log behavior when the log file reaches its maximum size."</t>
  </si>
  <si>
    <t xml:space="preserve">  reference                 : "NIST 800-53r5|AU-4"</t>
  </si>
  <si>
    <t xml:space="preserve">  powershell_args           : "$p = Get-ItemProperty -Path 'Registry::HKEY_LOCAL_MACHINE\Software\Policies\Microsoft\Windows\EventLog\Application' -ErrorAction SilentlyContinue; $raw = if ($p -and $p.PSObject.Properties['Retention'] -ne $null) { [string]$p.'Retention' } else { $null }; if ($raw) { $raw } else { 'NOT_FOUND' }"</t>
  </si>
  <si>
    <t xml:space="preserve">  description               : "1.0094 - MSWRK - Ensure Application: Specify the maximum log file size (KB) is set to Enabled: 32,768 or greater"</t>
  </si>
  <si>
    <t xml:space="preserve">  info                      : "This policy setting specifies the maximum size of the log file in kilobytes."</t>
  </si>
  <si>
    <t xml:space="preserve">  value_data                : "^([1-9][0-9]{5,}|[4-9][0-9]{4}|3[3-9][0-9]{3}|32[8-9][0-9]{2}|327[7-9][0-9]{1}|3276[8-9])$"</t>
  </si>
  <si>
    <t xml:space="preserve">  powershell_args           : "$p = Get-ItemProperty -Path 'Registry::HKEY_LOCAL_MACHINE\Software\Policies\Microsoft\Windows\EventLog\Application' -ErrorAction SilentlyContinue; $val = if ($p -and $p.PSObject.Properties['MaxSize'] -ne $null) { [int]$p.'MaxSize' } else { 0 }; [string]$val"</t>
  </si>
  <si>
    <t xml:space="preserve">  description               : "1.0095 - MSWRK - Ensure Security: Control Event Log behavior when the log file reaches its maximum size is set to Disabled"</t>
  </si>
  <si>
    <t xml:space="preserve">  powershell_args           : "$p = Get-ItemProperty -Path 'Registry::HKEY_LOCAL_MACHINE\Software\Policies\Microsoft\Windows\EventLog\Security' -ErrorAction SilentlyContinue; $raw = if ($p -and $p.PSObject.Properties['Retention'] -ne $null) { [string]$p.'Retention' } else { $null }; if ($raw) { $raw } else { 'NOT_FOUND' }"</t>
  </si>
  <si>
    <t xml:space="preserve">  description               : "1.0096 - MSWRK - Ensure Security: Specify the maximum log file size (KB) is set to Enabled: 196,608 or greater"</t>
  </si>
  <si>
    <t xml:space="preserve">  value_data                : "^([1-9][0-9]{6,}|[2-9][0-9]{5}|19[7-9][0-9]{3}|196[7-9][0-9]{2}|1966[1-9][0-9]{1}|19660[8-9])$"</t>
  </si>
  <si>
    <t xml:space="preserve">  powershell_args           : "$p = Get-ItemProperty -Path 'Registry::HKEY_LOCAL_MACHINE\Software\Policies\Microsoft\Windows\EventLog\Security' -ErrorAction SilentlyContinue; $val = if ($p -and $p.PSObject.Properties['MaxSize'] -ne $null) { [int]$p.'MaxSize' } else { 0 }; [string]$val"</t>
  </si>
  <si>
    <t xml:space="preserve">  description               : "1.0097 - MSWRK - Ensure Setup: Control Event Log behavior when the log file reaches its maximum size is set to Disabled"</t>
  </si>
  <si>
    <t xml:space="preserve">  powershell_args           : "$p = Get-ItemProperty -Path 'Registry::HKEY_LOCAL_MACHINE\Software\Policies\Microsoft\Windows\EventLog\Setup' -ErrorAction SilentlyContinue; $raw = if ($p -and $p.PSObject.Properties['Retention'] -ne $null) { [string]$p.'Retention' } else { $null }; if ($raw) { $raw } else { 'NOT_FOUND' }"</t>
  </si>
  <si>
    <t xml:space="preserve">  description               : "1.0098 - MSWRK - Ensure Setup: Specify the maximum log file size (KB) is set to Enabled: 32,768 or greater"</t>
  </si>
  <si>
    <t xml:space="preserve">  powershell_args           : "$p = Get-ItemProperty -Path 'Registry::HKEY_LOCAL_MACHINE\Software\Policies\Microsoft\Windows\EventLog\Setup' -ErrorAction SilentlyContinue; $val = if ($p -and $p.PSObject.Properties['MaxSize'] -ne $null) { [int]$p.'MaxSize' } else { 0 }; [string]$val"</t>
  </si>
  <si>
    <t xml:space="preserve">  description               : "1.0099 - MSWRK - Ensure System: Control Event Log behavior when the log file reaches its maximum size is set to Disabled"</t>
  </si>
  <si>
    <t xml:space="preserve">  powershell_args           : "$p = Get-ItemProperty -Path 'Registry::HKEY_LOCAL_MACHINE\Software\Policies\Microsoft\Windows\EventLog\System' -ErrorAction SilentlyContinue; $raw = if ($p -and $p.PSObject.Properties['Retention'] -ne $null) { [string]$p.'Retention' } else { $null }; if ($raw) { $raw } else { 'NOT_FOUND' }"</t>
  </si>
  <si>
    <t xml:space="preserve">  description               : "1.0100 - MSWRK - Ensure System: Specify the maximum log file size (KB) is set to Enabled: 32,768 or greater"</t>
  </si>
  <si>
    <t xml:space="preserve">  powershell_args           : "$p = Get-ItemProperty -Path 'Registry::HKEY_LOCAL_MACHINE\Software\Policies\Microsoft\Windows\EventLog\System' -ErrorAction SilentlyContinue; $val = if ($p -and $p.PSObject.Properties['MaxSize'] -ne $null) { [int]$p.'MaxSize' } else { 0 }; [string]$val"</t>
  </si>
  <si>
    <t xml:space="preserve">  description               : "1.0101 - MSWRK - Ensure Turn off Data Execution Prevention for Explorer is set to Disabled"</t>
  </si>
  <si>
    <t xml:space="preserve">  info                      : "Disabling Data Execution Prevention can allow certain legacy plug-in applications to function without terminating Explorer."</t>
  </si>
  <si>
    <t xml:space="preserve">  powershell_args           : "$p = Get-ItemProperty -Path 'Registry::HKEY_LOCAL_MACHINE\Software\Policies\Microsoft\Windows\Explorer' -ErrorAction SilentlyContinue; $val = if ($p -and $p.PSObject.Properties['NoDataExecutionPrevention'] -ne $null) { [int]$p.'NoDataExecutionPrevention' } else { 0 }; [string]$val"</t>
  </si>
  <si>
    <t xml:space="preserve">  description               : "1.0102 - MSWRK - Ensure Do not apply the Mark of the Web tag to files copied from insecure sources is set to Disabled"</t>
  </si>
  <si>
    <t xml:space="preserve">  info                      : "This policy setting determines whether files that are sourced from insecure locations are tagged with Mark of the Web (MOTW)."</t>
  </si>
  <si>
    <t xml:space="preserve">  powershell_args           : "$p = Get-ItemProperty -Path 'Registry::HKEY_LOCAL_MACHINE\Software\Policies\Microsoft\Windows\Explorer' -ErrorAction SilentlyContinue; $val = if ($p -and $p.PSObject.Properties['DisableMotWOnInsecurePathCopy'] -ne $null) { [int]$p.'DisableMotWOnInsecurePathCopy' } else { 0 }; [string]$val"</t>
  </si>
  <si>
    <t xml:space="preserve">  description               : "1.0103 - MSWRK - Ensure Turn off heap termination on corruption is set to Disabled"</t>
  </si>
  <si>
    <t xml:space="preserve">  info                      : "Without heap termination on corruption, legacy plug-in applications may continue to function when a File Explorer session has become corrupt."</t>
  </si>
  <si>
    <t xml:space="preserve">  powershell_args           : "$p = Get-ItemProperty -Path 'Registry::HKEY_LOCAL_MACHINE\Software\Policies\Microsoft\Windows\Explorer' -ErrorAction SilentlyContinue; $val = if ($p -and $p.PSObject.Properties['NoHeapTerminationOnCorruption'] -ne $null) { [int]$p.'NoHeapTerminationOnCorruption' } else { 0 }; [string]$val"</t>
  </si>
  <si>
    <t xml:space="preserve">  description               : "1.0104 - MSWRK - Ensure Turn off shell protocol protected mode is set to Disabled"</t>
  </si>
  <si>
    <t xml:space="preserve">  info                      : "This policy setting allows you to configure the amount of functionality that the shell protocol can have."</t>
  </si>
  <si>
    <t xml:space="preserve">  powershell_args           : "$p = Get-ItemProperty -Path 'Registry::HKEY_LOCAL_MACHINE\Software\Microsoft\Windows\CurrentVersion\Policies\Explorer' -ErrorAction SilentlyContinue; $val = if ($p -and $p.PSObject.Properties['PreXPSP2ShellProtocolBehavior'] -ne $null) { [int]$p.'PreXPSP2ShellProtocolBehavior' } else { 0 }; [string]$val"</t>
  </si>
  <si>
    <t xml:space="preserve">  description               : "1.0105 - MSWRK - Ensure Block all consumer Microsoft account user authentication is set to Enabled"</t>
  </si>
  <si>
    <t xml:space="preserve">  info                      : "This setting determines whether applications and services on the device can utilize new consumer Microsoft account authentication via the Windows OnlineID and WebAccountManager APIs."</t>
  </si>
  <si>
    <t xml:space="preserve">  powershell_args           : "$p = Get-ItemProperty -Path 'Registry::HKEY_LOCAL_MACHINE\Software\Policies\Microsoft\MicrosoftAccount' -ErrorAction SilentlyContinue; $val = if ($p -and $p.PSObject.Properties['DisableUserAuth'] -ne $null) { [int]$p.'DisableUserAuth' } else { 0 }; [string]$val"</t>
  </si>
  <si>
    <t xml:space="preserve">  description               : "1.0106 - MSWRK - Ensure Not allow per-user unsigned packages to install by default (requires explicitly allow per install) is set to Enabled"</t>
  </si>
  <si>
    <t xml:space="preserve">  info                      : "This setting manages a user's ability to install unsigned Windows App packages."</t>
  </si>
  <si>
    <t xml:space="preserve">  reference                 : "NIST 800-53r5|CM-7(5) CM-10"</t>
  </si>
  <si>
    <t xml:space="preserve">  powershell_args           : "$p = Get-ItemProperty -Path 'Registry::HKEY_LOCAL_MACHINE\Software\Policies\Microsoft\Windows\Appx' -ErrorAction SilentlyContinue; $val = if ($p -and $p.PSObject.Properties['DisablePerUserUnsignedPackagesByDefault'] -ne $null) { [int]$p.'DisablePerUserUnsignedPackagesByDefault' } else { 0 }; [string]$val"</t>
  </si>
  <si>
    <t xml:space="preserve">  description               : "1.0107 - MSWRK - Ensure Configure real-time protection and Security Intelligence Updates during OOBE is set to Enabled"</t>
  </si>
  <si>
    <t xml:space="preserve">  info                      : "This policy setting configures whether Real-time Protection and Security Intelligence Updates are enabled during the Out of Box experience (OOBE)."</t>
  </si>
  <si>
    <t xml:space="preserve">  reference                 : "NIST 800-53r5|SI-3"</t>
  </si>
  <si>
    <t xml:space="preserve">  powershell_args           : "$p = Get-ItemProperty -Path 'Registry::HKEY_LOCAL_MACHINE\Software\Policies\Microsoft\Windows Defender\Real-Time Protection' -ErrorAction SilentlyContinue; $val = if ($p -and $p.PSObject.Properties['OobeEnableRtpAndSigUpdate'] -ne $null) { [int]$p.'OobeEnableRtpAndSigUpdate' } else { 0 }; [string]$val"</t>
  </si>
  <si>
    <t xml:space="preserve">  description               : "1.0108 - MSWRK - Ensure Scan all downloaded files and attachments is set to Enabled"</t>
  </si>
  <si>
    <t xml:space="preserve">  info                      : "This policy setting configures scanning for all downloaded files and attachments."</t>
  </si>
  <si>
    <t xml:space="preserve">  powershell_args           : "$p = Get-ItemProperty -Path 'Registry::HKEY_LOCAL_MACHINE\Software\Policies\Microsoft\Windows Defender\Real-Time Protection' -ErrorAction SilentlyContinue; $val = if ($p -and $p.PSObject.Properties['DisableIOAVProtection'] -ne $null) { [int]$p.'DisableIOAVProtection' } else { 0 }; [string]$val"</t>
  </si>
  <si>
    <t xml:space="preserve">  description               : "1.0109 - MSWRK - Ensure Turn off real-time protection is set to Disabled"</t>
  </si>
  <si>
    <t xml:space="preserve">  info                      : "This policy setting configures real-time protection prompts for known malware detection."</t>
  </si>
  <si>
    <t xml:space="preserve">  powershell_args           : "$p = Get-ItemProperty -Path 'Registry::HKEY_LOCAL_MACHINE\Software\Policies\Microsoft\Windows Defender\Real-Time Protection' -ErrorAction SilentlyContinue; $val = if ($p -and $p.PSObject.Properties['DisableRealtimeMonitoring'] -ne $null) { [int]$p.'DisableRealtimeMonitoring' } else { 0 }; [string]$val"</t>
  </si>
  <si>
    <t xml:space="preserve">  description               : "1.0110 - MSWRK - Ensure Turn on behavior monitoring is set to Enabled"</t>
  </si>
  <si>
    <t xml:space="preserve">  info                      : "This policy setting allows you to configure behavior monitoring for Microsoft Defender Antivirus."</t>
  </si>
  <si>
    <t xml:space="preserve">  reference                 : "NIST 800-53r5|SI-4"</t>
  </si>
  <si>
    <t xml:space="preserve">  powershell_args           : "$p = Get-ItemProperty -Path 'Registry::HKEY_LOCAL_MACHINE\Software\Policies\Microsoft\Windows Defender\Real-Time Protection' -ErrorAction SilentlyContinue; $val = if ($p -and $p.PSObject.Properties['DisableBehaviorMonitoring'] -ne $null) { [int]$p.'DisableBehaviorMonitoring' } else { 0 }; [string]$val"</t>
  </si>
  <si>
    <t xml:space="preserve">  description               : "1.0111 - MSWRK - Ensure Turn on script scanning is set to Enabled"</t>
  </si>
  <si>
    <t xml:space="preserve">  info                      : "This policy setting allows script scanning to be turned on/off."</t>
  </si>
  <si>
    <t xml:space="preserve">  powershell_args           : "$p = Get-ItemProperty -Path 'Registry::HKEY_LOCAL_MACHINE\Software\Policies\Microsoft\Windows Defender\Real-Time Protection' -ErrorAction SilentlyContinue; $val = if ($p -and $p.PSObject.Properties['DisableScriptScanning'] -ne $null) { [int]$p.'DisableScriptScanning' } else { 0 }; [string]$val"</t>
  </si>
  <si>
    <t xml:space="preserve">  description               : "1.0112 - MSWRK - Ensure Configure Remote Encryption Protection Mode is set to Enabled: Audit or higher"</t>
  </si>
  <si>
    <t xml:space="preserve">  info                      : "This policy setting configures the Brute-Force Protection feature in Microsoft Defender Antivirus."</t>
  </si>
  <si>
    <t xml:space="preserve">  powershell_args           : "$p = Get-ItemProperty -Path 'Registry::HKEY_LOCAL_MACHINE\Software\Policies\Microsoft\Windows Defender\Remediation\Behavioral Network Blocks\Brute Force Protection' -ErrorAction SilentlyContinue; $val = if ($p -and $p.PSObject.Properties['BruteForceProtectionConfiguredState'] -ne $null) { [int]$p.'BruteForceProtectionConfiguredState' } else { 0 }; [string]$val"</t>
  </si>
  <si>
    <t xml:space="preserve">  description               : "1.0113 - MSWRK - Ensure Scan excluded files and directories during quick scans is set to Enabled: 1"</t>
  </si>
  <si>
    <t xml:space="preserve">  info                      : "This policy setting manages whether or not Microsoft Defender Antivirus scans excluded files and directories when running a Quick Scan."</t>
  </si>
  <si>
    <t xml:space="preserve">  powershell_args           : "$p = Get-ItemProperty -Path 'Registry::HKEY_LOCAL_MACHINE\Software\Policies\Microsoft\Windows Defender\Scan' -ErrorAction SilentlyContinue; $val = if ($p -and $p.PSObject.Properties['QuickScanIncludeExclusions'] -ne $null) { [int]$p.'QuickScanIncludeExclusions' } else { 0 }; [string]$val"</t>
  </si>
  <si>
    <t xml:space="preserve">  description               : "1.0114 - MSWRK - Ensure Scan packed executables is set to Enabled"</t>
  </si>
  <si>
    <t xml:space="preserve">  info                      : "This policy setting manages whether or not Microsoft Defender Antivirus scans packed executables."</t>
  </si>
  <si>
    <t xml:space="preserve">  reference                 : "NIST 800-53r5|MP-7 SI-3"</t>
  </si>
  <si>
    <t xml:space="preserve">  powershell_args           : "$p = Get-ItemProperty -Path 'Registry::HKEY_LOCAL_MACHINE\Software\Policies\Microsoft\Windows Defender\Scan' -ErrorAction SilentlyContinue; $val = if ($p -and $p.PSObject.Properties['DisablePackedExeScanning'] -ne $null) { [int]$p.'DisablePackedExeScanning' } else { 0 }; [string]$val"</t>
  </si>
  <si>
    <t xml:space="preserve">  description               : "1.0115 - MSWRK - Ensure Scan removable drives is set to Enabled"</t>
  </si>
  <si>
    <t xml:space="preserve">  info                      : "This policy setting manages whether to scan for malicious software and unwanted software in the contents of removable drives, such as USB flash drives, when running a full scan."</t>
  </si>
  <si>
    <t xml:space="preserve">  powershell_args           : "$p = Get-ItemProperty -Path 'Registry::HKEY_LOCAL_MACHINE\Software\Policies\Microsoft\Windows Defender\Scan' -ErrorAction SilentlyContinue; $val = if ($p -and $p.PSObject.Properties['DisableRemovableDriveScanning'] -ne $null) { [int]$p.'DisableRemovableDriveScanning' } else { 0 }; [string]$val"</t>
  </si>
  <si>
    <t xml:space="preserve">  description               : "1.0116 - MSWRK - Ensure Trigger a quick scan after X days without any scans is set to Enabled: 7"</t>
  </si>
  <si>
    <t xml:space="preserve">  info                      : "This policy setting configures the number of days after the last scan (of any type) before an aggressive Quick Scan is automatically triggered."</t>
  </si>
  <si>
    <t xml:space="preserve">  value_data                : "7"</t>
  </si>
  <si>
    <t xml:space="preserve">  powershell_args           : "$p = Get-ItemProperty -Path 'Registry::HKEY_LOCAL_MACHINE\Software\Policies\Microsoft\Windows Defender\Scan' -ErrorAction SilentlyContinue; $val = if ($p -and $p.PSObject.Properties['DaysUntilAggressiveCatchupQuickScan'] -ne $null) { [int]$p.'DaysUntilAggressiveCatchupQuickScan' } else { 0 }; [string]$val"</t>
  </si>
  <si>
    <t xml:space="preserve">  description               : "1.0117 - MSWRK - Ensure Turn on e-mail scanning is set to Enabled"</t>
  </si>
  <si>
    <t xml:space="preserve">  info                      : "This policy setting configures e-mail scanning."</t>
  </si>
  <si>
    <t xml:space="preserve">  powershell_args           : "$p = Get-ItemProperty -Path 'Registry::HKEY_LOCAL_MACHINE\Software\Policies\Microsoft\Windows Defender\Scan' -ErrorAction SilentlyContinue; $val = if ($p -and $p.PSObject.Properties['DisableEmailScanning'] -ne $null) { [int]$p.'DisableEmailScanning' } else { 0 }; [string]$val"</t>
  </si>
  <si>
    <t xml:space="preserve">  description               : "1.0118 - MSWRK - Ensure Configure detection for potentially unwanted applications is set to Enabled: Block"</t>
  </si>
  <si>
    <t xml:space="preserve">  info                      : "This policy setting controls detection and action for Potentially Unwanted Applications (PUA), which are sneaky unwanted application bundlers or their bundled applications, that can deliver adware or malware."</t>
  </si>
  <si>
    <t xml:space="preserve">  powershell_args           : "$p = Get-ItemProperty -Path 'Registry::HKEY_LOCAL_MACHINE\Software\Policies\Microsoft\Windows Defender' -ErrorAction SilentlyContinue; $val = if ($p -and $p.PSObject.Properties['PUAProtection'] -ne $null) { [int]$p.'PUAProtection' } else { 0 }; [string]$val"</t>
  </si>
  <si>
    <t xml:space="preserve">  description               : "1.0119 - MSWRK - Ensure Control whether exclusions are visible to local users is set to Enabled"</t>
  </si>
  <si>
    <t xml:space="preserve">  info                      : "This policy setting controls whether Microsoft Defender Antivirus exclusions are visible to local users on the system."</t>
  </si>
  <si>
    <t xml:space="preserve">  powershell_args           : "$p = Get-ItemProperty -Path 'Registry::HKEY_LOCAL_MACHINE\Software\Policies\Microsoft\Windows Defender' -ErrorAction SilentlyContinue; $val = if ($p -and $p.PSObject.Properties['HideExclusionsFromLocalUsers'] -ne $null) { [int]$p.'HideExclusionsFromLocalUsers' } else { 0 }; [string]$val"</t>
  </si>
  <si>
    <t xml:space="preserve">  description               : "1.0120 - MSWRK - Ensure Enable EDR in block mode is set to Enabled"</t>
  </si>
  <si>
    <t xml:space="preserve">  info                      : "This policy setting controls whether Microsoft Defender Antivirus Endpoint Detection and Response (EDR) is enabled in block mode (passive remediation)."</t>
  </si>
  <si>
    <t xml:space="preserve">  powershell_args           : "$p = Get-ItemProperty -Path 'Registry::HKEY_LOCAL_MACHINE\Software\Policies\Microsoft\Windows Defender\Features' -ErrorAction SilentlyContinue; $val = if ($p -and $p.PSObject.Properties['PassiveRemediation'] -ne $null) { [int]$p.'PassiveRemediation' } else { 0 }; [string]$val"</t>
  </si>
  <si>
    <t xml:space="preserve">  description               : "1.0121 - MSWRK - Ensure Configure local setting override for reporting to Microsoft MAPS is set to Disabled"</t>
  </si>
  <si>
    <t xml:space="preserve">  info                      : "This policy setting configures a local override for the configuration to join Microsoft Active Protection Service (MAPS), which Microsoft renamed to Windows Defender Antivirus Cloud Protection Service and then Microsoft Defender Antivirus Cloud Protection Service."</t>
  </si>
  <si>
    <t xml:space="preserve">  powershell_args           : "$p = Get-ItemProperty -Path 'Registry::HKEY_LOCAL_MACHINE\Software\Policies\Microsoft\Windows Defender\Spynet' -ErrorAction SilentlyContinue; $val = if ($p -and $p.PSObject.Properties['LocalSettingOverrideSpynetReporting'] -ne $null) { [int]$p.'LocalSettingOverrideSpynetReporting' } else { 0 }; [string]$val"</t>
  </si>
  <si>
    <t xml:space="preserve">  description               : "1.0122 - MSWRK - Ensure Join Microsoft MAPS is set to Enabled: Advanced"</t>
  </si>
  <si>
    <t xml:space="preserve">  info                      : "This policy setting configures Microsoft Active Protection Service (MAPS)."</t>
  </si>
  <si>
    <t xml:space="preserve">  value_data                : "2"</t>
  </si>
  <si>
    <t xml:space="preserve">  powershell_args           : "$p = Get-ItemProperty -Path 'Registry::HKEY_LOCAL_MACHINE\Software\Policies\Microsoft\Windows Defender\Spynet' -ErrorAction SilentlyContinue; $val = if ($p -and $p.PSObject.Properties['SpynetReporting'] -ne $null) { [int]$p.'SpynetReporting' } else { 0 }; [string]$val"</t>
  </si>
  <si>
    <t xml:space="preserve">  description               : "1.0123 - MSWRK - Ensure Configure Attack Surface Reduction rules is set to Enabled"</t>
  </si>
  <si>
    <t xml:space="preserve">  info                      : "This policy setting controls the state for the Attack Surface Reduction (ASR) rules."</t>
  </si>
  <si>
    <t xml:space="preserve">  powershell_args           : "$p = Get-ItemProperty -Path 'Registry::HKEY_LOCAL_MACHINE\Software\Policies\Microsoft\Windows Defender\Windows Defender Exploit Guard\ASR' -ErrorAction SilentlyContinue; $val = if ($p -and $p.PSObject.Properties['ExploitGuard_ASR_Rules'] -ne $null) { [int]$p.'ExploitGuard_ASR_Rules' } else { 0 }; [string]$val"</t>
  </si>
  <si>
    <t xml:space="preserve">  description               : "1.0124 - MSWRK - 3b576869-a4ec-4529-8536-b80a7769e899"</t>
  </si>
  <si>
    <t xml:space="preserve">  powershell_args           : "$p = Get-ItemProperty -Path 'Registry::HKEY_LOCAL_MACHINE\Software\Policies\Microsoft\Windows Defender\Windows Defender Exploit Guard\ASR\Rules' -ErrorAction SilentlyContinue; $raw = if ($p -and $p.PSObject.Properties['3b576869-a4ec-4529-8536-b80a7769e899'] -ne $null) { [string]$p.'3b576869-a4ec-4529-8536-b80a7769e899' } else { $null }; if ($raw) { $raw } else { 'NOT_FOUND' }"</t>
  </si>
  <si>
    <t xml:space="preserve">  description               : "1.0125 - MSWRK - 9e6c4e1f-7d60-472f-ba1a-a39ef669e4b2"</t>
  </si>
  <si>
    <t xml:space="preserve">  powershell_args           : "$p = Get-ItemProperty -Path 'Registry::HKEY_LOCAL_MACHINE\Software\Policies\Microsoft\Windows Defender\Windows Defender Exploit Guard\ASR\Rules' -ErrorAction SilentlyContinue; $raw = if ($p -and $p.PSObject.Properties['9e6c4e1f-7d60-472f-ba1a-a39ef669e4b2'] -ne $null) { [string]$p.'9e6c4e1f-7d60-472f-ba1a-a39ef669e4b2' } else { $null }; if ($raw) { $raw } else { 'NOT_FOUND' }"</t>
  </si>
  <si>
    <t xml:space="preserve">  description               : "1.0126 - MSWRK - 7674ba52-37eb-4a4f-a9a1-f0f9a1619a2c"</t>
  </si>
  <si>
    <t xml:space="preserve">  powershell_args           : "$p = Get-ItemProperty -Path 'Registry::HKEY_LOCAL_MACHINE\Software\Policies\Microsoft\Windows Defender\Windows Defender Exploit Guard\ASR\Rules' -ErrorAction SilentlyContinue; $raw = if ($p -and $p.PSObject.Properties['7674ba52-37eb-4a4f-a9a1-f0f9a1619a2c'] -ne $null) { [string]$p.'7674ba52-37eb-4a4f-a9a1-f0f9a1619a2c' } else { $null }; if ($raw) { $raw } else { 'NOT_FOUND' }"</t>
  </si>
  <si>
    <t xml:space="preserve">  description               : "1.0127 - MSWRK - 56a863a9-875e-4185-98a7-b882c64b5ce5"</t>
  </si>
  <si>
    <t xml:space="preserve">  powershell_args           : "$p = Get-ItemProperty -Path 'Registry::HKEY_LOCAL_MACHINE\Software\Policies\Microsoft\Windows Defender\Windows Defender Exploit Guard\ASR\Rules' -ErrorAction SilentlyContinue; $raw = if ($p -and $p.PSObject.Properties['56a863a9-875e-4185-98a7-b882c64b5ce5'] -ne $null) { [string]$p.'56a863a9-875e-4185-98a7-b882c64b5ce5' } else { $null }; if ($raw) { $raw } else { 'NOT_FOUND' }"</t>
  </si>
  <si>
    <t xml:space="preserve">  description               : "1.0128 - MSWRK - d4f940ab-401b-4efc-aadc-ad5f3c50688a"</t>
  </si>
  <si>
    <t xml:space="preserve">  powershell_args           : "$p = Get-ItemProperty -Path 'Registry::HKEY_LOCAL_MACHINE\Software\Policies\Microsoft\Windows Defender\Windows Defender Exploit Guard\ASR\Rules' -ErrorAction SilentlyContinue; $raw = if ($p -and $p.PSObject.Properties['d4f940ab-401b-4efc-aadc-ad5f3c50688a'] -ne $null) { [string]$p.'d4f940ab-401b-4efc-aadc-ad5f3c50688a' } else { $null }; if ($raw) { $raw } else { 'NOT_FOUND' }"</t>
  </si>
  <si>
    <t xml:space="preserve">  description               : "1.0129 - MSWRK - e6db77e5-3df2-4cf1-b95a-636979351e5b"</t>
  </si>
  <si>
    <t xml:space="preserve">  powershell_args           : "$p = Get-ItemProperty -Path 'Registry::HKEY_LOCAL_MACHINE\Software\Policies\Microsoft\Windows Defender\Windows Defender Exploit Guard\ASR\Rules' -ErrorAction SilentlyContinue; $raw = if ($p -and $p.PSObject.Properties['e6db77e5-3df2-4cf1-b95a-636979351e5b'] -ne $null) { [string]$p.'e6db77e5-3df2-4cf1-b95a-636979351e5b' } else { $null }; if ($raw) { $raw } else { 'NOT_FOUND' }"</t>
  </si>
  <si>
    <t xml:space="preserve">  description               : "1.0130 - MSWRK - 92e97fa1-2edf-4476-bdd6-9dd0b4dddc7b"</t>
  </si>
  <si>
    <t xml:space="preserve">  powershell_args           : "$p = Get-ItemProperty -Path 'Registry::HKEY_LOCAL_MACHINE\Software\Policies\Microsoft\Windows Defender\Windows Defender Exploit Guard\ASR\Rules' -ErrorAction SilentlyContinue; $raw = if ($p -and $p.PSObject.Properties['92e97fa1-2edf-4476-bdd6-9dd0b4dddc7b'] -ne $null) { [string]$p.'92e97fa1-2edf-4476-bdd6-9dd0b4dddc7b' } else { $null }; if ($raw) { $raw } else { 'NOT_FOUND' }"</t>
  </si>
  <si>
    <t xml:space="preserve">  description               : "1.0131 - MSWRK - d3e037e1-3eb8-44c8-a917-57927947596d"</t>
  </si>
  <si>
    <t xml:space="preserve">  powershell_args           : "$p = Get-ItemProperty -Path 'Registry::HKEY_LOCAL_MACHINE\Software\Policies\Microsoft\Windows Defender\Windows Defender Exploit Guard\ASR\Rules' -ErrorAction SilentlyContinue; $raw = if ($p -and $p.PSObject.Properties['d3e037e1-3eb8-44c8-a917-57927947596d'] -ne $null) { [string]$p.'d3e037e1-3eb8-44c8-a917-57927947596d' } else { $null }; if ($raw) { $raw } else { 'NOT_FOUND' }"</t>
  </si>
  <si>
    <t xml:space="preserve">  description               : "1.0132 - MSWRK - 5beb7efe-fd9a-4556-801d-275e5ffc04cc"</t>
  </si>
  <si>
    <t xml:space="preserve">  powershell_args           : "$p = Get-ItemProperty -Path 'Registry::HKEY_LOCAL_MACHINE\Software\Policies\Microsoft\Windows Defender\Windows Defender Exploit Guard\ASR\Rules' -ErrorAction SilentlyContinue; $raw = if ($p -and $p.PSObject.Properties['5beb7efe-fd9a-4556-801d-275e5ffc04cc'] -ne $null) { [string]$p.'5beb7efe-fd9a-4556-801d-275e5ffc04cc' } else { $null }; if ($raw) { $raw } else { 'NOT_FOUND' }"</t>
  </si>
  <si>
    <t xml:space="preserve">  description               : "1.0133 - MSWRK - 26190899-1602-49e8-8b27-eb1d0a1ce869"</t>
  </si>
  <si>
    <t xml:space="preserve">  powershell_args           : "$p = Get-ItemProperty -Path 'Registry::HKEY_LOCAL_MACHINE\Software\Policies\Microsoft\Windows Defender\Windows Defender Exploit Guard\ASR\Rules' -ErrorAction SilentlyContinue; $raw = if ($p -and $p.PSObject.Properties['26190899-1602-49e8-8b27-eb1d0a1ce869'] -ne $null) { [string]$p.'26190899-1602-49e8-8b27-eb1d0a1ce869' } else { $null }; if ($raw) { $raw } else { 'NOT_FOUND' }"</t>
  </si>
  <si>
    <t xml:space="preserve">  description               : "1.0134 - MSWRK - b2b3f03d-6a65-4f7b-a9c7-1c7ef74a9ba4"</t>
  </si>
  <si>
    <t xml:space="preserve">  powershell_args           : "$p = Get-ItemProperty -Path 'Registry::HKEY_LOCAL_MACHINE\Software\Policies\Microsoft\Windows Defender\Windows Defender Exploit Guard\ASR\Rules' -ErrorAction SilentlyContinue; $raw = if ($p -and $p.PSObject.Properties['b2b3f03d-6a65-4f7b-a9c7-1c7ef74a9ba4'] -ne $null) { [string]$p.'b2b3f03d-6a65-4f7b-a9c7-1c7ef74a9ba4' } else { $null }; if ($raw) { $raw } else { 'NOT_FOUND' }"</t>
  </si>
  <si>
    <t xml:space="preserve">  description               : "1.0135 - MSWRK - be9ba2d9-53ea-4cdc-84e5-9b1eeee46550"</t>
  </si>
  <si>
    <t xml:space="preserve">  powershell_args           : "$p = Get-ItemProperty -Path 'Registry::HKEY_LOCAL_MACHINE\Software\Policies\Microsoft\Windows Defender\Windows Defender Exploit Guard\ASR\Rules' -ErrorAction SilentlyContinue; $raw = if ($p -and $p.PSObject.Properties['be9ba2d9-53ea-4cdc-84e5-9b1eeee46550'] -ne $null) { [string]$p.'be9ba2d9-53ea-4cdc-84e5-9b1eeee46550' } else { $null }; if ($raw) { $raw } else { 'NOT_FOUND' }"</t>
  </si>
  <si>
    <t xml:space="preserve">  description               : "1.0136 - MSWRK - 75668c1f-73b5-4cf0-bb93-3ecf5cb7cc84"</t>
  </si>
  <si>
    <t xml:space="preserve">  powershell_args           : "$p = Get-ItemProperty -Path 'Registry::HKEY_LOCAL_MACHINE\Software\Policies\Microsoft\Windows Defender\Windows Defender Exploit Guard\ASR\Rules' -ErrorAction SilentlyContinue; $raw = if ($p -and $p.PSObject.Properties['75668c1f-73b5-4cf0-bb93-3ecf5cb7cc84'] -ne $null) { [string]$p.'75668c1f-73b5-4cf0-bb93-3ecf5cb7cc84' } else { $null }; if ($raw) { $raw } else { 'NOT_FOUND' }"</t>
  </si>
  <si>
    <t xml:space="preserve">  description               : "1.0137 - MSWRK - Ensure Prevent users and apps from accessing dangerous websites is set to Enabled: Block"</t>
  </si>
  <si>
    <t xml:space="preserve">  info                      : "This policy setting controls Microsoft Defender Exploit Guard network protection."</t>
  </si>
  <si>
    <t xml:space="preserve">  reference                 : "NIST 800-53r5|SC-7(3) SC-7(4) SI-16"</t>
  </si>
  <si>
    <t xml:space="preserve">  powershell_args           : "$p = Get-ItemProperty -Path 'Registry::HKEY_LOCAL_MACHINE\Software\Policies\Microsoft\Windows Defender\Windows Defender Exploit Guard\Network Protection' -ErrorAction SilentlyContinue; $val = if ($p -and $p.PSObject.Properties['EnableNetworkProtection'] -ne $null) { [int]$p.'EnableNetworkProtection' } else { 0 }; [string]$val"</t>
  </si>
  <si>
    <t xml:space="preserve">  description               : "1.0138 - MSWRK - Ensure Enable file hash computation feature is set to Enabled"</t>
  </si>
  <si>
    <t xml:space="preserve">  info                      : "This setting determines whether hash values are computed for files scanned by Microsoft Defender."</t>
  </si>
  <si>
    <t xml:space="preserve">  powershell_args           : "$p = Get-ItemProperty -Path 'Registry::HKEY_LOCAL_MACHINE\Software\Policies\Microsoft\Windows Defender\MpEngine' -ErrorAction SilentlyContinue; $val = if ($p -and $p.PSObject.Properties['EnableFileHashComputation'] -ne $null) { [int]$p.'EnableFileHashComputation' } else { 0 }; [string]$val"</t>
  </si>
  <si>
    <t xml:space="preserve">  description               : "1.0139 - MSWRK - Ensure Prevent non-admin users from installing packaged Windows apps is set to Enabled"</t>
  </si>
  <si>
    <t xml:space="preserve">  info                      : "This setting manages non-Administrator users' ability to install Windows app packages."</t>
  </si>
  <si>
    <t xml:space="preserve">  powershell_args           : "$p = Get-ItemProperty -Path 'Registry::HKEY_LOCAL_MACHINE\Software\Policies\Microsoft\Windows\Appx' -ErrorAction SilentlyContinue; $val = if ($p -and $p.PSObject.Properties['BlockNonAdminUserInstall'] -ne $null) { [int]$p.'BlockNonAdminUserInstall' } else { 0 }; [string]$val"</t>
  </si>
  <si>
    <t xml:space="preserve">  description               : "1.0140 - MSWRK - Ensure Allow auditing events in Microsoft Defender Application Guard is set to Enabled"</t>
  </si>
  <si>
    <t xml:space="preserve">  info                      : "This policy setting allows you to decide whether auditing events can be collected from Microsoft Defender Application Guard."</t>
  </si>
  <si>
    <t xml:space="preserve">  reference                 : "NIST 800-53r5|AU-2 AU-7 AU-12"</t>
  </si>
  <si>
    <t xml:space="preserve">  powershell_args           : "$p = Get-ItemProperty -Path 'Registry::HKEY_LOCAL_MACHINE\Software\Policies\Microsoft\AppHVSI' -ErrorAction SilentlyContinue; $val = if ($p -and $p.PSObject.Properties['AuditApplicationGuard'] -ne $null) { [int]$p.'AuditApplicationGuard' } else { 0 }; [string]$val"</t>
  </si>
  <si>
    <t xml:space="preserve">  description               : "1.0141 - MSWRK - Ensure Allow camera and microphone access in Microsoft Defender Application Guard is set to Disabled"</t>
  </si>
  <si>
    <t xml:space="preserve">  info                      : "The policy allows you to determine whether applications inside Microsoft Defender Application Guard can access the device's camera and microphone."</t>
  </si>
  <si>
    <t xml:space="preserve">  powershell_args           : "$p = Get-ItemProperty -Path 'Registry::HKEY_LOCAL_MACHINE\Software\Policies\Microsoft\AppHVSI' -ErrorAction SilentlyContinue; $val = if ($p -and $p.PSObject.Properties['AllowCameraMicrophoneRedirection'] -ne $null) { [int]$p.'AllowCameraMicrophoneRedirection' } else { 0 }; [string]$val"</t>
  </si>
  <si>
    <t xml:space="preserve">  description               : "1.0142 - MSWRK - Ensure Allow data persistence for Microsoft Defender Application Guard is set to Disabled"</t>
  </si>
  <si>
    <t xml:space="preserve">  info                      : "This policy setting allows you to decide whether data should persist across different sessions in Microsoft Defender Application Guard."</t>
  </si>
  <si>
    <t xml:space="preserve">  powershell_args           : "$p = Get-ItemProperty -Path 'Registry::HKEY_LOCAL_MACHINE\Software\Policies\Microsoft\AppHVSI' -ErrorAction SilentlyContinue; $val = if ($p -and $p.PSObject.Properties['AllowPersistence'] -ne $null) { [int]$p.'AllowPersistence' } else { 0 }; [string]$val"</t>
  </si>
  <si>
    <t xml:space="preserve">  description               : "1.0143 - MSWRK - Ensure Allow files to download and save to the host operating system from Microsoft Defender Application Guard is set to Disabled"</t>
  </si>
  <si>
    <t xml:space="preserve">  info                      : "This policy setting determines whether to save downloaded files to the host operating system from the Microsoft Defender Application Guard container."</t>
  </si>
  <si>
    <t xml:space="preserve">  powershell_args           : "$p = Get-ItemProperty -Path 'Registry::HKEY_LOCAL_MACHINE\Software\Policies\Microsoft\AppHVSI' -ErrorAction SilentlyContinue; $val = if ($p -and $p.PSObject.Properties['SaveFilesToHost'] -ne $null) { [int]$p.'SaveFilesToHost' } else { 0 }; [string]$val"</t>
  </si>
  <si>
    <t xml:space="preserve">  description               : "1.0144 - MSWRK - Ensure Configure Microsoft Defender Application Guard clipboard settings: Clipboard behavior setting is set to Enabled: Enable clipboard operation from an isolated session to the host"</t>
  </si>
  <si>
    <t xml:space="preserve">  info                      : "This policy setting allows you to decide how the clipboard behaves while in Microsoft Defender Application Guard."</t>
  </si>
  <si>
    <t xml:space="preserve">  powershell_args           : "$p = Get-ItemProperty -Path 'Registry::HKEY_LOCAL_MACHINE\Software\Policies\Microsoft\AppHVSI' -ErrorAction SilentlyContinue; $val = if ($p -and $p.PSObject.Properties['AppHVSIClipboardSettings'] -ne $null) { [int]$p.'AppHVSIClipboardSettings' } else { 0 }; [string]$val"</t>
  </si>
  <si>
    <t xml:space="preserve">  description               : "1.0145 - MSWRK - Ensure Turn on Microsoft Defender Application Guard in Managed Mode is set to Enabled: 1"</t>
  </si>
  <si>
    <t xml:space="preserve">  info                      : "This policy setting enables application isolation through Microsoft Defender Application Guard (Application Guard)."</t>
  </si>
  <si>
    <t xml:space="preserve">  powershell_args           : "$p = Get-ItemProperty -Path 'Registry::HKEY_LOCAL_MACHINE\Software\Policies\Microsoft\AppHVSI' -ErrorAction SilentlyContinue; $val = if ($p -and $p.PSObject.Properties['AllowAppHVSI_ProviderSet'] -ne $null) { [int]$p.'AllowAppHVSI_ProviderSet' } else { 0 }; [string]$val"</t>
  </si>
  <si>
    <t xml:space="preserve">  description               : "1.0146 - MSWRK - Ensure Let Windows apps activate with voice while the system is locked is set to Enabled: Force Deny"</t>
  </si>
  <si>
    <t xml:space="preserve">  info                      : "This policy setting specifies whether Windows apps can be activated by voice (apps and Cortana) while the system is locked."</t>
  </si>
  <si>
    <t xml:space="preserve">  powershell_args           : "$p = Get-ItemProperty -Path 'Registry::HKEY_LOCAL_MACHINE\Software\Policies\Microsoft\Windows\AppPrivacy' -ErrorAction SilentlyContinue; $val = if ($p -and $p.PSObject.Properties['LetAppsActivateWithVoiceAboveLock'] -ne $null) { [int]$p.'LetAppsActivateWithVoiceAboveLock' } else { 0 }; [string]$val"</t>
  </si>
  <si>
    <t xml:space="preserve">  description               : "1.0147 - MSWRK - Ensure Do not allow passwords to be saved is set to Enabled"</t>
  </si>
  <si>
    <t xml:space="preserve">  info                      : "This policy setting helps prevent Remote Desktop clients from saving passwords on a computer."</t>
  </si>
  <si>
    <t xml:space="preserve">  reference                 : "NIST 800-53r5|IA-5(13)"</t>
  </si>
  <si>
    <t xml:space="preserve">  powershell_args           : "$p = Get-ItemProperty -Path 'Registry::HKEY_LOCAL_MACHINE\Software\Policies\Microsoft\Windows NT\Terminal Services' -ErrorAction SilentlyContinue; $val = if ($p -and $p.PSObject.Properties['DisablePasswordSaving'] -ne $null) { [int]$p.'DisablePasswordSaving' } else { 0 }; [string]$val"</t>
  </si>
  <si>
    <t xml:space="preserve">  description               : "1.0148 - MSWRK - Ensure Do not delete temp folders upon exit is set to Disabled"</t>
  </si>
  <si>
    <t xml:space="preserve">  info                      : "This policy setting specifies whether Remote Desktop Services retains a user's per-session temporary folders at logoff."</t>
  </si>
  <si>
    <t xml:space="preserve">  reference                 : "NIST 800-53r5|AU-11 SI-12"</t>
  </si>
  <si>
    <t xml:space="preserve">  powershell_args           : "$p = Get-ItemProperty -Path 'Registry::HKEY_LOCAL_MACHINE\Software\Policies\Microsoft\Windows NT\Terminal Services' -ErrorAction SilentlyContinue; $val = if ($p -and $p.PSObject.Properties['DeleteTempDirsOnExit'] -ne $null) { [int]$p.'DeleteTempDirsOnExit' } else { 0 }; [string]$val"</t>
  </si>
  <si>
    <t xml:space="preserve">  description               : "1.0149 - MSWRK - Ensure Do not allow drive redirection is set to Enabled"</t>
  </si>
  <si>
    <t xml:space="preserve">  info                      : "This policy setting prevents users from sharing the local drives on their client computers to Remote Desktop Servers that they access."</t>
  </si>
  <si>
    <t xml:space="preserve">  powershell_args           : "$p = Get-ItemProperty -Path 'Registry::HKEY_LOCAL_MACHINE\Software\Policies\Microsoft\Windows NT\Terminal Services' -ErrorAction SilentlyContinue; $val = if ($p -and $p.PSObject.Properties['fDisableCdm'] -ne $null) { [int]$p.'fDisableCdm' } else { 0 }; [string]$val"</t>
  </si>
  <si>
    <t xml:space="preserve">  description               : "1.0150 - MSWRK - Ensure Always prompt for password upon connection is set to Enabled"</t>
  </si>
  <si>
    <t xml:space="preserve">  info                      : "This policy setting specifies whether Remote Desktop Services always prompts the client computer for a password upon connection."</t>
  </si>
  <si>
    <t xml:space="preserve">  powershell_args           : "$p = Get-ItemProperty -Path 'Registry::HKEY_LOCAL_MACHINE\Software\Policies\Microsoft\Windows NT\Terminal Services' -ErrorAction SilentlyContinue; $val = if ($p -and $p.PSObject.Properties['fPromptForPassword'] -ne $null) { [int]$p.'fPromptForPassword' } else { 0 }; [string]$val"</t>
  </si>
  <si>
    <t xml:space="preserve">  description               : "1.0151 - MSWRK - Ensure Require secure RPC communication is set to Enabled"</t>
  </si>
  <si>
    <t xml:space="preserve">  info                      : "This policy setting allows you to specify whether Remote Desktop Services requires secure Remote Procedure Call (RPC) communication with all clients or allows unsecured communication."</t>
  </si>
  <si>
    <t xml:space="preserve">  reference                 : "NIST 800-53r5|AC-17(2) IA-5 IA-5(1) SC-8 SC-8(1)"</t>
  </si>
  <si>
    <t xml:space="preserve">  powershell_args           : "$p = Get-ItemProperty -Path 'Registry::HKEY_LOCAL_MACHINE\Software\Policies\Microsoft\Windows NT\Terminal Services' -ErrorAction SilentlyContinue; $val = if ($p -and $p.PSObject.Properties['fEncryptRPCTraffic'] -ne $null) { [int]$p.'fEncryptRPCTraffic' } else { 0 }; [string]$val"</t>
  </si>
  <si>
    <t xml:space="preserve">  description               : "1.0152 - MSWRK - Ensure Require use of specific security layer for remote (RDP) connections is set to Enabled: SSL"</t>
  </si>
  <si>
    <t xml:space="preserve">  info                      : "This policy setting specifies whether to require the use of a specific security layer to secure communications between clients and RD Session Host servers during Remote Desktop Protocol (RDP) connections."</t>
  </si>
  <si>
    <t xml:space="preserve">  powershell_args           : "$p = Get-ItemProperty -Path 'Registry::HKEY_LOCAL_MACHINE\Software\Policies\Microsoft\Windows NT\Terminal Services' -ErrorAction SilentlyContinue; $val = if ($p -and $p.PSObject.Properties['SecurityLayer'] -ne $null) { [int]$p.'SecurityLayer' } else { 0 }; [string]$val"</t>
  </si>
  <si>
    <t xml:space="preserve">  description               : "1.0153 - MSWRK - Ensure Require user authentication for remote connections by using Network Level Authentication is set to Enabled"</t>
  </si>
  <si>
    <t xml:space="preserve">  info                      : "This policy setting allows you to specify whether to require user authentication for remote connections to the RD Session Host server by using Network Level Authentication."</t>
  </si>
  <si>
    <t xml:space="preserve">  powershell_args           : "$p = Get-ItemProperty -Path 'Registry::HKEY_LOCAL_MACHINE\Software\Policies\Microsoft\Windows NT\Terminal Services' -ErrorAction SilentlyContinue; $val = if ($p -and $p.PSObject.Properties['UserAuthentication'] -ne $null) { [int]$p.'UserAuthentication' } else { 0 }; [string]$val"</t>
  </si>
  <si>
    <t xml:space="preserve">  description               : "1.0154 - MSWRK - Ensure Set client connection encryption level is set to Enabled: High Level"</t>
  </si>
  <si>
    <t xml:space="preserve">  info                      : "This policy setting specifies whether to require the use of a specific encryption level to secure communications between client computers and RD Session Host servers during Remote Desktop Protocol (RDP) connections."</t>
  </si>
  <si>
    <t xml:space="preserve">  value_data                : "3"</t>
  </si>
  <si>
    <t xml:space="preserve">  powershell_args           : "$p = Get-ItemProperty -Path 'Registry::HKEY_LOCAL_MACHINE\Software\Policies\Microsoft\Windows NT\Terminal Services' -ErrorAction SilentlyContinue; $val = if ($p -and $p.PSObject.Properties['MinEncryptionLevel'] -ne $null) { [int]$p.'MinEncryptionLevel' } else { 0 }; [string]$val"</t>
  </si>
  <si>
    <t xml:space="preserve">  description               : "1.0155 - MSWRK - Ensure Prevent downloading of enclosures is set to Enabled"</t>
  </si>
  <si>
    <t xml:space="preserve">  info                      : "This policy setting prevents the user from having enclosures (file attachments) downloaded from an RSS feed to the user's computer."</t>
  </si>
  <si>
    <t xml:space="preserve">  reference                 : "NIST 800-53r5|CM-10 CM-11 SC-18"</t>
  </si>
  <si>
    <t xml:space="preserve">  powershell_args           : "$p = Get-ItemProperty -Path 'Registry::HKEY_LOCAL_MACHINE\Software\Policies\Microsoft\Internet Explorer\Feeds' -ErrorAction SilentlyContinue; $val = if ($p -and $p.PSObject.Properties['DisableEnclosureDownload'] -ne $null) { [int]$p.'DisableEnclosureDownload' } else { 0 }; [string]$val"</t>
  </si>
  <si>
    <t xml:space="preserve">  description               : "1.0156 - MSWRK - Ensure Allow Cortana is set to Disabled"</t>
  </si>
  <si>
    <t xml:space="preserve">  info                      : "This policy setting specifies whether Cortana is allowed on the device."</t>
  </si>
  <si>
    <t xml:space="preserve">  powershell_args           : "$p = Get-ItemProperty -Path 'Registry::HKEY_LOCAL_MACHINE\Software\Policies\Microsoft\Windows\Windows Search' -ErrorAction SilentlyContinue; $val = if ($p -and $p.PSObject.Properties['AllowCortana'] -ne $null) { [int]$p.'AllowCortana' } else { 0 }; [string]$val"</t>
  </si>
  <si>
    <t xml:space="preserve">  description               : "1.0157 - MSWRK - Ensure Allow Cortana above lock screen is set to Disabled"</t>
  </si>
  <si>
    <t xml:space="preserve">  info                      : "This policy setting determines whether or not the user can interact with Cortana using speech while the system is locked."</t>
  </si>
  <si>
    <t xml:space="preserve">  powershell_args           : "$p = Get-ItemProperty -Path 'Registry::HKEY_LOCAL_MACHINE\Software\Policies\Microsoft\Windows\Windows Search' -ErrorAction SilentlyContinue; $val = if ($p -and $p.PSObject.Properties['AllowCortanaAboveLock'] -ne $null) { [int]$p.'AllowCortanaAboveLock' } else { 0 }; [string]$val"</t>
  </si>
  <si>
    <t xml:space="preserve">  description               : "1.0158 - MSWRK - Ensure Allow indexing of encrypted files is set to Disabled"</t>
  </si>
  <si>
    <t xml:space="preserve">  info                      : "This policy setting controls whether encrypted items are allowed to be indexed."</t>
  </si>
  <si>
    <t xml:space="preserve">  powershell_args           : "$p = Get-ItemProperty -Path 'Registry::HKEY_LOCAL_MACHINE\Software\Policies\Microsoft\Windows\Windows Search' -ErrorAction SilentlyContinue; $val = if ($p -and $p.PSObject.Properties['AllowIndexingEncryptedStoresOrItems'] -ne $null) { [int]$p.'AllowIndexingEncryptedStoresOrItems' } else { 0 }; [string]$val"</t>
  </si>
  <si>
    <t xml:space="preserve">  description               : "1.0159 - MSWRK - Ensure Allow search and Cortana to use location is set to Disabled"</t>
  </si>
  <si>
    <t xml:space="preserve">  info                      : "This policy setting specifies whether search and Cortana can provide location aware search and Cortana results."</t>
  </si>
  <si>
    <t xml:space="preserve">  powershell_args           : "$p = Get-ItemProperty -Path 'Registry::HKEY_LOCAL_MACHINE\Software\Policies\Microsoft\Windows\Windows Search' -ErrorAction SilentlyContinue; $val = if ($p -and $p.PSObject.Properties['AllowSearchToUseLocation'] -ne $null) { [int]$p.'AllowSearchToUseLocation' } else { 0 }; [string]$val"</t>
  </si>
  <si>
    <t xml:space="preserve">  description               : "1.0160 - MSWRK - Ensure Allow Microsoft accounts to be optional is set to Enabled"</t>
  </si>
  <si>
    <t xml:space="preserve">  info                      : "This policy setting lets you control whether Microsoft accounts are optional for Windows Store apps that require an account to sign in."</t>
  </si>
  <si>
    <t xml:space="preserve">  powershell_args           : "$p = Get-ItemProperty -Path 'Registry::HKEY_LOCAL_MACHINE\Software\Microsoft\Windows\CurrentVersion\Policies\System' -ErrorAction SilentlyContinue; $val = if ($p -and $p.PSObject.Properties['MSAOptional'] -ne $null) { [int]$p.'MSAOptional' } else { 0 }; [string]$val"</t>
  </si>
  <si>
    <t xml:space="preserve">  description               : "1.0161 - MSWRK - Ensure Turn off Automatic Download and Install of updates is set to Disabled"</t>
  </si>
  <si>
    <t xml:space="preserve">  info                      : "This setting enables or disables the automatic download and installation of Microsoft Store app updates."</t>
  </si>
  <si>
    <t xml:space="preserve">  value_data                : "4"</t>
  </si>
  <si>
    <t xml:space="preserve">  powershell_args           : "$p = Get-ItemProperty -Path 'Registry::HKEY_LOCAL_MACHINE\Software\Policies\Microsoft\WindowsStore' -ErrorAction SilentlyContinue; $val = if ($p -and $p.PSObject.Properties['AutoDownload'] -ne $null) { [int]$p.'AutoDownload' } else { 0 }; [string]$val"</t>
  </si>
  <si>
    <t xml:space="preserve">  description               : "1.0162 - MSWRK - Ensure Turn off the offer to update to the latest version of Windows is set to Enabled"</t>
  </si>
  <si>
    <t xml:space="preserve">  info                      : "Enables or disables the Microsoft Store offer to update to the latest version of Windows."</t>
  </si>
  <si>
    <t xml:space="preserve">  powershell_args           : "$p = Get-ItemProperty -Path 'Registry::HKEY_LOCAL_MACHINE\Software\Policies\Microsoft\WindowsStore' -ErrorAction SilentlyContinue; $val = if ($p -and $p.PSObject.Properties['DisableOSUpgrade'] -ne $null) { [int]$p.'DisableOSUpgrade' } else { 0 }; [string]$val"</t>
  </si>
  <si>
    <t xml:space="preserve">  description               : "1.0163 - MSWRK - Ensure Allow Recall to be enabled is set to Disabled"</t>
  </si>
  <si>
    <t xml:space="preserve">  info                      : "This policy setting controls whether the Recall optional component is available for end users to enable on the system."</t>
  </si>
  <si>
    <t xml:space="preserve">  powershell_args           : "$p = Get-ItemProperty -Path 'Registry::HKEY_LOCAL_MACHINE\Software\Policies\Microsoft\Windows\WindowsAI' -ErrorAction SilentlyContinue; $val = if ($p -and $p.PSObject.Properties['AllowRecallEnablement'] -ne $null) { [int]$p.'AllowRecallEnablement' } else { 0 }; [string]$val"</t>
  </si>
  <si>
    <t xml:space="preserve">  description               : "1.0164 - MSWRK - Ensure Automatic Data Collection is set to Enabled"</t>
  </si>
  <si>
    <t xml:space="preserve">  info                      : "This policy setting determines whether Enhanced Phishing Protection can collect additional information such as content displayed, sounds played, and application memory when users enter their work or school password into a suspicious website or app."</t>
  </si>
  <si>
    <t xml:space="preserve">  powershell_args           : "$p = Get-ItemProperty -Path 'Registry::HKEY_LOCAL_MACHINE\Software\Policies\Microsoft\Windows\WTDS\Components' -ErrorAction SilentlyContinue; $val = if ($p -and $p.PSObject.Properties['CaptureThreatWindow'] -ne $null) { [int]$p.'CaptureThreatWindow' } else { 0 }; [string]$val"</t>
  </si>
  <si>
    <t xml:space="preserve">  description               : "1.0165 - MSWRK - Ensure Notify Malicious is set to Enabled"</t>
  </si>
  <si>
    <t xml:space="preserve">  info                      : "This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t>
  </si>
  <si>
    <t xml:space="preserve">  powershell_args           : "$p = Get-ItemProperty -Path 'Registry::HKEY_LOCAL_MACHINE\Software\Policies\Microsoft\Windows\WTDS\Components' -ErrorAction SilentlyContinue; $val = if ($p -and $p.PSObject.Properties['NotifyMalicious'] -ne $null) { [int]$p.'NotifyMalicious' } else { 0 }; [string]$val"</t>
  </si>
  <si>
    <t xml:space="preserve">  description               : "1.0166 - MSWRK - Ensure Notify Password Reuse is set to Enabled"</t>
  </si>
  <si>
    <t xml:space="preserve">  info                      : "This policy setting determines whether Enhanced Phishing Protection in Microsoft Defender SmartScreen warns users if they reuse their work or school password."</t>
  </si>
  <si>
    <t xml:space="preserve">  powershell_args           : "$p = Get-ItemProperty -Path 'Registry::HKEY_LOCAL_MACHINE\Software\Policies\Microsoft\Windows\WTDS\Components' -ErrorAction SilentlyContinue; $val = if ($p -and $p.PSObject.Properties['NotifyPasswordReuse'] -ne $null) { [int]$p.'NotifyPasswordReuse' } else { 0 }; [string]$val"</t>
  </si>
  <si>
    <t xml:space="preserve">  description               : "1.0167 - MSWRK - Ensure Notify Unsafe App is set to Enabled"</t>
  </si>
  <si>
    <t xml:space="preserve">  info                      : "This policy setting determines whether Enhanced Phishing Protection in Microsoft Defender SmartScreen warns users if they type their work or school passwords in Notepad, WordPad, or M365 Office apps like OneNote, Word, Excel, etc."</t>
  </si>
  <si>
    <t xml:space="preserve">  powershell_args           : "$p = Get-ItemProperty -Path 'Registry::HKEY_LOCAL_MACHINE\Software\Policies\Microsoft\Windows\WTDS\Components' -ErrorAction SilentlyContinue; $val = if ($p -and $p.PSObject.Properties['NotifyUnsafeApp'] -ne $null) { [int]$p.'NotifyUnsafeApp' } else { 0 }; [string]$val"</t>
  </si>
  <si>
    <t xml:space="preserve">  description               : "1.0168 - MSWRK - Ensure Service Enabled is set to Enabled"</t>
  </si>
  <si>
    <t xml:space="preserve">  info                      : "This policy setting determines whether Enhanced Phishing Protection is in audit mode."</t>
  </si>
  <si>
    <t xml:space="preserve">  powershell_args           : "$p = Get-ItemProperty -Path 'Registry::HKEY_LOCAL_MACHINE\Software\Policies\Microsoft\Windows\WTDS\Components' -ErrorAction SilentlyContinue; $val = if ($p -and $p.PSObject.Properties['ServiceEnabled'] -ne $null) { [int]$p.'ServiceEnabled' } else { 0 }; [string]$val"</t>
  </si>
  <si>
    <t xml:space="preserve">  description               : "1.0169 - MSWRK - Ensure ShellSmartScreenLevel is Windows: Registry Value to Block"</t>
  </si>
  <si>
    <t xml:space="preserve">  value_data                : "Block"</t>
  </si>
  <si>
    <t xml:space="preserve">  powershell_args           : "$p = Get-ItemProperty -Path 'Registry::HKEY_LOCAL_MACHINE\SOFTWARE\Policies\Microsoft\Windows\System' -ErrorAction SilentlyContinue; $raw = if ($p -and $p.PSObject.Properties['ShellSmartScreenLevel'] -ne $null) { [string]$p.'ShellSmartScreenLevel' } else { $null }; if ($raw) { $raw } else { 'NOT_FOUND' }"</t>
  </si>
  <si>
    <t xml:space="preserve">  description               : "1.0170 - MSWRK - EnableSmartScreen"</t>
  </si>
  <si>
    <t xml:space="preserve">  powershell_args           : "$p = Get-ItemProperty -Path 'Registry::HKEY_LOCAL_MACHINE\Software\Policies\Microsoft\Windows\System' -ErrorAction SilentlyContinue; $val = if ($p -and $p.PSObject.Properties['EnableSmartScreen'] -ne $null) { [int]$p.'EnableSmartScreen' } else { 0 }; [string]$val"</t>
  </si>
  <si>
    <t xml:space="preserve">  description               : "1.0171 - MSWRK - Ensure Enables or disables Windows Game Recording and Broadcasting is set to Disabled"</t>
  </si>
  <si>
    <t xml:space="preserve">  info                      : "This setting enables or disables the Windows Game Recording and Broadcasting features."</t>
  </si>
  <si>
    <t xml:space="preserve">  powershell_args           : "$p = Get-ItemProperty -Path 'Registry::HKEY_LOCAL_MACHINE\Software\Policies\Microsoft\Windows\GameDVR' -ErrorAction SilentlyContinue; $val = if ($p -and $p.PSObject.Properties['AllowGameDVR'] -ne $null) { [int]$p.'AllowGameDVR' } else { 0 }; [string]$val"</t>
  </si>
  <si>
    <t xml:space="preserve">  description               : "1.0172 - MSWRK - Ensure Enable ESS with Supported Peripherals is set to Enabled: 1"</t>
  </si>
  <si>
    <t xml:space="preserve">  info                      : "Enhanced Sign-in Security isolates Windows Hello biometric (face and fingerprint) template data and matching operations to trusted hardware or specified memory regions."</t>
  </si>
  <si>
    <t xml:space="preserve">  powershell_args           : "$p = Get-ItemProperty -Path 'Registry::HKEY_LOCAL_MACHINE\Software\Microsoft\Policies\PassportForWork\Biometrics' -ErrorAction SilentlyContinue; $val = if ($p -and $p.PSObject.Properties['EnableESSwithSupportedPeripherals'] -ne $null) { [int]$p.'EnableESSwithSupportedPeripherals' } else { 0 }; [string]$val"</t>
  </si>
  <si>
    <t xml:space="preserve">  description               : "1.0173 - MSWRK - Ensure Disallow Autoplay for non-volume devices is set to Enabled"</t>
  </si>
  <si>
    <t xml:space="preserve">  info                      : "This policy setting disallows AutoPlay for MTP devices like cameras or phones."</t>
  </si>
  <si>
    <t xml:space="preserve">  powershell_args           : "$p = Get-ItemProperty -Path 'Registry::HKEY_LOCAL_MACHINE\Software\Policies\Microsoft\Windows\Explorer' -ErrorAction SilentlyContinue; $val = if ($p -and $p.PSObject.Properties['NoAutoplayfornonVolume'] -ne $null) { [int]$p.'NoAutoplayfornonVolume' } else { 0 }; [string]$val"</t>
  </si>
  <si>
    <t xml:space="preserve">  description               : "1.0174 - MSWRK - Ensure Allow Windows Ink Workspace is set to Enabled: On, but disallow access above lock OR Enabled: Disabled"</t>
  </si>
  <si>
    <t xml:space="preserve">  info                      : "This policy setting determines whether Windows Ink items are allowed above the lock screen."</t>
  </si>
  <si>
    <t xml:space="preserve">  powershell_args           : "$p = Get-ItemProperty -Path 'Registry::HKEY_LOCAL_MACHINE\SOFTWARE\Policies\Microsoft\WindowsInkWorkspace' -ErrorAction SilentlyContinue; $val = if ($p -and $p.PSObject.Properties['AllowWindowsInkWorkspace'] -ne $null) { [int]$p.'AllowWindowsInkWorkspace' } else { 0 }; [string]$val"</t>
  </si>
  <si>
    <t xml:space="preserve">  description               : "1.0175 - MSWRK - Ensure Set the default behavior for AutoRun is set to Enabled: Do not execute any autorun commands"</t>
  </si>
  <si>
    <t xml:space="preserve">  info                      : "This policy setting sets the default behavior for Autorun commands."</t>
  </si>
  <si>
    <t xml:space="preserve">  powershell_args           : "$p = Get-ItemProperty -Path 'Registry::HKEY_LOCAL_MACHINE\Software\Microsoft\Windows\CurrentVersion\Policies\Explorer' -ErrorAction SilentlyContinue; $val = if ($p -and $p.PSObject.Properties['NoAutorun'] -ne $null) { [int]$p.'NoAutorun' } else { 0 }; [string]$val"</t>
  </si>
  <si>
    <t xml:space="preserve">  description               : "1.0176 - MSWRK - Ensure Allow user control over installs is set to Disabled"</t>
  </si>
  <si>
    <t xml:space="preserve">  info                      : "This setting controls whether users are permitted to change installation options that typically are available only to system administrators."</t>
  </si>
  <si>
    <t xml:space="preserve">  powershell_args           : "$p = Get-ItemProperty -Path 'Registry::HKEY_LOCAL_MACHINE\Software\Policies\Microsoft\Windows\Installer' -ErrorAction SilentlyContinue; $val = if ($p -and $p.PSObject.Properties['EnableUserControl'] -ne $null) { [int]$p.'EnableUserControl' } else { 0 }; [string]$val"</t>
  </si>
  <si>
    <t xml:space="preserve">  description               : "1.0177 - MSWRK - Ensure Always install with elevated privileges is set to Disabled"</t>
  </si>
  <si>
    <t xml:space="preserve">  info                      : "This setting controls whether or not Windows Installer should use system permissions when it installs any program on the system."</t>
  </si>
  <si>
    <t xml:space="preserve">  reference                 : "NIST 800-53r5|AC-2(9)"</t>
  </si>
  <si>
    <t xml:space="preserve">  powershell_args           : "$p = Get-ItemProperty -Path 'Registry::HKEY_LOCAL_MACHINE\Software\Policies\Microsoft\Windows\Installer' -ErrorAction SilentlyContinue; $val = if ($p -and $p.PSObject.Properties['AlwaysInstallElevated'] -ne $null) { [int]$p.'AlwaysInstallElevated' } else { 0 }; [string]$val"</t>
  </si>
  <si>
    <t xml:space="preserve">  description               : "1.0178 - MSWRK - Ensure Turn off Autoplay is set to Enabled: All drives"</t>
  </si>
  <si>
    <t xml:space="preserve">  info                      : "This policy setting controls Autoplay."</t>
  </si>
  <si>
    <t xml:space="preserve">  value_data                : "255"</t>
  </si>
  <si>
    <t xml:space="preserve">  powershell_args           : "$p = Get-ItemProperty -Path 'Registry::HKEY_LOCAL_MACHINE\Software\Microsoft\Windows\CurrentVersion\Policies\Explorer' -ErrorAction SilentlyContinue; $val = if ($p -and $p.PSObject.Properties['NoDriveTypeAutoRun'] -ne $null) { [int]$p.'NoDriveTypeAutoRun' } else { 0 }; [string]$val"</t>
  </si>
  <si>
    <t xml:space="preserve">  description               : "1.0179 - MSWRK - Ensure Configure the transmission of the users password in the content of MPR notifications sent by winlogon. is set to Disabled"</t>
  </si>
  <si>
    <t xml:space="preserve">  info                      : "This policy setting controls whether winlogon includes a user's password in the content of Multiple Provider Router (MPR) notifications."</t>
  </si>
  <si>
    <t xml:space="preserve">  powershell_args           : "$p = Get-ItemProperty -Path 'Registry::HKEY_LOCAL_MACHINE\Software\Microsoft\Windows\CurrentVersion\Policies\System' -ErrorAction SilentlyContinue; $val = if ($p -and $p.PSObject.Properties['EnableMPR'] -ne $null) { [int]$p.'EnableMPR' } else { 0 }; [string]$val"</t>
  </si>
  <si>
    <t xml:space="preserve">  description               : "1.0180 - MSWRK - Ensure Sign-in and lock last interactive user automatically after a restart is set to Disabled"</t>
  </si>
  <si>
    <t xml:space="preserve">  info                      : "This policy setting controls whether a device will automatically sign-in the last interactive user after Windows Update restarts the system."</t>
  </si>
  <si>
    <t xml:space="preserve">  reference                 : "NIST 800-53r5|AC-11"</t>
  </si>
  <si>
    <t xml:space="preserve">  powershell_args           : "$p = Get-ItemProperty -Path 'Registry::HKEY_LOCAL_MACHINE\Software\Microsoft\Windows\CurrentVersion\Policies\System' -ErrorAction SilentlyContinue; $val = if ($p -and $p.PSObject.Properties['DisableAutomaticRestartSignOn'] -ne $null) { [int]$p.'DisableAutomaticRestartSignOn' } else { 0 }; [string]$val"</t>
  </si>
  <si>
    <t xml:space="preserve">  description               : "1.0181 - MSWRK - Ensure Allow Basic authentication is set to Disabled - Client"</t>
  </si>
  <si>
    <t xml:space="preserve">  info                      : "This policy setting allows you to manage whether the Windows Remote Management (WinRM) client uses Basic authentication."</t>
  </si>
  <si>
    <t xml:space="preserve">  powershell_args           : "$p = Get-ItemProperty -Path 'Registry::HKEY_LOCAL_MACHINE\Software\Policies\Microsoft\Windows\WinRM\Client' -ErrorAction SilentlyContinue; $val = if ($p -and $p.PSObject.Properties['AllowBasic'] -ne $null) { [int]$p.'AllowBasic' } else { 0 }; [string]$val"</t>
  </si>
  <si>
    <t xml:space="preserve">  description               : "1.0182 - MSWRK - Ensure Allow unencrypted traffic is set to Disabled - Client"</t>
  </si>
  <si>
    <t xml:space="preserve">  info                      : "This policy setting allows you to manage whether the Windows Remote Management (WinRM) client sends and receives unencrypted messages over the network."</t>
  </si>
  <si>
    <t xml:space="preserve">  powershell_args           : "$p = Get-ItemProperty -Path 'Registry::HKEY_LOCAL_MACHINE\Software\Policies\Microsoft\Windows\WinRM\Client' -ErrorAction SilentlyContinue; $val = if ($p -and $p.PSObject.Properties['AllowUnencryptedTraffic'] -ne $null) { [int]$p.'AllowUnencryptedTraffic' } else { 0 }; [string]$val"</t>
  </si>
  <si>
    <t xml:space="preserve">  description               : "1.0183 - MSWRK - Ensure Disallow Digest authentication is set to Enabled"</t>
  </si>
  <si>
    <t xml:space="preserve">  info                      : "This policy setting allows you to manage whether the Windows Remote Management (WinRM) client will not use Digest authentication."</t>
  </si>
  <si>
    <t xml:space="preserve">  powershell_args           : "$p = Get-ItemProperty -Path 'Registry::HKEY_LOCAL_MACHINE\Software\Policies\Microsoft\Windows\WinRM\Client' -ErrorAction SilentlyContinue; $val = if ($p -and $p.PSObject.Properties['AllowDigest'] -ne $null) { [int]$p.'AllowDigest' } else { 0 }; [string]$val"</t>
  </si>
  <si>
    <t xml:space="preserve">  description               : "1.0184 - MSWRK - Ensure Allow Basic authentication is set to Disabled - Service"</t>
  </si>
  <si>
    <t xml:space="preserve">  info                      : "This policy setting allows you to manage whether the Windows Remote Management (WinRM) service accepts Basic authentication from a remote client."</t>
  </si>
  <si>
    <t xml:space="preserve">  powershell_args           : "$p = Get-ItemProperty -Path 'Registry::HKEY_LOCAL_MACHINE\Software\Policies\Microsoft\Windows\WinRM\Service' -ErrorAction SilentlyContinue; $val = if ($p -and $p.PSObject.Properties['AllowBasic'] -ne $null) { [int]$p.'AllowBasic' } else { 0 }; [string]$val"</t>
  </si>
  <si>
    <t xml:space="preserve">  description               : "1.0185 - MSWRK - Ensure Allow unencrypted traffic is set to Disabled - Service"</t>
  </si>
  <si>
    <t xml:space="preserve">  info                      : "This policy setting allows you to manage whether the Windows Remote Management (WinRM) service sends and receives unencrypted messages over the network."</t>
  </si>
  <si>
    <t xml:space="preserve">  powershell_args           : "$p = Get-ItemProperty -Path 'Registry::HKEY_LOCAL_MACHINE\SOFTWARE\Policies\Microsoft\Windows\WinRM\Service' -ErrorAction SilentlyContinue; $val = if ($p -and $p.PSObject.Properties['AllowUnencryptedTraffic'] -ne $null) { [int]$p.'AllowUnencryptedTraffic' } else { 0 }; [string]$val"</t>
  </si>
  <si>
    <t xml:space="preserve">  description               : "1.0186 - MSWRK - Ensure Disallow WinRM from storing RunAs credentials is set to Enabled"</t>
  </si>
  <si>
    <t xml:space="preserve">  info                      : "This policy setting allows you to manage whether the Windows Remote Management (WinRM) service will allow RunAs credentials to be stored for any plug-ins."</t>
  </si>
  <si>
    <t xml:space="preserve">  reference                 : "NIST 800-53r5|SC-7(21)"</t>
  </si>
  <si>
    <t xml:space="preserve">  powershell_args           : "$p = Get-ItemProperty -Path 'Registry::HKEY_LOCAL_MACHINE\Software\Policies\Microsoft\Windows\WinRM\Service' -ErrorAction SilentlyContinue; $val = if ($p -and $p.PSObject.Properties['DisableRunAs'] -ne $null) { [int]$p.'DisableRunAs' } else { 0 }; [string]$val"</t>
  </si>
  <si>
    <t xml:space="preserve">  description               : "1.0187 - MSWRK - Ensure Configure enhanced anti-spoofing is set to Enabled"</t>
  </si>
  <si>
    <t xml:space="preserve">  info                      : "This policy setting determines whether enhanced anti-spoofing is configured for devices which support it."</t>
  </si>
  <si>
    <t xml:space="preserve">  reference                 : "NIST 800-53r5|SC-39 SI-16"</t>
  </si>
  <si>
    <t xml:space="preserve">  powershell_args           : "$p = Get-ItemProperty -Path 'Registry::HKEY_LOCAL_MACHINE\Software\Policies\Microsoft\Biometrics\FacialFeatures' -ErrorAction SilentlyContinue; $val = if ($p -and $p.PSObject.Properties['EnhancedAntiSpoofing'] -ne $null) { [int]$p.'EnhancedAntiSpoofing' } else { 0 }; [string]$val"</t>
  </si>
  <si>
    <t xml:space="preserve">  description               : "1.0188 - MSWRK - Ensure Allow clipboard sharing with Windows Sandbox is set to Disabled"</t>
  </si>
  <si>
    <t xml:space="preserve">  info                      : "This policy setting enables or disables clipboard sharing with the Windows Sandbox."</t>
  </si>
  <si>
    <t xml:space="preserve">  powershell_args           : "$p = Get-ItemProperty -Path 'Registry::HKEY_LOCAL_MACHINE\Software\Policies\Microsoft\Windows\Sandbox' -ErrorAction SilentlyContinue; $val = if ($p -and $p.PSObject.Properties['AllowClipboardRedirection'] -ne $null) { [int]$p.'AllowClipboardRedirection' } else { 0 }; [string]$val"</t>
  </si>
  <si>
    <t xml:space="preserve">  description               : "1.0189 - MSWRK - Ensure Allow networking in Windows Sandbox is set to Disabled"</t>
  </si>
  <si>
    <t xml:space="preserve">  info                      : "This policy setting enables or disables networking in the Windows Sandbox."</t>
  </si>
  <si>
    <t xml:space="preserve">  powershell_args           : "$p = Get-ItemProperty -Path 'Registry::HKEY_LOCAL_MACHINE\Software\Policies\Microsoft\Windows\Sandbox' -ErrorAction SilentlyContinue; $val = if ($p -and $p.PSObject.Properties['AllowNetworking'] -ne $null) { [int]$p.'AllowNetworking' } else { 0 }; [string]$val"</t>
  </si>
  <si>
    <t xml:space="preserve">  description               : "1.0190 - MSWRK - Ensure Prevent users from modifying settings is set to Enabled"</t>
  </si>
  <si>
    <t xml:space="preserve">  info                      : "This policy setting prevent users from making changes to the Exploit protection settings area in the Windows Security settings."</t>
  </si>
  <si>
    <t xml:space="preserve">  powershell_args           : "$p = Get-ItemProperty -Path 'Registry::HKEY_LOCAL_MACHINE\Software\Policies\Microsoft\Windows Defender Security Center\App and Browser protection' -ErrorAction SilentlyContinue; $val = if ($p -and $p.PSObject.Properties['DisallowExploitProtectionOverride'] -ne $null) { [int]$p.'DisallowExploitProtectionOverride' } else { 0 }; [string]$val"</t>
  </si>
  <si>
    <t xml:space="preserve">  description               : "1.0191 - MSWRK - Ensure No auto-restart with logged on users for scheduled automatic updates installations is set to Disabled"</t>
  </si>
  <si>
    <t xml:space="preserve">  info                      : "This policy setting specifies that Automatic Updates will wait for computers to be restarted by the users who are logged on to them to complete a scheduled installation."</t>
  </si>
  <si>
    <t xml:space="preserve">  powershell_args           : "$p = Get-ItemProperty -Path 'Registry::HKEY_LOCAL_MACHINE\Software\Policies\Microsoft\Windows\WindowsUpdate\AU' -ErrorAction SilentlyContinue; $val = if ($p -and $p.PSObject.Properties['NoAutoRebootWithLoggedOnUsers'] -ne $null) { [int]$p.'NoAutoRebootWithLoggedOnUsers' } else { 0 }; [string]$val"</t>
  </si>
  <si>
    <t xml:space="preserve">  description               : "1.0192 - MSWRK - Ensure Configure Automatic Updates is set to Enabled"</t>
  </si>
  <si>
    <t xml:space="preserve">  info                      : "This policy setting specifies whether computers in your environment will receive security updates from Windows Update or WSUS."</t>
  </si>
  <si>
    <t xml:space="preserve">  powershell_args           : "$p = Get-ItemProperty -Path 'Registry::HKEY_LOCAL_MACHINE\Software\Policies\Microsoft\Windows\WindowsUpdate\AU' -ErrorAction SilentlyContinue; $val = if ($p -and $p.PSObject.Properties['NoAutoUpdate'] -ne $null) { [int]$p.'NoAutoUpdate' } else { 0 }; [string]$val"</t>
  </si>
  <si>
    <t xml:space="preserve">  description               : "1.0193 - MSWRK - Ensure Configure Automatic Updates: Scheduled install day is set to 0 - Every day"</t>
  </si>
  <si>
    <t xml:space="preserve">  info                      : "This policy setting specifies when computers in your environment will receive security updates from Windows Update or WSUS."</t>
  </si>
  <si>
    <t xml:space="preserve">  powershell_args           : "$p = Get-ItemProperty -Path 'Registry::HKEY_LOCAL_MACHINE\Software\Policies\Microsoft\Windows\WindowsUpdate\AU' -ErrorAction SilentlyContinue; $val = if ($p -and $p.PSObject.Properties['ScheduledInstallDay'] -ne $null) { [int]$p.'ScheduledInstallDay' } else { 0 }; [string]$val"</t>
  </si>
  <si>
    <t xml:space="preserve">  description               : "1.0194 - MSWRK - Ensure Enable features introduced via servicing that are off by default is set to Disabled"</t>
  </si>
  <si>
    <t xml:space="preserve">  info                      : "This policy settings configures whether or not features and enhancements that are introduced through monthly cumulative updates (servicing), are enabled on the system."</t>
  </si>
  <si>
    <t xml:space="preserve">  powershell_args           : "$p = Get-ItemProperty -Path 'Registry::HKEY_LOCAL_MACHINE\Software\Policies\Microsoft\Windows\WindowsUpdate' -ErrorAction SilentlyContinue; $val = if ($p -and $p.PSObject.Properties['AllowTemporaryEnterpriseFeatureControl'] -ne $null) { [int]$p.'AllowTemporaryEnterpriseFeatureControl' } else { 0 }; [string]$val"</t>
  </si>
  <si>
    <t xml:space="preserve">  description               : "1.0195 - MSWRK - 18.10.94.2.4 Ensure \Remove access to \Pause updates\ feature\ is set to \Enabled\"</t>
  </si>
  <si>
    <t xml:space="preserve">  info                      : "This policy removes access to \'Pause updates\' feature."</t>
  </si>
  <si>
    <t xml:space="preserve">  powershell_args           : "$p = Get-ItemProperty -Path 'Registry::HKEY_LOCAL_MACHINE\Software\Policies\Microsoft\Windows\WindowsUpdate' -ErrorAction SilentlyContinue; $val = if ($p -and $p.PSObject.Properties['SetDisablePauseUXAccess'] -ne $null) { [int]$p.'SetDisablePauseUXAccess' } else { 0 }; [string]$val"</t>
  </si>
  <si>
    <t xml:space="preserve">  description               : "1.0196 - MSWRK - Ensure Manage preview builds is set to Disabled"</t>
  </si>
  <si>
    <t xml:space="preserve">  info                      : "This policy setting manages which updates that are received prior to the update being released."</t>
  </si>
  <si>
    <t xml:space="preserve">  powershell_args           : "$p = Get-ItemProperty -Path 'Registry::HKEY_LOCAL_MACHINE\Software\Policies\Microsoft\Windows\WindowsUpdate' -ErrorAction SilentlyContinue; $val = if ($p -and $p.PSObject.Properties['ManagePreviewBuildsPolicyValue'] -ne $null) { [int]$p.'ManagePreviewBuildsPolicyValue' } else { 0 }; [string]$val"</t>
  </si>
  <si>
    <t xml:space="preserve">  description               : "1.0197 - MSWRK - Value of DeferQualityUpdatesPeriodInDays"</t>
  </si>
  <si>
    <t xml:space="preserve">  powershell_args           : "$p = Get-ItemProperty -Path 'Registry::HKEY_LOCAL_MACHINE\Software\Policies\Microsoft\Windows\WindowsUpdate' -ErrorAction SilentlyContinue; $val = if ($p -and $p.PSObject.Properties['DeferQualityUpdatesPeriodInDays'] -ne $null) { [int]$p.'DeferQualityUpdatesPeriodInDays' } else { 0 }; [string]$val"</t>
  </si>
  <si>
    <t xml:space="preserve">  description               : "1.0198 - MSWRK - Value of DeferQualityUpdates"</t>
  </si>
  <si>
    <t xml:space="preserve">  powershell_args           : "$p = Get-ItemProperty -Path 'Registry::HKEY_LOCAL_MACHINE\Software\Policies\Microsoft\Windows\WindowsUpdate' -ErrorAction SilentlyContinue; $val = if ($p -and $p.PSObject.Properties['DeferQualityUpdates'] -ne $null) { [int]$p.'DeferQualityUpdates' } else { 0 }; [string]$val"</t>
  </si>
  <si>
    <t xml:space="preserve">  description               : "1.0199 - MSWRK - Ensure Enable optional updates is set to Disabled"</t>
  </si>
  <si>
    <t xml:space="preserve">  info                      : "This policy setting controls whether devices are able to receive optional updates (including Controlled Feature Rollout (CFRs))."</t>
  </si>
  <si>
    <t xml:space="preserve">  powershell_args           : "$p = Get-ItemProperty -Path 'Registry::HKEY_LOCAL_MACHINE\Software\Policies\Microsoft\Windows\WindowsUpdate' -ErrorAction SilentlyContinue; $val = if ($p -and $p.PSObject.Properties['SetAllowOptionalContent'] -ne $null) { [int]$p.'SetAllowOptionalContent' } else { 0 }; [string]$val"</t>
  </si>
  <si>
    <t xml:space="preserve">  description               : "1.0200 - MSWRK - Ensure Prevent enabling lock screen camera is set to Enabled"</t>
  </si>
  <si>
    <t xml:space="preserve">  info                      : "Disables the lock screen camera toggle switch in PC Settings and prevents a camera from being invoked on the lock screen."</t>
  </si>
  <si>
    <t xml:space="preserve">  powershell_args           : "$p = Get-ItemProperty -Path 'Registry::HKEY_LOCAL_MACHINE\Software\Policies\Microsoft\Windows\Personalization' -ErrorAction SilentlyContinue; $val = if ($p -and $p.PSObject.Properties['NoLockScreenCamera'] -ne $null) { [int]$p.'NoLockScreenCamera' } else { 0 }; [string]$val"</t>
  </si>
  <si>
    <t xml:space="preserve">  description               : "1.0201 - MSWRK - Ensure Disable HTTP proxy features: Disable WPAD is set to Enabled: Checked"</t>
  </si>
  <si>
    <t xml:space="preserve">  info                      : "This policy setting determines whether Web Proxy Auto-Discovery protocol (WPAD) is disabled on the system."</t>
  </si>
  <si>
    <t xml:space="preserve">  powershell_args           : "$p = Get-ItemProperty -Path 'Registry::HKEY_LOCAL_MACHINE\Software\Microsoft\Windows\CurrentVersion\Internet Settings\WinHttp' -ErrorAction SilentlyContinue; $val = if ($p -and $p.PSObject.Properties['DisableWpad'] -ne $null) { [int]$p.'DisableWpad' } else { 0 }; [string]$val"</t>
  </si>
  <si>
    <t xml:space="preserve">  description               : "1.0202 - MSWRK - Ensure Prevent enabling lock screen slide show is set to Enabled"</t>
  </si>
  <si>
    <t xml:space="preserve">  info                      : "Disables the lock screen slide show settings in PC Settings and prevents a slide show from playing on the lock screen."</t>
  </si>
  <si>
    <t xml:space="preserve">  powershell_args           : "$p = Get-ItemProperty -Path 'Registry::HKEY_LOCAL_MACHINE\Software\Policies\Microsoft\Windows\Personalization' -ErrorAction SilentlyContinue; $val = if ($p -and $p.PSObject.Properties['NoLockScreenSlideshow'] -ne $null) { [int]$p.'NoLockScreenSlideshow' } else { 0 }; [string]$val"</t>
  </si>
  <si>
    <t xml:space="preserve">  description               : "1.0203 - MSWRK - Ensure Disable HTTP proxy features: Disable proxy authentication is set to Enabled: Disable authentication over loopback interfaces or higher"</t>
  </si>
  <si>
    <t xml:space="preserve">  info                      : "This policy setting determines whether Windows can authenticate over a loopback interface."</t>
  </si>
  <si>
    <t xml:space="preserve">  reference                 : "NIST 800-53r5|AC-3"</t>
  </si>
  <si>
    <t xml:space="preserve">  value_data                : "256" || "287"</t>
  </si>
  <si>
    <t xml:space="preserve">  powershell_args           : "$p = Get-ItemProperty -Path 'Registry::HKEY_LOCAL_MACHINE\Software\Microsoft\Windows\CurrentVersion\Internet Settings' -ErrorAction SilentlyContinue; $val = if ($p -and $p.PSObject.Properties['DisableProxyAuthenticationSchemes'] -ne $null) { [int]$p.'DisableProxyAuthenticationSchemes' } else { 0 }; [string]$val"</t>
  </si>
  <si>
    <t xml:space="preserve">  description               : "1.0204 - MSWRK - Ensure Allow users to enable online speech recognition services is set to Disabled"</t>
  </si>
  <si>
    <t xml:space="preserve">  info                      : "This policy enables the automatic learning component of input personalization that includes speech, inking, and typing."</t>
  </si>
  <si>
    <t xml:space="preserve">  reference                 : "NIST 800-53r5|CM-1 CM-2 CM-6 CM-7 CM-7(1) CM-9 SA-3 SA-8 SA-10"</t>
  </si>
  <si>
    <t xml:space="preserve">  powershell_args           : "$p = Get-ItemProperty -Path 'Registry::HKEY_LOCAL_MACHINE\SOFTWARE\Policies\Microsoft\InputPersonalization' -ErrorAction SilentlyContinue; $val = if ($p -and $p.PSObject.Properties['AllowInputPersonalization'] -ne $null) { [int]$p.'AllowInputPersonalization' } else { 0 }; [string]$val"</t>
  </si>
  <si>
    <t xml:space="preserve">  description               : "1.0205 - MSWRK - Ensure Apply UAC restrictions to local accounts on network logons is set to Enabled"</t>
  </si>
  <si>
    <t xml:space="preserve">  info                      : "This setting controls whether local accounts can be used for remote administration via network logon (e."</t>
  </si>
  <si>
    <t xml:space="preserve">  powershell_args           : "$p = Get-ItemProperty -Path 'Registry::HKEY_LOCAL_MACHINE\Software\Microsoft\Windows\CurrentVersion\Policies\System' -ErrorAction SilentlyContinue; $val = if ($p -and $p.PSObject.Properties['LocalAccountTokenFilterPolicy'] -ne $null) { [int]$p.'LocalAccountTokenFilterPolicy' } else { 0 }; [string]$val"</t>
  </si>
  <si>
    <t xml:space="preserve">  description               : "1.0206 - MSWRK - Ensure Configure SMB v1 client driver is set to Enabled: Disable driver (recommended) - Mrxsmb10"</t>
  </si>
  <si>
    <t xml:space="preserve">  info                      : "This setting configures the start type for the Server Message Block version 1 (SMBv1) client driver service ( MRxSmb10 ), which is recommended to be disabled."</t>
  </si>
  <si>
    <t xml:space="preserve">  powershell_args           : "$p = Get-ItemProperty -Path 'Registry::HKEY_LOCAL_MACHINE\SYSTEM\CurrentControlSet\Services\mrxsmb10' -ErrorAction SilentlyContinue; $val = if ($p -and $p.PSObject.Properties['Start'] -ne $null) { [int]$p.'Start' } else { 0 }; [string]$val"</t>
  </si>
  <si>
    <t xml:space="preserve">  description               : "1.0207 - MSWRK - Ensure Configure SMB v1 server is set to Disabled"</t>
  </si>
  <si>
    <t xml:space="preserve">  info                      : "This setting configures the server-side processing of the Server Message Block version 1 (SMBv1) protocol."</t>
  </si>
  <si>
    <t xml:space="preserve">  powershell_args           : "$p = Get-ItemProperty -Path 'Registry::HKEY_LOCAL_MACHINE\SYSTEM\CurrentControlSet\Services\LanmanServer\Parameters' -ErrorAction SilentlyContinue; $val = if ($p -and $p.PSObject.Properties['SMB1'] -ne $null) { [int]$p.'SMB1' } else { 0 }; [string]$val"</t>
  </si>
  <si>
    <t xml:space="preserve">  description               : "1.0208 - MSWRK - default - Config"</t>
  </si>
  <si>
    <t xml:space="preserve">  powershell_args           : "$p = Get-ItemProperty -Path 'Registry::HKEY_LOCAL_MACHINE\Software\Microsoft\Cryptography\Wintrust\Config' -ErrorAction SilentlyContinue; $val = if ($p -and $p.PSObject.Properties['EnableCertPaddingCheck'] -ne $null) { [int]$p.'EnableCertPaddingCheck' } else { 0 }; [string]$val"</t>
  </si>
  <si>
    <t xml:space="preserve">  description               : "1.0209 - MSWRK - 32-bit subsystem on 64-bit OS - Config"</t>
  </si>
  <si>
    <t xml:space="preserve">  powershell_args           : "$p = Get-ItemProperty -Path 'Registry::HKEY_LOCAL_MACHINE\Software\Wow6432Node\Microsoft\Cryptography\Wintrust\Config' -ErrorAction SilentlyContinue; $val = if ($p -and $p.PSObject.Properties['EnableCertPaddingCheck'] -ne $null) { [int]$p.'EnableCertPaddingCheck' } else { 0 }; [string]$val"</t>
  </si>
  <si>
    <t xml:space="preserve">  description               : "1.0210 - MSWRK - Ensure Enable Structured Exception Handling Overwrite Protection (SEHOP) is set to Enabled"</t>
  </si>
  <si>
    <t xml:space="preserve">  info                      : "Windows includes support for Structured Exception Handling Overwrite Protection (SEHOP)."</t>
  </si>
  <si>
    <t xml:space="preserve">  powershell_args           : "$p = Get-ItemProperty -Path 'Registry::HKEY_LOCAL_MACHINE\SYSTEM\CurrentControlSet\Control\Session Manager\kernel' -ErrorAction SilentlyContinue; $val = if ($p -and $p.PSObject.Properties['DisableExceptionChainValidation'] -ne $null) { [int]$p.'DisableExceptionChainValidation' } else { 0 }; [string]$val"</t>
  </si>
  <si>
    <t xml:space="preserve">  description               : "1.0211 - MSWRK - Ensure NetBT NodeType configuration is set to Enabled: P-node (recommended)"</t>
  </si>
  <si>
    <t xml:space="preserve">  info                      : "This setting determines which method NetBIOS over TCP/IP (NetBT) uses to register and resolve names."</t>
  </si>
  <si>
    <t xml:space="preserve">  powershell_args           : "$p = Get-ItemProperty -Path 'Registry::HKEY_LOCAL_MACHINE\System\CurrentControlSet\Services\NetBT\Parameters' -ErrorAction SilentlyContinue; $val = if ($p -and $p.PSObject.Properties['NodeType'] -ne $null) { [int]$p.'NodeType' } else { 0 }; [string]$val"</t>
  </si>
  <si>
    <t xml:space="preserve">  description               : "1.0212 - MSWRK - Ensure WDigest Authentication is set to Disabled"</t>
  </si>
  <si>
    <t xml:space="preserve">  info                      : "When WDigest authentication is enabled, Lsass."</t>
  </si>
  <si>
    <t xml:space="preserve">  powershell_args           : "$p = Get-ItemProperty -Path 'Registry::HKEY_LOCAL_MACHINE\SYSTEM\CurrentControlSet\Control\SecurityProviders\WDigest' -ErrorAction SilentlyContinue; $val = if ($p -and $p.PSObject.Properties['UseLogonCredential'] -ne $null) { [int]$p.'UseLogonCredential' } else { 0 }; [string]$val"</t>
  </si>
  <si>
    <t xml:space="preserve">  description               : "1.0213 - MSWRK - Ensure AutoAdminLogon is Windows: Registry Value to 0"</t>
  </si>
  <si>
    <t xml:space="preserve">  powershell_args           : "$p = Get-ItemProperty -Path 'Registry::HKEY_LOCAL_MACHINE\Software\Microsoft\Windows NT\CurrentVersion\Winlogon' -ErrorAction SilentlyContinue; $raw = if ($p -and $p.PSObject.Properties['AutoAdminLogon'] -ne $null) { [string]$p.'AutoAdminLogon' } else { $null }; if ($raw) { $raw } else { 'NOT_FOUND' }"</t>
  </si>
  <si>
    <t xml:space="preserve">  description               : "1.0214 - MSWRK - Ensure DefaultPassword does not exist"</t>
  </si>
  <si>
    <t xml:space="preserve">  value_data                : "NOT_FOUND"</t>
  </si>
  <si>
    <t xml:space="preserve">  powershell_args           : "$p = Get-ItemProperty -Path 'Registry::HKEY_LOCAL_MACHINE\Software\Microsoft\Windows NT\CurrentVersion\Winlogon' -ErrorAction SilentlyContinue; if ($p -and $p.PSObject.Properties['DefaultPassword'] -ne $null) { 'EXISTS' } else { 'NOT_FOUND' }"</t>
  </si>
  <si>
    <t xml:space="preserve">  description               : "1.0215 - MSWRK - Ensure MSS: (WarningLevel) Percentage threshold for the security event log at which the system will generate a warning is set to Enabled: 90% or less"</t>
  </si>
  <si>
    <t xml:space="preserve">  info                      : "This setting can generate a security audit in the Security event log when the log reaches a user-defined threshold."</t>
  </si>
  <si>
    <t xml:space="preserve">  value_data                : "^(1|2|3|4|5|6|7|8|9|10|11|12|13|14|15|16|17|18|19|20|21|22|23|24|25|26|27|28|29|30|31|32|33|34|35|36|37|38|39|40|41|42|43|44|45|46|47|48|49|50|51|52|53|54|55|56|57|58|59|60|61|62|63|64|65|66|67|68|69|70|71|72|73|74|75|76|77|78|79|80|81|82|83|84|85|86|87|88|89|90)$"</t>
  </si>
  <si>
    <t xml:space="preserve">  powershell_args           : "$p = Get-ItemProperty -Path 'Registry::HKEY_LOCAL_MACHINE\System\CurrentControlSet\Services\Eventlog\Security' -ErrorAction SilentlyContinue; $val = if ($p -and $p.PSObject.Properties['WarningLevel'] -ne $null) { [int]$p.'WarningLevel' } else { 0 }; [string]$val"</t>
  </si>
  <si>
    <t xml:space="preserve">  description               : "1.0216 - MSWRK - Ensure MSS: (DisableIPSourceRouting IPv6) IP source routing protection level is set to Enabled: Highest protection, source routing is completely disabled - Parameters"</t>
  </si>
  <si>
    <t xml:space="preserve">  info                      : "IP source routing is a mechanism that allows the sender to determine the IP route that a datagram should follow through the network."</t>
  </si>
  <si>
    <t xml:space="preserve">  reference                 : "NIST 800-53r5|SC-7(12)"</t>
  </si>
  <si>
    <t xml:space="preserve">  powershell_args           : "$p = Get-ItemProperty -Path 'Registry::HKEY_LOCAL_MACHINE\System\CurrentControlSet\Services\Tcpip6\Parameters' -ErrorAction SilentlyContinue; $val = if ($p -and $p.PSObject.Properties['DisableIPSourceRouting'] -ne $null) { [int]$p.'DisableIPSourceRouting' } else { 0 }; [string]$val"</t>
  </si>
  <si>
    <t xml:space="preserve">  description               : "1.0217 - MSWRK - Ensure MSS: (DisableIPSourceRouting) IP source routing protection level is set to Enabled: Highest protection, source routing is completely disabled - Parameters"</t>
  </si>
  <si>
    <t xml:space="preserve">  info                      : "IP source routing is a mechanism that allows the sender to determine the IP route that a datagram should take through the network."</t>
  </si>
  <si>
    <t xml:space="preserve">  powershell_args           : "$p = Get-ItemProperty -Path 'Registry::HKEY_LOCAL_MACHINE\System\CurrentControlSet\Services\Tcpip\Parameters' -ErrorAction SilentlyContinue; $val = if ($p -and $p.PSObject.Properties['DisableIPSourceRouting'] -ne $null) { [int]$p.'DisableIPSourceRouting' } else { 0 }; [string]$val"</t>
  </si>
  <si>
    <t xml:space="preserve">  description               : "1.0218 - MSWRK - Ensure MSS: (EnableICMPRedirect) Allow ICMP redirects to override OSPF generated routes is set to Disabled"</t>
  </si>
  <si>
    <t xml:space="preserve">  info                      : "Internet Control Message Protocol (ICMP) redirects cause the IPv4 stack to plumb host routes."</t>
  </si>
  <si>
    <t xml:space="preserve">  powershell_args           : "$p = Get-ItemProperty -Path 'Registry::HKEY_LOCAL_MACHINE\System\CurrentControlSet\Services\Tcpip\Parameters' -ErrorAction SilentlyContinue; $val = if ($p -and $p.PSObject.Properties['EnableICMPRedirect'] -ne $null) { [int]$p.'EnableICMPRedirect' } else { 0 }; [string]$val"</t>
  </si>
  <si>
    <t xml:space="preserve">  description               : "1.0219 - MSWRK - Ensure MSS: (NoNameReleaseOnDemand) Allow the computer to ignore NetBIOS name release requests except from WINS servers is set to Enabled"</t>
  </si>
  <si>
    <t xml:space="preserve">  info                      : "NetBIOS over TCP/IP is a network protocol that among other things provides a way to easily resolve NetBIOS names that are registered on Windows-based systems to the IP addresses that are configured on those systems."</t>
  </si>
  <si>
    <t xml:space="preserve">  reference                 : "NIST 800-53r5|AC-18 AC-18(1) AC-18(3) CM-2 CM-6 CM-7 CM-7(1) CM-9"</t>
  </si>
  <si>
    <t xml:space="preserve">  powershell_args           : "$p = Get-ItemProperty -Path 'Registry::HKEY_LOCAL_MACHINE\System\CurrentControlSet\Services\NetBT\Parameters' -ErrorAction SilentlyContinue; $val = if ($p -and $p.PSObject.Properties['NoNameReleaseOnDemand'] -ne $null) { [int]$p.'NoNameReleaseOnDemand' } else { 0 }; [string]$val"</t>
  </si>
  <si>
    <t xml:space="preserve">  description               : "1.0220 - MSWRK - Ensure MSS: (SafeDllSearchMode) Enable Safe DLL search mode is set to Enabled"</t>
  </si>
  <si>
    <t xml:space="preserve">  info                      : "The DLL search order can be configured to search for DLLs that are requested by running processes in one of two ways: - Search folders specified in the system path first, and then search the current working folder."</t>
  </si>
  <si>
    <t xml:space="preserve">  powershell_args           : "$p = Get-ItemProperty -Path 'Registry::HKEY_LOCAL_MACHINE\System\CurrentControlSet\Control\Session Manager' -ErrorAction SilentlyContinue; $val = if ($p -and $p.PSObject.Properties['SafeDllSearchMode'] -ne $null) { [int]$p.'SafeDllSearchMode' } else { 0 }; [string]$val"</t>
  </si>
  <si>
    <t xml:space="preserve">  description               : "1.0221 - MSWRK - Ensure Prohibit installation and configuration of Network Bridge on your DNS domain network is set to Enabled"</t>
  </si>
  <si>
    <t xml:space="preserve">  info                      : "You can use this procedure to control a user's ability to install and configure a Network Bridge."</t>
  </si>
  <si>
    <t xml:space="preserve">  powershell_args           : "$p = Get-ItemProperty -Path 'Registry::HKEY_LOCAL_MACHINE\Software\Policies\Microsoft\Windows\Network Connections' -ErrorAction SilentlyContinue; $val = if ($p -and $p.PSObject.Properties['NC_AllowNetBridge_NLA'] -ne $null) { [int]$p.'NC_AllowNetBridge_NLA' } else { 0 }; [string]$val"</t>
  </si>
  <si>
    <t xml:space="preserve">  description               : "1.0222 - MSWRK - Ensure Prohibit use of Internet Connection Sharing on your DNS domain network is set to Enabled"</t>
  </si>
  <si>
    <t xml:space="preserve">  info                      : "Although this \'legacy\' setting traditionally applied to the use of Internet Connection Sharing (ICS) in Windows 2000, Windows XP &amp; Server 2003, this setting now freshly applies to the Mobile Hotspot feature in Windows 10 &amp; Server 2016."</t>
  </si>
  <si>
    <t xml:space="preserve">  powershell_args           : "$p = Get-ItemProperty -Path 'Registry::HKEY_LOCAL_MACHINE\Software\Policies\Microsoft\Windows\Network Connections' -ErrorAction SilentlyContinue; $val = if ($p -and $p.PSObject.Properties['NC_ShowSharedAccessUI'] -ne $null) { [int]$p.'NC_ShowSharedAccessUI' } else { 0 }; [string]$val"</t>
  </si>
  <si>
    <t xml:space="preserve">  description               : "1.0223 - MSWRK - Ensure Require domain users to elevate when setting a networks location is set to Enabled"</t>
  </si>
  <si>
    <t xml:space="preserve">  info                      : "This policy setting determines whether to require domain users to elevate when setting a network's location."</t>
  </si>
  <si>
    <t xml:space="preserve">  powershell_args           : "$p = Get-ItemProperty -Path 'Registry::HKEY_LOCAL_MACHINE\Software\Policies\Microsoft\Windows\Network Connections' -ErrorAction SilentlyContinue; $val = if ($p -and $p.PSObject.Properties['NC_StdDomainUserSetLocation'] -ne $null) { [int]$p.'NC_StdDomainUserSetLocation' } else { 0 }; [string]$val"</t>
  </si>
  <si>
    <t xml:space="preserve">  description               : "1.0224 - MSWRK - NETLOGON"</t>
  </si>
  <si>
    <t xml:space="preserve">  value_data                : "[Rr]equire([Mm]utual[Aa]uthentication|[Ii]ntegrity|[Pp]rivacy)=1.*[Rr]equire([Mm]utual[Aa]uthentication|[Ii]ntegrity|[Pp]rivacy)=1.*[Rr]equire([Mm]utual[Aa]uthentication|[Ii]ntegrity|[Pp]rivacy)=1"</t>
  </si>
  <si>
    <t xml:space="preserve">  powershell_args           : "$p = Get-ItemProperty -Path 'Registry::HKEY_LOCAL_MACHINE\Software\Policies\Microsoft\Windows\NetworkProvider\HardenedPaths' -ErrorAction SilentlyContinue; $raw = if ($p -and $p.PSObject.Properties['\\*\NETLOGON'] -ne $null) { [string]$p.'\\*\NETLOGON' } else { $null }; if ($raw) { $raw } else { 'NOT_FOUND' }"</t>
  </si>
  <si>
    <t xml:space="preserve">  description               : "1.0225 - MSWRK - SYSVOL"</t>
  </si>
  <si>
    <t xml:space="preserve">  powershell_args           : "$p = Get-ItemProperty -Path 'Registry::HKEY_LOCAL_MACHINE\Software\Policies\Microsoft\Windows\NetworkProvider\HardenedPaths' -ErrorAction SilentlyContinue; $raw = if ($p -and $p.PSObject.Properties['\\*\SYSVOL'] -ne $null) { [string]$p.'\\*\SYSVOL' } else { $null }; if ($raw) { $raw } else { 'NOT_FOUND' }"</t>
  </si>
  <si>
    <t xml:space="preserve">  description               : "1.0226 - MSWRK - Ensure Minimize the number of simultaneous connections to the Internet or a Windows Domain is set to Enabled: 3 = Prevent Wi-Fi when on Ethernet"</t>
  </si>
  <si>
    <t xml:space="preserve">  info                      : "This policy setting prevents computers from establishing multiple simultaneous connections to either the Internet or to a Windows domain."</t>
  </si>
  <si>
    <t xml:space="preserve">  powershell_args           : "$p = Get-ItemProperty -Path 'Registry::HKEY_LOCAL_MACHINE\Software\Policies\Microsoft\Windows\WcmSvc\GroupPolicy' -ErrorAction SilentlyContinue; $val = if ($p -and $p.PSObject.Properties['fMinimizeConnections'] -ne $null) { [int]$p.'fMinimizeConnections' } else { 0 }; [string]$val"</t>
  </si>
  <si>
    <t xml:space="preserve">  description               : "1.0227 - MSWRK - Ensure Prohibit connection to non-domain networks when connected to domain authenticated network is set to Enabled"</t>
  </si>
  <si>
    <t xml:space="preserve">  info                      : "This policy setting prevents computers from connecting to both a domain based network and a non-domain based network at the same time."</t>
  </si>
  <si>
    <t xml:space="preserve">  reference                 : "NIST 800-53r5|SC-7"</t>
  </si>
  <si>
    <t xml:space="preserve">  powershell_args           : "$p = Get-ItemProperty -Path 'Registry::HKEY_LOCAL_MACHINE\Software\Policies\Microsoft\Windows\WcmSvc\GroupPolicy' -ErrorAction SilentlyContinue; $val = if ($p -and $p.PSObject.Properties['fBlockNonDomain'] -ne $null) { [int]$p.'fBlockNonDomain' } else { 0 }; [string]$val"</t>
  </si>
  <si>
    <t xml:space="preserve">  description               : "1.0228 - MSWRK - Ensure Allow Windows to automatically connect to suggested open hotspots, to networks shared by contacts, and to hotspots offering paid services is set to Disabled"</t>
  </si>
  <si>
    <t xml:space="preserve">  info                      : "This policy setting determines whether users can enable the following WLAN settings: \'Connect to suggested open hotspots,\' \'Connect to networks shared by my contacts,\' and \'Enable paid services\'."</t>
  </si>
  <si>
    <t xml:space="preserve">  powershell_args           : "$p = Get-ItemProperty -Path 'Registry::HKEY_LOCAL_MACHINE\Software\Microsoft\WcmSvc\wifinetworkmanager\config' -ErrorAction SilentlyContinue; $val = if ($p -and $p.PSObject.Properties['AutoConnectAllowedOEM'] -ne $null) { [int]$p.'AutoConnectAllowedOEM' } else { 0 }; [string]$val"</t>
  </si>
  <si>
    <t xml:space="preserve">  description               : "1.0229 - MSWRK - Ensure Configure multicast DNS (mDNS) protocol is set to Disabled"</t>
  </si>
  <si>
    <t xml:space="preserve">  info                      : "This policy setting determines if the DNS client will perform name resolution over Multicast DNS (mDNS)."</t>
  </si>
  <si>
    <t xml:space="preserve">  powershell_args           : "$p = Get-ItemProperty -Path 'Registry::HKEY_LOCAL_MACHINE\Software\Policies\Microsoft\Windows NT\DNSClient' -ErrorAction SilentlyContinue; $val = if ($p -and $p.PSObject.Properties['EnableMDNS'] -ne $null) { [int]$p.'EnableMDNS' } else { 0 }; [string]$val"</t>
  </si>
  <si>
    <t xml:space="preserve">  description               : "1.0230 - MSWRK - Ensure Configure NetBIOS settings is set to Enabled: Disable NetBIOS name resolution on public networks"</t>
  </si>
  <si>
    <t xml:space="preserve">  info                      : "This policy setting specifies if the Domain Name System (DNS) client will perform name resolution over Network Basic Input/Output System (NetBIOS)."</t>
  </si>
  <si>
    <t xml:space="preserve">  value_data                : "0" || "2"</t>
  </si>
  <si>
    <t xml:space="preserve">  powershell_args           : "$p = Get-ItemProperty -Path 'Registry::HKEY_LOCAL_MACHINE\Software\Policies\Microsoft\Windows NT\DNSClient' -ErrorAction SilentlyContinue; $val = if ($p -and $p.PSObject.Properties['EnableNetBIOS'] -ne $null) { [int]$p.'EnableNetBIOS' } else { 0 }; [string]$val"</t>
  </si>
  <si>
    <t xml:space="preserve">  description               : "1.0231 - MSWRK - Ensure Turn off multicast name resolution is set to Enabled"</t>
  </si>
  <si>
    <t xml:space="preserve">  info                      : "Link-Local Multicast Name Resolution (LLMNR) is a secondary name resolution protocol."</t>
  </si>
  <si>
    <t xml:space="preserve">  powershell_args           : "$p = Get-ItemProperty -Path 'Registry::HKEY_LOCAL_MACHINE\SOFTWARE\Policies\Microsoft\Windows NT\DNSClient' -ErrorAction SilentlyContinue; $val = if ($p -and $p.PSObject.Properties['EnableMulticast'] -ne $null) { [int]$p.'EnableMulticast' } else { 0 }; [string]$val"</t>
  </si>
  <si>
    <t xml:space="preserve">  description               : "1.0232 - MSWRK - Ensure Audit client does not support encryption is set to Enabled"</t>
  </si>
  <si>
    <t xml:space="preserve">  info                      : "This policy setting determines whether the Server Message Block (SMB) server will log events when the SMB client doesn't support encryption."</t>
  </si>
  <si>
    <t xml:space="preserve">  powershell_args           : "$p = Get-ItemProperty -Path 'Registry::HKEY_LOCAL_MACHINE\Software\Policies\Microsoft\Windows\LanmanServer' -ErrorAction SilentlyContinue; $val = if ($p -and $p.PSObject.Properties['AuditClientDoesNotSupportEncryption'] -ne $null) { [int]$p.'AuditClientDoesNotSupportEncryption' } else { 0 }; [string]$val"</t>
  </si>
  <si>
    <t xml:space="preserve">  description               : "1.0233 - MSWRK - Ensure Audit client does not support signing is set to Enabled"</t>
  </si>
  <si>
    <t xml:space="preserve">  info                      : "This policy setting determines whether the Server Message Block (SMB) server will log events when the SMB client doesn't support signing."</t>
  </si>
  <si>
    <t xml:space="preserve">  powershell_args           : "$p = Get-ItemProperty -Path 'Registry::HKEY_LOCAL_MACHINE\Software\Policies\Microsoft\Windows\LanmanServer' -ErrorAction SilentlyContinue; $val = if ($p -and $p.PSObject.Properties['AuditClientDoesNotSupportSigning'] -ne $null) { [int]$p.'AuditClientDoesNotSupportSigning' } else { 0 }; [string]$val"</t>
  </si>
  <si>
    <t xml:space="preserve">  description               : "1.0234 - MSWRK - Ensure Audit insecure guest logon is set to Enabled - Lanmanserver"</t>
  </si>
  <si>
    <t xml:space="preserve">  info                      : "This policy determines whether the Server Message Block (SMB) server will log events when the client is logged on as guest account."</t>
  </si>
  <si>
    <t xml:space="preserve">  powershell_args           : "$p = Get-ItemProperty -Path 'Registry::HKEY_LOCAL_MACHINE\Software\Policies\Microsoft\Windows\LanmanServer' -ErrorAction SilentlyContinue; $val = if ($p -and $p.PSObject.Properties['AuditInsecureGuestLogon'] -ne $null) { [int]$p.'AuditInsecureGuestLogon' } else { 0 }; [string]$val"</t>
  </si>
  <si>
    <t xml:space="preserve">  description               : "1.0235 - MSWRK - Ensure Enable authentication rate limiter is set to Enabled"</t>
  </si>
  <si>
    <t xml:space="preserve">  info                      : "This policy settings configures the Server Message Block (SMB) server authentication rate limiter."</t>
  </si>
  <si>
    <t xml:space="preserve">  reference                 : "NIST 800-53r5|SC-7(20)"</t>
  </si>
  <si>
    <t xml:space="preserve">  powershell_args           : "$p = Get-ItemProperty -Path 'Registry::HKEY_LOCAL_MACHINE\Software\Policies\Microsoft\Windows\LanmanServer' -ErrorAction SilentlyContinue; $val = if ($p -and $p.PSObject.Properties['EnableAuthRateLimiter'] -ne $null) { [int]$p.'EnableAuthRateLimiter' } else { 0 }; [string]$val"</t>
  </si>
  <si>
    <t xml:space="preserve">  description               : "1.0236 - MSWRK - Ensure Enable remote mailslots is set to Disabled - Bowser"</t>
  </si>
  <si>
    <t xml:space="preserve">  info                      : "This policy settings controls whether the SMB server will use remote mailslots over the computer browser service."</t>
  </si>
  <si>
    <t xml:space="preserve">  powershell_args           : "$p = Get-ItemProperty -Path 'Registry::HKEY_LOCAL_MACHINE\Software\Policies\Microsoft\Windows\Bowser' -ErrorAction SilentlyContinue; $val = if ($p -and $p.PSObject.Properties['EnableMailslots'] -ne $null) { [int]$p.'EnableMailslots' } else { 0 }; [string]$val"</t>
  </si>
  <si>
    <t xml:space="preserve">  description               : "1.0237 - MSWRK - Ensure Mandate the minimum version of SMB is set to Enabled: 3.1.1 - Lanmanserver"</t>
  </si>
  <si>
    <t xml:space="preserve">  info                      : "This policy settings controls the minimum version of Server Message Block (SMB) protocol that can be used on the system."</t>
  </si>
  <si>
    <t xml:space="preserve">  value_data                : "785"</t>
  </si>
  <si>
    <t xml:space="preserve">  powershell_args           : "$p = Get-ItemProperty -Path 'Registry::HKEY_LOCAL_MACHINE\Software\Policies\Microsoft\Windows\LanmanServer' -ErrorAction SilentlyContinue; $val = if ($p -and $p.PSObject.Properties['MinSmb2Dialect'] -ne $null) { [int]$p.'MinSmb2Dialect' } else { 0 }; [string]$val"</t>
  </si>
  <si>
    <t xml:space="preserve">  description               : "1.0238 - MSWRK - Ensure Set authentication rate limiter delay (milliseconds) is set to Enabled: 2000 or more"</t>
  </si>
  <si>
    <t xml:space="preserve">  info                      : "This policy settings configures the SMB server invalid authentication delay value in milliseconds."</t>
  </si>
  <si>
    <t xml:space="preserve">  value_data                : "^([1-9][0-9]{4,}|[3-9][0-9]{3}|2[1-9][0-9]{2}|20[1-9][0-9]{1}|200[0-9])$"</t>
  </si>
  <si>
    <t xml:space="preserve">  powershell_args           : "$p = Get-ItemProperty -Path 'Registry::HKEY_LOCAL_MACHINE\Software\Policies\Microsoft\Windows\LanmanServer' -ErrorAction SilentlyContinue; $val = if ($p -and $p.PSObject.Properties['InvalidAuthenticationDelayTimeInMs'] -ne $null) { [int]$p.'InvalidAuthenticationDelayTimeInMs' } else { 0 }; [string]$val"</t>
  </si>
  <si>
    <t xml:space="preserve">  description               : "1.0239 - MSWRK - Ensure Audit insecure guest logon is set to Enabled - Lanmanworkstation"</t>
  </si>
  <si>
    <t xml:space="preserve">  info                      : "This policy determines whether the Server Message Block (SMB) client will log events when the client is logged on as guest account."</t>
  </si>
  <si>
    <t xml:space="preserve">  powershell_args           : "$p = Get-ItemProperty -Path 'Registry::HKEY_LOCAL_MACHINE\Software\Policies\Microsoft\Windows\LanmanWorkstation' -ErrorAction SilentlyContinue; $val = if ($p -and $p.PSObject.Properties['AuditInsecureGuestLogon'] -ne $null) { [int]$p.'AuditInsecureGuestLogon' } else { 0 }; [string]$val"</t>
  </si>
  <si>
    <t xml:space="preserve">  description               : "1.0240 - MSWRK - Ensure Audit server does not support encryption is set to Enabled"</t>
  </si>
  <si>
    <t xml:space="preserve">  info                      : "This policy setting determines whether the Server Message Block (SMB) client will log events when the SMB server doesn't support encryption."</t>
  </si>
  <si>
    <t xml:space="preserve">  powershell_args           : "$p = Get-ItemProperty -Path 'Registry::HKEY_LOCAL_MACHINE\Software\Policies\Microsoft\Windows\LanmanWorkstation' -ErrorAction SilentlyContinue; $val = if ($p -and $p.PSObject.Properties['AuditServerDoesNotSupportEncryption'] -ne $null) { [int]$p.'AuditServerDoesNotSupportEncryption' } else { 0 }; [string]$val"</t>
  </si>
  <si>
    <t xml:space="preserve">  description               : "1.0241 - MSWRK - Ensure Audit server does not support signing is set to Enabled"</t>
  </si>
  <si>
    <t xml:space="preserve">  info                      : "This policy setting determines whether the Server Message Block (SMB) client will log events when the SMB server doesn't support signing."</t>
  </si>
  <si>
    <t xml:space="preserve">  powershell_args           : "$p = Get-ItemProperty -Path 'Registry::HKEY_LOCAL_MACHINE\Software\Policies\Microsoft\Windows\LanmanWorkstation' -ErrorAction SilentlyContinue; $val = if ($p -and $p.PSObject.Properties['AuditServerDoesNotSupportSigning'] -ne $null) { [int]$p.'AuditServerDoesNotSupportSigning' } else { 0 }; [string]$val"</t>
  </si>
  <si>
    <t xml:space="preserve">  description               : "1.0242 - MSWRK - Ensure Enable insecure guest logons is set to Disabled"</t>
  </si>
  <si>
    <t xml:space="preserve">  info                      : "This policy setting determines if the SMB client will allow insecure guest logons to an SMB server."</t>
  </si>
  <si>
    <t xml:space="preserve">  powershell_args           : "$p = Get-ItemProperty -Path 'Registry::HKEY_LOCAL_MACHINE\SOFTWARE\Policies\Microsoft\Windows\LanmanWorkstation' -ErrorAction SilentlyContinue; $val = if ($p -and $p.PSObject.Properties['AllowInsecureGuestAuth'] -ne $null) { [int]$p.'AllowInsecureGuestAuth' } else { 0 }; [string]$val"</t>
  </si>
  <si>
    <t xml:space="preserve">  description               : "1.0243 - MSWRK - Ensure Enable remote mailslots is set to Disabled - Networkprovider"</t>
  </si>
  <si>
    <t xml:space="preserve">  info                      : "This policy settings controls whether the SMB client will use remote mailslots over Multiple UNC Provider (MUP)."</t>
  </si>
  <si>
    <t xml:space="preserve">  powershell_args           : "$p = Get-ItemProperty -Path 'Registry::HKEY_LOCAL_MACHINE\Software\Policies\Microsoft\Windows\NetworkProvider' -ErrorAction SilentlyContinue; $val = if ($p -and $p.PSObject.Properties['EnableMailslots'] -ne $null) { [int]$p.'EnableMailslots' } else { 0 }; [string]$val"</t>
  </si>
  <si>
    <t xml:space="preserve">  description               : "1.0244 - MSWRK - Ensure Mandate the minimum version of SMB is set to Enabled: 3.1.1 - Lanmanworkstation"</t>
  </si>
  <si>
    <t xml:space="preserve">  powershell_args           : "$p = Get-ItemProperty -Path 'Registry::HKEY_LOCAL_MACHINE\Software\Policies\Microsoft\Windows\LanmanWorkstation' -ErrorAction SilentlyContinue; $val = if ($p -and $p.PSObject.Properties['MinSmb2Dialect'] -ne $null) { [int]$p.'MinSmb2Dialect' } else { 0 }; [string]$val"</t>
  </si>
  <si>
    <t xml:space="preserve">  description               : "1.0245 - MSWRK - Ensure Require Encryption is set to Enabled"</t>
  </si>
  <si>
    <t xml:space="preserve">  info                      : "This policy setting controls whether the SMB client will require encryption."</t>
  </si>
  <si>
    <t xml:space="preserve">  powershell_args           : "$p = Get-ItemProperty -Path 'Registry::HKEY_LOCAL_MACHINE\Software\Policies\Microsoft\Windows\LanmanWorkstation' -ErrorAction SilentlyContinue; $val = if ($p -and $p.PSObject.Properties['RequireEncryption'] -ne $null) { [int]$p.'RequireEncryption' } else { 0 }; [string]$val"</t>
  </si>
  <si>
    <t xml:space="preserve">  description               : "1.0246 - MSWRK - Ensure Allow Print Spooler to accept client connections is set to Disabled"</t>
  </si>
  <si>
    <t xml:space="preserve">  info                      : "This policy setting controls whether the Print Spooler service will accept client connections."</t>
  </si>
  <si>
    <t xml:space="preserve">  powershell_args           : "$p = Get-ItemProperty -Path 'Registry::HKEY_LOCAL_MACHINE\Software\Policies\Microsoft\Windows NT\Printers' -ErrorAction SilentlyContinue; $val = if ($p -and $p.PSObject.Properties['RegisterSpoolerRemoteRpcEndPoint'] -ne $null) { [int]$p.'RegisterSpoolerRemoteRpcEndPoint' } else { 0 }; [string]$val"</t>
  </si>
  <si>
    <t xml:space="preserve">  description               : "1.0247 - MSWRK - Ensure Limits print driver installation to Administrators is set to Enabled"</t>
  </si>
  <si>
    <t xml:space="preserve">  info                      : "This policy setting controls whether users who aren't Administrators can install print drivers on the system."</t>
  </si>
  <si>
    <t xml:space="preserve">  powershell_args           : "$p = Get-ItemProperty -Path 'Registry::HKEY_LOCAL_MACHINE\Software\Policies\Microsoft\Windows NT\Printers\PointAndPrint' -ErrorAction SilentlyContinue; $val = if ($p -and $p.PSObject.Properties['RestrictDriverInstallationToAdministrators'] -ne $null) { [int]$p.'RestrictDriverInstallationToAdministrators' } else { 0 }; [string]$val"</t>
  </si>
  <si>
    <t xml:space="preserve">  description               : "1.0248 - MSWRK - Ensure Manage processing of Queue-specific files is set to Enabled: Limit Queue-specific files to Color profiles"</t>
  </si>
  <si>
    <t xml:space="preserve">  info                      : "This policy setting manages how queue-specific files are processed during printer installation."</t>
  </si>
  <si>
    <t xml:space="preserve">  powershell_args           : "$p = Get-ItemProperty -Path 'Registry::HKEY_LOCAL_MACHINE\Software\Policies\Microsoft\Windows NT\Printers' -ErrorAction SilentlyContinue; $val = if ($p -and $p.PSObject.Properties['CopyFilesPolicy'] -ne $null) { [int]$p.'CopyFilesPolicy' } else { 0 }; [string]$val"</t>
  </si>
  <si>
    <t xml:space="preserve">  description               : "1.0249 - MSWRK - Ensure Point and Print Restrictions: When installing drivers for a new connection is set to Enabled: Show warning and elevation prompt"</t>
  </si>
  <si>
    <t xml:space="preserve">  info                      : "This policy setting controls whether computers will show a warning and a security elevation prompt when users create a new printer connection using Point and Print."</t>
  </si>
  <si>
    <t xml:space="preserve">  reference                 : "NIST 800-53r5|AC-6(8)"</t>
  </si>
  <si>
    <t xml:space="preserve">  powershell_args           : "$p = Get-ItemProperty -Path 'Registry::HKEY_LOCAL_MACHINE\Software\Policies\Microsoft\Windows NT\Printers\PointAndPrint' -ErrorAction SilentlyContinue; $val = if ($p -and $p.PSObject.Properties['NoWarningNoElevationOnInstall'] -ne $null) { [int]$p.'NoWarningNoElevationOnInstall' } else { 0 }; [string]$val"</t>
  </si>
  <si>
    <t xml:space="preserve">  description               : "1.0250 - MSWRK - Ensure Point and Print Restrictions: When updating drivers for an existing connection is set to Enabled: Show warning and elevation prompt"</t>
  </si>
  <si>
    <t xml:space="preserve">  info                      : "This policy setting controls whether computers will show a warning and a security elevation prompt when users are updating drivers for an existing connection using Point and Print."</t>
  </si>
  <si>
    <t xml:space="preserve">  powershell_args           : "$p = Get-ItemProperty -Path 'Registry::HKEY_LOCAL_MACHINE\Software\Policies\Microsoft\Windows NT\Printers\PointAndPrint' -ErrorAction SilentlyContinue; $val = if ($p -and $p.PSObject.Properties['UpdatePromptSettings'] -ne $null) { [int]$p.'UpdatePromptSettings' } else { 0 }; [string]$val"</t>
  </si>
  <si>
    <t xml:space="preserve">  description               : "1.0251 - MSWRK - Ensure Configure Redirection Guard is set to Enabled: Redirection Guard Enabled"</t>
  </si>
  <si>
    <t xml:space="preserve">  info                      : "This policy setting determines whether Redirection Guard is enabled for the print spooler."</t>
  </si>
  <si>
    <t xml:space="preserve">  powershell_args           : "$p = Get-ItemProperty -Path 'Registry::HKEY_LOCAL_MACHINE\Software\Policies\Microsoft\Windows NT\Printers' -ErrorAction SilentlyContinue; $val = if ($p -and $p.PSObject.Properties['RedirectionGuardPolicy'] -ne $null) { [int]$p.'RedirectionGuardPolicy' } else { 0 }; [string]$val"</t>
  </si>
  <si>
    <t xml:space="preserve">  description               : "1.0252 - MSWRK - Ensure Configure RPC connection settings: Protocol to use for outgoing RPC connections is set to Enabled: RPC over TCP"</t>
  </si>
  <si>
    <t xml:space="preserve">  info                      : "This policy setting controls which protocol and protocol settings to use for outgoing Remote Procedure Call (RPC) connections to a remote print spooler."</t>
  </si>
  <si>
    <t xml:space="preserve">  powershell_args           : "$p = Get-ItemProperty -Path 'Registry::HKEY_LOCAL_MACHINE\Software\Policies\Microsoft\Windows NT\Printers\RPC' -ErrorAction SilentlyContinue; $val = if ($p -and $p.PSObject.Properties['RpcUseNamedPipeProtocol'] -ne $null) { [int]$p.'RpcUseNamedPipeProtocol' } else { 0 }; [string]$val"</t>
  </si>
  <si>
    <t xml:space="preserve">  description               : "1.0253 - MSWRK - Ensure Configure RPC connection settings: Use authentication for outgoing RPC connections is set to Enabled: Default"</t>
  </si>
  <si>
    <t xml:space="preserve">  powershell_args           : "$p = Get-ItemProperty -Path 'Registry::HKEY_LOCAL_MACHINE\Software\Policies\Microsoft\Windows NT\Printers\RPC' -ErrorAction SilentlyContinue; $val = if ($p -and $p.PSObject.Properties['RpcAuthentication'] -ne $null) { [int]$p.'RpcAuthentication' } else { 0 }; [string]$val"</t>
  </si>
  <si>
    <t xml:space="preserve">  description               : "1.0254 - MSWRK - Ensure Configure RPC listener settings: Protocols to allow for incoming RPC connections is set to Enabled: RPC over TCP"</t>
  </si>
  <si>
    <t xml:space="preserve">  info                      : "This policy setting controls which protocols incoming Remote Procedure Call (RPC) connections to the print spooler are allowed to use."</t>
  </si>
  <si>
    <t xml:space="preserve">  value_data                : "5"</t>
  </si>
  <si>
    <t xml:space="preserve">  powershell_args           : "$p = Get-ItemProperty -Path 'Registry::HKEY_LOCAL_MACHINE\Software\Policies\Microsoft\Windows NT\Printers\RPC' -ErrorAction SilentlyContinue; $val = if ($p -and $p.PSObject.Properties['RpcProtocols'] -ne $null) { [int]$p.'RpcProtocols' } else { 0 }; [string]$val"</t>
  </si>
  <si>
    <t xml:space="preserve">  description               : "1.0255 - MSWRK - Ensure Configure RPC listener settings: Authentication protocol to use for incoming RPC connections: is set to Enabled: Negotiate or higher"</t>
  </si>
  <si>
    <t xml:space="preserve">  reference                 : "NIST 800-53r5|IA-3(1)"</t>
  </si>
  <si>
    <t xml:space="preserve">  powershell_args           : "$p = Get-ItemProperty -Path 'Registry::HKEY_LOCAL_MACHINE\Software\Policies\Microsoft\Windows NT\Printers\RPC' -ErrorAction SilentlyContinue; $val = if ($p -and $p.PSObject.Properties['ForceKerberosForRpc'] -ne $null) { [int]$p.'ForceKerberosForRpc' } else { 0 }; [string]$val"</t>
  </si>
  <si>
    <t xml:space="preserve">  description               : "1.0256 - MSWRK - Ensure Configure RPC over TCP port is set to Enabled: 0"</t>
  </si>
  <si>
    <t xml:space="preserve">  info                      : "This policy setting controls which port is used for RPC over TCP for incoming connections to the print spooler and outgoing connections to remote print spoolers."</t>
  </si>
  <si>
    <t xml:space="preserve">  powershell_args           : "$p = Get-ItemProperty -Path 'Registry::HKEY_LOCAL_MACHINE\Software\Policies\Microsoft\Windows NT\Printers\RPC' -ErrorAction SilentlyContinue; $val = if ($p -and $p.PSObject.Properties['RpcTcpPort'] -ne $null) { [int]$p.'RpcTcpPort' } else { 0 }; [string]$val"</t>
  </si>
  <si>
    <t xml:space="preserve">  description               : "1.0257 - MSWRK - Ensure Configure RPC packet level privacy setting for incoming connections is set to Enabled"</t>
  </si>
  <si>
    <t xml:space="preserve">  info                      : "This policy setting controls packet level privacy for Remote Procedure Call (RPC) incoming connections."</t>
  </si>
  <si>
    <t xml:space="preserve">  powershell_args           : "$p = Get-ItemProperty -Path 'Registry::HKEY_LOCAL_MACHINE\SYSTEM\CurrentControlSet\Control\Print' -ErrorAction SilentlyContinue; $val = if ($p -and $p.PSObject.Properties['RpcAuthnLevelPrivacyEnabled'] -ne $null) { [int]$p.'RpcAuthnLevelPrivacyEnabled' } else { 0 }; [string]$val"</t>
  </si>
  <si>
    <t xml:space="preserve">  description               : "1.0258 - MSWRK - Ensure Boot-Start Driver Initialization Policy is set to Enabled: Good, unknown and bad but critical"</t>
  </si>
  <si>
    <t xml:space="preserve">  info                      : "This policy setting allows you to specify which boot-start drivers are initialized based on a classification determined by an Early Launch Antimalware boot-start driver."</t>
  </si>
  <si>
    <t xml:space="preserve">  powershell_args           : "$p = Get-ItemProperty -Path 'Registry::HKEY_LOCAL_MACHINE\System\CurrentControlSet\Policies\EarlyLaunch' -ErrorAction SilentlyContinue; $val = if ($p -and $p.PSObject.Properties['DriverLoadPolicy'] -ne $null) { [int]$p.'DriverLoadPolicy' } else { 0 }; [string]$val"</t>
  </si>
  <si>
    <t xml:space="preserve">  description               : "1.0259 - MSWRK - Ensure Enable / disable CLFS logfile authentication is set to Enabled"</t>
  </si>
  <si>
    <t xml:space="preserve">  info                      : "This policy setting configures Common Log File System (CLFS) logfile authentication."</t>
  </si>
  <si>
    <t xml:space="preserve">  reference                 : "NIST 800-53r5|AU-9(3)"</t>
  </si>
  <si>
    <t xml:space="preserve">  powershell_args           : "$p = Get-ItemProperty -Path 'Registry::HKEY_LOCAL_MACHINE\System\CurrentControlSet\Policies' -ErrorAction SilentlyContinue; $val = if ($p -and $p.PSObject.Properties['ClfsAuthenticationChecking'] -ne $null) { [int]$p.'ClfsAuthenticationChecking' } else { 0 }; [string]$val"</t>
  </si>
  <si>
    <t xml:space="preserve">  description               : "1.0260 - MSWRK - Ensure Configure security policy processing: Do not apply during periodic background processing is set to Enabled: FALSE"</t>
  </si>
  <si>
    <t xml:space="preserve">  info                      : "The \'Do not apply during periodic background processing\' option prevents the system from updating affected security policies in the background while the computer is in use."</t>
  </si>
  <si>
    <t xml:space="preserve">  powershell_args           : "$p = Get-ItemProperty -Path 'Registry::HKEY_LOCAL_MACHINE\Software\Policies\Microsoft\Windows\Group Policy\{827D319E-6EAC-11D2-A4EA-00C04F79F83A}' -ErrorAction SilentlyContinue; $val = if ($p -and $p.PSObject.Properties['NoBackgroundPolicy'] -ne $null) { [int]$p.'NoBackgroundPolicy' } else { 0 }; [string]$val"</t>
  </si>
  <si>
    <t xml:space="preserve">  description               : "1.0261 - MSWRK - Ensure Configure security policy processing: Process even if the Group Policy objects have not changed is set to Enabled: TRUE"</t>
  </si>
  <si>
    <t xml:space="preserve">  info                      : "The \'Process even if the Group Policy objects have not changed\' option updates and reapplies security policies even if the security policies have not changed."</t>
  </si>
  <si>
    <t xml:space="preserve">  powershell_args           : "$p = Get-ItemProperty -Path 'Registry::HKEY_LOCAL_MACHINE\Software\Policies\Microsoft\Windows\Group Policy\{827D319E-6EAC-11D2-A4EA-00C04F79F83A}' -ErrorAction SilentlyContinue; $val = if ($p -and $p.PSObject.Properties['NoGPOListChanges'] -ne $null) { [int]$p.'NoGPOListChanges' } else { 0 }; [string]$val"</t>
  </si>
  <si>
    <t xml:space="preserve">  description               : "1.0262 - MSWRK - Ensure Continue experiences on this device is set to Disabled"</t>
  </si>
  <si>
    <t xml:space="preserve">  info                      : "This policy setting determines whether the Windows device is allowed to participate in cross-device experiences (continue experiences)."</t>
  </si>
  <si>
    <t xml:space="preserve">  powershell_args           : "$p = Get-ItemProperty -Path 'Registry::HKEY_LOCAL_MACHINE\Software\Policies\Microsoft\Windows\System' -ErrorAction SilentlyContinue; $val = if ($p -and $p.PSObject.Properties['EnableCdp'] -ne $null) { [int]$p.'EnableCdp' } else { 0 }; [string]$val"</t>
  </si>
  <si>
    <t xml:space="preserve">  description               : "1.0263 - MSWRK - Ensure Turn off background refresh of Group Policy is set to Disabled"</t>
  </si>
  <si>
    <t xml:space="preserve">  info                      : "This policy setting prevents Group Policy from being updated while the computer is in use."</t>
  </si>
  <si>
    <t xml:space="preserve">  powershell_args           : "$p = Get-ItemProperty -Path 'Registry::HKEY_LOCAL_MACHINE\Software\Microsoft\Windows\CurrentVersion\Policies\System' -ErrorAction SilentlyContinue; if ($p -and $p.PSObject.Properties['DisableBkGndGroupPolicy'] -ne $null) { 'EXISTS' } else { 'NOT_FOUND' }"</t>
  </si>
  <si>
    <t xml:space="preserve">  description               : "1.0264 - MSWRK - Ensure Turn off downloading of print drivers over HTTP is set to Enabled"</t>
  </si>
  <si>
    <t xml:space="preserve">  info                      : "This policy setting controls whether the computer can download print driver packages over HTTP."</t>
  </si>
  <si>
    <t xml:space="preserve">  reference                 : "NIST 800-53r5|CM-7(5)"</t>
  </si>
  <si>
    <t xml:space="preserve">  powershell_args           : "$p = Get-ItemProperty -Path 'Registry::HKEY_LOCAL_MACHINE\Software\Policies\Microsoft\Windows NT\Printers' -ErrorAction SilentlyContinue; $val = if ($p -and $p.PSObject.Properties['DisableWebPnPDownload'] -ne $null) { [int]$p.'DisableWebPnPDownload' } else { 0 }; [string]$val"</t>
  </si>
  <si>
    <t xml:space="preserve">  description               : "1.0265 - MSWRK - Ensure Turn off Internet download for Web publishing and online ordering wizards is set to Enabled"</t>
  </si>
  <si>
    <t xml:space="preserve">  info                      : "This policy setting controls whether Windows will download a list of providers for the Web publishing and online ordering wizards."</t>
  </si>
  <si>
    <t xml:space="preserve">  powershell_args           : "$p = Get-ItemProperty -Path 'Registry::HKEY_LOCAL_MACHINE\Software\Microsoft\Windows\CurrentVersion\Policies\Explorer' -ErrorAction SilentlyContinue; $val = if ($p -and $p.PSObject.Properties['NoWebServices'] -ne $null) { [int]$p.'NoWebServices' } else { 0 }; [string]$val"</t>
  </si>
  <si>
    <t xml:space="preserve">  description               : "1.0266 - MSWRK - Ensure Enumeration policy for external devices incompatible with Kernel DMA Protection is set to Enabled: Block All"</t>
  </si>
  <si>
    <t xml:space="preserve">  info                      : "This policy is intended to provide additional security against external DMA-capable devices."</t>
  </si>
  <si>
    <t xml:space="preserve">  reference                 : "NIST 800-53r5|CM-8"</t>
  </si>
  <si>
    <t xml:space="preserve">  powershell_args           : "$p = Get-ItemProperty -Path 'Registry::HKEY_LOCAL_MACHINE\Software\Policies\Microsoft\Windows\Kernel DMA Protection' -ErrorAction SilentlyContinue; $val = if ($p -and $p.PSObject.Properties['DeviceEnumerationPolicy'] -ne $null) { [int]$p.'DeviceEnumerationPolicy' } else { 0 }; [string]$val"</t>
  </si>
  <si>
    <t xml:space="preserve">  description               : "1.0267 - MSWRK - Ensure Configure password backup directory is set to Enabled: Active Directory or Enabled: Azure Active Directory"</t>
  </si>
  <si>
    <t xml:space="preserve">  info                      : "This policy setting configures which directory Windows LAPS will use to back up the local admin account password."</t>
  </si>
  <si>
    <t xml:space="preserve">  reference                 : "NIST 800-53r5|CP-9"</t>
  </si>
  <si>
    <t xml:space="preserve">  powershell_args           : "$p = Get-ItemProperty -Path 'Registry::HKEY_LOCAL_MACHINE\Software\Microsoft\Windows\CurrentVersion\Policies\LAPS' -ErrorAction SilentlyContinue; $val = if ($p -and $p.PSObject.Properties['BackupDirectory'] -ne $null) { [int]$p.'BackupDirectory' } else { 0 }; [string]$val"</t>
  </si>
  <si>
    <t xml:space="preserve">  description               : "1.0268 - MSWRK - Ensure Do not allow password expiration time longer than required by policy is set to Enabled"</t>
  </si>
  <si>
    <t xml:space="preserve">  info                      : "This policy setting configures whether the password age dictated by the Windows LAPS \'Password Settings\' policy is enforced and cannot be extended manually (only shortened) by an authorized technician."</t>
  </si>
  <si>
    <t xml:space="preserve">  reference                 : "NIST 800-53r5|IA-5(1)(d)"</t>
  </si>
  <si>
    <t xml:space="preserve">  powershell_args           : "$p = Get-ItemProperty -Path 'Registry::HKEY_LOCAL_MACHINE\SOFTWARE\Microsoft\Windows\CurrentVersion\Policies\LAPS' -ErrorAction SilentlyContinue; $val = if ($p -and $p.PSObject.Properties['PasswordExpirationProtectionEnabled'] -ne $null) { [int]$p.'PasswordExpirationProtectionEnabled' } else { 0 }; [string]$val"</t>
  </si>
  <si>
    <t xml:space="preserve">  description               : "1.0269 - MSWRK - Ensure Enable password encryption is set to Enabled"</t>
  </si>
  <si>
    <t xml:space="preserve">  info                      : "This policy setting controls whether the Windows LAPS managed password is encrypted before being sent to Active Directory."</t>
  </si>
  <si>
    <t xml:space="preserve">  powershell_args           : "$p = Get-ItemProperty -Path 'Registry::HKEY_LOCAL_MACHINE\Software\Microsoft\Windows\CurrentVersion\Policies\LAPS' -ErrorAction SilentlyContinue; $val = if ($p -and $p.PSObject.Properties['ADPasswordEncryptionEnabled'] -ne $null) { [int]$p.'ADPasswordEncryptionEnabled' } else { 0 }; [string]$val"</t>
  </si>
  <si>
    <t xml:space="preserve">  description               : "1.0270 - MSWRK - Ensure Password Settings: Password Complexity is set to Enabled: Large letters + small letters + numbers + special characters or Passphrase"</t>
  </si>
  <si>
    <t xml:space="preserve">  info                      : "This policy setting configures the Windows LAPS Password Settings policy for password complexity."</t>
  </si>
  <si>
    <t xml:space="preserve">  value_data                : "4" || "6" || "7" || "8"</t>
  </si>
  <si>
    <t xml:space="preserve">  powershell_args           : "$p = Get-ItemProperty -Path 'Registry::HKEY_LOCAL_MACHINE\Software\Microsoft\Windows\CurrentVersion\Policies\LAPS' -ErrorAction SilentlyContinue; $val = if ($p -and $p.PSObject.Properties['PasswordComplexity'] -ne $null) { [int]$p.'PasswordComplexity' } else { 0 }; [string]$val"</t>
  </si>
  <si>
    <t xml:space="preserve">  description               : "1.0271 - MSWRK - Ensure Password Settings: Password Length is set to Enabled: 15 or more"</t>
  </si>
  <si>
    <t xml:space="preserve">  info                      : "This policy setting configures the Windows LAPS Password Settings policy for password length."</t>
  </si>
  <si>
    <t xml:space="preserve">  powershell_args           : "$p = Get-ItemProperty -Path 'Registry::HKEY_LOCAL_MACHINE\Software\Microsoft\Windows\CurrentVersion\Policies\LAPS' -ErrorAction SilentlyContinue; $val = if ($p -and $p.PSObject.Properties['PasswordLength'] -ne $null) { [int]$p.'PasswordLength' } else { 0 }; [string]$val"</t>
  </si>
  <si>
    <t xml:space="preserve">  description               : "1.0272 - MSWRK - Ensure Password Settings: Password Age (Days) is set to Enabled: 30 or fewer"</t>
  </si>
  <si>
    <t xml:space="preserve">  info                      : "This policy setting configures the Windows LAPS Password Settings policy for password age."</t>
  </si>
  <si>
    <t xml:space="preserve">  value_data                : "^(0|1|2|3|4|5|6|7|8|9|10|11|12|13|14|15|16|17|18|19|20|21|22|23|24|25|26|27|28|29|30)$"</t>
  </si>
  <si>
    <t xml:space="preserve">  powershell_args           : "$p = Get-ItemProperty -Path 'Registry::HKEY_LOCAL_MACHINE\Software\Microsoft\Windows\CurrentVersion\Policies\LAPS' -ErrorAction SilentlyContinue; $val = if ($p -and $p.PSObject.Properties['PasswordAgeDays'] -ne $null) { [int]$p.'PasswordAgeDays' } else { 0 }; [string]$val"</t>
  </si>
  <si>
    <t xml:space="preserve">  description               : "1.0273 - MSWRK - Ensure Post-authentication actions: Grace period (hours) is set to Enabled: 8 or fewer hours, but not 0"</t>
  </si>
  <si>
    <t xml:space="preserve">  info                      : "This policy settings configures post-authentication actions which will be executed after detecting an authentication by the Windows LAPS managed account."</t>
  </si>
  <si>
    <t xml:space="preserve">  value_data                : "^(1|2|3|4|5|6|7|8)$"</t>
  </si>
  <si>
    <t xml:space="preserve">  powershell_args           : "$p = Get-ItemProperty -Path 'Registry::HKEY_LOCAL_MACHINE\Software\Microsoft\Windows\CurrentVersion\Policies\LAPS' -ErrorAction SilentlyContinue; $val = if ($p -and $p.PSObject.Properties['PostAuthenticationResetDelay'] -ne $null) { [int]$p.'PostAuthenticationResetDelay' } else { 0 }; [string]$val"</t>
  </si>
  <si>
    <t xml:space="preserve">  description               : "1.0274 - MSWRK - Ensure Post-authentication actions: Actions is set to Enabled: Reset the password and logoff the managed account or higher"</t>
  </si>
  <si>
    <t xml:space="preserve">  info                      : "This policy settings configures post-authentication actions which will be executed after detecting an authentication by the LAPS managed account."</t>
  </si>
  <si>
    <t xml:space="preserve">  value_data                : "3" || "5" || "11"</t>
  </si>
  <si>
    <t xml:space="preserve">  powershell_args           : "$p = Get-ItemProperty -Path 'Registry::HKEY_LOCAL_MACHINE\Software\Microsoft\Windows\CurrentVersion\Policies\LAPS' -ErrorAction SilentlyContinue; $val = if ($p -and $p.PSObject.Properties['PostAuthenticationActions'] -ne $null) { [int]$p.'PostAuthenticationActions' } else { 0 }; [string]$val"</t>
  </si>
  <si>
    <t xml:space="preserve">  description               : "1.0275 - MSWRK - Ensure Allow Custom SSPs and APs to be loaded into LSASS is set to Disabled"</t>
  </si>
  <si>
    <t xml:space="preserve">  info                      : "This policy setting controls the configuration under which the Local Security Authority Subsystem Service (LSASS) will load custom Security Support Provider/Authentication Package (SSP/AP)."</t>
  </si>
  <si>
    <t xml:space="preserve">  powershell_args           : "$p = Get-ItemProperty -Path 'Registry::HKEY_LOCAL_MACHINE\Software\Policies\Microsoft\Windows\System' -ErrorAction SilentlyContinue; $val = if ($p -and $p.PSObject.Properties['AllowCustomSSPsAPs'] -ne $null) { [int]$p.'AllowCustomSSPsAPs' } else { 0 }; [string]$val"</t>
  </si>
  <si>
    <t xml:space="preserve">  description               : "1.0276 - MSWRK - Ensure Configures LSASS to run as a protected process is set to Enabled: Enabled with UEFI Lock"</t>
  </si>
  <si>
    <t xml:space="preserve">  info                      : "This policy setting controls whether the Local Security Authority Subservice Service (LSASS) runs in protected mode and also has the option to lock in protected mode with Unified Extensible Firmware Interface (UEFI)."</t>
  </si>
  <si>
    <t xml:space="preserve">  powershell_args           : "$p = Get-ItemProperty -Path 'Registry::HKEY_LOCAL_MACHINE\Software\Policies\Microsoft\Windows\System' -ErrorAction SilentlyContinue; $val = if ($p -and $p.PSObject.Properties['RunAsPPL'] -ne $null) { [int]$p.'RunAsPPL' } else { 0 }; [string]$val"</t>
  </si>
  <si>
    <t xml:space="preserve">  description               : "1.0277 - MSWRK - Ensure Block user from showing account details on sign-in is set to Enabled"</t>
  </si>
  <si>
    <t xml:space="preserve">  info                      : "This policy prevents the user from showing account details (email address or user name) on the sign-in screen."</t>
  </si>
  <si>
    <t xml:space="preserve">  powershell_args           : "$p = Get-ItemProperty -Path 'Registry::HKEY_LOCAL_MACHINE\Software\Policies\Microsoft\Windows\System' -ErrorAction SilentlyContinue; $val = if ($p -and $p.PSObject.Properties['BlockUserFromShowingAccountDetailsOnSignin'] -ne $null) { [int]$p.'BlockUserFromShowingAccountDetailsOnSignin' } else { 0 }; [string]$val"</t>
  </si>
  <si>
    <t xml:space="preserve">  description               : "1.0278 - MSWRK - Ensure Do not display network selection UI is set to Enabled"</t>
  </si>
  <si>
    <t xml:space="preserve">  info                      : "This policy setting allows you to control whether anyone can interact with available networks UI on the logon screen."</t>
  </si>
  <si>
    <t xml:space="preserve">  powershell_args           : "$p = Get-ItemProperty -Path 'Registry::HKEY_LOCAL_MACHINE\Software\Policies\Microsoft\Windows\System' -ErrorAction SilentlyContinue; $val = if ($p -and $p.PSObject.Properties['DontDisplayNetworkSelectionUI'] -ne $null) { [int]$p.'DontDisplayNetworkSelectionUI' } else { 0 }; [string]$val"</t>
  </si>
  <si>
    <t xml:space="preserve">  description               : "1.0279 - MSWRK - Ensure Do not enumerate connected users on domain-joined computers is set to Enabled"</t>
  </si>
  <si>
    <t xml:space="preserve">  info                      : "This policy setting prevents connected users from being enumerated on domain-joined computers."</t>
  </si>
  <si>
    <t xml:space="preserve">  powershell_args           : "$p = Get-ItemProperty -Path 'Registry::HKEY_LOCAL_MACHINE\Software\Policies\Microsoft\Windows\System' -ErrorAction SilentlyContinue; $val = if ($p -and $p.PSObject.Properties['DontEnumerateConnectedUsers'] -ne $null) { [int]$p.'DontEnumerateConnectedUsers' } else { 0 }; [string]$val"</t>
  </si>
  <si>
    <t xml:space="preserve">  description               : "1.0280 - MSWRK - Ensure Enumerate local users on domain-joined computers is set to Disabled"</t>
  </si>
  <si>
    <t xml:space="preserve">  info                      : "This policy setting allows local users to be enumerated on domain-joined computers."</t>
  </si>
  <si>
    <t xml:space="preserve">  powershell_args           : "$p = Get-ItemProperty -Path 'Registry::HKEY_LOCAL_MACHINE\Software\Policies\Microsoft\Windows\System' -ErrorAction SilentlyContinue; $val = if ($p -and $p.PSObject.Properties['EnumerateLocalUsers'] -ne $null) { [int]$p.'EnumerateLocalUsers' } else { 0 }; [string]$val"</t>
  </si>
  <si>
    <t xml:space="preserve">  description               : "1.0281 - MSWRK - Ensure Turn off app notifications on the lock screen is set to Enabled"</t>
  </si>
  <si>
    <t xml:space="preserve">  info                      : "This policy setting allows you to prevent app notifications from appearing on the lock screen."</t>
  </si>
  <si>
    <t xml:space="preserve">  powershell_args           : "$p = Get-ItemProperty -Path 'Registry::HKEY_LOCAL_MACHINE\Software\Policies\Microsoft\Windows\System' -ErrorAction SilentlyContinue; $val = if ($p -and $p.PSObject.Properties['DisableLockScreenAppNotifications'] -ne $null) { [int]$p.'DisableLockScreenAppNotifications' } else { 0 }; [string]$val"</t>
  </si>
  <si>
    <t xml:space="preserve">  description               : "1.0282 - MSWRK - Ensure Turn off picture password sign-in is set to Enabled"</t>
  </si>
  <si>
    <t xml:space="preserve">  info                      : "This policy setting allows you to control whether a domain user can sign in using a picture password."</t>
  </si>
  <si>
    <t xml:space="preserve">  powershell_args           : "$p = Get-ItemProperty -Path 'Registry::HKEY_LOCAL_MACHINE\Software\Policies\Microsoft\Windows\System' -ErrorAction SilentlyContinue; $val = if ($p -and $p.PSObject.Properties['BlockDomainPicturePassword'] -ne $null) { [int]$p.'BlockDomainPicturePassword' } else { 0 }; [string]$val"</t>
  </si>
  <si>
    <t xml:space="preserve">  description               : "1.0283 - MSWRK - Ensure Turn on convenience PIN sign-in is set to Disabled"</t>
  </si>
  <si>
    <t xml:space="preserve">  info                      : "This policy setting allows you to control whether a domain user can sign in using a convenience PIN."</t>
  </si>
  <si>
    <t xml:space="preserve">  powershell_args           : "$p = Get-ItemProperty -Path 'Registry::HKEY_LOCAL_MACHINE\Software\Policies\Microsoft\Windows\System' -ErrorAction SilentlyContinue; $val = if ($p -and $p.PSObject.Properties['AllowDomainPINLogon'] -ne $null) { [int]$p.'AllowDomainPINLogon' } else { 0 }; [string]$val"</t>
  </si>
  <si>
    <t xml:space="preserve">  description               : "1.0284 - MSWRK - Ensure Include command line in process creation events is set to Enabled"</t>
  </si>
  <si>
    <t xml:space="preserve">  info                      : "This policy setting controls whether the process creation command line text is logged in security audit events when a new process has been created."</t>
  </si>
  <si>
    <t xml:space="preserve">  reference                 : "NIST 800-53r5|AU-2"</t>
  </si>
  <si>
    <t xml:space="preserve">  powershell_args           : "$p = Get-ItemProperty -Path 'Registry::HKEY_LOCAL_MACHINE\Software\Microsoft\Windows\CurrentVersion\Policies\System\Audit' -ErrorAction SilentlyContinue; $val = if ($p -and $p.PSObject.Properties['ProcessCreationIncludeCmdLine_Enabled'] -ne $null) { [int]$p.'ProcessCreationIncludeCmdLine_Enabled' } else { 0 }; [string]$val"</t>
  </si>
  <si>
    <t xml:space="preserve">  description               : "1.0285 - MSWRK - Ensure Block NetBIOS-based discovery for domain controller location is set to Enabled"</t>
  </si>
  <si>
    <t xml:space="preserve">  info                      : "This policy setting determines whether the Domain Controller (DC) location algorithm uses NetBIOS-based discovery for the Domain Controller's location."</t>
  </si>
  <si>
    <t xml:space="preserve">  powershell_args           : "$p = Get-ItemProperty -Path 'Registry::HKEY_LOCAL_MACHINE\SOFTWARE\Policies\Microsoft\Netlogon\Parameters' -ErrorAction SilentlyContinue; $val = if ($p -and $p.PSObject.Properties['BlockNetbiosDiscovery'] -ne $null) { [int]$p.'BlockNetbiosDiscovery' } else { 0 }; [string]$val"</t>
  </si>
  <si>
    <t xml:space="preserve">  description               : "1.0286 - MSWRK - Ensure Allow network connectivity during connected-standby (on battery) is set to Disabled - F15576e8-98b7-4186-b944-eafa664402d9"</t>
  </si>
  <si>
    <t xml:space="preserve">  info                      : "This policy setting allows you to control the network connectivity state in standby on modern standby-capable systems."</t>
  </si>
  <si>
    <t xml:space="preserve">  powershell_args           : "$p = Get-ItemProperty -Path 'Registry::HKEY_LOCAL_MACHINE\Software\Policies\Microsoft\Power\PowerSettings\f15576e8-98b7-4186-b944-eafa664402d9' -ErrorAction SilentlyContinue; $val = if ($p -and $p.PSObject.Properties['DCSettingIndex'] -ne $null) { [int]$p.'DCSettingIndex' } else { 0 }; [string]$val"</t>
  </si>
  <si>
    <t xml:space="preserve">  description               : "1.0287 - MSWRK - Ensure Allow network connectivity during connected-standby (plugged in) is set to Disabled - F15576e8-98b7-4186-b944-eafa664402d9"</t>
  </si>
  <si>
    <t xml:space="preserve">  powershell_args           : "$p = Get-ItemProperty -Path 'Registry::HKEY_LOCAL_MACHINE\Software\Policies\Microsoft\Power\PowerSettings\f15576e8-98b7-4186-b944-eafa664402d9' -ErrorAction SilentlyContinue; $val = if ($p -and $p.PSObject.Properties['ACSettingIndex'] -ne $null) { [int]$p.'ACSettingIndex' } else { 0 }; [string]$val"</t>
  </si>
  <si>
    <t xml:space="preserve">  description               : "1.0288 - MSWRK - Ensure Allow standby states (S1-S3) when sleeping (on battery) is set to Disabled - Abfc2519-3608-4c2a-94ea-171b0ed546ab"</t>
  </si>
  <si>
    <t xml:space="preserve">  info                      : "This policy setting manages whether or not Windows is allowed to use standby states when putting the computer in a sleep state."</t>
  </si>
  <si>
    <t xml:space="preserve">  powershell_args           : "$p = Get-ItemProperty -Path 'Registry::HKEY_LOCAL_MACHINE\Software\Policies\Microsoft\Power\PowerSettings\abfc2519-3608-4c2a-94ea-171b0ed546ab' -ErrorAction SilentlyContinue; $val = if ($p -and $p.PSObject.Properties['DCSettingIndex'] -ne $null) { [int]$p.'DCSettingIndex' } else { 0 }; [string]$val"</t>
  </si>
  <si>
    <t xml:space="preserve">  description               : "1.0289 - MSWRK - Ensure Allow standby states (S1-S3) when sleeping (plugged in) is set to Disabled - Abfc2519-3608-4c2a-94ea-171b0ed546ab"</t>
  </si>
  <si>
    <t xml:space="preserve">  powershell_args           : "$p = Get-ItemProperty -Path 'Registry::HKEY_LOCAL_MACHINE\Software\Policies\Microsoft\Power\PowerSettings\abfc2519-3608-4c2a-94ea-171b0ed546ab' -ErrorAction SilentlyContinue; $val = if ($p -and $p.PSObject.Properties['ACSettingIndex'] -ne $null) { [int]$p.'ACSettingIndex' } else { 0 }; [string]$val"</t>
  </si>
  <si>
    <t xml:space="preserve">  description               : "1.0290 - MSWRK - Ensure Require a password when a computer wakes (on battery) is set to Enabled - 0e796bdb-100d-47d6-a2d5-f7d2daa51f51"</t>
  </si>
  <si>
    <t xml:space="preserve">  info                      : "Specifies whether or not the user is prompted for a password when the system resumes from sleep."</t>
  </si>
  <si>
    <t xml:space="preserve">  powershell_args           : "$p = Get-ItemProperty -Path 'Registry::HKEY_LOCAL_MACHINE\Software\Policies\Microsoft\Power\PowerSettings\0e796bdb-100d-47d6-a2d5-f7d2daa51f51' -ErrorAction SilentlyContinue; $val = if ($p -and $p.PSObject.Properties['DCSettingIndex'] -ne $null) { [int]$p.'DCSettingIndex' } else { 0 }; [string]$val"</t>
  </si>
  <si>
    <t xml:space="preserve">  description               : "1.0291 - MSWRK - Ensure Require a password when a computer wakes (plugged in) is set to Enabled - 0e796bdb-100d-47d6-a2d5-f7d2daa51f51"</t>
  </si>
  <si>
    <t xml:space="preserve">  powershell_args           : "$p = Get-ItemProperty -Path 'Registry::HKEY_LOCAL_MACHINE\Software\Policies\Microsoft\Power\PowerSettings\0e796bdb-100d-47d6-a2d5-f7d2daa51f51' -ErrorAction SilentlyContinue; $val = if ($p -and $p.PSObject.Properties['ACSettingIndex'] -ne $null) { [int]$p.'ACSettingIndex' } else { 0 }; [string]$val"</t>
  </si>
  <si>
    <t xml:space="preserve">  description               : "1.0292 - MSWRK - Ensure Configure Offer Remote Assistance is set to Disabled"</t>
  </si>
  <si>
    <t xml:space="preserve">  info                      : "This policy setting allows you to turn on or turn off Offer (Unsolicited) Remote Assistance on this computer."</t>
  </si>
  <si>
    <t xml:space="preserve">  powershell_args           : "$p = Get-ItemProperty -Path 'Registry::HKEY_LOCAL_MACHINE\Software\policies\Microsoft\Windows NT\Terminal Services' -ErrorAction SilentlyContinue; $val = if ($p -and $p.PSObject.Properties['fAllowUnsolicited'] -ne $null) { [int]$p.'fAllowUnsolicited' } else { 0 }; [string]$val"</t>
  </si>
  <si>
    <t xml:space="preserve">  description               : "1.0293 - MSWRK - Ensure Configure Solicited Remote Assistance is set to Disabled"</t>
  </si>
  <si>
    <t xml:space="preserve">  info                      : "This policy setting allows you to turn on or turn off Solicited (Ask for) Remote Assistance on this computer."</t>
  </si>
  <si>
    <t xml:space="preserve">  powershell_args           : "$p = Get-ItemProperty -Path 'Registry::HKEY_LOCAL_MACHINE\Software\policies\Microsoft\Windows NT\Terminal Services' -ErrorAction SilentlyContinue; $val = if ($p -and $p.PSObject.Properties['fAllowToGetHelp'] -ne $null) { [int]$p.'fAllowToGetHelp' } else { 0 }; [string]$val"</t>
  </si>
  <si>
    <t xml:space="preserve">  description               : "1.0294 - MSWRK - Ensure Enable RPC Endpoint Mapper Client Authentication is set to Enabled"</t>
  </si>
  <si>
    <t xml:space="preserve">  info                      : "This policy setting controls whether RPC clients authenticate with the Endpoint Mapper Service when the call they are making contains authentication information."</t>
  </si>
  <si>
    <t xml:space="preserve">  powershell_args           : "$p = Get-ItemProperty -Path 'Registry::HKEY_LOCAL_MACHINE\Software\Policies\Microsoft\Windows NT\Rpc' -ErrorAction SilentlyContinue; $val = if ($p -and $p.PSObject.Properties['EnableAuthEpResolution'] -ne $null) { [int]$p.'EnableAuthEpResolution' } else { 0 }; [string]$val"</t>
  </si>
  <si>
    <t xml:space="preserve">  description               : "1.0295 - MSWRK - Ensure Restrict Unauthenticated RPC clients is set to Enabled: Authenticated"</t>
  </si>
  <si>
    <t xml:space="preserve">  info                      : "This policy setting controls how the RPC server runtime handles unauthenticated RPC clients connecting to RPC servers."</t>
  </si>
  <si>
    <t xml:space="preserve">  powershell_args           : "$p = Get-ItemProperty -Path 'Registry::HKEY_LOCAL_MACHINE\Software\Policies\Microsoft\Windows NT\Rpc' -ErrorAction SilentlyContinue; $val = if ($p -and $p.PSObject.Properties['RestrictRemoteClients'] -ne $null) { [int]$p.'RestrictRemoteClients' } else { 0 }; [string]$val"</t>
  </si>
  <si>
    <t xml:space="preserve">  description               : "1.0296 - MSWRK - Ensure Encryption Oracle Remediation is set to Enabled: Force Updated Clients"</t>
  </si>
  <si>
    <t xml:space="preserve">  info                      : "Some versions of the CredSSP protocol that is used by some applications (such as Remote Desktop Connection) are vulnerable to an encryption oracle attack against the client."</t>
  </si>
  <si>
    <t xml:space="preserve">  powershell_args           : "$p = Get-ItemProperty -Path 'Registry::HKEY_LOCAL_MACHINE\Software\Microsoft\Windows\CurrentVersion\Policies\System\CredSSP\Parameters' -ErrorAction SilentlyContinue; $val = if ($p -and $p.PSObject.Properties['AllowEncryptionOracle'] -ne $null) { [int]$p.'AllowEncryptionOracle' } else { 0 }; [string]$val"</t>
  </si>
  <si>
    <t xml:space="preserve">  description               : "1.0297 - MSWRK - Ensure Configure SAM change password RPC methods policy is set to Enabled: Block all change password RPC methods"</t>
  </si>
  <si>
    <t xml:space="preserve">  info                      : "This policy setting determines which RPC methods can be used to change passwords stored in the Security Account Manager (SAM)."</t>
  </si>
  <si>
    <t xml:space="preserve">  powershell_args           : "$p = Get-ItemProperty -Path 'Registry::HKEY_LOCAL_MACHINE\Software\Microsoft\Windows\CurrentVersion\Policies\System\SAM' -ErrorAction SilentlyContinue; $val = if ($p -and $p.PSObject.Properties['SamrChangeUserPasswordApiPolicy'] -ne $null) { [int]$p.'SamrChangeUserPasswordApiPolicy' } else { 0 }; [string]$val"</t>
  </si>
  <si>
    <t xml:space="preserve">  description               : "1.0298 - MSWRK - Ensure Remote host allows delegation of non-exportable credentials is set to Enabled"</t>
  </si>
  <si>
    <t xml:space="preserve">  info                      : "When using credential delegation, devices provide an exportable version of credentials to the remote host."</t>
  </si>
  <si>
    <t xml:space="preserve">  reference                 : "NIST 800-53r5|IA-5"</t>
  </si>
  <si>
    <t xml:space="preserve">  powershell_args           : "$p = Get-ItemProperty -Path 'Registry::HKEY_LOCAL_MACHINE\Software\Policies\Microsoft\Windows\CredentialsDelegation' -ErrorAction SilentlyContinue; $val = if ($p -and $p.PSObject.Properties['AllowProtectedCreds'] -ne $null) { [int]$p.'AllowProtectedCreds' } else { 0 }; [string]$val"</t>
  </si>
  <si>
    <t xml:space="preserve">  description               : "1.0299 - MSWRK - Ensure Turn On Virtualization Based Security is set to Enabled"</t>
  </si>
  <si>
    <t xml:space="preserve">  info                      : "This policy setting specifies whether Virtualization Based Security is enabled."</t>
  </si>
  <si>
    <t xml:space="preserve">  powershell_args           : "$p = Get-ItemProperty -Path 'Registry::HKEY_LOCAL_MACHINE\Software\Policies\Microsoft\Windows\DeviceGuard' -ErrorAction SilentlyContinue; $val = if ($p -and $p.PSObject.Properties['EnableVirtualizationBasedSecurity'] -ne $null) { [int]$p.'EnableVirtualizationBasedSecurity' } else { 0 }; [string]$val"</t>
  </si>
  <si>
    <t xml:space="preserve">  description               : "1.0300 - MSWRK - Ensure Turn On Virtualization Based Security: Select Platform Security Level is set to Secure Boot or higher"</t>
  </si>
  <si>
    <t xml:space="preserve">  info                      : "This policy setting specifies whether Virtualization Based Security (VBS) is enabled."</t>
  </si>
  <si>
    <t xml:space="preserve">  value_data                : "3" || "1"</t>
  </si>
  <si>
    <t xml:space="preserve">  powershell_args           : "$p = Get-ItemProperty -Path 'Registry::HKEY_LOCAL_MACHINE\Software\Policies\Microsoft\Windows\DeviceGuard' -ErrorAction SilentlyContinue; $val = if ($p -and $p.PSObject.Properties['RequirePlatformSecurityFeatures'] -ne $null) { [int]$p.'RequirePlatformSecurityFeatures' } else { 0 }; [string]$val"</t>
  </si>
  <si>
    <t xml:space="preserve">  description               : "1.0301 - MSWRK - Ensure Turn On Virtualization Based Security: Virtualization Based Protection of Code Integrity is set to Enabled with UEFI lock"</t>
  </si>
  <si>
    <t xml:space="preserve">  info                      : "This setting enables virtualization based protection of Kernel Mode Code Integrity."</t>
  </si>
  <si>
    <t xml:space="preserve">  powershell_args           : "$p = Get-ItemProperty -Path 'Registry::HKEY_LOCAL_MACHINE\Software\Policies\Microsoft\Windows\DeviceGuard' -ErrorAction SilentlyContinue; $val = if ($p -and $p.PSObject.Properties['HypervisorEnforcedCodeIntegrity'] -ne $null) { [int]$p.'HypervisorEnforcedCodeIntegrity' } else { 0 }; [string]$val"</t>
  </si>
  <si>
    <t xml:space="preserve">  description               : "1.0302 - MSWRK - Ensure Enable Windows NTP Client is set to Enabled - Ntpclient"</t>
  </si>
  <si>
    <t xml:space="preserve">  info                      : "This policy setting specifies whether the Windows NTP Client is enabled."</t>
  </si>
  <si>
    <t xml:space="preserve">  reference                 : "NIST 800-53r5|AU-7 AU-8"</t>
  </si>
  <si>
    <t xml:space="preserve">  powershell_args           : "$p = Get-ItemProperty -Path 'Registry::HKEY_LOCAL_MACHINE\Software\Policies\Microsoft\W32Time\TimeProviders\NtpClient' -ErrorAction SilentlyContinue; $val = if ($p -and $p.PSObject.Properties['Enabled'] -ne $null) { [int]$p.'Enabled' } else { 0 }; [string]$val"</t>
  </si>
  <si>
    <t xml:space="preserve">  description               : "1.0303 - MSWRK - Ensure Enable Windows NTP Server is set to Disabled - Ntpserver"</t>
  </si>
  <si>
    <t xml:space="preserve">  info                      : "This policy setting specifies whether the Windows NTP Server is enabled."</t>
  </si>
  <si>
    <t xml:space="preserve">  powershell_args           : "$p = Get-ItemProperty -Path 'Registry::HKEY_LOCAL_MACHINE\Software\Policies\Microsoft\W32Time\TimeProviders\NtpServer' -ErrorAction SilentlyContinue; $val = if ($p -and $p.PSObject.Properties['Enabled'] -ne $null) { [int]$p.'Enabled' } else { 0 }; [string]$val"</t>
  </si>
  <si>
    <t xml:space="preserve">  description               : "1.0304 - MSWRK - Ensure Turn On Virtualization Based Security: Require UEFI Memory Attributes Table is set to True (checked)"</t>
  </si>
  <si>
    <t xml:space="preserve">  info                      : "This option will only enable Virtualization Based Protection of Code Integrity on devices with UEFI firmware support for the Memory Attributes Table."</t>
  </si>
  <si>
    <t xml:space="preserve">  powershell_args           : "$p = Get-ItemProperty -Path 'Registry::HKEY_LOCAL_MACHINE\Software\Policies\Microsoft\Windows\DeviceGuard' -ErrorAction SilentlyContinue; $val = if ($p -and $p.PSObject.Properties['HVCIMATRequired'] -ne $null) { [int]$p.'HVCIMATRequired' } else { 0 }; [string]$val"</t>
  </si>
  <si>
    <t xml:space="preserve">  description               : "1.0305 - MSWRK - (L1) Ensure Configure the behavior of the sudo command is set to Enabled: Disabled - Sudo"</t>
  </si>
  <si>
    <t xml:space="preserve">  info                      : "This policy setting configures the use of the sudo."</t>
  </si>
  <si>
    <t xml:space="preserve">  powershell_args           : "$p = Get-ItemProperty -Path 'Registry::HKEY_LOCAL_MACHINE\Software\Policies\Microsoft\Windows\Sudo' -ErrorAction SilentlyContinue; $val = if ($p -and $p.PSObject.Properties['Enabled'] -ne $null) { [int]$p.'Enabled' } else { 0 }; [string]$val"</t>
  </si>
  <si>
    <t xml:space="preserve">  description               : "1.0306 - MSWRK - Ensure Turn On Virtualization Based Security: Credential Guard Configuration is set to Enabled with UEFI lock"</t>
  </si>
  <si>
    <t xml:space="preserve">  info                      : "This setting lets users turn on Credential Guard with virtualization-based security to help protect credentials."</t>
  </si>
  <si>
    <t xml:space="preserve">  powershell_args           : "$p = Get-ItemProperty -Path 'Registry::HKEY_LOCAL_MACHINE\Software\Policies\Microsoft\Windows\DeviceGuard' -ErrorAction SilentlyContinue; $val = if ($p -and $p.PSObject.Properties['LsaCfgFlags'] -ne $null) { [int]$p.'LsaCfgFlags' } else { 0 }; [string]$val"</t>
  </si>
  <si>
    <t xml:space="preserve">  description               : "1.0307 - MSWRK - Ensure Turn On Virtualization Based Security: Secure Launch Configuration is set to Enabled"</t>
  </si>
  <si>
    <t xml:space="preserve">  info                      : "Secure Launch protects the Virtualization Based Security environment from exploited vulnerabilities in device firmware."</t>
  </si>
  <si>
    <t xml:space="preserve">  powershell_args           : "$p = Get-ItemProperty -Path 'Registry::HKEY_LOCAL_MACHINE\Software\Policies\Microsoft\Windows\DeviceGuard' -ErrorAction SilentlyContinue; $val = if ($p -and $p.PSObject.Properties['ConfigureSystemGuardLaunch'] -ne $null) { [int]$p.'ConfigureSystemGuardLaunch' } else { 0 }; [string]$val"</t>
  </si>
  <si>
    <t xml:space="preserve">  description               : "1.0308 - MSWRK - Ensure Turn On Virtualization Based Security: Kernel-mode Hardware-enforced Stack Protection is set to Enabled: Enabled in enforcement mode"</t>
  </si>
  <si>
    <t xml:space="preserve">  info                      : "This policy setting enables Hardware-enforced Stack Protection for kernel-mode code."</t>
  </si>
  <si>
    <t xml:space="preserve">  powershell_args           : "$p = Get-ItemProperty -Path 'Registry::HKEY_LOCAL_MACHINE\Software\Policies\Microsoft\Windows\DeviceGuard' -ErrorAction SilentlyContinue; $val = if ($p -and $p.PSObject.Properties['ConfigureKernelShadowStacksLaunch'] -ne $null) { [int]$p.'ConfigureKernelShadowStacksLaunch' } else { 0 }; [string]$val"</t>
  </si>
  <si>
    <t xml:space="preserve">  description               : "1.0309 - MSWRK - Ensure Prevent installation of devices using drivers that match these device setup classes is set to Enabled"</t>
  </si>
  <si>
    <t xml:space="preserve">  info                      : "This policy setting allows you to specify a list of device setup class globally unique identifiers (GUIDs) for device drivers that Windows is prevented from installing."</t>
  </si>
  <si>
    <t xml:space="preserve">  powershell_args           : "$p = Get-ItemProperty -Path 'Registry::HKEY_LOCAL_MACHINE\Software\Policies\Microsoft\Windows\DeviceInstall\Restrictions' -ErrorAction SilentlyContinue; $val = if ($p -and $p.PSObject.Properties['DenyDeviceClasses'] -ne $null) { [int]$p.'DenyDeviceClasses' } else { 0 }; [string]$val"</t>
  </si>
  <si>
    <t xml:space="preserve">  description               : "1.0310 - MSWRK - Ensure Prevent installation of devices using drivers that match these device setup classes: Prevent installation of devices using drivers for these device setup is set to IEEE 1394 device setup classes"</t>
  </si>
  <si>
    <t xml:space="preserve">  reference                 : "NIST 800-53r5|SI-3c.2."</t>
  </si>
  <si>
    <t xml:space="preserve">  value_data                : "STATUS: PASSED"</t>
  </si>
  <si>
    <t xml:space="preserve">  powershell_args           : "$values = '{d48179be-ec20-11d1-b6b8-00c04fa372a7}', '{7ebefbc0-3200-11d2-b4c2-00a0C9697d07}', '{c06ff265-ae09-48f0-812c-16753d7cba83}', '{6bdd1fc1-810f-11d0-bec7-08002be2092f}'; $path = 'Registry::HKEY_LOCAL_MACHINE\Software\Policies\Microsoft\Windows\Deviceinstall\Restrictions\DenyDeviceClasses'; Get-Item -Path $path -ErrorAction SilentlyContinue | Select-Object -ExpandProperty Property | ForEach-Object { $value = (Get-ItemProperty -Path $path -Name $_).$_; if ($values -contains $value) { $values = $values | Where-Object { $_ -ne $value } } }; if ($values) { 'The following values are missing:'; ''; $values; ''; 'STATUS: FAILED' } else { 'STATUS: PASSED' }"</t>
  </si>
  <si>
    <t xml:space="preserve">  description               : "1.0311 - MSWRK - Ensure Prevent installation of devices using drivers that match these device setup classes: Also apply to matching devices that are already installed. is set to True (checked)"</t>
  </si>
  <si>
    <t xml:space="preserve">  powershell_args           : "$p = Get-ItemProperty -Path 'Registry::HKEY_LOCAL_MACHINE\Software\Policies\Microsoft\Windows\DeviceInstall\Restrictions' -ErrorAction SilentlyContinue; $val = if ($p -and $p.PSObject.Properties['DenyDeviceClassesRetroactive'] -ne $null) { [int]$p.'DenyDeviceClassesRetroactive' } else { 0 }; [string]$val"</t>
  </si>
  <si>
    <t xml:space="preserve">  description               : "1.0312 - MSWRK - Ensure Prevent automatic download of applications associated with device metadata is set to Enabled"</t>
  </si>
  <si>
    <t xml:space="preserve">  info                      : "This policy setting allows you to prevent Windows from retrieving device metadata from the Internet."</t>
  </si>
  <si>
    <t xml:space="preserve">  reference                 : "NIST 800-53r5|CM-7(5) CM-10 SI-16"</t>
  </si>
  <si>
    <t xml:space="preserve">  powershell_args           : "$p = Get-ItemProperty -Path 'Registry::HKEY_LOCAL_MACHINE\Software\Policies\Microsoft\Windows\Device Metadata' -ErrorAction SilentlyContinue; $val = if ($p -and $p.PSObject.Properties['PreventDeviceMetadataFromNetwork'] -ne $null) { [int]$p.'PreventDeviceMetadataFromNetwork' } else { 0 }; [string]$val"</t>
  </si>
  <si>
    <t xml:space="preserve">  description               : "1.0313 - MSWRK - Ensure Turn off toast notifications on the lock screen is set to Enabled"</t>
  </si>
  <si>
    <t xml:space="preserve">  info                      : "This policy setting turns off toast notifications on the lock screen."</t>
  </si>
  <si>
    <t xml:space="preserve">  powershell_args           : "$p = Get-ItemProperty -Path 'Registry::HKEY_USERS\Software\Policies\Microsoft\Windows\CurrentVersion\PushNotifications' -ErrorAction SilentlyContinue; $val = if ($p -and $p.PSObject.Properties['NoToastApplicationNotificationOnLockScreen'] -ne $null) { [int]$p.'NoToastApplicationNotificationOnLockScreen' } else { 0 }; [string]$val"</t>
  </si>
  <si>
    <t xml:space="preserve">  description               : "1.0314 - MSWRK - Ensure Prevent users from sharing files within their profile. is set to Enabled"</t>
  </si>
  <si>
    <t xml:space="preserve">  info                      : "This policy setting determines whether users can share files within their profile."</t>
  </si>
  <si>
    <t xml:space="preserve">  powershell_args           : "$p = Get-ItemProperty -Path 'Registry::HKEY_USERS\Software\Microsoft\Windows\CurrentVersion\Policies\Explorer' -ErrorAction SilentlyContinue; $val = if ($p -and $p.PSObject.Properties['NoInplaceSharing'] -ne $null) { [int]$p.'NoInplaceSharing' } else { 0 }; [string]$val"</t>
  </si>
  <si>
    <t xml:space="preserve">  description               : "1.0315 - MSWRK - Ensure Do not preserve zone information in file attachments is set to Disabled"</t>
  </si>
  <si>
    <t xml:space="preserve">  info                      : "This policy setting allows you to manage whether Windows marks file attachments with information about their zone of origin (such as restricted, Internet, intranet, local)."</t>
  </si>
  <si>
    <t xml:space="preserve">  powershell_args           : "$p = Get-ItemProperty -Path 'Registry::HKEY_USERS\Software\Microsoft\Windows\CurrentVersion\Policies\Attachments' -ErrorAction SilentlyContinue; $val = if ($p -and $p.PSObject.Properties['SaveZoneInformation'] -ne $null) { [int]$p.'SaveZoneInformation' } else { 0 }; [string]$val"</t>
  </si>
  <si>
    <t xml:space="preserve">  description               : "1.0316 - MSWRK - Ensure Notify antivirus programs when opening attachments is set to Enabled"</t>
  </si>
  <si>
    <t xml:space="preserve">  info                      : "This policy setting manages the behavior for notifying registered antivirus programs."</t>
  </si>
  <si>
    <t xml:space="preserve">  powershell_args           : "$p = Get-ItemProperty -Path 'Registry::HKEY_USERS\Software\Microsoft\Windows\CurrentVersion\Policies\Attachments' -ErrorAction SilentlyContinue; $val = if ($p -and $p.PSObject.Properties['ScanWithAntiVirus'] -ne $null) { [int]$p.'ScanWithAntiVirus' } else { 0 }; [string]$val"</t>
  </si>
  <si>
    <t xml:space="preserve">  description               : "1.0317 - MSWRK - Ensure Configure Windows spotlight on lock screen is set to Disabled"</t>
  </si>
  <si>
    <t xml:space="preserve">  info                      : "This policy setting lets you configure Windows Spotlight on the lock screen."</t>
  </si>
  <si>
    <t xml:space="preserve">  powershell_args           : "$p = Get-ItemProperty -Path 'Registry::HKEY_USERS\Software\Policies\Microsoft\Windows\CloudContent' -ErrorAction SilentlyContinue; $val = if ($p -and $p.PSObject.Properties['ConfigureWindowsSpotlight'] -ne $null) { [int]$p.'ConfigureWindowsSpotlight' } else { 0 }; [string]$val"</t>
  </si>
  <si>
    <t xml:space="preserve">  description               : "1.0318 - MSWRK - Ensure Do not suggest third-party content in Windows spotlight is set to Enabled"</t>
  </si>
  <si>
    <t xml:space="preserve">  info                      : "This policy setting determines whether Windows will suggest apps and content from third-party software publishers."</t>
  </si>
  <si>
    <t xml:space="preserve">  powershell_args           : "$p = Get-ItemProperty -Path 'Registry::HKEY_USERS\Software\Policies\Microsoft\Windows\CloudContent' -ErrorAction SilentlyContinue; $val = if ($p -and $p.PSObject.Properties['DisableThirdPartySuggestions'] -ne $null) { [int]$p.'DisableThirdPartySuggestions' } else { 0 }; [string]$val"</t>
  </si>
  <si>
    <t xml:space="preserve">  description               : "1.0319 - MSWRK - Ensure Turn off Spotlight collection on Desktop is set to Enabled"</t>
  </si>
  <si>
    <t xml:space="preserve">  info                      : "This policy setting removes the Spotlight collection setting in Personalization, rendering the user unable to select and subsequently download daily images from Microsoft to the system desktop."</t>
  </si>
  <si>
    <t xml:space="preserve">  powershell_args           : "$p = Get-ItemProperty -Path 'Registry::HKEY_USERS\Software\Policies\Microsoft\Windows\CloudContent' -ErrorAction SilentlyContinue; $val = if ($p -and $p.PSObject.Properties['DisableSpotlightCollectionOnDesktop'] -ne $null) { [int]$p.'DisableSpotlightCollectionOnDesktop' } else { 0 }; [string]$val"</t>
  </si>
  <si>
    <t xml:space="preserve">  description               : "1.0320 - MSWRK - Ensure Access Credential Manager as a trusted caller is set to No One"</t>
  </si>
  <si>
    <t xml:space="preserve">  info                      : "This security setting is used by Credential Manager during Backup and Restore."</t>
  </si>
  <si>
    <t xml:space="preserve">  reference                 : "NIST 800-53r5|AC-2 AC-5 AC-6 AC-6(1) AC-6(7) AU-9(4)"</t>
  </si>
  <si>
    <t xml:space="preserve">  value_data                : "^NO_MEMBERS$"</t>
  </si>
  <si>
    <t xml:space="preserve">  powershell_args           : "$t=[IO.Path]::GetTempFileName(); secedit /export /cfg $t /areas USER_RIGHTS /quiet; $l=(Get-Content $t | Where-Object { $_ -match '^SeTrustedCredManAccessPrivilege\s*='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</si>
  <si>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"1.0321 - MSWRK - Ensure Create a token object is set to No One"</t>
  </si>
  <si>
    <t xml:space="preserve">  info                      : "This policy setting allows a process to create an access token, which may provide elevated rights to access sensitive data."</t>
  </si>
  <si>
    <t xml:space="preserve">  powershell_args           : "$t=[IO.Path]::GetTempFileName(); secedit /export /cfg $t /areas USER_RIGHTS /quiet; $l=(Get-Content $t | Where-Object { $_ -match '^SeCreateTokenPrivilege\s*='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</si>
  <si>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"1.0322 - MSWRK - Ensure Create global objects is set to Administrators, LOCAL SERVICE, NETWORK SERVICE, SERVICE"</t>
  </si>
  <si>
    <t xml:space="preserve">  info                      : "This policy setting determines whether users can create global objects that are available to all sessions."</t>
  </si>
  <si>
    <t xml:space="preserve">  value_data                : "Administrators" &amp;&amp; "LOCAL SERVICE" &amp;&amp; "NETWORK SERVICE" &amp;&amp; "SERVICE"</t>
  </si>
  <si>
    <t xml:space="preserve">  powershell_args           : "$t=[IO.Path]::GetTempFileName(); secedit /export /cfg $t /areas USER_RIGHTS /quiet; $l=(Get-Content $t | Where-Object { $_ -match '^SeCreateGlobalPrivilege\s*='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</si>
  <si>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"1.0323 - MSWRK - Ensure Create permanent shared objects is set to No One"</t>
  </si>
  <si>
    <t xml:space="preserve">  info                      : "This user right is useful to kernel-mode components that extend the object namespace."</t>
  </si>
  <si>
    <t xml:space="preserve">  powershell_args           : "$t=[IO.Path]::GetTempFileName(); secedit /export /cfg $t /areas USER_RIGHTS /quiet; $l=(Get-Content $t | Where-Object { $_ -match '^SeCreatePermanentPrivilege\s*='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</si>
  <si>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"1.0324 - MSWRK - Ensure Create symbolic links is set to Administrators"</t>
  </si>
  <si>
    <t xml:space="preserve">  info                      : "This policy setting determines which users can create symbolic links."</t>
  </si>
  <si>
    <t xml:space="preserve">  value_data                : ("Administrators" || ("Administrators" &amp;&amp; "Virtual Machines") || ("Administrators" &amp;&amp; "NT VIRTUAL MACHINE\Virtual Machines"))</t>
  </si>
  <si>
    <t xml:space="preserve">  powershell_args           : "$t=[IO.Path]::GetTempFileName(); secedit /export /cfg $t /areas USER_RIGHTS /quiet; $l=(Get-Content $t | Where-Object { $_ -match '^SeCreateSymbolicLinkPrivilege\s*='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</si>
  <si>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"1.0325 - MSWRK - Ensure Debug programs is set to Administrators"</t>
  </si>
  <si>
    <t xml:space="preserve">  info                      : "This policy setting determines which user accounts will have the right to attach a debugger to any process or to the kernel, which provides complete access to sensitive and critical operating system components."</t>
  </si>
  <si>
    <t xml:space="preserve">  value_data                : "Administrators"</t>
  </si>
  <si>
    <t xml:space="preserve">  powershell_args           : "$t=[IO.Path]::GetTempFileName(); secedit /export /cfg $t /areas USER_RIGHTS /quiet; $l=(Get-Content $t | Where-Object { $_ -match '^SeDebugPrivilege\s*='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</si>
  <si>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"1.0326 - MSWRK - Ensure Deny access to this computer from the network to include Guests, Local account"</t>
  </si>
  <si>
    <t xml:space="preserve">  info                      : "This policy setting prohibits users from connecting to a computer from across the network, which would allow users to access and potentially modify data remotely."</t>
  </si>
  <si>
    <t xml:space="preserve">  value_data                : "(?=.*Guests)(?=.*Local\ account)"</t>
  </si>
  <si>
    <t xml:space="preserve">  powershell_args           : "$t=[IO.Path]::GetTempFileName(); secedit /export /cfg $t /areas USER_RIGHTS /quiet; $l=(Get-Content $t | Where-Object { $_ -match '^SeDenyNetworkLogonRight\s*='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</si>
  <si>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"1.0327 - MSWRK - Ensure Deny log on as a batch job to include Guests"</t>
  </si>
  <si>
    <t xml:space="preserve">  info                      : "This policy setting determines which accounts will not be able to log on to the computer as a batch job."</t>
  </si>
  <si>
    <t xml:space="preserve">  value_data                : "(?=.*Guests)"</t>
  </si>
  <si>
    <t xml:space="preserve">  powershell_args           : "$t=[IO.Path]::GetTempFileName(); secedit /export /cfg $t /areas USER_RIGHTS /quiet; $l=(Get-Content $t | Where-Object { $_ -match '^SeDenyBatchLogonRight\s*='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</si>
  <si>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"1.0328 - MSWRK - Ensure Deny log on as a service to include Guests"</t>
  </si>
  <si>
    <t xml:space="preserve">  info                      : "This security setting determines which service accounts are prevented from registering a process as a service."</t>
  </si>
  <si>
    <t xml:space="preserve">  powershell_args           : "$t=[IO.Path]::GetTempFileName(); secedit /export /cfg $t /areas USER_RIGHTS /quiet; $l=(Get-Content $t | Where-Object { $_ -match '^SeDenyServiceLogonRight\s*='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</si>
  <si>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"1.0329 - MSWRK - Ensure Deny log on locally to include Guests"</t>
  </si>
  <si>
    <t xml:space="preserve">  info                      : "This security setting determines which users are prevented from logging on at the computer."</t>
  </si>
  <si>
    <t xml:space="preserve">  powershell_args           : "$t=[IO.Path]::GetTempFileName(); secedit /export /cfg $t /areas USER_RIGHTS /quiet; $l=(Get-Content $t | Where-Object { $_ -match '^SeDenyInteractiveLogonRight\s*='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</si>
  <si>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"1.0330 - MSWRK - Ensure Deny log on through Remote Desktop Services to include Guests, Local account"</t>
  </si>
  <si>
    <t xml:space="preserve">  info                      : "This policy setting determines whether users can log on as Remote Desktop clients."</t>
  </si>
  <si>
    <t xml:space="preserve">  powershell_args           : "$t=[IO.Path]::GetTempFileName(); secedit /export /cfg $t /areas USER_RIGHTS /quiet; $l=(Get-Content $t | Where-Object { $_ -match '^SeDenyRemoteInteractiveLogonRight\s*='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</si>
  <si>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"1.0331 - MSWRK - Ensure Access this computer from the network is set to Administrators, Remote Desktop Users"</t>
  </si>
  <si>
    <t xml:space="preserve">  info                      : "This policy setting allows other users on the network to connect to the computer and is required by various network protocols that include Server Message Block (SMB)-based protocols, NetBIOS, Common Internet File System (CIFS), and Component Object Model Plus (COM+)."</t>
  </si>
  <si>
    <t xml:space="preserve">  value_data                : "Administrators" &amp;&amp; "Remote Desktop Users"</t>
  </si>
  <si>
    <t xml:space="preserve">  powershell_args           : "$t=[IO.Path]::GetTempFileName(); secedit /export /cfg $t /areas USER_RIGHTS /quiet; $l=(Get-Content $t | Where-Object { $_ -match '^SeNetworkLogonRight\s*='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</si>
  <si>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"1.0332 - MSWRK - Ensure Enable computer and user accounts to be trusted for delegation is set to No One"</t>
  </si>
  <si>
    <t xml:space="preserve">  info                      : "This policy setting allows users to change the Trusted for Delegation setting on a computer object in Active Directory."</t>
  </si>
  <si>
    <t xml:space="preserve">  powershell_args           : "$t=[IO.Path]::GetTempFileName(); secedit /export /cfg $t /areas USER_RIGHTS /quiet; $l=(Get-Content $t | Where-Object { $_ -match '^SeEnableDelegationPrivilege\s*='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</si>
  <si>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"1.0333 - MSWRK - Ensure Force shutdown from a remote system is set to Administrators"</t>
  </si>
  <si>
    <t xml:space="preserve">  info                      : "This policy setting allows users to shut down Windows Vista-based or newer computers from remote locations on the network."</t>
  </si>
  <si>
    <t xml:space="preserve">  powershell_args           : "$t=[IO.Path]::GetTempFileName(); secedit /export /cfg $t /areas USER_RIGHTS /quiet; $l=(Get-Content $t | Where-Object { $_ -match '^SeRemoteShutdownPrivilege\s*='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</si>
  <si>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"1.0334 - MSWRK - Ensure Generate security audits is set to LOCAL SERVICE, NETWORK SERVICE, RESTRICTED SERVICES\PrintSpoolerService"</t>
  </si>
  <si>
    <t xml:space="preserve">  info                      : "This policy setting determines which users or processes can generate audit records in the Security log."</t>
  </si>
  <si>
    <t xml:space="preserve">  value_data                : "Local Service" &amp;&amp; "Network Service" &amp;&amp; "spooler"</t>
  </si>
  <si>
    <t xml:space="preserve">  powershell_args           : "$t=[IO.Path]::GetTempFileName(); secedit /export /cfg $t /areas USER_RIGHTS /quiet; $l=(Get-Content $t | Where-Object { $_ -match '^SeAuditPrivilege\s*='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</si>
  <si>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"1.0335 - MSWRK - Ensure Impersonate a client after authentication is set to Administrators, LOCAL SERVICE, NETWORK SERVICE, SERVICE, RESTRICTED SERVICES\PrintSpoolerService"</t>
  </si>
  <si>
    <t xml:space="preserve">  info                      : "The policy setting allows programs that run on behalf of a user to impersonate that user (or another specified account) so that they can act on behalf of the user."</t>
  </si>
  <si>
    <t xml:space="preserve">  value_data                : "Administrators" &amp;&amp; "Local Service" &amp;&amp; "Network Service" &amp;&amp; "Service" &amp;&amp; "Spooler"</t>
  </si>
  <si>
    <t xml:space="preserve">  powershell_args           : "$t=[IO.Path]::GetTempFileName(); secedit /export /cfg $t /areas USER_RIGHTS /quiet; $l=(Get-Content $t | Where-Object { $_ -match '^SeImpersonatePrivilege\s*='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</si>
  <si>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"1.0336 - MSWRK - Ensure Increase scheduling priority is set to Administrators, Window Manager\Window Manager Group"</t>
  </si>
  <si>
    <t xml:space="preserve">  info                      : "This policy setting determines whether users can increase the base priority class of a process."</t>
  </si>
  <si>
    <t xml:space="preserve">  value_data                : ("Administrators" &amp;&amp; "Window Manager Group") || ("Administrators" &amp;&amp; "Window Manager\Window Manager Group")</t>
  </si>
  <si>
    <t xml:space="preserve">  powershell_args           : "$t=[IO.Path]::GetTempFileName(); secedit /export /cfg $t /areas USER_RIGHTS /quiet; $l=(Get-Content $t | Where-Object { $_ -match '^SeIncreaseBasePriorityPrivilege\s*='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</si>
  <si>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"1.0337 - MSWRK - Ensure Load and unload device drivers is set to Administrators"</t>
  </si>
  <si>
    <t xml:space="preserve">  info                      : "This policy setting allows users to dynamically load a new device driver on a system."</t>
  </si>
  <si>
    <t xml:space="preserve">  powershell_args           : "$t=[IO.Path]::GetTempFileName(); secedit /export /cfg $t /areas USER_RIGHTS /quiet; $l=(Get-Content $t | Where-Object { $_ -match '^SeLoadDriverPrivilege\s*='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</si>
  <si>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"1.0338 - MSWRK - Ensure Lock pages in memory is set to No One"</t>
  </si>
  <si>
    <t xml:space="preserve">  info                      : "This policy setting allows a process to keep data in physical memory, which prevents the system from paging the data to virtual memory on disk."</t>
  </si>
  <si>
    <t xml:space="preserve">  powershell_args           : "$t=[IO.Path]::GetTempFileName(); secedit /export /cfg $t /areas USER_RIGHTS /quiet; $l=(Get-Content $t | Where-Object { $_ -match '^SeLockMemoryPrivilege\s*='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</si>
  <si>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"1.0339 - MSWRK - Ensure Manage auditing and security log is set to Administrators"</t>
  </si>
  <si>
    <t xml:space="preserve">  info                      : "This policy setting determines which users can change the auditing options for files and directories and clear the Security log."</t>
  </si>
  <si>
    <t xml:space="preserve">  powershell_args           : "$t=[IO.Path]::GetTempFileName(); secedit /export /cfg $t /areas USER_RIGHTS /quiet; $l=(Get-Content $t | Where-Object { $_ -match '^SeSecurityPrivilege\s*='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</si>
  <si>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"1.0340 - MSWRK - Ensure Act as part of the operating system is set to No One"</t>
  </si>
  <si>
    <t xml:space="preserve">  info                      : "This policy setting allows a process to assume the identity of any user and thus gain access to the resources that the user is authorized to access."</t>
  </si>
  <si>
    <t xml:space="preserve">  powershell_args           : "$t=[IO.Path]::GetTempFileName(); secedit /export /cfg $t /areas USER_RIGHTS /quiet; $l=(Get-Content $t | Where-Object { $_ -match '^SeTcbPrivilege\s*='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</si>
  <si>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"1.0341 - MSWRK - Ensure Modify an object label is set to No One"</t>
  </si>
  <si>
    <t xml:space="preserve">  info                      : "This privilege determines which user accounts can modify the integrity label of objects, such as files, registry keys, or processes owned by other users."</t>
  </si>
  <si>
    <t xml:space="preserve">  powershell_args           : "$t=[IO.Path]::GetTempFileName(); secedit /export /cfg $t /areas USER_RIGHTS /quiet; $l=(Get-Content $t | Where-Object { $_ -match '^SeReLabelPrivilege\s*='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</si>
  <si>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"1.0342 - MSWRK - Ensure Modify firmware environment values is set to Administrators"</t>
  </si>
  <si>
    <t xml:space="preserve">  info                      : "This policy setting allows users to configure the system-wide environment variables that affect hardware configuration."</t>
  </si>
  <si>
    <t xml:space="preserve">  powershell_args           : "$t=[IO.Path]::GetTempFileName(); secedit /export /cfg $t /areas USER_RIGHTS /quiet; $l=(Get-Content $t | Where-Object { $_ -match '^SeSystemEnvironmentPrivilege\s*='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</si>
  <si>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"1.0343 - MSWRK - Ensure Perform volume maintenance tasks is set to Administrators"</t>
  </si>
  <si>
    <t xml:space="preserve">  info                      : "This policy setting allows users to manage the system's volume or disk configuration, which could allow a user to delete a volume and cause data loss as well as a denial-of-service condition."</t>
  </si>
  <si>
    <t xml:space="preserve">  powershell_args           : "$t=[IO.Path]::GetTempFileName(); secedit /export /cfg $t /areas USER_RIGHTS /quiet; $l=(Get-Content $t | Where-Object { $_ -match '^SeManageVolumePrivilege\s*='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</si>
  <si>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"1.0344 - MSWRK - Ensure Profile single process is set to Administrators"</t>
  </si>
  <si>
    <t xml:space="preserve">  info                      : "This policy setting determines which users can use tools to monitor the performance of non-system processes."</t>
  </si>
  <si>
    <t xml:space="preserve">  powershell_args           : "$t=[IO.Path]::GetTempFileName(); secedit /export /cfg $t /areas USER_RIGHTS /quiet; $l=(Get-Content $t | Where-Object { $_ -match '^SeProfileSingleProcessPrivilege\s*='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</si>
  <si>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"1.0345 - MSWRK - Ensure Profile system performance is set to Administrators, NT SERVICE\WdiServiceHost"</t>
  </si>
  <si>
    <t xml:space="preserve">  info                      : "This policy setting determines which users can use Windows performance monitoring tools to monitor the performance of system processes."</t>
  </si>
  <si>
    <t xml:space="preserve">  value_data                : "Administrators" &amp;&amp; ("NT SERVICE\WdiServiceHost" || "WdiServiceHost")</t>
  </si>
  <si>
    <t xml:space="preserve">  powershell_args           : "$t=[IO.Path]::GetTempFileName(); secedit /export /cfg $t /areas USER_RIGHTS /quiet; $l=(Get-Content $t | Where-Object { $_ -match '^SeSystemProfilePrivilege\s*='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</si>
  <si>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"1.0346 - MSWRK - Ensure Replace a process level token is set to LOCAL SERVICE, NETWORK SERVICE"</t>
  </si>
  <si>
    <t xml:space="preserve">  info                      : "This policy setting allows one process or service to start another service or process with a different security access token, which can be used to modify the security access token of that sub-process and result in the escalation of privileges."</t>
  </si>
  <si>
    <t xml:space="preserve">  value_data                : "LOCAL SERVICE" &amp;&amp; "NETWORK SERVICE"</t>
  </si>
  <si>
    <t xml:space="preserve">  powershell_args           : "$t=[IO.Path]::GetTempFileName(); secedit /export /cfg $t /areas USER_RIGHTS /quiet; $l=(Get-Content $t | Where-Object { $_ -match '^SeAssignPrimaryTokenPrivilege\s*='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</si>
  <si>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"1.0347 - MSWRK - Ensure Restore files and directories is set to Administrators"</t>
  </si>
  <si>
    <t xml:space="preserve">  info                      : "This policy setting determines which users can bypass file, directory, registry, and other persistent object permissions when restoring backed up files and directories on systems that run Windows Vista (or newer)."</t>
  </si>
  <si>
    <t xml:space="preserve">  powershell_args           : "$t=[IO.Path]::GetTempFileName(); secedit /export /cfg $t /areas USER_RIGHTS /quiet; $l=(Get-Content $t | Where-Object { $_ -match '^SeRestorePrivilege\s*='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</si>
  <si>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"1.0348 - MSWRK - Ensure Shut down the system is set to Administrators, Users"</t>
  </si>
  <si>
    <t xml:space="preserve">  info                      : "This policy setting determines which users who are logged on locally to the computers in your environment can shut down the operating system with the Shut Down command."</t>
  </si>
  <si>
    <t xml:space="preserve">  value_data                : "Users" &amp;&amp; "Administrators"</t>
  </si>
  <si>
    <t xml:space="preserve">  powershell_args           : "$t=[IO.Path]::GetTempFileName(); secedit /export /cfg $t /areas USER_RIGHTS /quiet; $l=(Get-Content $t | Where-Object { $_ -match '^SeShutdownPrivilege\s*='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</si>
  <si>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"1.0349 - MSWRK - Ensure Take ownership of files or other objects is set to Administrators"</t>
  </si>
  <si>
    <t xml:space="preserve">  info                      : "This policy setting allows users to take ownership of files, folders, registry keys, processes, or threads."</t>
  </si>
  <si>
    <t xml:space="preserve">  powershell_args           : "$t=[IO.Path]::GetTempFileName(); secedit /export /cfg $t /areas USER_RIGHTS /quiet; $l=(Get-Content $t | Where-Object { $_ -match '^SeTakeOwnershipPrivilege\s*='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</si>
  <si>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"1.0350 - MSWRK - Ensure Adjust memory quotas for a process is set to Administrators, LOCAL SERVICE, NETWORK SERVICE"</t>
  </si>
  <si>
    <t xml:space="preserve">  info                      : "This policy setting allows a user to adjust the maximum amount of memory that is available to a process."</t>
  </si>
  <si>
    <t xml:space="preserve">  value_data                : "Administrators" &amp;&amp; "LOCAL SERVICE" &amp;&amp; "NETWORK SERVICE"</t>
  </si>
  <si>
    <t xml:space="preserve">  powershell_args           : "$t=[IO.Path]::GetTempFileName(); secedit /export /cfg $t /areas USER_RIGHTS /quiet; $l=(Get-Content $t | Where-Object { $_ -match '^SeIncreaseQuotaPrivilege\s*='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</si>
  <si>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"1.0351 - MSWRK - Ensure Allow log on locally is set to Administrators, Users"</t>
  </si>
  <si>
    <t xml:space="preserve">  info                      : "This policy setting determines which users can interactively log on to computers in your environment."</t>
  </si>
  <si>
    <t xml:space="preserve">  value_data                : "Administrators" &amp;&amp; "Users"</t>
  </si>
  <si>
    <t xml:space="preserve">  powershell_args           : "$t=[IO.Path]::GetTempFileName(); secedit /export /cfg $t /areas USER_RIGHTS /quiet; $l=(Get-Content $t | Where-Object { $_ -match '^SeInteractiveLogonRight\s*='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</si>
  <si>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"1.0352 - MSWRK - Ensure Allow log on through Remote Desktop Services is set to Administrators, Remote Desktop Users"</t>
  </si>
  <si>
    <t xml:space="preserve">  info                      : "This policy setting determines which users or groups have the right to log on as a Remote Desktop Services client."</t>
  </si>
  <si>
    <t xml:space="preserve">  powershell_args           : "$t=[IO.Path]::GetTempFileName(); secedit /export /cfg $t /areas USER_RIGHTS /quiet; $l=(Get-Content $t | Where-Object { $_ -match '^SeRemoteInteractiveLogonRight\s*='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</si>
  <si>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"1.0353 - MSWRK - Ensure Back up files and directories is set to Administrators"</t>
  </si>
  <si>
    <t xml:space="preserve">  info                      : "This policy setting allows users to circumvent file and directory permissions to back up the system."</t>
  </si>
  <si>
    <t xml:space="preserve">  powershell_args           : "$t=[IO.Path]::GetTempFileName(); secedit /export /cfg $t /areas USER_RIGHTS /quiet; $l=(Get-Content $t | Where-Object { $_ -match '^SeBackupPrivilege\s*='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</si>
  <si>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"1.0354 - MSWRK - Ensure Change the system time is set to Administrators, LOCAL SERVICE"</t>
  </si>
  <si>
    <t xml:space="preserve">  info                      : "This policy setting determines which users and groups can change the time and date on the internal clock of the computers in your environment."</t>
  </si>
  <si>
    <t xml:space="preserve">  value_data                : "Administrators" &amp;&amp; "LOCAL SERVICE"</t>
  </si>
  <si>
    <t xml:space="preserve">  powershell_args           : "$t=[IO.Path]::GetTempFileName(); secedit /export /cfg $t /areas USER_RIGHTS /quiet; $l=(Get-Content $t | Where-Object { $_ -match '^SeSystemTimePrivilege\s*='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</si>
  <si>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"1.0355 - MSWRK - Ensure Create a pagefile is set to Administrators"</t>
  </si>
  <si>
    <t xml:space="preserve">  info                      : "This policy setting allows users to change the size of the pagefile."</t>
  </si>
  <si>
    <t xml:space="preserve">  powershell_args           : "$t=[IO.Path]::GetTempFileName(); secedit /export /cfg $t /areas USER_RIGHTS /quiet; $l=(Get-Content $t | Where-Object { $_ -match '^SeCreatePagefilePrivilege\s*=' } | Select-Object -Last 1); $m=if($l){ ($l -replace '.*=','').Split(',') | ForEach-Object { $s=($_ -replace '\*','').Trim(); try{([Security.Principal.SecurityIdentifier]$s).Translate([Security.Principal.NTAccount]).Value.Split('\')[-1]}catch{$s} } | Sort-Object }else{ @() }; Remove-Item $t -Force; if($m){ $m -join ', ' } else { 'NO_MEMBERS' }"</t>
  </si>
  <si>
    <t xml:space="preserve">  description               : "1.0356 - MSWRK - Ensure Network access: Allow anonymous SID/Name translation is set to Disabled"</t>
  </si>
  <si>
    <t xml:space="preserve">  info                      : "This policy setting determines whether an anonymous user can request security identifier (SID) attributes for another user, or use a SID to obtain its corresponding user name."</t>
  </si>
  <si>
    <t xml:space="preserve">  reference                 : "NIST 800-53r5|AC-6(10) IA-2(2)"</t>
  </si>
  <si>
    <t xml:space="preserve">  powershell_args           : "$p = Get-ItemProperty -Path 'Registry::HKEY_LOCAL_MACHINE\SYSTEM\CurrentControlSet\Control\Lsa' -ErrorAction SilentlyContinue; $v = if ($p) { [int]$p.AnonymousNameLookup } else { $null }; if ($v -eq 0) { 'Disabled' } elseif ($v -eq 1) { 'Enabled' } else { 'NOT_FOUND' }"</t>
  </si>
  <si>
    <t xml:space="preserve">  description               : "1.0357 - MSWRK - Ensure Network access: Restrict clients allowed to make remote calls to SAM is set to Administrators: Remote Access: Allow"</t>
  </si>
  <si>
    <t xml:space="preserve">  info                      : "This policy setting allows you to restrict remote RPC connections to SAM."</t>
  </si>
  <si>
    <t xml:space="preserve">  reference                 : "NIST 800-53r5|AC-6(3)"</t>
  </si>
  <si>
    <t xml:space="preserve">  value_data                : "O:BAG:BAD:(A;;RC;;;BA)"</t>
  </si>
  <si>
    <t xml:space="preserve">  powershell_args           : "$p = Get-ItemProperty -Path 'Registry::HKEY_LOCAL_MACHINE\SYSTEM\CurrentControlSet\Control\Lsa' -ErrorAction SilentlyContinue; $raw = if ($p -and $p.PSObject.Properties['restrictremotesam'] -ne $null) { [string]$p.'restrictremotesam' } else { $null }; if ($raw) { $raw } else { 'NOT_FOUND' }"</t>
  </si>
  <si>
    <t xml:space="preserve">  description               : "1.0358 - MSWRK - Ensure Network access: Shares that can be accessed anonymously is set to None"</t>
  </si>
  <si>
    <t xml:space="preserve">  info                      : "This policy setting determines which network shares can be accessed by anonymous users."</t>
  </si>
  <si>
    <t xml:space="preserve">  value_data                : "NO_MEMBERS"</t>
  </si>
  <si>
    <t xml:space="preserve">  powershell_args           : "$p = Get-ItemProperty -Path 'Registry::HKEY_LOCAL_MACHINE\System\CurrentControlSet\Services\LanManServer\Parameters' -ErrorAction SilentlyContinue; $vals = if ($p) { $p.PSObject.Properties | Where-Object { $_.Name -notmatch '^(PS|RunSpace)' } | ForEach-Object { $_.Value } } else { @() }; if ($vals.Count -gt 0) { $vals -join ',' } else { 'NO_MEMBERS' }"</t>
  </si>
  <si>
    <t xml:space="preserve">  description               : "1.0359 - MSWRK - Ensure Network access: Sharing and security model for local accounts is set to Classic - local users authenticate as themselves"</t>
  </si>
  <si>
    <t xml:space="preserve">  info                      : "This policy setting determines how network logons that use local accounts are authenticated."</t>
  </si>
  <si>
    <t xml:space="preserve">  powershell_args           : "$p = Get-ItemProperty -Path 'Registry::HKEY_LOCAL_MACHINE\System\CurrentControlSet\Control\Lsa' -ErrorAction SilentlyContinue; $val = if ($p -and $p.PSObject.Properties['ForceGuest'] -ne $null) { [int]$p.'ForceGuest' } else { 0 }; [string]$val"</t>
  </si>
  <si>
    <t xml:space="preserve">  description               : "1.0360 - MSWRK - Ensure Network access: Do not allow anonymous enumeration of SAM accounts is set to Enabled"</t>
  </si>
  <si>
    <t xml:space="preserve">  info                      : "This policy setting controls the ability of anonymous users to enumerate the accounts in the Security Accounts Manager (SAM)."</t>
  </si>
  <si>
    <t xml:space="preserve">  powershell_args           : "$p = Get-ItemProperty -Path 'Registry::HKEY_LOCAL_MACHINE\System\CurrentControlSet\Control\Lsa' -ErrorAction SilentlyContinue; $val = if ($p -and $p.PSObject.Properties['RestrictAnonymousSAM'] -ne $null) { [int]$p.'RestrictAnonymousSAM' } else { 0 }; [string]$val"</t>
  </si>
  <si>
    <t xml:space="preserve">  description               : "1.0361 - MSWRK - Ensure Network access: Do not allow anonymous enumeration of SAM accounts and shares is set to Enabled"</t>
  </si>
  <si>
    <t xml:space="preserve">  info                      : "This policy setting controls the ability of anonymous users to enumerate SAM accounts as well as shares."</t>
  </si>
  <si>
    <t xml:space="preserve">  powershell_args           : "$p = Get-ItemProperty -Path 'Registry::HKEY_LOCAL_MACHINE\System\CurrentControlSet\Control\Lsa' -ErrorAction SilentlyContinue; $val = if ($p -and $p.PSObject.Properties['RestrictAnonymous'] -ne $null) { [int]$p.'RestrictAnonymous' } else { 0 }; [string]$val"</t>
  </si>
  <si>
    <t xml:space="preserve">  description               : "1.0362 - MSWRK - Ensure Network access: Do not allow storage of passwords and credentials for network authentication is set to Enabled"</t>
  </si>
  <si>
    <t xml:space="preserve">  info                      : "This policy setting determines whether Credential Manager (formerly called Stored User Names and Passwords) saves passwords or credentials for later use when it gains domain authentication."</t>
  </si>
  <si>
    <t xml:space="preserve">  reference                 : "NIST 800-53r5|IA-5(1)(c)"</t>
  </si>
  <si>
    <t xml:space="preserve">  powershell_args           : "$p = Get-ItemProperty -Path 'Registry::HKEY_LOCAL_MACHINE\System\CurrentControlSet\Control\Lsa' -ErrorAction SilentlyContinue; $val = if ($p -and $p.PSObject.Properties['DisableDomainCreds'] -ne $null) { [int]$p.'DisableDomainCreds' } else { 0 }; [string]$val"</t>
  </si>
  <si>
    <t xml:space="preserve">  description               : "1.0363 - MSWRK - Ensure Network access: Let Everyone permissions apply to anonymous users is set to Disabled"</t>
  </si>
  <si>
    <t xml:space="preserve">  info                      : "This policy setting determines what additional permissions are assigned for anonymous connections to the computer."</t>
  </si>
  <si>
    <t xml:space="preserve">  powershell_args           : "$p = Get-ItemProperty -Path 'Registry::HKEY_LOCAL_MACHINE\System\CurrentControlSet\Control\Lsa' -ErrorAction SilentlyContinue; $val = if ($p -and $p.PSObject.Properties['EveryoneIncludesAnonymous'] -ne $null) { [int]$p.'EveryoneIncludesAnonymous' } else { 0 }; [string]$val"</t>
  </si>
  <si>
    <t xml:space="preserve">  description               : "1.0364 - MSWRK - Ensure Network access: Named Pipes that can be accessed anonymously is set to None"</t>
  </si>
  <si>
    <t xml:space="preserve">  info                      : "This policy setting determines which communication sessions, or pipes, will have attributes and permissions that allow anonymous access."</t>
  </si>
  <si>
    <t xml:space="preserve">  reference                 : "NIST 800-53r5|IA-2(2)"</t>
  </si>
  <si>
    <t xml:space="preserve">  powershell_args           : "$p = Get-ItemProperty -Path 'Registry::HKEY_LOCAL_MACHINE\SYSTEM\CurrentControlSet\Services\LanManServer\Parameters' -ErrorAction SilentlyContinue; $vals = if ($p) { $p.PSObject.Properties | Where-Object { $_.Name -notmatch '^(PS|RunSpace)' } | ForEach-Object { $_.Value } } else { @() }; if ($vals.Count -gt 0) { $vals -join ',' } else { 'NO_MEMBERS' }"</t>
  </si>
  <si>
    <t xml:space="preserve">  description               : "1.0365 - MSWRK - Ensure Network access: Remotely accessible registry paths is configured"</t>
  </si>
  <si>
    <t xml:space="preserve">  info                      : "This policy setting determines which registry paths will be accessible over the network, regardless of the users or groups listed in the access control list (ACL) of the winreg registry key."</t>
  </si>
  <si>
    <t xml:space="preserve">  reference                 : "NIST 800-53r5|AC-6(7)(b)"</t>
  </si>
  <si>
    <t xml:space="preserve">  value_data                : "Software\Microsoft\Windows NT\CurrentVersion,System\CurrentControlSet\Control\ProductOptions,System\CurrentControlSet\Control\Server Applications"</t>
  </si>
  <si>
    <t xml:space="preserve">  powershell_args           : "$p = Get-ItemProperty -Path 'Registry::HKEY_LOCAL_MACHINE\System\CurrentControlSet\Control\SecurePipeServers\Winreg\AllowedExactPaths' -ErrorAction SilentlyContinue; $vals = if ($p) { $p.PSObject.Properties | Where-Object { $_.Name -notmatch '^(PS|RunSpace)' } | ForEach-Object { $_.Value } } else { @() }; if ($vals.Count -gt 0) { $vals -join ',' } else { 'NO_MEMBERS' }"</t>
  </si>
  <si>
    <t xml:space="preserve">  description               : "1.0366 - MSWRK - Ensure Network access: Remotely accessible registry paths and sub-paths is configured"</t>
  </si>
  <si>
    <t xml:space="preserve">  info                      : "This policy setting determines which registry paths and sub-paths will be accessible over the network, regardless of the users or groups listed in the access control list (ACL) of the winreg registry key."</t>
  </si>
  <si>
    <t xml:space="preserve">  value_data                : "Software\Microsoft\OLAP Server,Software\Microsoft\Windows NT\CurrentVersion\Perflib,Software\Microsoft\Windows NT\CurrentVersion\Print,Software\Microsoft\Windows NT\CurrentVersion\Windows,System\CurrentControlSet\Control\ContentIndex,System\CurrentControlSet\Control\Print\Printers,System\CurrentControlSet\Control\Terminal Server,System\CurrentControlSet\Control\Terminal Server\DefaultUserConfiguration,System\CurrentControlSet\Control\Terminal Server\UserConfig,System\CurrentControlSet\Services\Eventlog,System\CurrentControlSet\Services\Sysmonlog"</t>
  </si>
  <si>
    <t xml:space="preserve">  powershell_args           : "$p = Get-ItemProperty -Path 'Registry::HKEY_LOCAL_MACHINE\System\CurrentControlSet\Control\SecurePipeServers\Winreg\AllowedPaths' -ErrorAction SilentlyContinue; $vals = if ($p) { $p.PSObject.Properties | Where-Object { $_.Name -notmatch '^(PS|RunSpace)' } | ForEach-Object { $_.Value } } else { @() }; if ($vals.Count -gt 0) { $vals -join ',' } else { 'NO_MEMBERS' }"</t>
  </si>
  <si>
    <t xml:space="preserve">  description               : "1.0367 - MSWRK - Ensure Network access: Restrict anonymous access to Named Pipes and Shares is set to Enabled"</t>
  </si>
  <si>
    <t xml:space="preserve">  info                      : "When enabled, this policy setting restricts anonymous access to only those shares and pipes that are named in the Network access: Named pipes that can be accessed anonymously and Network access: Shares that can be accessed anonymously settings."</t>
  </si>
  <si>
    <t xml:space="preserve">  powershell_args           : "$p = Get-ItemProperty -Path 'Registry::HKEY_LOCAL_MACHINE\System\CurrentControlSet\Services\LanManServer\Parameters' -ErrorAction SilentlyContinue; $val = if ($p -and $p.PSObject.Properties['RestrictNullSessAccess'] -ne $null) { [int]$p.'RestrictNullSessAccess' } else { 0 }; [string]$val"</t>
  </si>
  <si>
    <t xml:space="preserve">  description               : "1.0368 - MSWRK - Ensure Accounts: Guest account status is set to Disabled"</t>
  </si>
  <si>
    <t xml:space="preserve">  info                      : "This policy setting determines whether the Guest account is enabled or disabled."</t>
  </si>
  <si>
    <t xml:space="preserve">  powershell_args           : "$u = Get-LocalUser -Name 'Guest' -ErrorAction SilentlyContinue; if ($u -ne $null) { if ($u.Enabled) { 'Enabled' } else { 'Disabled' } } else { 'NOT_FOUND' }"</t>
  </si>
  <si>
    <t xml:space="preserve">  description               : "1.0369 - MSWRK - Ensure Network security: Allow Local System to use computer identity for NTLM is set to Enabled"</t>
  </si>
  <si>
    <t xml:space="preserve">  info                      : "This policy setting determines whether Local System services that use Negotiate when reverting to NTLM authentication can use the computer identity."</t>
  </si>
  <si>
    <t xml:space="preserve">  reference                 : "NIST 800-53r5|IA-3"</t>
  </si>
  <si>
    <t xml:space="preserve">  powershell_args           : "$p = Get-ItemProperty -Path 'Registry::HKEY_LOCAL_MACHINE\System\CurrentControlSet\Control\Lsa' -ErrorAction SilentlyContinue; $val = if ($p -and $p.PSObject.Properties['UseMachineId'] -ne $null) { [int]$p.'UseMachineId' } else { 0 }; [string]$val"</t>
  </si>
  <si>
    <t xml:space="preserve">  description               : "1.0370 - MSWRK - Ensure Network security: Minimum session security for NTLM SSP based (including secure RPC) servers is set to Require NTLMv2 session security, Require 128-bit encryption"</t>
  </si>
  <si>
    <t xml:space="preserve">  info                      : "This policy setting determines which behaviors are allowed by servers for applications using the NTLM Security Support Provider (SSP)."</t>
  </si>
  <si>
    <t xml:space="preserve">  value_data                : "537395200"</t>
  </si>
  <si>
    <t xml:space="preserve">  powershell_args           : "$p = Get-ItemProperty -Path 'Registry::HKEY_LOCAL_MACHINE\System\CurrentControlSet\Control\Lsa\MSV1_0' -ErrorAction SilentlyContinue; $val = if ($p -and $p.PSObject.Properties['NTLMMinServerSec'] -ne $null) { [int]$p.'NTLMMinServerSec' } else { 0 }; [string]$val"</t>
  </si>
  <si>
    <t xml:space="preserve">  description               : "1.0371 - MSWRK - Ensure Network security: Restrict NTLM: Audit Incoming NTLM Traffic is set to Enable auditing for all accounts"</t>
  </si>
  <si>
    <t xml:space="preserve">  info                      : "This policy setting allows the auditing of incoming NTLM traffic."</t>
  </si>
  <si>
    <t xml:space="preserve">  powershell_args           : "$p = Get-ItemProperty -Path 'Registry::HKEY_LOCAL_MACHINE\System\CurrentControlSet\Control\Lsa\MSV1_0' -ErrorAction SilentlyContinue; $val = if ($p -and $p.PSObject.Properties['AuditReceivingNTLMTraffic'] -ne $null) { [int]$p.'AuditReceivingNTLMTraffic' } else { 0 }; [string]$val"</t>
  </si>
  <si>
    <t xml:space="preserve">  description               : "1.0372 - MSWRK - Ensure Network security: Restrict NTLM: Outgoing NTLM traffic to remote servers is set to Audit all or higher"</t>
  </si>
  <si>
    <t xml:space="preserve">  info                      : "This policy setting allows the auditing of outgoing NTLM traffic."</t>
  </si>
  <si>
    <t xml:space="preserve">  powershell_args           : "$p = Get-ItemProperty -Path 'Registry::HKEY_LOCAL_MACHINE\System\CurrentControlSet\Control\Lsa\MSV1_0' -ErrorAction SilentlyContinue; $val = if ($p -and $p.PSObject.Properties['RestrictSendingNTLMTraffic'] -ne $null) { [int]$p.'RestrictSendingNTLMTraffic' } else { 0 }; [string]$val"</t>
  </si>
  <si>
    <t xml:space="preserve">  description               : "1.0373 - MSWRK - Ensure Network security: Allow LocalSystem NULL session fallback is set to Disabled"</t>
  </si>
  <si>
    <t xml:space="preserve">  info                      : "This policy setting determines whether NTLM is allowed to fall back to a NULL session when used with LocalSystem."</t>
  </si>
  <si>
    <t xml:space="preserve">  powershell_args           : "$p = Get-ItemProperty -Path 'Registry::HKEY_LOCAL_MACHINE\System\CurrentControlSet\Control\Lsa\MSV1_0' -ErrorAction SilentlyContinue; $val = if ($p -and $p.PSObject.Properties['AllowNullSessionFallback'] -ne $null) { [int]$p.'AllowNullSessionFallback' } else { 0 }; [string]$val"</t>
  </si>
  <si>
    <t xml:space="preserve">  description               : "1.0374 - MSWRK - Ensure Network Security: Allow PKU2U authentication requests to this computer to use online identities is set to Disabled"</t>
  </si>
  <si>
    <t xml:space="preserve">  info                      : "This setting determines if online identities are able to authenticate to this computer."</t>
  </si>
  <si>
    <t xml:space="preserve">  powershell_args           : "$p = Get-ItemProperty -Path 'Registry::HKEY_LOCAL_MACHINE\System\CurrentControlSet\Control\Lsa\pku2u' -ErrorAction SilentlyContinue; $val = if ($p -and $p.PSObject.Properties['AllowOnlineID'] -ne $null) { [int]$p.'AllowOnlineID' } else { 0 }; [string]$val"</t>
  </si>
  <si>
    <t xml:space="preserve">  description               : "1.0375 - MSWRK - Ensure Network security: Configure encryption types allowed for Kerberos is set to AES128_HMAC_SHA1, AES256_HMAC_SHA1, Future encryption types"</t>
  </si>
  <si>
    <t xml:space="preserve">  info                      : "This policy setting allows you to set the encryption types that Kerberos is allowed to use."</t>
  </si>
  <si>
    <t xml:space="preserve">  value_data                : "2147483640"</t>
  </si>
  <si>
    <t xml:space="preserve">  powershell_args           : "$p = Get-ItemProperty -Path 'Registry::HKEY_LOCAL_MACHINE\Software\Microsoft\Windows\CurrentVersion\Policies\System\Kerberos\Parameters' -ErrorAction SilentlyContinue; $val = if ($p -and $p.PSObject.Properties['SupportedEncryptionTypes'] -ne $null) { [int]$p.'SupportedEncryptionTypes' } else { 0 }; [string]$val"</t>
  </si>
  <si>
    <t xml:space="preserve">  description               : "1.0376 - MSWRK - Ensure Network security: Force logoff when logon hours expire is set to Enabled"</t>
  </si>
  <si>
    <t xml:space="preserve">  info                      : "This policy setting determines whether to disconnect users who are connected to the local computer outside their user account's valid logon hours."</t>
  </si>
  <si>
    <t xml:space="preserve">  reference                 : "NIST 800-53r5|AC-2(12)"</t>
  </si>
  <si>
    <t xml:space="preserve">  powershell_args           : "$tmp = [System.IO.Path]::GetTempFileName(); secedit /export /cfg $tmp /quiet; $val = (Get-Content $tmp | Where-Object { $_ -match '^ForceLogoffWhenHourExpire\s*=' } | Select-Object -Last 1) -replace '.*=\s*',''; Remove-Item $tmp -Force; if ($val -eq '1') { 'Enabled' } elseif ($val -eq '0') { 'Disabled' } else { 'NOT_FOUND' }"</t>
  </si>
  <si>
    <t xml:space="preserve">  description               : "1.0377 - MSWRK - Ensure Network security: LAN Manager authentication level is set to Send NTLMv2 response only. Refuse LM &amp; NTLM"</t>
  </si>
  <si>
    <t xml:space="preserve">  info                      : "This policy setting determines which challenge or response authentication protocol is used for network logons."</t>
  </si>
  <si>
    <t xml:space="preserve">  powershell_args           : "$p = Get-ItemProperty -Path 'Registry::HKEY_LOCAL_MACHINE\System\CurrentControlSet\Control\Lsa' -ErrorAction SilentlyContinue; $val = if ($p -and $p.PSObject.Properties['LMCompatibilityLevel'] -ne $null) { [int]$p.'LMCompatibilityLevel' } else { 0 }; [string]$val"</t>
  </si>
  <si>
    <t xml:space="preserve">  description               : "1.0378 - MSWRK - Ensure Network security: LDAP client encryption requirements is set to Negotiate sealing or higher"</t>
  </si>
  <si>
    <t xml:space="preserve">  info                      : "This policy setting determines the level of data encryption that is requested on behalf of clients that issue LDAP BIND requests."</t>
  </si>
  <si>
    <t xml:space="preserve">  powershell_args           : "$p = Get-ItemProperty -Path 'Registry::HKEY_LOCAL_MACHINE\System\CurrentControlSet\Services\LDAP' -ErrorAction SilentlyContinue; $val = if ($p -and $p.PSObject.Properties['LDAPClientConfidentiality'] -ne $null) { [int]$p.'LDAPClientConfidentiality' } else { 0 }; [string]$val"</t>
  </si>
  <si>
    <t xml:space="preserve">  description               : "1.0379 - MSWRK - Ensure Network security: LDAP client signing requirements is set to Negotiate signing or higher"</t>
  </si>
  <si>
    <t xml:space="preserve">  info                      : "This policy setting determines the level of data signing that is requested on behalf of clients that issue LDAP BIND requests."</t>
  </si>
  <si>
    <t xml:space="preserve">  powershell_args           : "$p = Get-ItemProperty -Path 'Registry::HKEY_LOCAL_MACHINE\System\CurrentControlSet\Services\LDAP' -ErrorAction SilentlyContinue; $val = if ($p -and $p.PSObject.Properties['LDAPClientIntegrity'] -ne $null) { [int]$p.'LDAPClientIntegrity' } else { 0 }; [string]$val"</t>
  </si>
  <si>
    <t xml:space="preserve">  description               : "1.0380 - MSWRK - Ensure Network security: Minimum session security for NTLM SSP based (including secure RPC) clients is set to Require NTLMv2 session security, Require 128-bit encryption"</t>
  </si>
  <si>
    <t xml:space="preserve">  info                      : "This policy setting determines which behaviors are allowed by clients for applications using the NTLM Security Support Provider (SSP)."</t>
  </si>
  <si>
    <t xml:space="preserve">  powershell_args           : "$p = Get-ItemProperty -Path 'Registry::HKEY_LOCAL_MACHINE\System\CurrentControlSet\Control\Lsa\MSV1_0' -ErrorAction SilentlyContinue; $val = if ($p -and $p.PSObject.Properties['NTLMMinClientSec'] -ne $null) { [int]$p.'NTLMMinClientSec' } else { 0 }; [string]$val"</t>
  </si>
  <si>
    <t xml:space="preserve">  description               : "1.0381 - MSWRK - Ensure Accounts: Limit local account use of blank passwords to console logon only is set to Enabled"</t>
  </si>
  <si>
    <t xml:space="preserve">  info                      : "This policy setting determines whether local accounts that are not password protected can be used to log on from locations other than the physical computer console."</t>
  </si>
  <si>
    <t xml:space="preserve">  powershell_args           : "$p = Get-ItemProperty -Path 'Registry::HKEY_LOCAL_MACHINE\System\CurrentControlSet\Control\Lsa' -ErrorAction SilentlyContinue; $val = if ($p -and $p.PSObject.Properties['LimitBlankPasswordUse'] -ne $null) { [int]$p.'LimitBlankPasswordUse' } else { 0 }; [string]$val"</t>
  </si>
  <si>
    <t xml:space="preserve">  description               : "1.0382 - MSWRK - Configure Accounts: Rename administrator account"</t>
  </si>
  <si>
    <t xml:space="preserve">  info                      : "This policy setting enables the ability to rename the built-in local administrator account."</t>
  </si>
  <si>
    <t xml:space="preserve">  check_type                : CHECK_NOT_EQUAL</t>
  </si>
  <si>
    <t xml:space="preserve">  value_data                : "\b[Aa]dmin(istrator)?"</t>
  </si>
  <si>
    <t xml:space="preserve">  powershell_args           : "$a = Get-LocalUser | Where-Object { $_.SID -like 'S-1-5-*-500' }; if ($a -ne $null) { $a.Name } else { 'NOT_FOUND' }"</t>
  </si>
  <si>
    <t xml:space="preserve">  description               : "1.0383 - MSWRK - Configure Accounts: Rename guest account"</t>
  </si>
  <si>
    <t xml:space="preserve">  info                      : "This policy setting enables the ability to rename the built-in local guest account."</t>
  </si>
  <si>
    <t xml:space="preserve">  value_data                : "Guest"</t>
  </si>
  <si>
    <t xml:space="preserve">  description               : "1.0384 - MSWRK - Ensure System objects: Require case insensitivity for non-Windows subsystems is set to Enabled"</t>
  </si>
  <si>
    <t xml:space="preserve">  info                      : "This policy setting determines whether case insensitivity is enforced for all subsystems."</t>
  </si>
  <si>
    <t xml:space="preserve">  powershell_args           : "$p = Get-ItemProperty -Path 'Registry::HKEY_LOCAL_MACHINE\System\CurrentControlSet\Control\Session Manager\Kernel' -ErrorAction SilentlyContinue; $val = if ($p -and $p.PSObject.Properties['ObCaseInsensitive'] -ne $null) { [int]$p.'ObCaseInsensitive' } else { 0 }; [string]$val"</t>
  </si>
  <si>
    <t xml:space="preserve">  description               : "1.0385 - MSWRK - Ensure System objects: Strengthen default permissions of internal system objects (e.g. Symbolic Links) is set to Enabled"</t>
  </si>
  <si>
    <t xml:space="preserve">  info                      : "This policy setting determines the strength of the default discretionary access control list (DACL) for objects."</t>
  </si>
  <si>
    <t xml:space="preserve">  powershell_args           : "$p = Get-ItemProperty -Path 'Registry::HKEY_LOCAL_MACHINE\System\CurrentControlSet\Control\Session Manager' -ErrorAction SilentlyContinue; $val = if ($p -and $p.PSObject.Properties['ProtectionMode'] -ne $null) { [int]$p.'ProtectionMode' } else { 0 }; [string]$val"</t>
  </si>
  <si>
    <t xml:space="preserve">  description               : "1.0386 - MSWRK - Ensure User Account Control: Admin Approval Mode for the Built-in Administrator account is set to Enabled"</t>
  </si>
  <si>
    <t xml:space="preserve">  info                      : "This policy setting controls the behavior of Admin Approval Mode for the built-in Administrator account."</t>
  </si>
  <si>
    <t xml:space="preserve">  powershell_args           : "$p = Get-ItemProperty -Path 'Registry::HKEY_LOCAL_MACHINE\Software\Microsoft\Windows\CurrentVersion\Policies\System' -ErrorAction SilentlyContinue; $val = if ($p -and $p.PSObject.Properties['FilterAdministratorToken'] -ne $null) { [int]$p.'FilterAdministratorToken' } else { 0 }; [string]$val"</t>
  </si>
  <si>
    <t xml:space="preserve">  description               : "1.0387 - MSWRK - Ensure User Account Control: Behavior of the elevation prompt for administrators in Admin Approval Mode is set to Prompt for consent on the secure desktop or higher"</t>
  </si>
  <si>
    <t xml:space="preserve">  info                      : "This policy setting controls the behavior of the elevation prompt for administrators."</t>
  </si>
  <si>
    <t xml:space="preserve">  reference                 : "NIST 800-53r5|AC-6(1)"</t>
  </si>
  <si>
    <t xml:space="preserve">  powershell_args           : "$p = Get-ItemProperty -Path 'Registry::HKEY_LOCAL_MACHINE\Software\Microsoft\Windows\CurrentVersion\Policies\System' -ErrorAction SilentlyContinue; $val = if ($p -and $p.PSObject.Properties['ConsentPromptBehaviorAdmin'] -ne $null) { [int]$p.'ConsentPromptBehaviorAdmin' } else { 0 }; [string]$val"</t>
  </si>
  <si>
    <t xml:space="preserve">  description               : "1.0388 - MSWRK - Ensure User Account Control: Behavior of the elevation prompt for standard users is set to Automatically deny elevation requests"</t>
  </si>
  <si>
    <t xml:space="preserve">  info                      : "This policy setting controls the behavior of the elevation prompt for standard users."</t>
  </si>
  <si>
    <t xml:space="preserve">  powershell_args           : "$p = Get-ItemProperty -Path 'Registry::HKEY_LOCAL_MACHINE\Software\Microsoft\Windows\CurrentVersion\Policies\System' -ErrorAction SilentlyContinue; $val = if ($p -and $p.PSObject.Properties['ConsentPromptBehaviorUser'] -ne $null) { [int]$p.'ConsentPromptBehaviorUser' } else { 0 }; [string]$val"</t>
  </si>
  <si>
    <t xml:space="preserve">  description               : "1.0389 - MSWRK - Ensure User Account Control: Detect application installations and prompt for elevation is set to Enabled"</t>
  </si>
  <si>
    <t xml:space="preserve">  info                      : "This policy setting controls the behavior of application installation detection for the computer."</t>
  </si>
  <si>
    <t xml:space="preserve">  powershell_args           : "$p = Get-ItemProperty -Path 'Registry::HKEY_LOCAL_MACHINE\Software\Microsoft\Windows\CurrentVersion\Policies\System' -ErrorAction SilentlyContinue; $val = if ($p -and $p.PSObject.Properties['EnableInstallerDetection'] -ne $null) { [int]$p.'EnableInstallerDetection' } else { 0 }; [string]$val"</t>
  </si>
  <si>
    <t xml:space="preserve">  description               : "1.0390 - MSWRK - Ensure User Account Control: Only elevate UIAccess applications that are installed in secure locations is set to Enabled"</t>
  </si>
  <si>
    <t xml:space="preserve">  info                      : "This policy setting controls whether applications that request to run with a User Interface Accessibility (UIAccess) integrity level must reside in a secure location in the file system."</t>
  </si>
  <si>
    <t xml:space="preserve">  powershell_args           : "$p = Get-ItemProperty -Path 'Registry::HKEY_LOCAL_MACHINE\Software\Microsoft\Windows\CurrentVersion\Policies\System' -ErrorAction SilentlyContinue; $val = if ($p -and $p.PSObject.Properties['EnableSecureUIAPaths'] -ne $null) { [int]$p.'EnableSecureUIAPaths' } else { 0 }; [string]$val"</t>
  </si>
  <si>
    <t xml:space="preserve">  description               : "1.0391 - MSWRK - Ensure User Account Control: Run all administrators in Admin Approval Mode is set to Enabled"</t>
  </si>
  <si>
    <t xml:space="preserve">  info                      : "This policy setting controls the behavior of all User Account Control (UAC) policy settings for the computer."</t>
  </si>
  <si>
    <t xml:space="preserve">  powershell_args           : "$p = Get-ItemProperty -Path 'Registry::HKEY_LOCAL_MACHINE\Software\Microsoft\Windows\CurrentVersion\Policies\System' -ErrorAction SilentlyContinue; $val = if ($p -and $p.PSObject.Properties['EnableLUA'] -ne $null) { [int]$p.'EnableLUA' } else { 0 }; [string]$val"</t>
  </si>
  <si>
    <t xml:space="preserve">  description               : "1.0392 - MSWRK - Ensure User Account Control: Switch to the secure desktop when prompting for elevation is set to Enabled"</t>
  </si>
  <si>
    <t xml:space="preserve">  info                      : "This policy setting controls whether the elevation request prompt is displayed on the interactive user's desktop or the secure desktop."</t>
  </si>
  <si>
    <t xml:space="preserve">  powershell_args           : "$p = Get-ItemProperty -Path 'Registry::HKEY_LOCAL_MACHINE\Software\Microsoft\Windows\CurrentVersion\Policies\System' -ErrorAction SilentlyContinue; $val = if ($p -and $p.PSObject.Properties['PromptOnSecureDesktop'] -ne $null) { [int]$p.'PromptOnSecureDesktop' } else { 0 }; [string]$val"</t>
  </si>
  <si>
    <t xml:space="preserve">  description               : "1.0393 - MSWRK - Ensure User Account Control: Virtualize file and registry write failures to per-user locations is set to Enabled"</t>
  </si>
  <si>
    <t xml:space="preserve">  info                      : "This policy setting controls whether application write failures are redirected to defined registry and file system locations."</t>
  </si>
  <si>
    <t xml:space="preserve">  reference                 : "NIST 800-53r5|SC-29(1)"</t>
  </si>
  <si>
    <t xml:space="preserve">  powershell_args           : "$p = Get-ItemProperty -Path 'Registry::HKEY_LOCAL_MACHINE\Software\Microsoft\Windows\CurrentVersion\Policies\System' -ErrorAction SilentlyContinue; $val = if ($p -and $p.PSObject.Properties['EnableVirtualization'] -ne $null) { [int]$p.'EnableVirtualization' } else { 0 }; [string]$val"</t>
  </si>
  <si>
    <t xml:space="preserve">  description               : "1.0394 - MSWRK - Ensure Audit: Force audit policy subcategory settings (Windows Vista or later) to override audit policy category settings is set to Enabled"</t>
  </si>
  <si>
    <t xml:space="preserve">  info                      : "This policy setting allows administrators to enable the more precise auditing capabilities present in Windows Vista."</t>
  </si>
  <si>
    <t xml:space="preserve">  powershell_args           : "$p = Get-ItemProperty -Path 'Registry::HKEY_LOCAL_MACHINE\System\CurrentControlSet\Control\Lsa' -ErrorAction SilentlyContinue; $val = if ($p -and $p.PSObject.Properties['SCENoApplyLegacyAuditPolicy'] -ne $null) { [int]$p.'SCENoApplyLegacyAuditPolicy' } else { 0 }; [string]$val"</t>
  </si>
  <si>
    <t xml:space="preserve">  description               : "1.0395 - MSWRK - Ensure Audit: Shut down system immediately if unable to log security audits is set to Disabled"</t>
  </si>
  <si>
    <t xml:space="preserve">  info                      : "This policy setting determines whether the system shuts down if it is unable to log Security events."</t>
  </si>
  <si>
    <t xml:space="preserve">  powershell_args           : "$p = Get-ItemProperty -Path 'Registry::HKEY_LOCAL_MACHINE\System\CurrentControlSet\Control\Lsa' -ErrorAction SilentlyContinue; $val = if ($p -and $p.PSObject.Properties['CrashOnAuditFail'] -ne $null) { [int]$p.'CrashOnAuditFail' } else { 0 }; [string]$val"</t>
  </si>
  <si>
    <t xml:space="preserve">  description               : "1.0396 - MSWRK - Ensure Domain member: Digitally encrypt or sign secure channel data (always) is set to Enabled"</t>
  </si>
  <si>
    <t xml:space="preserve">  info                      : "This policy setting determines whether all secure channel traffic that is initiated by the domain member must be signed or encrypted."</t>
  </si>
  <si>
    <t xml:space="preserve">  powershell_args           : "$p = Get-ItemProperty -Path 'Registry::HKEY_LOCAL_MACHINE\System\CurrentControlSet\Services\Netlogon\Parameters' -ErrorAction SilentlyContinue; $val = if ($p -and $p.PSObject.Properties['RequireSignOrSeal'] -ne $null) { [int]$p.'RequireSignOrSeal' } else { 0 }; [string]$val"</t>
  </si>
  <si>
    <t xml:space="preserve">  description               : "1.0397 - MSWRK - Ensure Domain member: Digitally encrypt secure channel data (when possible) is set to Enabled"</t>
  </si>
  <si>
    <t xml:space="preserve">  info                      : "This policy setting determines whether a domain member should attempt to negotiate encryption for all secure channel traffic that it initiates."</t>
  </si>
  <si>
    <t xml:space="preserve">  powershell_args           : "$p = Get-ItemProperty -Path 'Registry::HKEY_LOCAL_MACHINE\System\CurrentControlSet\Services\Netlogon\Parameters' -ErrorAction SilentlyContinue; $val = if ($p -and $p.PSObject.Properties['SealSecureChannel'] -ne $null) { [int]$p.'SealSecureChannel' } else { 0 }; [string]$val"</t>
  </si>
  <si>
    <t xml:space="preserve">  description               : "1.0398 - MSWRK - Ensure Domain member: Digitally sign secure channel data (when possible) is set to Enabled"</t>
  </si>
  <si>
    <t xml:space="preserve">  info                      : "This policy setting determines whether a domain member should attempt to negotiate whether all secure channel traffic that it initiates must be digitally signed."</t>
  </si>
  <si>
    <t xml:space="preserve">  powershell_args           : "$p = Get-ItemProperty -Path 'Registry::HKEY_LOCAL_MACHINE\System\CurrentControlSet\Services\Netlogon\Parameters' -ErrorAction SilentlyContinue; $val = if ($p -and $p.PSObject.Properties['SignSecureChannel'] -ne $null) { [int]$p.'SignSecureChannel' } else { 0 }; [string]$val"</t>
  </si>
  <si>
    <t xml:space="preserve">  description               : "1.0399 - MSWRK - Ensure Domain member: Disable machine account password changes is set to Disabled"</t>
  </si>
  <si>
    <t xml:space="preserve">  info                      : "This policy setting determines whether a domain member can periodically change its computer account password."</t>
  </si>
  <si>
    <t xml:space="preserve">  powershell_args           : "$p = Get-ItemProperty -Path 'Registry::HKEY_LOCAL_MACHINE\System\CurrentControlSet\Services\Netlogon\Parameters' -ErrorAction SilentlyContinue; $val = if ($p -and $p.PSObject.Properties['DisablePasswordChange'] -ne $null) { [int]$p.'DisablePasswordChange' } else { 0 }; [string]$val"</t>
  </si>
  <si>
    <t xml:space="preserve">  description               : "1.0400 - MSWRK - Ensure Domain member: Maximum machine account password age is set to 30 or fewer days, but not 0"</t>
  </si>
  <si>
    <t xml:space="preserve">  info                      : "This policy setting determines the maximum allowable age for a computer account password."</t>
  </si>
  <si>
    <t xml:space="preserve">  value_data                : "^(1|2|3|4|5|6|7|8|9|10|11|12|13|14|15|16|17|18|19|20|21|22|23|24|25|26|27|28|29|30)$"</t>
  </si>
  <si>
    <t xml:space="preserve">  powershell_args           : "$p = Get-ItemProperty -Path 'Registry::HKEY_LOCAL_MACHINE\System\CurrentControlSet\Services\Netlogon\Parameters' -ErrorAction SilentlyContinue; $val = if ($p -and $p.PSObject.Properties['MaximumPasswordAge'] -ne $null) { [int]$p.'MaximumPasswordAge' } else { 0 }; [string]$val"</t>
  </si>
  <si>
    <t xml:space="preserve">  description               : "1.0401 - MSWRK - Ensure Domain member: Require strong (Windows 2000 or later) session key is set to Enabled"</t>
  </si>
  <si>
    <t xml:space="preserve">  info                      : "When this policy setting is enabled, a secure channel can only be established with Domain Controllers that are capable of encrypting secure channel data with a strong (128-bit) session key."</t>
  </si>
  <si>
    <t xml:space="preserve">  powershell_args           : "$p = Get-ItemProperty -Path 'Registry::HKEY_LOCAL_MACHINE\System\CurrentControlSet\Services\Netlogon\Parameters' -ErrorAction SilentlyContinue; $val = if ($p -and $p.PSObject.Properties['RequireStrongKey'] -ne $null) { [int]$p.'RequireStrongKey' } else { 0 }; [string]$val"</t>
  </si>
  <si>
    <t xml:space="preserve">  description               : "1.0402 - MSWRK - Ensure Interactive logon: Dont display last signed-in is set to Enabled"</t>
  </si>
  <si>
    <t xml:space="preserve">  info                      : "This policy setting determines whether the account name of the last user to log on to the client computers in your organization will be displayed on each computer's respective Windows logon screen."</t>
  </si>
  <si>
    <t xml:space="preserve">  powershell_args           : "$p = Get-ItemProperty -Path 'Registry::HKEY_LOCAL_MACHINE\Software\Microsoft\Windows\CurrentVersion\Policies\System' -ErrorAction SilentlyContinue; $val = if ($p -and $p.PSObject.Properties['DontDisplayLastUserName'] -ne $null) { [int]$p.'DontDisplayLastUserName' } else { 0 }; [string]$val"</t>
  </si>
  <si>
    <t xml:space="preserve">  description               : "1.0403 - MSWRK - Ensure Interactive logon: Machine inactivity limit is set to 900 or fewer second(s), but not 0"</t>
  </si>
  <si>
    <t xml:space="preserve">  info                      : "Windows notices inactivity of a logon session, and if the amount of inactive time exceeds the inactivity limit, then the screen saver will run, locking the session."</t>
  </si>
  <si>
    <t xml:space="preserve">  reference                 : "NIST 800-53r5|AC-2(5) AC-11 AC-11(1) AC-12"</t>
  </si>
  <si>
    <t xml:space="preserve">  value_data                : "^(1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t>
  </si>
  <si>
    <t xml:space="preserve">  powershell_args           : "$p = Get-ItemProperty -Path 'Registry::HKEY_LOCAL_MACHINE\Software\Microsoft\Windows\CurrentVersion\Policies\System' -ErrorAction SilentlyContinue; $val = if ($p -and $p.PSObject.Properties['InactivityTimeoutSecs'] -ne $null) { [int]$p.'InactivityTimeoutSecs' } else { 0 }; [string]$val"</t>
  </si>
  <si>
    <t xml:space="preserve">  description               : "1.0404 - MSWRK - Configure Interactive logon: Message text for users attempting to log on"</t>
  </si>
  <si>
    <t xml:space="preserve">  info                      : "This policy setting specifies a text message that is displayed to users when they log on."</t>
  </si>
  <si>
    <t xml:space="preserve">  reference                 : "NIST 800-53r5|AC-8"</t>
  </si>
  <si>
    <t xml:space="preserve">  value_data                : "LEGAL_NOTICE_TEXT"</t>
  </si>
  <si>
    <t xml:space="preserve">  powershell_args           : "$p = Get-ItemProperty -Path 'Registry::HKEY_LOCAL_MACHINE\Software\Microsoft\Windows\CurrentVersion\Policies\System' -ErrorAction SilentlyContinue; $raw = if ($p -and $p.PSObject.Properties['LegalNoticeText'] -ne $null) { [string]$p.'LegalNoticeText' } else { $null }; if ($raw) { $raw } else { 'NOT_FOUND' }"</t>
  </si>
  <si>
    <t xml:space="preserve">  description               : "1.0405 - MSWRK - Configure Interactive logon: Message title for users attempting to log on"</t>
  </si>
  <si>
    <t xml:space="preserve">  info                      : "This policy setting specifies the text displayed in the title bar of the window that is displayed to users when they log on to the system."</t>
  </si>
  <si>
    <t xml:space="preserve">  value_data                : "LEGAL_CAPTION_TEXT"</t>
  </si>
  <si>
    <t xml:space="preserve">  powershell_args           : "$p = Get-ItemProperty -Path 'Registry::HKEY_LOCAL_MACHINE\Software\Microsoft\Windows\CurrentVersion\Policies\System' -ErrorAction SilentlyContinue; $raw = if ($p -and $p.PSObject.Properties['LegalNoticeCaption'] -ne $null) { [string]$p.'LegalNoticeCaption' } else { $null }; if ($raw) { $raw } else { 'NOT_FOUND' }"</t>
  </si>
  <si>
    <t xml:space="preserve">  description               : "1.0406 - MSWRK - Ensure Interactive logon: Prompt user to change password before expiration is set to between 5 and 14 days"</t>
  </si>
  <si>
    <t xml:space="preserve">  info                      : "This policy setting determines how far in advance users are warned that their password will expire."</t>
  </si>
  <si>
    <t xml:space="preserve">  value_data                : "^(5|6|7|8|9|10|11|12|13|14)$"</t>
  </si>
  <si>
    <t xml:space="preserve">  powershell_args           : "$p = Get-ItemProperty -Path 'Registry::HKEY_LOCAL_MACHINE\Software\Microsoft\Windows NT\CurrentVersion\Winlogon' -ErrorAction SilentlyContinue; $val = if ($p -and $p.PSObject.Properties['PasswordExpiryWarning'] -ne $null) { [int]$p.'PasswordExpiryWarning' } else { 0 }; [string]$val"</t>
  </si>
  <si>
    <t xml:space="preserve">  description               : "1.0407 - MSWRK - Ensure Interactive logon: Smart card removal behavior is set to Lock Workstation or higher"</t>
  </si>
  <si>
    <t xml:space="preserve">  info                      : "This policy setting determines what happens when the smart card for a logged-on user is removed from the smart card reader."</t>
  </si>
  <si>
    <t xml:space="preserve">  value_data                : "^(1|2|3)$"</t>
  </si>
  <si>
    <t xml:space="preserve">  powershell_args           : "$p = Get-ItemProperty -Path 'Registry::HKEY_LOCAL_MACHINE\Software\Microsoft\Windows NT\CurrentVersion\Winlogon' -ErrorAction SilentlyContinue; $raw = if ($p -and $p.PSObject.Properties['ScRemoveOption'] -ne $null) { [string]$p.'ScRemoveOption' } else { $null }; if ($raw) { $raw } else { 'NOT_FOUND' }"</t>
  </si>
  <si>
    <t xml:space="preserve">  description               : "1.0408 - MSWRK - Ensure Microsoft network client: Digitally sign communications (always) is set to Enabled - Parameters"</t>
  </si>
  <si>
    <t xml:space="preserve">  info                      : "This policy setting determines whether packet signing is required by the Server Message Block (SMB) client component."</t>
  </si>
  <si>
    <t xml:space="preserve">  powershell_args           : "$p = Get-ItemProperty -Path 'Registry::HKEY_LOCAL_MACHINE\System\CurrentControlSet\Services\LanmanWorkstation\Parameters' -ErrorAction SilentlyContinue; $val = if ($p -and $p.PSObject.Properties['RequireSecuritySignature'] -ne $null) { [int]$p.'RequireSecuritySignature' } else { 0 }; [string]$val"</t>
  </si>
  <si>
    <t xml:space="preserve">  description               : "1.0409 - MSWRK - Ensure Microsoft network client: Send unencrypted password to third-party SMB servers is set to Disabled"</t>
  </si>
  <si>
    <t xml:space="preserve">  info                      : "This policy setting determines whether the SMB redirector will send plaintext passwords during authentication to third-party SMB servers that do not support password encryption."</t>
  </si>
  <si>
    <t xml:space="preserve">  powershell_args           : "$p = Get-ItemProperty -Path 'Registry::HKEY_LOCAL_MACHINE\System\CurrentControlSet\Services\LanmanWorkstation\Parameters' -ErrorAction SilentlyContinue; $val = if ($p -and $p.PSObject.Properties['EnablePlainTextPassword'] -ne $null) { [int]$p.'EnablePlainTextPassword' } else { 0 }; [string]$val"</t>
  </si>
  <si>
    <t xml:space="preserve">  description               : "1.0410 - MSWRK - Ensure Microsoft network server: Amount of idle time required before suspending session is set to 15 or fewer minute(s)"</t>
  </si>
  <si>
    <t xml:space="preserve">  info                      : "This policy setting allows you to specify the amount of continuous idle time that must pass in an SMB session before the session is suspended because of inactivity."</t>
  </si>
  <si>
    <t xml:space="preserve">  value_data                : "^(1|2|3|4|5|6|7|8|9|10|11|12|13|14|15)$"</t>
  </si>
  <si>
    <t xml:space="preserve">  powershell_args           : "$p = Get-ItemProperty -Path 'Registry::HKEY_LOCAL_MACHINE\System\CurrentControlSet\Services\LanManServer\Parameters' -ErrorAction SilentlyContinue; $val = if ($p -and $p.PSObject.Properties['AutoDisconnect'] -ne $null) { [int]$p.'AutoDisconnect' } else { 0 }; [string]$val"</t>
  </si>
  <si>
    <t xml:space="preserve">  description               : "1.0411 - MSWRK - Ensure Microsoft network server: Digitally sign communications (always) is set to Enabled - Parameters"</t>
  </si>
  <si>
    <t xml:space="preserve">  info                      : "This policy setting determines whether packet signing is required by the SMB server component."</t>
  </si>
  <si>
    <t xml:space="preserve">  powershell_args           : "$p = Get-ItemProperty -Path 'Registry::HKEY_LOCAL_MACHINE\System\CurrentControlSet\Services\LanManServer\Parameters' -ErrorAction SilentlyContinue; $val = if ($p -and $p.PSObject.Properties['RequireSecuritySignature'] -ne $null) { [int]$p.'RequireSecuritySignature' } else { 0 }; [string]$val"</t>
  </si>
  <si>
    <t xml:space="preserve">  description               : "1.0412 - MSWRK - Ensure Microsoft network server: Disconnect clients when logon hours expire is set to Enabled"</t>
  </si>
  <si>
    <t xml:space="preserve">  info                      : "This security setting determines whether to disconnect users who are connected to the local computer outside their user account's valid logon hours."</t>
  </si>
  <si>
    <t xml:space="preserve">  powershell_args           : "$p = Get-ItemProperty -Path 'Registry::HKEY_LOCAL_MACHINE\System\CurrentControlSet\Services\LanManServer\Parameters' -ErrorAction SilentlyContinue; $val = if ($p -and $p.PSObject.Properties['EnableForcedLogoff'] -ne $null) { [int]$p.'EnableForcedLogoff' } else { 0 }; [string]$val"</t>
  </si>
  <si>
    <t xml:space="preserve">  description               : "1.0413 - MSWRK - Ensure Microsoft network server: Server SPN target name validation level is set to Accept if provided by client or higher"</t>
  </si>
  <si>
    <t xml:space="preserve">  info                      : "This policy setting controls the level of validation a computer with shared folders or printers (the server) performs on the service principal name (SPN) that is provided by the client computer when it establishes a session using the server message block (SMB) protocol."</t>
  </si>
  <si>
    <t xml:space="preserve">  powershell_args           : "$p = Get-ItemProperty -Path 'Registry::HKEY_LOCAL_MACHINE\System\CurrentControlSet\Services\LanManServer\Parameters' -ErrorAction SilentlyContinue; $val = if ($p -and $p.PSObject.Properties['SMBServerNameHardeningLevel'] -ne $null) { [int]$p.'SMBServerNameHardeningLevel' } else { 0 }; [string]$val"</t>
  </si>
  <si>
    <t xml:space="preserve">  description               : "1.0414 - MSWRK - Ensure Microsoft FTP Service (FTPSVC) is set to Disabled or Not Installed - Ftpsvc"</t>
  </si>
  <si>
    <t xml:space="preserve">  info                      : "Enables the server to be a File Transfer Protocol (FTP) server."</t>
  </si>
  <si>
    <t xml:space="preserve">  powershell_args           : "$p = Get-ItemProperty -Path 'Registry::HKEY_LOCAL_MACHINE\System\CurrentControlSet\Services\FTPSVC' -ErrorAction SilentlyContinue; $val = if ($p -and $p.PSObject.Properties['Start'] -ne $null) { [int]$p.'Start' } else { 0 }; [string]$val"</t>
  </si>
  <si>
    <t xml:space="preserve">  description               : "1.0415 - MSWRK - Ensure OpenSSH SSH Server (sshd) is set to Disabled or Not Installed - Sshd"</t>
  </si>
  <si>
    <t xml:space="preserve">  info                      : "SSH protocol based service to provide secure encrypted communications between two untrusted hosts over an insecure network."</t>
  </si>
  <si>
    <t xml:space="preserve">  powershell_args           : "$p = Get-ItemProperty -Path 'Registry::HKEY_LOCAL_MACHINE\System\CurrentControlSet\Services\sshd' -ErrorAction SilentlyContinue; $val = if ($p -and $p.PSObject.Properties['Start'] -ne $null) { [int]$p.'Start' } else { 0 }; [string]$val"</t>
  </si>
  <si>
    <t xml:space="preserve">  description               : "1.0416 - MSWRK - Ensure Remote Procedure Call (RPC) Locator (RpcLocator) is set to Disabled - Rpclocator"</t>
  </si>
  <si>
    <t xml:space="preserve">  info                      : "In Windows 2003 and older versions of Windows, the Remote Procedure Call (RPC) Locator service manages the RPC name service database."</t>
  </si>
  <si>
    <t xml:space="preserve">  powershell_args           : "$p = Get-ItemProperty -Path 'Registry::HKEY_LOCAL_MACHINE\System\CurrentControlSet\Services\RpcLocator' -ErrorAction SilentlyContinue; $val = if ($p -and $p.PSObject.Properties['Start'] -ne $null) { [int]$p.'Start' } else { 0 }; [string]$val"</t>
  </si>
  <si>
    <t xml:space="preserve">  description               : "1.0417 - MSWRK - Ensure Routing and Remote Access (RemoteAccess) is set to Disabled - Remoteaccess"</t>
  </si>
  <si>
    <t xml:space="preserve">  info                      : "Offers routing services to businesses in local area and wide area network environments."</t>
  </si>
  <si>
    <t xml:space="preserve">  powershell_args           : "$p = Get-ItemProperty -Path 'Registry::HKEY_LOCAL_MACHINE\System\CurrentControlSet\Services\RemoteAccess' -ErrorAction SilentlyContinue; $val = if ($p -and $p.PSObject.Properties['Start'] -ne $null) { [int]$p.'Start' } else { 0 }; [string]$val"</t>
  </si>
  <si>
    <t xml:space="preserve">  description               : "1.0418 - MSWRK - Ensure Simple TCP/IP Services (simptcp) is set to Disabled or Not Installed - Simptcp"</t>
  </si>
  <si>
    <t xml:space="preserve">  info                      : "Supports the following TCP/IP services: Character Generator, Daytime, Discard, Echo, and Quote of the Day."</t>
  </si>
  <si>
    <t xml:space="preserve">  powershell_args           : "$p = Get-ItemProperty -Path 'Registry::HKEY_LOCAL_MACHINE\System\CurrentControlSet\Services\simptcp' -ErrorAction SilentlyContinue; $val = if ($p -and $p.PSObject.Properties['Start'] -ne $null) { [int]$p.'Start' } else { 0 }; [string]$val"</t>
  </si>
  <si>
    <t xml:space="preserve">  description               : "1.0419 - MSWRK - Ensure Special Administration Console Helper (sacsvr) is set to Disabled or Not Installed - Sacsvr"</t>
  </si>
  <si>
    <t xml:space="preserve">  info                      : "This service allows administrators to remotely access a command prompt using Emergency Management Services."</t>
  </si>
  <si>
    <t xml:space="preserve">  powershell_args           : "$p = Get-ItemProperty -Path 'Registry::HKEY_LOCAL_MACHINE\System\CurrentControlSet\Services\sacsvr' -ErrorAction SilentlyContinue; $val = if ($p -and $p.PSObject.Properties['Start'] -ne $null) { [int]$p.'Start' } else { 0 }; [string]$val"</t>
  </si>
  <si>
    <t xml:space="preserve">  description               : "1.0420 - MSWRK - Ensure Computer Browser (Browser) is set to Disabled or Not Installed"</t>
  </si>
  <si>
    <t xml:space="preserve">  info                      : "Maintains an updated list of computers on the network and supplies this list to computers designated as browsers."</t>
  </si>
  <si>
    <t xml:space="preserve">  powershell_args           : "$p = Get-ItemProperty -Path 'Registry::HKEY_LOCAL_MACHINE\System\CurrentControlSet\Services\Browser' -ErrorAction SilentlyContinue; $val = if ($p -and $p.PSObject.Properties['Start'] -ne $null) { [int]$p.'Start' } else { 0 }; [string]$val"</t>
  </si>
  <si>
    <t xml:space="preserve">  description               : "1.0421 - MSWRK - Ensure SSDP Discovery (SSDPSRV) is set to Disabled - Ssdpsrv"</t>
  </si>
  <si>
    <t xml:space="preserve">  info                      : "Discovers networked devices and services that use the SSDP discovery protocol, such as UPnP devices."</t>
  </si>
  <si>
    <t xml:space="preserve">  powershell_args           : "$p = Get-ItemProperty -Path 'Registry::HKEY_LOCAL_MACHINE\System\CurrentControlSet\Services\SSDPSRV' -ErrorAction SilentlyContinue; $val = if ($p -and $p.PSObject.Properties['Start'] -ne $null) { [int]$p.'Start' } else { 0 }; [string]$val"</t>
  </si>
  <si>
    <t xml:space="preserve">  description               : "1.0422 - MSWRK - Ensure UPnP Device Host (upnphost) is set to Disabled - Upnphost"</t>
  </si>
  <si>
    <t xml:space="preserve">  info                      : "Allows UPnP devices to be hosted on this computer."</t>
  </si>
  <si>
    <t xml:space="preserve">  powershell_args           : "$p = Get-ItemProperty -Path 'Registry::HKEY_LOCAL_MACHINE\System\CurrentControlSet\Services\upnphost' -ErrorAction SilentlyContinue; $val = if ($p -and $p.PSObject.Properties['Start'] -ne $null) { [int]$p.'Start' } else { 0 }; [string]$val"</t>
  </si>
  <si>
    <t xml:space="preserve">  description               : "1.0423 - MSWRK - Ensure Web Management Service (WMSvc) is set to Disabled or Not Installed - Wmsvc"</t>
  </si>
  <si>
    <t xml:space="preserve">  info                      : "The Web Management Service enables remote and delegated management capabilities for administrators to manage for the Web server, sites and applications present on the machine."</t>
  </si>
  <si>
    <t xml:space="preserve">  powershell_args           : "$p = Get-ItemProperty -Path 'Registry::HKEY_LOCAL_MACHINE\System\CurrentControlSet\Services\WMSvc' -ErrorAction SilentlyContinue; $val = if ($p -and $p.PSObject.Properties['Start'] -ne $null) { [int]$p.'Start' } else { 0 }; [string]$val"</t>
  </si>
  <si>
    <t xml:space="preserve">  description               : "1.0424 - MSWRK - Ensure Windows Media Player Network Sharing Service (WMPNetworkSvc) is set to Disabled or Not Installed - Wmpnetworksvc"</t>
  </si>
  <si>
    <t xml:space="preserve">  info                      : "Shares Windows Media Player libraries to other networked players and media devices using Universal Plug and Play."</t>
  </si>
  <si>
    <t xml:space="preserve">  powershell_args           : "$p = Get-ItemProperty -Path 'Registry::HKEY_LOCAL_MACHINE\System\CurrentControlSet\Services\WMPNetworkSvc' -ErrorAction SilentlyContinue; $val = if ($p -and $p.PSObject.Properties['Start'] -ne $null) { [int]$p.'Start' } else { 0 }; [string]$val"</t>
  </si>
  <si>
    <t xml:space="preserve">  description               : "1.0425 - MSWRK - Ensure Windows Mobile Hotspot Service (icssvc) is set to Disabled - Icssvc"</t>
  </si>
  <si>
    <t xml:space="preserve">  info                      : "Provides the ability to share a cellular data connection with another device."</t>
  </si>
  <si>
    <t xml:space="preserve">  powershell_args           : "$p = Get-ItemProperty -Path 'Registry::HKEY_LOCAL_MACHINE\System\CurrentControlSet\Services\icssvc' -ErrorAction SilentlyContinue; $val = if ($p -and $p.PSObject.Properties['Start'] -ne $null) { [int]$p.'Start' } else { 0 }; [string]$val"</t>
  </si>
  <si>
    <t xml:space="preserve">  description               : "1.0426 - MSWRK - Ensure World Wide Web Publishing Service (W3SVC) is set to Disabled or Not Installed - W3svc"</t>
  </si>
  <si>
    <t xml:space="preserve">  info                      : "Provides Web connectivity and administration through the Internet Information Services Manager."</t>
  </si>
  <si>
    <t xml:space="preserve">  powershell_args           : "$p = Get-ItemProperty -Path 'Registry::HKEY_LOCAL_MACHINE\System\CurrentControlSet\Services\W3SVC' -ErrorAction SilentlyContinue; $val = if ($p -and $p.PSObject.Properties['Start'] -ne $null) { [int]$p.'Start' } else { 0 }; [string]$val"</t>
  </si>
  <si>
    <t xml:space="preserve">  description               : "1.0427 - MSWRK - Ensure Xbox Accessory Management Service (XboxGipSvc) is set to Disabled - Xboxgipsvc"</t>
  </si>
  <si>
    <t xml:space="preserve">  info                      : "This service manages connected Xbox Accessories."</t>
  </si>
  <si>
    <t xml:space="preserve">  powershell_args           : "$p = Get-ItemProperty -Path 'Registry::HKEY_LOCAL_MACHINE\System\CurrentControlSet\Services\XboxGipSvc' -ErrorAction SilentlyContinue; $val = if ($p -and $p.PSObject.Properties['Start'] -ne $null) { [int]$p.'Start' } else { 0 }; [string]$val"</t>
  </si>
  <si>
    <t xml:space="preserve">  description               : "1.0428 - MSWRK - Ensure Xbox Live Auth Manager (XblAuthManager) is set to Disabled - Xblauthmanager"</t>
  </si>
  <si>
    <t xml:space="preserve">  info                      : "Provides authentication and authorization services for interacting with Xbox Live."</t>
  </si>
  <si>
    <t xml:space="preserve">  powershell_args           : "$p = Get-ItemProperty -Path 'Registry::HKEY_LOCAL_MACHINE\System\CurrentControlSet\Services\XblAuthManager' -ErrorAction SilentlyContinue; $val = if ($p -and $p.PSObject.Properties['Start'] -ne $null) { [int]$p.'Start' } else { 0 }; [string]$val"</t>
  </si>
  <si>
    <t xml:space="preserve">  description               : "1.0429 - MSWRK - Ensure Xbox Live Game Save (XblGameSave) is set to Disabled - Xblgamesave"</t>
  </si>
  <si>
    <t xml:space="preserve">  info                      : "This service syncs save data for Xbox Live save enabled games."</t>
  </si>
  <si>
    <t xml:space="preserve">  powershell_args           : "$p = Get-ItemProperty -Path 'Registry::HKEY_LOCAL_MACHINE\System\CurrentControlSet\Services\XblGameSave' -ErrorAction SilentlyContinue; $val = if ($p -and $p.PSObject.Properties['Start'] -ne $null) { [int]$p.'Start' } else { 0 }; [string]$val"</t>
  </si>
  <si>
    <t xml:space="preserve">  description               : "1.0430 - MSWRK - Ensure Xbox Live Networking Service (XboxNetApiSvc) is set to Disabled - Xboxnetapisvc"</t>
  </si>
  <si>
    <t xml:space="preserve">  info                      : "This service supports the Windows."</t>
  </si>
  <si>
    <t xml:space="preserve">  powershell_args           : "$p = Get-ItemProperty -Path 'Registry::HKEY_LOCAL_MACHINE\System\CurrentControlSet\Services\XboxNetApiSvc' -ErrorAction SilentlyContinue; $val = if ($p -and $p.PSObject.Properties['Start'] -ne $null) { [int]$p.'Start' } else { 0 }; [string]$val"</t>
  </si>
  <si>
    <t xml:space="preserve">  description               : "1.0431 - MSWRK - Ensure IIS Admin Service (IISADMIN) is set to Disabled or Not Installed - Iisadmin"</t>
  </si>
  <si>
    <t xml:space="preserve">  info                      : "Enables the server to administer the IIS metabase."</t>
  </si>
  <si>
    <t xml:space="preserve">  powershell_args           : "$p = Get-ItemProperty -Path 'Registry::HKEY_LOCAL_MACHINE\System\CurrentControlSet\Services\IISADMIN' -ErrorAction SilentlyContinue; $val = if ($p -and $p.PSObject.Properties['Start'] -ne $null) { [int]$p.'Start' } else { 0 }; [string]$val"</t>
  </si>
  <si>
    <t xml:space="preserve">  description               : "1.0432 - MSWRK - Ensure Infrared monitor service (irmon) is set to Disabled or Not Installed - Irmon"</t>
  </si>
  <si>
    <t xml:space="preserve">  info                      : "Detects other Infrared devices that are in range and launches the file transfer application."</t>
  </si>
  <si>
    <t xml:space="preserve">  powershell_args           : "$p = Get-ItemProperty -Path 'Registry::HKEY_LOCAL_MACHINE\System\CurrentControlSet\Services\irmon' -ErrorAction SilentlyContinue; $val = if ($p -and $p.PSObject.Properties['Start'] -ne $null) { [int]$p.'Start' } else { 0 }; [string]$val"</t>
  </si>
  <si>
    <t xml:space="preserve">  description               : "1.0433 - MSWRK - Ensure Windows Firewall: Domain: Firewall state is set to On (recommended) - Domainprofile"</t>
  </si>
  <si>
    <t xml:space="preserve">  info                      : "This policy setting controls whether the built-in Domain Firewall state is enabled or disabled."</t>
  </si>
  <si>
    <t xml:space="preserve">  reference                 : "NIST 800-53r5|SC-7 SC-7(5)"</t>
  </si>
  <si>
    <t xml:space="preserve">  powershell_args           : "$p = Get-ItemProperty -Path 'Registry::HKEY_LOCAL_MACHINE\Software\Policies\Microsoft\WindowsFirewall\DomainProfile' -ErrorAction SilentlyContinue; $val = if ($p -and $p.PSObject.Properties['EnableFirewall'] -ne $null) { [int]$p.'EnableFirewall' } else { 0 }; [string]$val"</t>
  </si>
  <si>
    <t xml:space="preserve">  description               : "1.0434 - MSWRK - Ensure Windows Firewall: Domain: Inbound connections is set to Block (default) - Domainprofile"</t>
  </si>
  <si>
    <t xml:space="preserve">  info                      : "This policy setting determines the behavior for inbound connections that do not match an inbound firewall rule."</t>
  </si>
  <si>
    <t xml:space="preserve">  powershell_args           : "$p = Get-ItemProperty -Path 'Registry::HKEY_LOCAL_MACHINE\Software\Policies\Microsoft\WindowsFirewall\DomainProfile' -ErrorAction SilentlyContinue; $val = if ($p -and $p.PSObject.Properties['DefaultInboundAction'] -ne $null) { [int]$p.'DefaultInboundAction' } else { 0 }; [string]$val"</t>
  </si>
  <si>
    <t xml:space="preserve">  description               : "1.0435 - MSWRK - Ensure Windows Firewall: Domain: Settings: Display a notification is set to No - Domainprofile"</t>
  </si>
  <si>
    <t xml:space="preserve">  info                      : "Select this option to have Windows Firewall with Advanced Security display notifications to the user when a program is blocked from receiving inbound connections."</t>
  </si>
  <si>
    <t xml:space="preserve">  powershell_args           : "$p = Get-ItemProperty -Path 'Registry::HKEY_LOCAL_MACHINE\Software\Policies\Microsoft\WindowsFirewall\DomainProfile' -ErrorAction SilentlyContinue; $val = if ($p -and $p.PSObject.Properties['DisableNotifications'] -ne $null) { [int]$p.'DisableNotifications' } else { 0 }; [string]$val"</t>
  </si>
  <si>
    <t xml:space="preserve">  description               : "1.0436 - MSWRK - Ensure Windows Firewall: Domain: Logging: Name is configured"</t>
  </si>
  <si>
    <t xml:space="preserve">  info                      : "This policy setting is used to specify the path and name of the file in which Windows Firewall will write its log information."</t>
  </si>
  <si>
    <t xml:space="preserve">  value_data                : "%SYSTEMROOT%\System32\logfiles\firewall\domainfw.log"</t>
  </si>
  <si>
    <t xml:space="preserve">  powershell_args           : "$p = Get-ItemProperty -Path 'Registry::HKEY_LOCAL_MACHINE\Software\Policies\Microsoft\WindowsFirewall\DomainProfile\Logging' -ErrorAction SilentlyContinue; $raw = if ($p -and $p.PSObject.Properties['LogFilePath'] -ne $null) { [string]$p.'LogFilePath' } else { $null }; if ($raw) { $raw } else { 'NOT_FOUND' }"</t>
  </si>
  <si>
    <t xml:space="preserve">  description               : "1.0437 - MSWRK - Ensure Windows Firewall: Domain: Logging: Size limit (KB) is set to 16,384 KB or greater"</t>
  </si>
  <si>
    <t xml:space="preserve">  info                      : "Use this option to specify the size limit of the file in which Windows Firewall will write its log information."</t>
  </si>
  <si>
    <t xml:space="preserve">  value_data                : "^([1-9][0-9]{5,}|[2-9][0-9]{4}|1[7-9][0-9]{3}|16[4-9][0-9]{2}|163[9-9][0-9]{1}|1638[4-9])$"</t>
  </si>
  <si>
    <t xml:space="preserve">  powershell_args           : "$p = Get-ItemProperty -Path 'Registry::HKEY_LOCAL_MACHINE\Software\Policies\Microsoft\WindowsFirewall\DomainProfile\Logging' -ErrorAction SilentlyContinue; $val = if ($p -and $p.PSObject.Properties['LogFileSize'] -ne $null) { [int]$p.'LogFileSize' } else { 0 }; [string]$val"</t>
  </si>
  <si>
    <t xml:space="preserve">  description               : "1.0438 - MSWRK - Ensure Windows Firewall: Domain: Logging: Log dropped packets is set to Yes"</t>
  </si>
  <si>
    <t xml:space="preserve">  info                      : "Use this option to log when Windows Firewall with Advanced Security discards an inbound packet for any reason."</t>
  </si>
  <si>
    <t xml:space="preserve">  reference                 : "NIST 800-53r5|AU-3 AU-3(1) AU-7 AU-12 SC-7 SC-7(5)"</t>
  </si>
  <si>
    <t xml:space="preserve">  powershell_args           : "$p = Get-ItemProperty -Path 'Registry::HKEY_LOCAL_MACHINE\Software\Policies\Microsoft\WindowsFirewall\DomainProfile\Logging' -ErrorAction SilentlyContinue; $val = if ($p -and $p.PSObject.Properties['LogDroppedPackets'] -ne $null) { [int]$p.'LogDroppedPackets' } else { 0 }; [string]$val"</t>
  </si>
  <si>
    <t xml:space="preserve">  description               : "1.0439 - MSWRK - Ensure Windows Firewall: Domain: Logging: Log successful connections is set to Yes"</t>
  </si>
  <si>
    <t xml:space="preserve">  info                      : "Use this option to log when Windows Firewall with Advanced Security allows an inbound connection."</t>
  </si>
  <si>
    <t xml:space="preserve">  powershell_args           : "$p = Get-ItemProperty -Path 'Registry::HKEY_LOCAL_MACHINE\Software\Policies\Microsoft\WindowsFirewall\DomainProfile\Logging' -ErrorAction SilentlyContinue; $val = if ($p -and $p.PSObject.Properties['LogSuccessfulConnections'] -ne $null) { [int]$p.'LogSuccessfulConnections' } else { 0 }; [string]$val"</t>
  </si>
  <si>
    <t xml:space="preserve">  description               : "1.0440 - MSWRK - Ensure Windows Firewall: Private: Firewall state is set to On (recommended) - Privateprofile"</t>
  </si>
  <si>
    <t xml:space="preserve">  info                      : "This policy setting controls whether the built-in Private Firewall state is enabled or disabled."</t>
  </si>
  <si>
    <t xml:space="preserve">  powershell_args           : "$p = Get-ItemProperty -Path 'Registry::HKEY_LOCAL_MACHINE\Software\Policies\Microsoft\WindowsFirewall\PrivateProfile' -ErrorAction SilentlyContinue; $val = if ($p -and $p.PSObject.Properties['EnableFirewall'] -ne $null) { [int]$p.'EnableFirewall' } else { 0 }; [string]$val"</t>
  </si>
  <si>
    <t xml:space="preserve">  description               : "1.0441 - MSWRK - Ensure Windows Firewall: Private: Inbound connections is set to Block (default) - Privateprofile"</t>
  </si>
  <si>
    <t xml:space="preserve">  powershell_args           : "$p = Get-ItemProperty -Path 'Registry::HKEY_LOCAL_MACHINE\Software\Policies\Microsoft\WindowsFirewall\PrivateProfile' -ErrorAction SilentlyContinue; $val = if ($p -and $p.PSObject.Properties['DefaultInboundAction'] -ne $null) { [int]$p.'DefaultInboundAction' } else { 0 }; [string]$val"</t>
  </si>
  <si>
    <t xml:space="preserve">  description               : "1.0442 - MSWRK - Ensure Windows Firewall: Private: Settings: Display a notification is set to No - Privateprofile"</t>
  </si>
  <si>
    <t xml:space="preserve">  powershell_args           : "$p = Get-ItemProperty -Path 'Registry::HKEY_LOCAL_MACHINE\Software\Policies\Microsoft\WindowsFirewall\PrivateProfile' -ErrorAction SilentlyContinue; $val = if ($p -and $p.PSObject.Properties['DisableNotifications'] -ne $null) { [int]$p.'DisableNotifications' } else { 0 }; [string]$val"</t>
  </si>
  <si>
    <t xml:space="preserve">  description               : "1.0443 - MSWRK - Ensure Windows Firewall: Private: Logging: Name is configured"</t>
  </si>
  <si>
    <t xml:space="preserve">  value_data                : "%SYSTEMROOT%\System32\logfiles\firewall\privatefw.log"</t>
  </si>
  <si>
    <t xml:space="preserve">  powershell_args           : "$p = Get-ItemProperty -Path 'Registry::HKEY_LOCAL_MACHINE\Software\Policies\Microsoft\WindowsFirewall\PrivateProfile\Logging' -ErrorAction SilentlyContinue; $raw = if ($p -and $p.PSObject.Properties['LogFilePath'] -ne $null) { [string]$p.'LogFilePath' } else { $null }; if ($raw) { $raw } else { 'NOT_FOUND' }"</t>
  </si>
  <si>
    <t xml:space="preserve">  description               : "1.0444 - MSWRK - Ensure Windows Firewall: Private: Logging: Size limit (KB) is set to 16,384 KB or greater"</t>
  </si>
  <si>
    <t xml:space="preserve">  powershell_args           : "$p = Get-ItemProperty -Path 'Registry::HKEY_LOCAL_MACHINE\Software\Policies\Microsoft\WindowsFirewall\PrivateProfile\Logging' -ErrorAction SilentlyContinue; $val = if ($p -and $p.PSObject.Properties['LogFileSize'] -ne $null) { [int]$p.'LogFileSize' } else { 0 }; [string]$val"</t>
  </si>
  <si>
    <t xml:space="preserve">  description               : "1.0445 - MSWRK - Ensure Windows Firewall: Private: Logging: Log dropped packets is set to Yes"</t>
  </si>
  <si>
    <t xml:space="preserve">  powershell_args           : "$p = Get-ItemProperty -Path 'Registry::HKEY_LOCAL_MACHINE\Software\Policies\Microsoft\WindowsFirewall\PrivateProfile\Logging' -ErrorAction SilentlyContinue; $val = if ($p -and $p.PSObject.Properties['LogDroppedPackets'] -ne $null) { [int]$p.'LogDroppedPackets' } else { 0 }; [string]$val"</t>
  </si>
  <si>
    <t xml:space="preserve">  description               : "1.0446 - MSWRK - Ensure Windows Firewall: Private: Logging: Log successful connections is set to Yes"</t>
  </si>
  <si>
    <t xml:space="preserve">  powershell_args           : "$p = Get-ItemProperty -Path 'Registry::HKEY_LOCAL_MACHINE\Software\Policies\Microsoft\WindowsFirewall\PrivateProfile\Logging' -ErrorAction SilentlyContinue; $val = if ($p -and $p.PSObject.Properties['LogSuccessfulConnections'] -ne $null) { [int]$p.'LogSuccessfulConnections' } else { 0 }; [string]$val"</t>
  </si>
  <si>
    <t xml:space="preserve">  description               : "1.0447 - MSWRK - Ensure Windows Firewall: Public: Firewall state is set to On (recommended) - Publicprofile"</t>
  </si>
  <si>
    <t xml:space="preserve">  info                      : "This policy setting controls whether the built-in Public Firewall state is enabled or disabled."</t>
  </si>
  <si>
    <t xml:space="preserve">  powershell_args           : "$p = Get-ItemProperty -Path 'Registry::HKEY_LOCAL_MACHINE\Software\Policies\Microsoft\WindowsFirewall\PublicProfile' -ErrorAction SilentlyContinue; $val = if ($p -and $p.PSObject.Properties['EnableFirewall'] -ne $null) { [int]$p.'EnableFirewall' } else { 0 }; [string]$val"</t>
  </si>
  <si>
    <t xml:space="preserve">  description               : "1.0448 - MSWRK - Ensure Windows Firewall: Public: Inbound connections is set to Block (default) - Publicprofile"</t>
  </si>
  <si>
    <t xml:space="preserve">  info                      : "This setting determines the behavior for inbound connections that do not match an inbound firewall rule."</t>
  </si>
  <si>
    <t xml:space="preserve">  powershell_args           : "$p = Get-ItemProperty -Path 'Registry::HKEY_LOCAL_MACHINE\Software\Policies\Microsoft\WindowsFirewall\PublicProfile' -ErrorAction SilentlyContinue; $val = if ($p -and $p.PSObject.Properties['DefaultInboundAction'] -ne $null) { [int]$p.'DefaultInboundAction' } else { 0 }; [string]$val"</t>
  </si>
  <si>
    <t xml:space="preserve">  description               : "1.0449 - MSWRK - Ensure Windows Firewall: Public: Settings: Display a notification is set to No - Publicprofile"</t>
  </si>
  <si>
    <t xml:space="preserve">  powershell_args           : "$p = Get-ItemProperty -Path 'Registry::HKEY_LOCAL_MACHINE\Software\Policies\Microsoft\WindowsFirewall\PublicProfile' -ErrorAction SilentlyContinue; $val = if ($p -and $p.PSObject.Properties['DisableNotifications'] -ne $null) { [int]$p.'DisableNotifications' } else { 0 }; [string]$val"</t>
  </si>
  <si>
    <t xml:space="preserve">  description               : "1.0450 - MSWRK - Ensure Windows Firewall: Public: Settings: Apply local firewall rules is set to No"</t>
  </si>
  <si>
    <t xml:space="preserve">  info                      : "This setting controls whether local administrators are allowed to create local firewall rules that apply together with firewall rules configured by Group Policy."</t>
  </si>
  <si>
    <t xml:space="preserve">  powershell_args           : "$p = Get-ItemProperty -Path 'Registry::HKEY_LOCAL_MACHINE\Software\Policies\Microsoft\WindowsFirewall\PublicProfile' -ErrorAction SilentlyContinue; $val = if ($p -and $p.PSObject.Properties['AllowLocalPolicyMerge'] -ne $null) { [int]$p.'AllowLocalPolicyMerge' } else { 0 }; [string]$val"</t>
  </si>
  <si>
    <t xml:space="preserve">  description               : "1.0451 - MSWRK - Ensure Windows Firewall: Public: Settings: Apply local connection security rules is set to No"</t>
  </si>
  <si>
    <t xml:space="preserve">  info                      : "This setting controls whether local administrators are allowed to create connection security rules that apply together with connection security rules configured by Group Policy."</t>
  </si>
  <si>
    <t xml:space="preserve">  powershell_args           : "$p = Get-ItemProperty -Path 'Registry::HKEY_LOCAL_MACHINE\Software\Policies\Microsoft\WindowsFirewall\PublicProfile' -ErrorAction SilentlyContinue; $val = if ($p -and $p.PSObject.Properties['AllowLocalIPsecPolicyMerge'] -ne $null) { [int]$p.'AllowLocalIPsecPolicyMerge' } else { 0 }; [string]$val"</t>
  </si>
  <si>
    <t xml:space="preserve">  description               : "1.0452 - MSWRK - Ensure Windows Firewall: Public: Logging: Name is configured"</t>
  </si>
  <si>
    <t xml:space="preserve">  value_data                : "%SYSTEMROOT%\System32\logfiles\firewall\publicfw.log"</t>
  </si>
  <si>
    <t xml:space="preserve">  powershell_args           : "$p = Get-ItemProperty -Path 'Registry::HKEY_LOCAL_MACHINE\Software\Policies\Microsoft\WindowsFirewall\PublicProfile\Logging' -ErrorAction SilentlyContinue; $raw = if ($p -and $p.PSObject.Properties['LogFilePath'] -ne $null) { [string]$p.'LogFilePath' } else { $null }; if ($raw) { $raw } else { 'NOT_FOUND' }"</t>
  </si>
  <si>
    <t xml:space="preserve">  description               : "1.0453 - MSWRK - Ensure Windows Firewall: Public: Logging: Size limit (KB) is set to 16,384 KB or greater"</t>
  </si>
  <si>
    <t xml:space="preserve">  powershell_args           : "$p = Get-ItemProperty -Path 'Registry::HKEY_LOCAL_MACHINE\Software\Policies\Microsoft\WindowsFirewall\PublicProfile\Logging' -ErrorAction SilentlyContinue; $val = if ($p -and $p.PSObject.Properties['LogFileSize'] -ne $null) { [int]$p.'LogFileSize' } else { 0 }; [string]$val"</t>
  </si>
  <si>
    <t xml:space="preserve">  description               : "1.0454 - MSWRK - Ensure Windows Firewall: Public: Logging: Log dropped packets is set to Yes"</t>
  </si>
  <si>
    <t xml:space="preserve">  powershell_args           : "$p = Get-ItemProperty -Path 'Registry::HKEY_LOCAL_MACHINE\Software\Policies\Microsoft\WindowsFirewall\PublicProfile\Logging' -ErrorAction SilentlyContinue; $val = if ($p -and $p.PSObject.Properties['LogDroppedPackets'] -ne $null) { [int]$p.'LogDroppedPackets' } else { 0 }; [string]$val"</t>
  </si>
  <si>
    <t xml:space="preserve">  description               : "1.0455 - MSWRK - Ensure Windows Firewall: Public: Logging: Log successful connections is set to Yes"</t>
  </si>
  <si>
    <t xml:space="preserve">  powershell_args           : "$p = Get-ItemProperty -Path 'Registry::HKEY_LOCAL_MACHINE\Software\Policies\Microsoft\WindowsFirewall\PublicProfile\Logging' -ErrorAction SilentlyContinue; $val = if ($p -and $p.PSObject.Properties['LogSuccessfulConnections'] -ne $null) { [int]$p.'LogSuccessfulConnections' } else { 0 }; [string]$val"</t>
  </si>
  <si>
    <t xml:space="preserve">           &lt;custom_item&gt;</t>
  </si>
  <si>
    <t xml:space="preserve">                       type : AUDIT_POWERSHELL</t>
  </si>
  <si>
    <t xml:space="preserve">                description : "1.0456 - MSWRK - System/Domain Identification"</t>
  </si>
  <si>
    <t xml:space="preserve">                       info : "This obtains specific user and system information that may be used for additional evaluation."</t>
  </si>
  <si>
    <t xml:space="preserve">                  reference : "NIST 800-53r5|"</t>
  </si>
  <si>
    <t xml:space="preserve">                   see_also : "HTH Policies and Standards"</t>
  </si>
  <si>
    <t xml:space="preserve">                 value_type : POLICY_TEXT</t>
  </si>
  <si>
    <t xml:space="preserve">                 value_data : ".*"</t>
  </si>
  <si>
    <t xml:space="preserve">            powershell_args : "(Get-ComputerInfo) |Select-Object OSDisplayVersion, CsManufacturer, CsModel, BiosBIOSVersion, BiosSeralNumber, CsUserName, OsName, OsBuildNumber, OsProductType, CsDNSHostName, CsDomain;"</t>
  </si>
  <si>
    <t xml:space="preserve">                 check_type : CHECK_REGEX</t>
  </si>
  <si>
    <t xml:space="preserve">           &lt;/custom_item&gt;</t>
  </si>
  <si>
    <t xml:space="preserve">                description : "1.0457 - MSWRK - Network Information"</t>
  </si>
  <si>
    <t xml:space="preserve">                       info : "This obtains relevent hosted view network information that may be used for additional evaluation."</t>
  </si>
  <si>
    <t xml:space="preserve">            powershell_args : "Get-NetIPConfiguration -Detailed ;(Get-ItemProperty -Path 'HKLM:\SYSTEM\CurrentControlSet\Control\SecurityProviders\SCHANNEL\Protocols\TLS 1.2\Server');"</t>
  </si>
  <si>
    <t xml:space="preserve">                description : "1.0458 - MSWRK - Windows 10 is installed"</t>
  </si>
  <si>
    <t xml:space="preserve">                 value_data : "^[Ww][Ii][Nn][Dd][Oo][Ww][Ss] 1[0,1].+$"</t>
  </si>
  <si>
    <t xml:space="preserve">            powershell_args : "(Get-ItemProperty -Path 'HKLM:\Software\Microsoft\Windows Nt\Currentversion').ProductName"</t>
  </si>
  <si>
    <t xml:space="preserve">                description : "1.0459 - MSWRK - Windows 11 is installed"</t>
  </si>
  <si>
    <t xml:space="preserve">                 value_data : "22631"</t>
  </si>
  <si>
    <t xml:space="preserve">            powershell_args : "(Get-ItemProperty -Path 'HKLM:\Software\Microsoft\Windows Nt\Currentversion').CurrentBuildNumber"</t>
  </si>
  <si>
    <t xml:space="preserve">                description : "1.0460 - MSWRK - Ensure Only display the private store within the Microsoft Store is set to 'Disabled'"</t>
  </si>
  <si>
    <t xml:space="preserve">                       info : "This policy setting denies access to the retail catalog in the Microsoft Store, but displays the private store."</t>
  </si>
  <si>
    <t xml:space="preserve">                  reference : "NIST 800-53r5|CM-7(5)CM-10"</t>
  </si>
  <si>
    <t xml:space="preserve">                   see_also : "See corresponding HTH Policy or Standard"</t>
  </si>
  <si>
    <t xml:space="preserve">                 value_data : "0"</t>
  </si>
  <si>
    <t xml:space="preserve">            powershell_args : "if(Test-Path -Path 'HKLM:\Software\Policies\Microsoft\WindowsStore'){$noutput = (Get-ItemProperty -Path 'HKLM:\Software\Policies\Microsoft\WindowsStore').RequirePrivateStoreOnly;if($noutput -eq $Null) {write-host 'Value Not Found'} else {$noutput}}else {write-host 'Path Not Found'}"</t>
  </si>
  <si>
    <t xml:space="preserve">                 check_type : CHECK_EQUAL</t>
  </si>
  <si>
    <t xml:space="preserve">                description : "1.0461 - MSWRK - Allow widgets is set to Disabled"</t>
  </si>
  <si>
    <t xml:space="preserve">                       info : "This policy setting specifies whether the Widgets feature is allowed on the device. The Widgets feature provides information such as, weather, news, sports, stocks, traffic, and entertainment (not an inclusive list)."</t>
  </si>
  <si>
    <t xml:space="preserve">                  reference : "NIST 800-53r5|CM-6 "</t>
  </si>
  <si>
    <t xml:space="preserve">                   see_also : "See HTH Policies and Standards"</t>
  </si>
  <si>
    <t xml:space="preserve">                 value_data : "^0$"</t>
  </si>
  <si>
    <t xml:space="preserve">            powershell_args : "if(Test-Path -Path 'HKLM:\Software\Policies\Microsoft\Dsh'){$noutput = (Get-ItemProperty -Path 'HKLM:\Software\Policies\Microsoft\Dsh').AllowNewsAndInterests;if($noutput -eq $Null) {write-host 'Value Not Found'} else {$noutput}}else {write-host 'Path Not Found'}"</t>
  </si>
  <si>
    <t xml:space="preserve">                description : "1.0462 - MSWRK - MSS: (ScreenSaverGracePeriod) The time in seconds before the screen saver grace period expires is set to Enabled: 5 or fewer seconds"</t>
  </si>
  <si>
    <t xml:space="preserve">                       info : "Windows includes a grace period between when the screen saver is launched and when the console is actually locked automatically when screen saver locking is enabled."</t>
  </si>
  <si>
    <t xml:space="preserve">                  reference : "NIST 800-53r5|AC-2(5) AC-11 AC-11(1) "</t>
  </si>
  <si>
    <t xml:space="preserve">                 value_data : "[0..5]"</t>
  </si>
  <si>
    <t xml:space="preserve">            powershell_args : "if(Test-Path -Path 'HKLM:\Software\Microsoft\Windows NT\CurrentVersion\Winlogon'){$noutput = (Get-ItemProperty -Path 'HKLM:\Software\Microsoft\Windows NT\CurrentVersion\Winlogon').ScreenSaverGracePeriod;if($noutput -eq $Null) {write-host 'Value Not Found'} else {$noutput}}else {write-host 'Path Not Found'}"</t>
  </si>
  <si>
    <t xml:space="preserve">                description : "1.0463 - MSWRK - Screensaver - Enabled"</t>
  </si>
  <si>
    <t xml:space="preserve">                       info : "This ensures that the screen saver is enabled."</t>
  </si>
  <si>
    <t xml:space="preserve">                  reference : "NIST 800-53r5|AC-2(5) AC-11(1) AC-12"</t>
  </si>
  <si>
    <t xml:space="preserve">                 value_data : "1"</t>
  </si>
  <si>
    <t xml:space="preserve">            powershell_args : "$noutput = (Get-ItemProperty 'registry::hkey_users\S-1-5-21*\Software\Policies\Microsoft\Windows\Control Panel\Desktop').ScreenSaveActive; if ($noutput -eq $Null) {write-host 'Not Found'} else {$noutput}"</t>
  </si>
  <si>
    <t xml:space="preserve">                description : "1.0464 - MSWRK - Screensaver - Password protect the screen saver- Enabled"</t>
  </si>
  <si>
    <t xml:space="preserve">                       info : "This setting ensures that the user is prompteed fror a password whne the screensaver is enabled."</t>
  </si>
  <si>
    <t xml:space="preserve">            powershell_args : "$noutput = (Get-ItemProperty 'registry::hkey_users\S-1-5-21*\Software\Policies\Microsoft\Windows\Control Panel\Desktop').ScreenSaverIsSecure; if ($noutput -eq $Null) {write-host 'Not Found'} else {$noutput}"</t>
  </si>
  <si>
    <t xml:space="preserve">                       type : USER_RIGHTS_POLICY</t>
  </si>
  <si>
    <t xml:space="preserve">                description : "1.0465 - MSWRK - Ensure Change the time zone is set to Administrators, LOCAL SERVICE'"</t>
  </si>
  <si>
    <t xml:space="preserve">                       info : "This setting determines which users can change the time zone of the computer."</t>
  </si>
  <si>
    <t xml:space="preserve">                  reference : "NIST 800-53r5|AC-2 AC-3 AC-6 AC-6(1) AC-6(7) AU-9(4)"</t>
  </si>
  <si>
    <t xml:space="preserve">                 value_type : USER_RIGHT</t>
  </si>
  <si>
    <t xml:space="preserve">                 value_data : "administrators" &amp;&amp; "local service"</t>
  </si>
  <si>
    <t xml:space="preserve">                 right_type : SeTimeZonePrivilege</t>
  </si>
  <si>
    <t xml:space="preserve">                 check_type : CHECK_EQUAL_ANY</t>
  </si>
  <si>
    <t xml:space="preserve">                       type : ANONYMOUS_SID_SETTING</t>
  </si>
  <si>
    <t xml:space="preserve">                description : "1.0466 - MSWRK - Network access: Allow anonymous SID/Name translation is set to Disabled"</t>
  </si>
  <si>
    <t xml:space="preserve">                       info : "This policy setting determines whether an anonymous user can request security identifier (SID) attributes for another user, or use a SID to obtain its corresponding user name."</t>
  </si>
  <si>
    <t xml:space="preserve">                  reference : "NIST 800-53r5|AC-6(10) "</t>
  </si>
  <si>
    <t xml:space="preserve">                 value_type : POLICY_SET</t>
  </si>
  <si>
    <t xml:space="preserve">                 value_data : "Disabled"</t>
  </si>
  <si>
    <t xml:space="preserve">                description : "1.0467 - MSWRK - Network access: Shares that can be accessed anonymously is set to None"</t>
  </si>
  <si>
    <t xml:space="preserve">                       info : "This policy setting determines which network shares can be accessed by anonymous users. The default configuration for this policy setting has little effect because all users have to be authenticated before they can access shared resources on the server."</t>
  </si>
  <si>
    <t xml:space="preserve">                  reference : "NIST 800-53r5|AC-3 "</t>
  </si>
  <si>
    <t xml:space="preserve">                 value_data : ""</t>
  </si>
  <si>
    <t xml:space="preserve">            powershell_args : "if(Test-Path -Path 'HKLM:\System\CurrentControlSet\Services\LanManServer\Parameters'){$noutput = (Get-ItemProperty -Path 'HKLM:\System\CurrentControlSet\Services\LanManServer\Parameters').NullSessionShares;if($noutput -eq $Null) {write-host 'Value Not Found'} else {$noutput}}else {write-host 'Path Not Found'}"</t>
  </si>
  <si>
    <t xml:space="preserve">          powershell_option : CAN_BE_NULL</t>
  </si>
  <si>
    <t xml:space="preserve">                description : "1.0468 - MSWRK - Network access: Named Pipes that can be accessed anonymously is set to None"</t>
  </si>
  <si>
    <t xml:space="preserve">                       info : "This policy setting determines which communication sessions, or pipes, will have attributes and permissions that allow anonymous access."</t>
  </si>
  <si>
    <t xml:space="preserve">                  reference : "NIST 800-53r5|IA-2(2) "</t>
  </si>
  <si>
    <t xml:space="preserve">            powershell_args : "if(Test-Path -Path 'HKLM:\SYSTEM\CurrentControlSet\Services\LanManServer\Parameters'){$noutput = (Get-ItemProperty -Path 'HKLM:\SYSTEM\CurrentControlSet\Services\LanManServer\Parameters').NullSessionPipes;if($noutput -eq $Null) {write-host 'Value Not Found'} else {$noutput}}else {write-host 'Path Not Found'}"</t>
  </si>
  <si>
    <t xml:space="preserve">                description : "1.0469 - MSWRK - Network access: Remotely accessible registry paths is configured - Allowedexactpaths"</t>
  </si>
  <si>
    <t xml:space="preserve">                       info : "This policy setting determines which registry paths will be accessible over the network, regardless of the users or groups listed in the access control list (ACL) of the winreg registry key."</t>
  </si>
  <si>
    <t xml:space="preserve">                  reference : "NIST 800-53r5|AC-6(7)(b) "</t>
  </si>
  <si>
    <t xml:space="preserve">                 value_data : "System\\CurrentControlSet\\Control\\ProductOptions" &amp;&amp; "System\\CurrentControlSet\\Control\\Server Applications" &amp;&amp; "Software\\Microsoft\\Windows NT\\CurrentVersion"</t>
  </si>
  <si>
    <t xml:space="preserve">            powershell_args : "if(Test-Path -Path 'HKLM:\System\CurrentControlSet\Control\SecurePipeServers\Winreg\AllowedExactPaths'){$noutput = (Get-ItemProperty -Path 'HKLM:\System\CurrentControlSet\Control\SecurePipeServers\Winreg\AllowedExactPaths').Machine;if($noutput -eq $Null) {write-host 'Value Not Found'} else {$noutput}}else {write-host 'Path Not Found'}"</t>
  </si>
  <si>
    <t xml:space="preserve">                description : "1.0470 - MSWRK - Network access: Remotely accessible registry paths and sub-paths is configured - Allowedpaths"</t>
  </si>
  <si>
    <t xml:space="preserve">                       info : "This policy setting determines which registry paths and sub-paths will be accessible over the network, regardless of the users or groups listed in the access control list (ACL) of the winreg registry key."</t>
  </si>
  <si>
    <t xml:space="preserve">                 value_data :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t>
  </si>
  <si>
    <t xml:space="preserve">            powershell_args : "if(Test-Path -Path 'HKLM:\System\CurrentControlSet\Control\SecurePipeServers\Winreg\AllowedPaths'){$noutput = (Get-ItemProperty -Path 'HKLM:\System\CurrentControlSet\Control\SecurePipeServers\Winreg\AllowedPaths').Machine;if($noutput -eq $Null) {write-host 'Value Not Found'} else {$noutput}}else {write-host 'Path Not Found'}"</t>
  </si>
  <si>
    <t xml:space="preserve">                description : "1.0471 - MSWRK - Network security: Do not store LAN Manager hash value on next password change is set to Enabled"</t>
  </si>
  <si>
    <t xml:space="preserve">                       info : "This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t>
  </si>
  <si>
    <t xml:space="preserve">                  reference : "NIST 800-53r5|IA-5(1) SC-28 "</t>
  </si>
  <si>
    <t xml:space="preserve">                 value_data : "^1$"</t>
  </si>
  <si>
    <t xml:space="preserve">            powershell_args : "if(Test-Path -Path 'HKLM:\System\CurrentControlSet\Control\Lsa'){$noutput = (Get-ItemProperty -Path 'HKLM:\System\CurrentControlSet\Control\Lsa').NoLMHash;if($noutput -eq $Null) {write-host 'Value Not Found'} else {$noutput}}else {write-host 'Path Not Found'}"</t>
  </si>
  <si>
    <t xml:space="preserve">                description : "1.0472 - MSWRK - Interactive logon: Do not require CTRL+ALT+DEL is set to Disabled"</t>
  </si>
  <si>
    <t xml:space="preserve">                       info : "This policy setting determines whether users must press CTRL+ALT+DEL before they log on."</t>
  </si>
  <si>
    <t xml:space="preserve">                  reference : "NIST 800-53r5|CM-6b. "</t>
  </si>
  <si>
    <t xml:space="preserve">            powershell_args : "if(Test-Path -Path 'HKLM:\Software\Microsoft\Windows\CurrentVersion\Policies\System'){$noutput = (Get-ItemProperty -Path 'HKLM:\Software\Microsoft\Windows\CurrentVersion\Policies\System').DisableCAD;if($noutput -eq $Null) {write-host 'Value Not Found'} else {$noutput}}else {write-host 'Path Not Found'}"</t>
  </si>
  <si>
    <t xml:space="preserve">                description : "1.0473 - MSWRK - Screensaver - Timeout is set to 900 seconds or fewer"</t>
  </si>
  <si>
    <t xml:space="preserve">                       info : "This setting ensures that the screensaver will autmatically start after 900 seconds or lesss of inactivity."</t>
  </si>
  <si>
    <t xml:space="preserve">                 value_data : "900"</t>
  </si>
  <si>
    <t xml:space="preserve">            powershell_args : "$noutput = (Get-ItemProperty 'registry::hkey_users\S-1-5-21*\Software\Policies\Microsoft\Windows\Control Panel\Desktop').ScreenSaveTimeOut; if ($noutput -eq $Null) {write-host 'Not Found'} else {$noutput}"</t>
  </si>
  <si>
    <t xml:space="preserve">                description : "1.0474 - MSWRK - Microsoft network client: Digitally sign communications (if server agrees) is set to Enabled"</t>
  </si>
  <si>
    <t xml:space="preserve">                       info : "This policy setting determines whether the SMB client will attempt to negotiate SMB packet signing."</t>
  </si>
  <si>
    <t xml:space="preserve">                  reference : "NIST 800-53r5|AC-17(2) IA-5 IA-5(1) SC-8 "</t>
  </si>
  <si>
    <t xml:space="preserve">            powershell_args : "if(Test-Path -Path 'HKLM:\System\CurrentControlSet\Services\LanmanWorkstation\Parameters'){$noutput = (Get-ItemProperty -Path 'HKLM:\System\CurrentControlSet\Services\LanmanWorkstation\Parameters').EnableSecuritySignature;if($noutput -eq $Null) {write-host 'Value Not Found'} else {$noutput}}else {write-host 'Path Not Found'}"</t>
  </si>
  <si>
    <t xml:space="preserve">                description : "1.0475 - MSWRK - Services - Windows Firewall is enabled"</t>
  </si>
  <si>
    <t xml:space="preserve">                       info : "The Windows Firewall service should be automatically enabled on startup."</t>
  </si>
  <si>
    <t xml:space="preserve">                  reference : "NIST 800-53r5|CM-6"</t>
  </si>
  <si>
    <t xml:space="preserve">                 value_data : "Running"</t>
  </si>
  <si>
    <t xml:space="preserve">            powershell_args : "$noutput = (Get-Service -name 'MpsSvc').status; if ($noutput -eq $Null) {write-host 'Service Not Found'} else {$noutput}"</t>
  </si>
  <si>
    <t xml:space="preserve">                description : "1.0476 - MSWRK - Services - Windows Defender"</t>
  </si>
  <si>
    <t xml:space="preserve">                       info : "The Windows Defender service should be automatically enabled on startup."</t>
  </si>
  <si>
    <t xml:space="preserve">            powershell_args : "$noutput = (Get-Service -name 'Sense').status; if ($noutput -eq $Null) {write-host 'Service Not Found'} else {$noutput}"</t>
  </si>
  <si>
    <t xml:space="preserve">                description : "1.0477 - MSWRK - Services - BitLocker Drive Encryption Service"</t>
  </si>
  <si>
    <t xml:space="preserve">                       info : "The BitLocker Drive Encryption service should be manually enabled on startup."</t>
  </si>
  <si>
    <t xml:space="preserve">            powershell_args : "$noutput = (Get-Service -name 'BDESVC').status; if ($noutput -eq $Null) {write-host 'Service Not Found'} else {$noutput}"</t>
  </si>
  <si>
    <t xml:space="preserve">                description : "1.0478 - MSWRK - Services - Security Accounts Manager"</t>
  </si>
  <si>
    <t xml:space="preserve">                       info : "The Security Accounts Manager service should be automatically enabled on startup."</t>
  </si>
  <si>
    <t xml:space="preserve">            powershell_args : "$noutput = (Get-Service -name 'SamSs').Status; if ($noutput -eq $Null) {write-host 'Service Not Found'} else {$noutput}"</t>
  </si>
  <si>
    <t xml:space="preserve">                description : "1.0479 - MSWRK - Services - Cisco VPN Secure Client"</t>
  </si>
  <si>
    <t xml:space="preserve">                       info : "The Cisco VPN Secure Client service should be automatically enabled on startup."</t>
  </si>
  <si>
    <t xml:space="preserve">            powershell_args : "$noutput = (Get-Service -Name csc_vpnagent).status; if ($noutput -eq $Null) {write-host 'Service Not Found'} else {$noutput}"</t>
  </si>
  <si>
    <t xml:space="preserve">                description : "1.0480 - MSWRK - Services - Windows Event Log"</t>
  </si>
  <si>
    <t xml:space="preserve">                       info : "The Windows Event Log service should be automatically enabled on startup."</t>
  </si>
  <si>
    <t xml:space="preserve">            powershell_args : "$noutput = (Get-Service -Name EventLog).status; if ($noutput -eq $Null) {write-host 'Service Not Found'} else {$noutput}"</t>
  </si>
  <si>
    <t xml:space="preserve">                description : "1.0481 - MSWRK - TCPIP6 is disabled"</t>
  </si>
  <si>
    <t xml:space="preserve">                       info : "This setting determines if TCPIPV6 is disabled"</t>
  </si>
  <si>
    <t xml:space="preserve">                  reference : "NIST 800-53r5|CM-1 CM-2 CM-6 CM-7 CM-7(1) CM-9 SA-3 SA-8 SA-10"</t>
  </si>
  <si>
    <t xml:space="preserve">                 value_data : "255"</t>
  </si>
  <si>
    <t xml:space="preserve">            powershell_args : "if(Test-Path -Path 'HKLM:\SYSTEM\CurrentControlSet\Services\Tcpip6\Parameters'){$noutput = (Get-ItemProperty -Path 'HKLM:\SYSTEM\CurrentControlSet\Services\Tcpip6\Parameters').DisabledComponents;if($noutput -eq $Null) {write-host 'Value Not Found'} else {$noutput}}else {write-host 'Path Not Found'}"</t>
  </si>
  <si>
    <t xml:space="preserve">                description : "1.0482 - MSWRK - Check if WinRM service is running"</t>
  </si>
  <si>
    <t xml:space="preserve">                       info : "Windows Remote Management (WinRM) is the Microsoft implementation of the WS-Management protocol."</t>
  </si>
  <si>
    <t xml:space="preserve">                  reference : "NIST 800-53r5|CM-6 CM-7"</t>
  </si>
  <si>
    <t xml:space="preserve">            powershell_args : "$noutput = (Get-Service -name 'WinRM').status; if ($noutput -eq $Null) {write-host 'Service Not Found'} else {$noutput}"</t>
  </si>
  <si>
    <t xml:space="preserve">                description : "1.0483 - MSWRK - Computer Browser (Browser) is not Installed"</t>
  </si>
  <si>
    <t xml:space="preserve">                       info : "Maintains an updated list of computers on the network and supplies this list to computers designated as browsers."</t>
  </si>
  <si>
    <t xml:space="preserve">            powershell_args : "$noutput = (Get-WindowsOptionalFeature -Online -FeatureName SMB1Protocol).State; if ($noutput -eq $Null) {write-host 'Not Found'} else {$noutput}"</t>
  </si>
  <si>
    <t xml:space="preserve">                description : "1.0484 - MSWRK - Services - BitLocker Drive Encryption Management Service"</t>
  </si>
  <si>
    <t xml:space="preserve">                       info : "The BitLocker Management Client Service is automatically enabled on startup."</t>
  </si>
  <si>
    <t xml:space="preserve">            powershell_args : "$noutput = (Get-Service -name 'MBAMAgent').status; if ($noutput -eq $Null) {write-host 'Service Not Found'} else {$noutput}"</t>
  </si>
  <si>
    <t xml:space="preserve">                description : "1.0485 - MSWRK - Services - Rapid7 Insight Agent Service"</t>
  </si>
  <si>
    <t xml:space="preserve">                       info : "The Rapid7 Insight Agent Service is automatically enabled on startup."</t>
  </si>
  <si>
    <t xml:space="preserve">            powershell_args : "$noutput = (Get-Service -name 'ir_agent').status; if ($noutput -eq $Null) {write-host 'Service Not Found'} else {$noutput}"</t>
  </si>
  <si>
    <t xml:space="preserve">                description : "1.0486 - MSWRK - Sentinel Agent"</t>
  </si>
  <si>
    <t xml:space="preserve">                       info : "SentinelOne Endpoint Protection Agent"</t>
  </si>
  <si>
    <t xml:space="preserve">            powershell_args : "$noutput = (Get-Service -name 'SentinelAgent').status; if ($noutput -eq $Null) {write-host 'Service Not Found'} else {$noutput}"</t>
  </si>
  <si>
    <t xml:space="preserve">                description : "1.0487 - MSWRK - Services - Sentinel Helper Service"</t>
  </si>
  <si>
    <t xml:space="preserve">                       info : "Helper service for SentinelOne Endpoint Protection Agent"</t>
  </si>
  <si>
    <t xml:space="preserve">            powershell_args : "$noutput = (Get-Service -name 'SentinelHelperService').status; if ($noutput -eq $Null) {write-host 'Service Not Found'} else {$noutput}"</t>
  </si>
  <si>
    <t xml:space="preserve">                description : "1.0488 - MSWRK - Services - SentinelOne Agent Log Processing Service"</t>
  </si>
  <si>
    <t xml:space="preserve">                       info : "Manage logs for SentinelOne Endpoint Protection"</t>
  </si>
  <si>
    <t xml:space="preserve">            powershell_args : "$noutput = (Get-Service -name 'LogProcessorService').status; if ($noutput -eq $Null) {write-host 'Service Not Found'} else {$noutput}"</t>
  </si>
  <si>
    <t xml:space="preserve">                description : "1.0489 - MSWRK - Services - SentinelOne Static Service"</t>
  </si>
  <si>
    <t xml:space="preserve">                       info : "Manage static engines for SentinelOne Endpoint Protection."</t>
  </si>
  <si>
    <t xml:space="preserve">            powershell_args : "$noutput = (Get-Service -name 'SentinelStaticEngine').status; if ($noutput -eq $Null) {write-host 'Service Not Found'} else {$noutput}"</t>
  </si>
  <si>
    <t xml:space="preserve">                description : "1.0490 - MSWRK - Services - Xbox Live Auth Manager"</t>
  </si>
  <si>
    <t xml:space="preserve">                       info : "The Xbox Live Auth Manager Service is disabled."</t>
  </si>
  <si>
    <t xml:space="preserve">                 value_data : "Stopped" || "Service Not Found"</t>
  </si>
  <si>
    <t xml:space="preserve">            powershell_args : "$noutput = (Get-Service -name 'XblAuthManager').status; if ($noutput -eq $Null) {write-host 'Service Not Found'} else {$noutput}"</t>
  </si>
  <si>
    <t xml:space="preserve">                description : "1.0491 - MSWRK - Services - Xbox Live Game Save Service"</t>
  </si>
  <si>
    <t xml:space="preserve">                       info : "The Xbox Live Game Save Service is disabled."</t>
  </si>
  <si>
    <t xml:space="preserve">            powershell_args : "$noutput = (Get-Service -name 'XblGameSave').status; if ($noutput -eq $Null) {write-host 'Service Not Found'} else {$noutput}"</t>
  </si>
  <si>
    <t xml:space="preserve">                description : "1.0492 - MSWRK - Services - Xbox Live Networking Service"</t>
  </si>
  <si>
    <t xml:space="preserve">                       info : "The Xbox Live Networking Service is disabled."</t>
  </si>
  <si>
    <t xml:space="preserve">            powershell_args : "$noutput = (Get-Service -name 'XboxNetApiSvc').status; if ($noutput -eq $Null) {write-host 'Service Not Found'} else {$noutput}"</t>
  </si>
  <si>
    <t xml:space="preserve">                description : "1.0493 - MSWRK - Simple TCP/IP Services (simptcp) is Not Installed"</t>
  </si>
  <si>
    <t xml:space="preserve">                       info : "The Simple TCP/IP Services have very little purpose in a modern enterprise environment."</t>
  </si>
  <si>
    <t xml:space="preserve">                 value_data : "Service Not Found"</t>
  </si>
  <si>
    <t xml:space="preserve">            powershell_args : "$noutput = (Get-Service -name 'simpt*').status; if ($noutput -eq $Null) {write-host 'Service Not Found'} else {$noutput}"</t>
  </si>
  <si>
    <t xml:space="preserve">                description : "1.0494 - MSWRK - SMB v1 server is set to Disabled"</t>
  </si>
  <si>
    <t xml:space="preserve">                       info : "This setting configures the server-side processing of the Server Message Block version 1 (SMBv1) protocol."</t>
  </si>
  <si>
    <t xml:space="preserve">  &lt;/then&gt;</t>
  </si>
  <si>
    <t xml:space="preserve">  &lt;else&gt;</t>
  </si>
  <si>
    <t>&lt;report type:"WARNING"&gt;</t>
  </si>
  <si>
    <t xml:space="preserve">  description               : "HTH_Microsoft_Windows_11_Enterprise_v5.0.1_L1_BL.audit from HTH Microsoft Windows 11 Enterprise 5.0.1"</t>
  </si>
  <si>
    <t>&lt;/report&gt;</t>
  </si>
  <si>
    <t xml:space="preserve">  &lt;/else&gt;</t>
  </si>
  <si>
    <t>&lt;/if&gt;</t>
  </si>
  <si>
    <t>&lt;/group_policy&gt;</t>
  </si>
  <si>
    <t>&lt;/check_type&gt;</t>
  </si>
  <si>
    <t># # # # # HTH MSWRK BASELINE # # # # #</t>
  </si>
  <si>
    <t xml:space="preserve">           &lt;check_type:"Windows" version:"2"&gt;</t>
  </si>
  <si>
    <t xml:space="preserve">           &lt;group_policy:"HTH Microsoft Windows Enterprise Workstation Baseline"&gt;</t>
  </si>
  <si>
    <t xml:space="preserve">                description : "System/Domain Identification"</t>
  </si>
  <si>
    <t xml:space="preserve">                description : "Network Information"</t>
  </si>
  <si>
    <t xml:space="preserve">           &lt;if&gt;</t>
  </si>
  <si>
    <t xml:space="preserve">           &lt;condition type:"OR"&gt;</t>
  </si>
  <si>
    <t xml:space="preserve">                description : "Windows 10 is installed"</t>
  </si>
  <si>
    <t xml:space="preserve">                description : "Windows 11 is installed"</t>
  </si>
  <si>
    <t xml:space="preserve">           &lt;/condition&gt;</t>
  </si>
  <si>
    <t xml:space="preserve">           &lt;then&gt;</t>
  </si>
  <si>
    <t xml:space="preserve">           &lt;report type:"PASSED"&gt;</t>
  </si>
  <si>
    <t xml:space="preserve">                description : "PASSED - TARGET OS MATCHES BASELINE - WINWRK"</t>
  </si>
  <si>
    <t xml:space="preserve">                   see_also : "Link to Controls"</t>
  </si>
  <si>
    <t xml:space="preserve">           &lt;/report&gt;</t>
  </si>
  <si>
    <t xml:space="preserve">                description : "IA - MSWRK - Password History - 24 passwords remembered"</t>
  </si>
  <si>
    <t xml:space="preserve">                       info : "This policy setting determines the number of renewed, unique passwords that have to be associated with a user account before you can reuse an old password."</t>
  </si>
  <si>
    <t xml:space="preserve">                  reference : "NIST 800-53r5|IA-5(1)"</t>
  </si>
  <si>
    <t xml:space="preserve">                   see_also : "HTH Password Standard"</t>
  </si>
  <si>
    <t xml:space="preserve">                 value_data : "24"</t>
  </si>
  <si>
    <t xml:space="preserve">            powershell_args : "$HisPwdObj = net accounts | Select-string 'password history'; $HisPwdStr = $HisPwdObj.ToString(); $HisPwdStr -match '\d{1,2}' | out-null; $HisPwdStr -match '24' | out-null; $LO_HisPwd = $matches[0]; Write-Output $LO_HisPwd;"</t>
  </si>
  <si>
    <t xml:space="preserve">                description : "IA - MSWRK - Password Maximum Age - 60 days"</t>
  </si>
  <si>
    <t xml:space="preserve">                       info : "This policy setting defines how long a user can use their password before it expires."</t>
  </si>
  <si>
    <t xml:space="preserve">                 value_data : "60"</t>
  </si>
  <si>
    <t xml:space="preserve">            powershell_args : "$MaxAgeObj = net accounts | Select-string 'Maximum password'; $MaxAgeStr = $MaxAgeObj.ToString(); $MaxAgeStr -match '\d{1,2}' | out-null; $MaxAgeStr -match '60' | out-null; $LO_MaxAge = $matches[0]; Write-Output $LO_MaxAge;"</t>
  </si>
  <si>
    <t xml:space="preserve">                description : "IA - MSWRK - Password - Password Minimum Age - 1 day"</t>
  </si>
  <si>
    <t xml:space="preserve">                       info : "This policy setting determines the least number of characters that make up a password for a user account."</t>
  </si>
  <si>
    <t xml:space="preserve">            powershell_args : "$MinAgeObj = net accounts | Select-string 'Minimum password age'; $MinAgeStr = $MinAgeObj.ToString(); $MinAgeStr -match '\d{1,2}' | out-null; $MinAgeStr -match '1' | out-null; $LO_MinAge = $matches[0]; Write-Output $LO_MinAge;"</t>
  </si>
  <si>
    <t xml:space="preserve">                description : "IA - MSWRK - Password Length - 8 characters"</t>
  </si>
  <si>
    <t xml:space="preserve">                 value_data : "[8...20]" </t>
  </si>
  <si>
    <t xml:space="preserve">            powershell_args : "$LngthPwdObj = net accounts | Select-string 'password length'; $LngthPwdStr = $LngthPwdObj.ToString(); $LngthPwdStr -match '\d{1,2}' | out-null; $LngthPwdStr -match '8' | out-null; $LO_LngthPwd = $matches[0]; Write-Output $LO_LngthPwd;"</t>
  </si>
  <si>
    <t xml:space="preserve">                       type : PASSWORD_POLICY</t>
  </si>
  <si>
    <t xml:space="preserve">                description : "IA - MSWRK - Password - Complexity Requirements - Enabled"</t>
  </si>
  <si>
    <t xml:space="preserve">                       info : "This policy setting checks all new passwords to ensure that they meet basic requirements for strong passwords."</t>
  </si>
  <si>
    <t xml:space="preserve">                   see_also : "See HTH Polices and Standards"</t>
  </si>
  <si>
    <t xml:space="preserve">                 value_data : "Enabled"</t>
  </si>
  <si>
    <t xml:space="preserve">            password_policy : COMPLEXITY_REQUIREMENTS</t>
  </si>
  <si>
    <t>#            &lt;custom_item&gt;</t>
  </si>
  <si>
    <t>#                        type : AUDIT_POWERSHELL</t>
  </si>
  <si>
    <t>#                 description : "QQ3IA - MSWRK - Relax minimum password length limits is set to Enabled"</t>
  </si>
  <si>
    <t>#                        info : "This policy setting determines whether the minimum password length setting can be increased beyond the legacy limit of 14 characters. For more information, please see the following"</t>
  </si>
  <si>
    <t>#                   reference : "NIST 800-53r5|IA-5(1)"</t>
  </si>
  <si>
    <t>#                    see_also : "See HTH Policies and Standards"</t>
  </si>
  <si>
    <t>#                  value_type : POLICY_TEXT</t>
  </si>
  <si>
    <t>#                  value_data : "^1$"</t>
  </si>
  <si>
    <t>#             powershell_args : "if(Test-Path -Path 'HKLM:\System\CurrentControlSet\Control\SAM'){$noutput = (Get-ItemProperty -Path 'HKLM:\System\CurrentControlSet\Control\SAM').RelaxMinimumPasswordLengthLimits;if($noutput -eq $Null) {write-host 'Value Not Found'} else {$noutput}}else {write-host 'Path Not Found'}"</t>
  </si>
  <si>
    <t>#                  check_type : CHECK_REGEX</t>
  </si>
  <si>
    <t>#            &lt;/custom_item&gt;</t>
  </si>
  <si>
    <t xml:space="preserve">                description : "IA - MSWRK - Password - Reversible Encryption - Disabled"</t>
  </si>
  <si>
    <t xml:space="preserve">                       info : "This policy setting determines whether the operating system stores passwords in a way that uses reversible encryption."</t>
  </si>
  <si>
    <t xml:space="preserve">                  reference : "NIST 800-53r5|IA-5(1) SC-28 SC-28(1)"</t>
  </si>
  <si>
    <t xml:space="preserve">            password_policy : REVERSIBLE_ENCRYPTION</t>
  </si>
  <si>
    <t xml:space="preserve">                description : "AC - MSWRK - Password - Acount Lockout Reset - 1 day"</t>
  </si>
  <si>
    <t xml:space="preserve">                       info : "This policy setting determines the length of time before the Account lockout threshold resets to zero."</t>
  </si>
  <si>
    <t xml:space="preserve">                  reference : "NIST 800-53r5|AC-7 AC-19"</t>
  </si>
  <si>
    <t xml:space="preserve">                 value_data : ".*60"</t>
  </si>
  <si>
    <t xml:space="preserve">            powershell_args : "$LockObsObj = net accounts | Select-string 'Lockout observation'; $LockObsStr = $LockObsObj.ToString(); $LockObsStr -match '\d{1,2}' | out-null; $LockObsStr -match '60' | out-null; $LO_LockObs = $matches[0]; Write-Output $LO_LockObs;"</t>
  </si>
  <si>
    <t xml:space="preserve">                description : "AC - MSWRK - Password - Acount Lockout Threshold - 5 invalid attempts"</t>
  </si>
  <si>
    <t xml:space="preserve">                       info : "This policy setting determines the number of failed logon attempts before the account is locked."</t>
  </si>
  <si>
    <t xml:space="preserve">                 value_data : ".*5"</t>
  </si>
  <si>
    <t xml:space="preserve">            powershell_args : "$lockoutObj = net accounts | Select-string threshold; $lockoutStr = $lockoutObj.ToString(); $lockoutStr -match '\d{1,3}' | out-null; $lockoutStr -match 'Never' | out-null; $LO_threshold = $matches[0]; Write-Output $LO_threshold;"</t>
  </si>
  <si>
    <t xml:space="preserve">                description : "IA - MSWRK - Password - Lockout Admins - Enabled"</t>
  </si>
  <si>
    <t xml:space="preserve">                       info : "This policy setting determines whether the built-in Administrator account is subject to the HTH Account Lockout Policy settings."</t>
  </si>
  <si>
    <t xml:space="preserve">            password_policy : LOCKOUT_ADMINS</t>
  </si>
  <si>
    <t xml:space="preserve">                description : "AC - MSWRK - Password - Acount Lockout Duration - 60 minutes"</t>
  </si>
  <si>
    <t xml:space="preserve">                       info : "This policy setting determines the length of time that must pass before a locked account is unlocked and a user can try to log on again."</t>
  </si>
  <si>
    <t xml:space="preserve">            powershell_args : "$LockDurObj = net accounts | Select-string 'Lockout duration'; $LockDurStr = $LockDurObj.ToString(); $LockDurStr -match '\d{1,2}' | out-null; $LockDurStr -match '60' | out-null; $LO_LockDur = $matches[0]; Write-Output $LO_LockDur;"</t>
  </si>
  <si>
    <t>#                 description : "QQAU - MSWRK - Audit Credential Validation is set to Success and Failure"</t>
  </si>
  <si>
    <t>#                        info : "This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t>
  </si>
  <si>
    <t>#                   reference : "NIST 800-53r5|AU-3 AU-3(1) AU-7 "</t>
  </si>
  <si>
    <t>#                  value_data : "Success and Failure"</t>
  </si>
  <si>
    <t>#             powershell_args : "$CV = auditpol /get /Subcategory:'Credential Validation' |Select-String 'Credential Validation'; $CVStr=$CV.ToString(); $CVStr -match 'Success and Failure' | out-null; $LOCV = $matches[0]; Write-Output $LOCV;"</t>
  </si>
  <si>
    <t>#                 description : "QQAU - MSWRK - Audit Application Group Management is set to Success and Failure"</t>
  </si>
  <si>
    <t>#                        info : "This policy setting allows you to audit events generated by changes to application groups such as the following:"</t>
  </si>
  <si>
    <t>#             powershell_args : "$AGM = auditpol /get /Subcategory:'Application Group Management' |Select-String 'Application Group Management'; $AGMStr=$AGM.ToString(); $AGMStr -match 'Success and Failure' | out-null; $LOAGM = $matches[0]; Write-Output $LOAGM;"</t>
  </si>
  <si>
    <t>#                 description : "QQAU - MSWRK - Audit Security Group Management is set to include Success"</t>
  </si>
  <si>
    <t>#                        info : "This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t>
  </si>
  <si>
    <t>#             powershell_args : "$SGM = auditpol /get /Subcategory:'Security Group Management' |Select-String 'Security Group Management'; $SGMStr=$SGM.ToString(); $SGMStr -match 'Success and Failure' | out-null; $LOSGM = $matches[0]; Write-Output $LOSGM;"</t>
  </si>
  <si>
    <t>#                 description : "AU - MSWRK - Audit User Account Management is set to Success and Failure"</t>
  </si>
  <si>
    <t>#                        info : "This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t>
  </si>
  <si>
    <t>#             powershell_args : "$UAM = auditpol /get /Subcategory:'User Account Management' |Select-String 'User Account Management'; $UAMStr=$UAM.ToString(); $UAMStr -match 'Success and Failure' | out-null; $LOUAM = $matches[0]; Write-Output $LOUAM;"</t>
  </si>
  <si>
    <t>#                 description : "QQAU - MSWRK - Audit PNP Activity is set to include Success"</t>
  </si>
  <si>
    <t>#                        info : "This policy setting allows you to audit when plug and play detects an external device."</t>
  </si>
  <si>
    <t>#             powershell_args : "$PPE = auditpol /get /Subcategory:'Plug and Play Events' |Select-String 'Plug and Play Events'; $PPEStr=$PPE.ToString(); $PPEStr -match 'Success and Failure' | out-null; $LOPPE = $matches[0]; Write-Output $LOPPE;"</t>
  </si>
  <si>
    <t>#                 description : "QQAU - MSWRK - Audit Process Creation is set to include Success"</t>
  </si>
  <si>
    <t>#                        info : "This subcategory reports the creation of a process and the name of the program or user that created it. Events for this subcategory include:"</t>
  </si>
  <si>
    <t>#                  value_data : "Success"</t>
  </si>
  <si>
    <t>#             powershell_args : "$PC = auditpol /get /Subcategory:'Process Creation' |Select-String 'Process Creation'; $PCStr=$PC.ToString(); $PCStr -match 'Success and Failure' | out-null; $LOPC = $matches[0]; Write-Output $LOPC;"</t>
  </si>
  <si>
    <t xml:space="preserve">                description : "AU - MSWRK - Audit Account Lockout is set to include Failure"</t>
  </si>
  <si>
    <t xml:space="preserve">                       info : "This subcategory reports when a users account is locked out as a result of too many failed logon attempts. Events for this subcategory include:"</t>
  </si>
  <si>
    <t xml:space="preserve">                  reference : "NIST 800-53r5|AU-3 AU-3(1) AU-7 "</t>
  </si>
  <si>
    <t xml:space="preserve">                 value_data : "Success and Failure"</t>
  </si>
  <si>
    <t xml:space="preserve">            powershell_args : "$AL = auditpol /get /Subcategory:'Account Lockout' |Select-String 'Account Lockout'; $ALStr=$AL.ToString(); $ALStr -match 'Success and Failure' | out-null; $LOAL = $matches[0]; Write-Output $LOAL;"</t>
  </si>
  <si>
    <t>#                 description : "QQAU - MSWRK - Audit Group Membership is set to include Success"</t>
  </si>
  <si>
    <t>#                        info : "This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t>
  </si>
  <si>
    <t>#             powershell_args : "$GM = auditpol /get /Subcategory:'Group Membership' |Select-String 'Group Membership'; $GMStr=$GM.ToString(); $GMStr -match 'Success and Failure' | out-null; $LOGM = $matches[0]; Write-Output $LOGM;"</t>
  </si>
  <si>
    <t xml:space="preserve">                description : "AU - MSWRK - Audit Logoff is set to include Success"</t>
  </si>
  <si>
    <t xml:space="preserve">                       info : "This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t>
  </si>
  <si>
    <t xml:space="preserve">                 value_data : "Success"</t>
  </si>
  <si>
    <t xml:space="preserve">            powershell_args : "$LO = auditpol /get /Subcategory:'LogOff' |Select-String 'LogOff'; $LOStr=$LO.ToString(); $LOStr -match 'Success' | out-null; $LOLO = $matches[0]; Write-Output $LOLO;"</t>
  </si>
  <si>
    <t xml:space="preserve">                description : "AU - MSWRK - Audit Logon is set to Success and Failure"</t>
  </si>
  <si>
    <t xml:space="preserve">                       info : "This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t>
  </si>
  <si>
    <t xml:space="preserve">            powershell_args : "$LOn = auditpol /get /Subcategory:'LogOn' |Select-String 'LogOn'; $LOnStr=$LOn.ToString(); $LOnStr -match 'Success and Failure' | out-null; $LOLOn = $matches[0]; Write-Output $LOLOn;"</t>
  </si>
  <si>
    <t xml:space="preserve">                description : "AU - MSWRK - Audit Other Logon/Logoff Events is set to Success and Failure"</t>
  </si>
  <si>
    <t xml:space="preserve">                       info : "This subcategory reports other logon/logoff-related events, such as Remote Desktop Services session disconnects and reconnects, using RunAs to run processes under a different account, and locking and unlocking a workstation. Events for this subcategory include:"</t>
  </si>
  <si>
    <t xml:space="preserve">            powershell_args : "$OLO = auditpol /get /Subcategory:'Other Logon/Logoff Events' |Select-String 'Other Logon/Logoff Events'; $OLOStr=$OLO.ToString(); $OLOStr -match 'Success and Failure' | out-null; $LOOLO = $matches[0]; Write-Output $LOOLO;"</t>
  </si>
  <si>
    <t xml:space="preserve">                description : "AU - MSWRK - Audit Special Logon is set to include Success"</t>
  </si>
  <si>
    <t xml:space="preserve">                       info : "This subcategory reports when a special logon is used. A special logon is a logon that has administrator-equivalent privileges and can be used to elevate a process to a higher level. Events for this subcategory include:"</t>
  </si>
  <si>
    <t xml:space="preserve">            powershell_args : "$SLO = auditpol /get /Subcategory:'Special Logon' |Select-String 'Special Logon'; $SLOStr=$SLO.ToString(); $SLOStr -match 'Success' | out-null; $LOSLO = $matches[0]; Write-Output $LOSLO;"</t>
  </si>
  <si>
    <t>#                 description : "QQAU - MSWRK - Audit Detailed File Share is set to include Failure"</t>
  </si>
  <si>
    <t>#                        info : "This subcategory allows you to audit attempts to access files and folders on a shared folder. Events for this subcategory include:"</t>
  </si>
  <si>
    <t>#                  value_data : "Failure" || "Success and Failure"</t>
  </si>
  <si>
    <t>#             powershell_args : "$DFS = auditpol /get /Subcategory:'Detailed File Share' |Select-String 'Detailed File Share'; $DFSStr=$DFS.ToString(); $DFSStr -match 'Success and Failure' | out-null; $LODFS = $matches[0]; Write-Output $LODFS"</t>
  </si>
  <si>
    <t>#                 description : "QQAU - MSWRK - Audit File Share is set to Success and Failure"</t>
  </si>
  <si>
    <t>#                        info : "This policy setting allows you to audit attempts to access a shared folder."</t>
  </si>
  <si>
    <t>#             powershell_args : "$FShare = auditpol /get /Subcategory:'File Share' |Select-String 'File Share'; $FShareStr=$FShare.ToString(); $FShareStr -match 'Success and Failure' | out-null; $LOFShare = $matches[0]; Write-Output $LOFShare"</t>
  </si>
  <si>
    <t>#                 description : "QQAU - MSWRK - Audit Other Object Access Events is set to Success and Failure"</t>
  </si>
  <si>
    <t>#                        info : "This policy setting allows you to audit events generated by the management of task scheduler jobs or COM+ objects."</t>
  </si>
  <si>
    <t>#             powershell_args : "$OOAEvent = auditpol /get /Subcategory:'Other Object Access Events' |Select-String 'Other Object Access Events'; $OOAEventStr=$OOAEvent.ToString(); $OOAEventStr -match 'Success and Failure' | out-null; $LOOOAEvent = $matches[0]; Write-Output $LOOOAEvent"</t>
  </si>
  <si>
    <t>#                 description : "QQAU - MSWRK - Audit Removable Storage is set to Success and Failure"</t>
  </si>
  <si>
    <t>#                        info : "This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t>
  </si>
  <si>
    <t>#             powershell_args : "$RemStor = auditpol /get /Subcategory:'Removable Storage' |Select-String 'Removable Storage'; $RemStorStr=$RemStor.ToString(); $RemStorStr -match 'Success and Failure' | out-null; $LORemStor = $matches[0]; Write-Output $LORemStor"</t>
  </si>
  <si>
    <t xml:space="preserve">                description : "AU - MSWRK - Audit Policy Change is set to include Success"</t>
  </si>
  <si>
    <t xml:space="preserve">                       info : "This subcategory reports changes in audit policy including SACL changes. Events for this subcategory include:"</t>
  </si>
  <si>
    <t xml:space="preserve">                 value_data : "Success" || "Success and Failure"</t>
  </si>
  <si>
    <t xml:space="preserve">            powershell_args : "$APC = auditpol /get /Subcategory:'Audit Policy Change' |Select-String 'Audit Policy Change'; $APCStr=$APC.ToString(); $APCStr -match 'Success and Failure' | out-null; $LOAPC = $matches[0]; Write-Output $LOAPC"</t>
  </si>
  <si>
    <t xml:space="preserve">                description : "AU - MSWRK - Audit Authentication Policy Change is set to include Success"</t>
  </si>
  <si>
    <t xml:space="preserve">                       info : "This subcategory reports changes in authentication policy. Events for this subcategory include:"</t>
  </si>
  <si>
    <t xml:space="preserve">            powershell_args : "$AuthPC = auditpol /get /Subcategory:'Authentication Policy Change' |Select-String 'Authentication Policy Change'; $AuthPCStr=$AuthPC.ToString(); $AuthPCStr -match 'Success and Failure' | out-null; $LOAuthPC = $matches[0]; Write-Output $LOAuthPC"</t>
  </si>
  <si>
    <t>#                 description : "QQAU - MSWRK - Audit Authorization Policy Change is set to include Success"</t>
  </si>
  <si>
    <t>#                        info : "This subcategory reports changes in authorization policy. Events for this subcategory include:"</t>
  </si>
  <si>
    <t>#                  value_data : "Success" || "Success and Failure"</t>
  </si>
  <si>
    <t>#             powershell_args : "$AuthorPC = auditpol /get /Subcategory:'Authorization Policy Change' |Select-String 'Authorization Policy Change'; $AuthorPCStr=$AuthorPC.ToString(); $AuthorPCStr -match 'Success' | out-null; $LOAuthorPC = $matches[0]; Write-Output $LOAuthorPC"</t>
  </si>
  <si>
    <t>#                 description : "QQAU - MSWRK - Audit MPSSVC Rule-Level Policy Change is set to Success and Failure"</t>
  </si>
  <si>
    <t>#                        info : "This subcategory determines whether the operating system generates audit events when changes are made to policy rules for the Microsoft Protection Service (MPSSVC.exe). Events for this subcategory include:"</t>
  </si>
  <si>
    <t>#             powershell_args : "$MPSSVC = auditpol /get /Subcategory:'MPSSVC Rule-Level Policy Change' |Select-String 'MPSSVC Rule-Level Policy Change'; $MPSSVCStr=$MPSSVC.ToString(); $MPSSVCStr -match 'Success and Failure' | out-null; $LOMPSSVC = $matches[0]; Write-Output $LOMPSSVC"</t>
  </si>
  <si>
    <t>#                 description : "QQAU - MSWRK - Audit Other Policy Change Events is set to include Failure"</t>
  </si>
  <si>
    <t>#                        info : "This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t>
  </si>
  <si>
    <t>#             powershell_args : "$OPCEvents = auditpol /get /Subcategory:'Other Policy Change Events' |Select-String 'Other Policy Change Events'; $OPCEventsStr=$OPCEvents.ToString(); $OPCEventsStr -match 'Failure' | out-null; $LOOPCEvents = $matches[0]; Write-Output $LOOPCEvents"</t>
  </si>
  <si>
    <t>#                 description : "QQAU - MSWRK - Audit Sensitive Privilege Use is set to Success and Failure"</t>
  </si>
  <si>
    <t>#                        info : "This subcategory reports when a user account or service uses a sensitive privilege. A sensitive privilege includes the following user rights:"</t>
  </si>
  <si>
    <t>#             powershell_args : "$SPrivUse = auditpol /get /Subcategory:'Sensitive Privilege Use' |Select-String 'Sensitive Privilege Use'; $SPrivUseStr=$SPrivUse.ToString(); $SPrivUseStr -match 'Success and Failure' | out-null; $LOSPrivUse = $matches[0]; Write-Output $LOSPrivUse"</t>
  </si>
  <si>
    <t>#                 description : "QQAU - MSWRK - Audit IPsec Driver is set to Success and Failure"</t>
  </si>
  <si>
    <t>#                        info : "This subcategory reports on the activities of the Internet Protocol security (IPsec) driver. Events for this subcategory include:"</t>
  </si>
  <si>
    <t>#             powershell_args : "$IPSECD = auditpol /get /Subcategory:'IPsec Driver' |Select-String 'IPsec Driver'; $IPSECDStr=$IPSECD.ToString(); $IPSECDStr -match 'Success and Failure' | out-null; $LOIPSECD = $matches[0]; Write-Output $LOIPSECD"</t>
  </si>
  <si>
    <t xml:space="preserve">                description : "AU - MSWRK - Audit Other System Events is set to Success and Failure"</t>
  </si>
  <si>
    <t xml:space="preserve">                       info : "This subcategory reports on other system events. Events for this subcategory include:"</t>
  </si>
  <si>
    <t xml:space="preserve">            powershell_args : "$OSysEvent = auditpol /get /Subcategory:'Other System Events' |Select-String 'Other System Events'; $OSysEventStr=$OSysEvent.ToString(); $OSysEventStr -match 'Success and Failure' | out-null; $LOOSysEvent = $matches[0]; Write-Output $LOOSysEvent"</t>
  </si>
  <si>
    <t xml:space="preserve">                description : "AU - MSWRK - Audit Security State Change is set to include Success"</t>
  </si>
  <si>
    <t xml:space="preserve">                       info : "This subcategory reports changes in security state of the system, such as when the security subsystem starts and stops. Events for this subcategory include:"</t>
  </si>
  <si>
    <t xml:space="preserve">            powershell_args : "$SecStCh = auditpol /get /Subcategory:'Security State Change' |Select-String 'Security State Change'; $SecStChStr=$SecStCh.ToString(); $SecStChStr -match 'Success and Failure' | out-null; $LOSecStCh = $matches[0]; Write-Output $LOSecStCh"</t>
  </si>
  <si>
    <t xml:space="preserve">                description : "AU - MSWRK - Audit Security System Extension is set to include Success"</t>
  </si>
  <si>
    <t xml:space="preserve">                       info : "This subcategory reports the loading of extension code such as authentication packages by the security subsystem. Events for this subcategory include:"</t>
  </si>
  <si>
    <t xml:space="preserve">            powershell_args : "$SecSysExt = auditpol /get /Subcategory:'Security System Extension' |Select-String 'Security System Extension'; $SecSysExtStr=$SecSysExt.ToString(); $SecSysExtStr -match 'Success and Failure' | out-null; $LOSecSysExt = $matches[0]; Write-Output $LOSecSysExt"</t>
  </si>
  <si>
    <t xml:space="preserve">                description : "AU - MSWRK - Audit System Integrity is set to Success and Failure"</t>
  </si>
  <si>
    <t xml:space="preserve">                       info : "This subcategory reports on violations of integrity of the security subsystem. Events for this subcategory include:"</t>
  </si>
  <si>
    <t xml:space="preserve">            powershell_args : "$SysInt = auditpol /get /Subcategory:'System Integrity' |Select-String 'System Integrity'; $SysIntStr=$SysInt.ToString(); $SysIntStr -match 'Success and Failure' | out-null; $LOSysInt = $matches[0]; Write-Output $LOSysInt"</t>
  </si>
  <si>
    <t>#                 description : "QQIA - MSWRK - Require pin for pairing is set to Enabled: First Time OR Enabled: Always"</t>
  </si>
  <si>
    <t>#                        info : "This policy setting controls whether or not a PIN is required for pairing to a wireless display device."</t>
  </si>
  <si>
    <t>#                   reference : "NIST 800-53r5|IA-5c. "</t>
  </si>
  <si>
    <t>#                  value_data : "^1$" || "^2$"</t>
  </si>
  <si>
    <t>#             powershell_args : "if(Test-Path -Path 'HKLM:\Software\Policies\Microsoft\Windows\Connect'){$noutput = (Get-ItemProperty -Path 'HKLM:\Software\Policies\Microsoft\Windows\Connect').RequirePinForPairing;if($noutput -eq $Null) {write-host 'Value Not Found'} else {$noutput}}else {write-host 'Path Not Found'}"</t>
  </si>
  <si>
    <t>#                 description : "QQIA - MSWRK - Do not display the password reveal button is set to Enabled"</t>
  </si>
  <si>
    <t>#                        info : "This policy setting allows you to configure the display of the password reveal button in password entry user experiences."</t>
  </si>
  <si>
    <t>#                   reference : "NIST 800-53r5|IA-5(1) "</t>
  </si>
  <si>
    <t>#             powershell_args : "if(Test-Path -Path 'HKLM:\Software\Policies\Microsoft\Windows\CredUI'){$noutput = (Get-ItemProperty -Path 'HKLM:\Software\Policies\Microsoft\Windows\CredUI').DisablePasswordReveal;if($noutput -eq $Null) {write-host 'Value Not Found'} else {$noutput}}else {write-host 'Path Not Found'}"</t>
  </si>
  <si>
    <t xml:space="preserve">                description : "AC - MSWRK - Enumerate administrator accounts on elevation is set to Disabled"</t>
  </si>
  <si>
    <t xml:space="preserve">                       info : "This policy setting controls whether administrator accounts are displayed when a user attempts to elevate a running application."</t>
  </si>
  <si>
    <t xml:space="preserve">            powershell_args : "if(Test-Path -Path 'HKLM:\Software\Microsoft\Windows\CurrentVersion\Policies\CredUI'){$noutput = (Get-ItemProperty -Path 'HKLM:\Software\Microsoft\Windows\CurrentVersion\Policies\CredUI').EnumerateAdministrators;if($noutput -eq $Null) {write-host 'Value Not Found'} else {$noutput}}else {write-host 'Path Not Found'}"</t>
  </si>
  <si>
    <t xml:space="preserve">                description : "CM - MSWRK - Prevent the use of security questions for local accounts is set to Enabled"</t>
  </si>
  <si>
    <t xml:space="preserve">                       info : "This policy setting controls whether security questions can be used to reset local account passwords. The security question feature does not apply to domain accounts, only local accounts on the workstation."</t>
  </si>
  <si>
    <t xml:space="preserve">            powershell_args : "if(Test-Path -Path 'HKLM:\Software\Policies\Microsoft\Windows\System'){$noutput = (Get-ItemProperty -Path 'HKLM:\Software\Policies\Microsoft\Windows\System').NoLocalPasswordResetQuestions;if($noutput -eq $Null) {write-host 'Value Not Found'} else {$noutput}}else {write-host 'Path Not Found'}"</t>
  </si>
  <si>
    <t>#                 description : "QQCM - MSWRK - Allow Diagnostic Data is set to Enabled: Diagnostic data off (not recommended) or Enabled: Send required diagnostic data"</t>
  </si>
  <si>
    <t>#                        info : "This policy setting determines the amount of diagnostic and usage data reported to Microsoft:"</t>
  </si>
  <si>
    <t>#                   reference : "NIST 800-53r5|CM-7b. "</t>
  </si>
  <si>
    <t>#                  value_data : "^0$" || "^1$"</t>
  </si>
  <si>
    <t>#             powershell_args : "if(Test-Path -Path 'HKLM:\Software\Policies\Microsoft\Windows\DataCollection'){$noutput = (Get-ItemProperty -Path 'HKLM:\Software\Policies\Microsoft\Windows\DataCollection').AllowTelemetry;if($noutput -eq $Null) {write-host 'Value Not Found'} else {$noutput}}else {write-host 'Path Not Found'}"</t>
  </si>
  <si>
    <t>#                 description : "QQ3SI - MSWRK - Disable OneSettings Downloads is set to Enabled"</t>
  </si>
  <si>
    <t>#                        info : "This policy setting controls whether Windows attempts to connect with the OneSettings service to download configuration settings."</t>
  </si>
  <si>
    <t>#                   reference : "NIST 800-53r5|SI-4 "</t>
  </si>
  <si>
    <t>#                  value_data : 1</t>
  </si>
  <si>
    <t>#             powershell_args : "if(Test-Path -Path 'HKLM:\Software\Policies\Microsoft\Windows\DataCollection'){$noutput = (Get-ItemProperty -Path 'HKLM:\Software\Policies\Microsoft\Windows\DataCollection').DisableOneSettingsDownloads;if($noutput -eq $Null) {write-host 'Value Not Found'} else {$noutput}}else {write-host 'Path Not Found'}"</t>
  </si>
  <si>
    <t>#                 description : "QQ3CM - MSWRK - Do not show feedback notifications is set to Enabled"</t>
  </si>
  <si>
    <t>#                        info : "This policy setting allows an organization to prevent its devices from showing feedback questions from Microsoft."</t>
  </si>
  <si>
    <t>#             powershell_args : "if(Test-Path -Path 'HKLM:\Software\Policies\Microsoft\Windows\DataCollection'){$noutput = (Get-ItemProperty -Path 'HKLM:\Software\Policies\Microsoft\Windows\DataCollection').DoNotShowFeedbackNotifications;if($noutput -eq $Null) {write-host 'Value Not Found'} else {$noutput}}else {write-host 'Path Not Found'}"</t>
  </si>
  <si>
    <t>#                 description : "QQ3AU - MSWRK - Enable OneSettings Auditing is set to Enabled"</t>
  </si>
  <si>
    <t>#                        info : "This policy setting controls whether Windows records attempts to connect with the OneSettings service to the Event Log."</t>
  </si>
  <si>
    <t>#             powershell_args : "if(Test-Path -Path 'HKLM:\Software\Policies\Microsoft\Windows\DataCollection'){$noutput = (Get-ItemProperty -Path 'HKLM:\Software\Policies\Microsoft\Windows\DataCollection').EnableOneSettingsAuditing;if($noutput -eq $Null) {write-host 'Value Not Found'} else {$noutput}}else {write-host 'Path Not Found'}"</t>
  </si>
  <si>
    <t>#                 description : "QQ3CM - MSWRK - Limit Diagnostic Log Collection is set to Enabled"</t>
  </si>
  <si>
    <t>#                        info : "This policy setting controls whether additional diagnostic logs are collected when more information is needed to troubleshoot a problem on the device."</t>
  </si>
  <si>
    <t>#                   reference : "NIST 800-53r5|CM-6 "</t>
  </si>
  <si>
    <t>#             powershell_args : "if(Test-Path -Path 'HKLM:\Software\Policies\Microsoft\Windows\DataCollection'){$noutput = (Get-ItemProperty -Path 'HKLM:\Software\Policies\Microsoft\Windows\DataCollection').LimitDiagnosticLogCollection;if($noutput -eq $Null) {write-host 'Value Not Found'} else {$noutput}}else {write-host 'Path Not Found'}"</t>
  </si>
  <si>
    <t>#                 description : "QQ3AU - MSWRK - Limit Dump Collection is set to Enabled"</t>
  </si>
  <si>
    <t>#                        info : "This policy setting limits the type of memory dumps that can be collected when more information is needed to troubleshoot a problem."</t>
  </si>
  <si>
    <t>#                   reference : "NIST 800-53r5|AU-2 "</t>
  </si>
  <si>
    <t>#             powershell_args : "if(Test-Path -Path 'HKLM:\Software\Policies\Microsoft\Windows\DataCollection'){$noutput = (Get-ItemProperty -Path 'HKLM:\Software\Policies\Microsoft\Windows\DataCollection').LimitDumpCollection;if($noutput -eq $Null) {write-host 'Value Not Found'} else {$noutput}}else {write-host 'Path Not Found'}"</t>
  </si>
  <si>
    <t>#                 description : "QQ3CM - MSWRK - Toggle user control over Insider builds is set to Disabled"</t>
  </si>
  <si>
    <t>#                        info : "This policy setting determines whether users can access the Insider build controls in the Advanced Options for Windows Update. These controls are located under Get Insider builds, and enable users to make their devices available for downloading and installing Windows preview software."</t>
  </si>
  <si>
    <t>#                   reference : "NIST 800-53r5|CM-7(2) CM-8(3) CM-10 "</t>
  </si>
  <si>
    <t>#                  value_data : "0"</t>
  </si>
  <si>
    <t>#             powershell_args : "if(Test-Path -Path 'HKLM:\Software\Policies\Microsoft\Windows\PreviewBuilds'){$noutput = (Get-ItemProperty -Path 'HKLM:\Software\Policies\Microsoft\Windows\PreviewBuilds').AllowBuildPreview;if($noutput -eq $Null) {write-host 'Value Not Found'} else {$noutput}}else {write-host 'Path Not Found'}"</t>
  </si>
  <si>
    <t>#                 description : "QQ3RA - MSWRK - Download Mode is NOT set to Enabled: Internet"</t>
  </si>
  <si>
    <t>#                        info : "This policy setting specifies the download method that Delivery Optimization can use in downloads of Windows Updates, Apps and App updates. The following methods are supported:"</t>
  </si>
  <si>
    <t>#                   reference : "NIST 800-53r5|RA-5 RA-7 SI-2 "</t>
  </si>
  <si>
    <t>#                  value_data : "0" || "1" || "^2$" || "99" || "100"</t>
  </si>
  <si>
    <t>#             powershell_args : "if(Test-Path -Path 'HKLM:\Software\Policies\Microsoft\Windows\DeliveryOptimization'){$noutput = (Get-ItemProperty -Path 'HKLM:\Software\Policies\Microsoft\Windows\DeliveryOptimization').DODownloadMode;if($noutput -eq $Null) {write-host 'Value Not Found'} else {$noutput}}else {write-host 'Path Not Found'}"</t>
  </si>
  <si>
    <t>#                 description : "QQ3CM - MSWRK - Enable App Installer is set to Disabled"</t>
  </si>
  <si>
    <t>#                        info : "This policy setting controls whether standard users have access to the Windows Package Manager. Windows Package Manager is a package manager solution that consists of a command line tool and set of services for installing applications on Microsoft Windows 10 and 11."</t>
  </si>
  <si>
    <t>#                  value_data : "^0$"</t>
  </si>
  <si>
    <t>#             powershell_args : "if(Test-Path -Path 'HKLM:\Software\Policies\Microsoft\Windows\AppInstaller'){$noutput = (Get-ItemProperty -Path 'HKLM:\Software\Policies\Microsoft\Windows\AppInstaller').EnableAppInstaller;if($noutput -eq $Null) {write-host 'Value Not Found'} else {$noutput}}else {write-host 'Path Not Found'}"</t>
  </si>
  <si>
    <t>#                 description : "QQ3CM - MSWRK - Enable App Installer Experimental Features is set to Disabled"</t>
  </si>
  <si>
    <t>#                        info : "This policy setting controls whether users can enable experimental features in the Windows Package Manager."</t>
  </si>
  <si>
    <t>#             powershell_args : "if(Test-Path -Path 'HKLM:\Software\Policies\Microsoft\Windows\AppInstaller'){$noutput = (Get-ItemProperty -Path 'HKLM:\Software\Policies\Microsoft\Windows\AppInstaller').EnableExperimentalFeatures;if($noutput -eq $Null) {write-host 'Value Not Found'} else {$noutput}}else {write-host 'Path Not Found'}"</t>
  </si>
  <si>
    <t>#                 description : "QQ3CM - MSWRK - Enable App Installer Hash Override is set to Disabled"</t>
  </si>
  <si>
    <t>#                        info : "This policy setting controls whether or not users can override the SHA256 security validation in the Windows Package Manager settings."</t>
  </si>
  <si>
    <t>#             powershell_args : "if(Test-Path -Path 'HKLM:\Software\Policies\Microsoft\Windows\AppInstaller'){$noutput = (Get-ItemProperty -Path 'HKLM:\Software\Policies\Microsoft\Windows\AppInstaller').EnableHashOverride;if($noutput -eq $Null) {write-host 'Value Not Found'} else {$noutput}}else {write-host 'Path Not Found'}"</t>
  </si>
  <si>
    <t>#                 description : "QQ3CM - MSWRK - Enable App Installer ms-appinstaller protocol is set to Disabled"</t>
  </si>
  <si>
    <t>#                        info : "This policy setting controls whether users can install packages from a website that is using the ms-appinstaller protocol. The ms-appinstaller protocol allows users to install an application by clicking a link on a website."</t>
  </si>
  <si>
    <t>#             powershell_args : "if(Test-Path -Path 'HKLM:\Software\Policies\Microsoft\Windows\AppInstaller'){$noutput = (Get-ItemProperty -Path 'HKLM:\Software\Policies\Microsoft\Windows\AppInstaller').EnableMSAppInstallerProtocol;if($noutput -eq $Null) {write-host 'Value Not Found'} else {$noutput}}else {write-host 'Path Not Found'}"</t>
  </si>
  <si>
    <t xml:space="preserve">                description : "AU - MSWRK - Application: Control Event Log behavior when the log file reaches its maximum size is set to Disabled"</t>
  </si>
  <si>
    <t xml:space="preserve">                       info : "This policy setting controls Event Log behavior when the log file reaches its maximum size."</t>
  </si>
  <si>
    <t xml:space="preserve">                  reference : "NIST 800-53r5|AU-4 "</t>
  </si>
  <si>
    <t xml:space="preserve">            powershell_args : "if(Test-Path -Path 'HKLM:\Software\Policies\Microsoft\Windows\EventLog\Application'){$noutput = (Get-ItemProperty -Path 'HKLM:\Software\Policies\Microsoft\Windows\EventLog\Application').Retention;if($noutput -eq $Null) {write-host 'Value Not Found'} else {$noutput}}else {write-host 'Path Not Found'}"</t>
  </si>
  <si>
    <t xml:space="preserve">                description : "AU - MSWRK - Application: Specify the maximum log file size (KB) is set to Enabled: 32,768 or greater"</t>
  </si>
  <si>
    <t xml:space="preserve">                       info : "This policy setting specifies the maximum size of the log file in kilobytes. The maximum log file size can be configured between 1 megabyte (1,024 kilobytes) and 4 terabytes (4,194,240 kilobytes) in kilobyte increments."</t>
  </si>
  <si>
    <t xml:space="preserve">                 value_data : "[32768..MAX]"</t>
  </si>
  <si>
    <t xml:space="preserve">            powershell_args : "if(Test-Path -Path 'HKLM:\Software\Policies\Microsoft\Windows\EventLog\Application'){$noutput = (Get-ItemProperty -Path 'HKLM:\Software\Policies\Microsoft\Windows\EventLog\Application').MaxSize;if($noutput -eq $Null) {write-host 'Value Not Found'} else {$noutput}}else {write-host 'Path Not Found'}"</t>
  </si>
  <si>
    <t xml:space="preserve">                description : "AU - MSWRK - Security: Control Event Log behavior when the log file reaches its maximum size is set to Disabled"</t>
  </si>
  <si>
    <t xml:space="preserve">            powershell_args : "if(Test-Path -Path 'HKLM:\Software\Policies\Microsoft\Windows\EventLog\Security'){$noutput = (Get-ItemProperty -Path 'HKLM:\Software\Policies\Microsoft\Windows\EventLog\Security').Retention;if($noutput -eq $Null) {write-host 'Value Not Found'} else {$noutput}}else {write-host 'Path Not Found'}"</t>
  </si>
  <si>
    <t xml:space="preserve">                description : "AU - MSWRK - Security: Specify the maximum log file size (KB) is set to Enabled: 196,608 or greater"</t>
  </si>
  <si>
    <t xml:space="preserve">                 value_data : "[196608..MAX]"</t>
  </si>
  <si>
    <t xml:space="preserve">            powershell_args : "if(Test-Path -Path 'HKLM:\Software\Policies\Microsoft\Windows\EventLog\Security'){$noutput = (Get-ItemProperty -Path 'HKLM:\Software\Policies\Microsoft\Windows\EventLog\Security').MaxSize;if($noutput -eq $Null) {write-host 'Value Not Found'} else {$noutput}}else {write-host 'Path Not Found'}"</t>
  </si>
  <si>
    <t xml:space="preserve">                description : "AU - MSWRK - Setup: Control Event Log behavior when the log file reaches its maximum size is set to Disabled"</t>
  </si>
  <si>
    <t xml:space="preserve">            powershell_args : "if(Test-Path -Path 'HKLM:\Software\Policies\Microsoft\Windows\EventLog\Setup'){$noutput = (Get-ItemProperty -Path 'HKLM:\Software\Policies\Microsoft\Windows\EventLog\Setup').Retention;if($noutput -eq $Null) {write-host 'Value Not Found'} else {$noutput}}else {write-host 'Path Not Found'}"</t>
  </si>
  <si>
    <t xml:space="preserve">                description : "AU - MSWRK - Setup: Specify the maximum log file size (KB) is set to Enabled: 32,768 or greater"</t>
  </si>
  <si>
    <t xml:space="preserve">            powershell_args : "if(Test-Path -Path 'HKLM:\Software\Policies\Microsoft\Windows\EventLog\Setup'){$noutput = (Get-ItemProperty -Path 'HKLM:\Software\Policies\Microsoft\Windows\EventLog\Setup').MaxSize;if($noutput -eq $Null) {write-host 'Value Not Found'} else {$noutput}}else {write-host 'Path Not Found'}"</t>
  </si>
  <si>
    <t xml:space="preserve">                description : "AU - MSWRK - System: Control Event Log behavior when the log file reaches its maximum size is set to Disabled"</t>
  </si>
  <si>
    <t xml:space="preserve">            powershell_args : "if(Test-Path -Path 'HKLM:\Software\Policies\Microsoft\Windows\EventLog\System'){$noutput = (Get-ItemProperty -Path 'HKLM:\Software\Policies\Microsoft\Windows\EventLog\System').Retention;if($noutput -eq $Null) {write-host 'Value Not Found'} else {$noutput}}else {write-host 'Path Not Found'}"</t>
  </si>
  <si>
    <t xml:space="preserve">                description : "AU - MSWRK - System: Specify the maximum log file size (KB) is set to Enabled: 32,768 or greater"</t>
  </si>
  <si>
    <t xml:space="preserve">            powershell_args : "if(Test-Path -Path 'HKLM:\Software\Policies\Microsoft\Windows\EventLog\System'){$noutput = (Get-ItemProperty -Path 'HKLM:\Software\Policies\Microsoft\Windows\EventLog\System').MaxSize;if($noutput -eq $Null) {write-host 'Value Not Found'} else {$noutput}}else {write-host 'Path Not Found'}"</t>
  </si>
  <si>
    <t>#                 description : "QQSI - MSWRK - Turn off Data Execution Prevention for Explorer is set to Disabled"</t>
  </si>
  <si>
    <t>#                        info : "Disabling Data Execution Prevention can allow certain legacy plug-in applications to function without terminating Explorer."</t>
  </si>
  <si>
    <t>#                   reference : "NIST 800-53r5|SI-16 "</t>
  </si>
  <si>
    <t>#             powershell_args : "if(Test-Path -Path 'HKLM:\Software\Policies\Microsoft\Windows\Explorer'){$noutput = (Get-ItemProperty -Path 'HKLM:\Software\Policies\Microsoft\Windows\Explorer').NoDataExecutionPrevention;if($noutput -eq $Null) {write-host 'Value Not Found'} else {$noutput}}else {write-host 'Path Not Found'}"</t>
  </si>
  <si>
    <t>#                 description : "QQCM - MSWRK - Turn off heap termination on corruption is set to Disabled"</t>
  </si>
  <si>
    <t>#                        info : "Without heap termination on corruption, legacy plug-in applications may continue to function when a File Explorer session has become corrupt. Ensuring that heap termination on corruption is active will prevent this."</t>
  </si>
  <si>
    <t>#             powershell_args : "if(Test-Path -Path 'HKLM:\Software\Policies\Microsoft\Windows\Explorer'){$noutput = (Get-ItemProperty -Path 'HKLM:\Software\Policies\Microsoft\Windows\Explorer').NoHeapTerminationOnCorruption;if($noutput -eq $Null) {write-host 'Value Not Found'} else {$noutput}}else {write-host 'Path Not Found'}"</t>
  </si>
  <si>
    <t>#                 description : "QQCM - MSWRK - Turn off shell protocol protected mode is set to Disabled"</t>
  </si>
  <si>
    <t>#                        info : "This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t>
  </si>
  <si>
    <t>#             powershell_args : "if(Test-Path -Path 'HKLM:\Software\Microsoft\Windows\CurrentVersion\Policies\Explorer'){$noutput = (Get-ItemProperty -Path 'HKLM:\Software\Microsoft\Windows\CurrentVersion\Policies\Explorer').PreXPSP2ShellProtocolBehavior;if($noutput -eq $Null) {write-host 'Value Not Found'} else {$noutput}}else {write-host 'Path Not Found'}"</t>
  </si>
  <si>
    <t>#                 description : "QQ3CM - MSWRK - Prevent non-admin users from installing packaged Windows apps is set to Enabled"</t>
  </si>
  <si>
    <t>#                        info : "This setting manages non-Administrator users ability to install Windows app packages."</t>
  </si>
  <si>
    <t>#                   reference : "NIST 800-53r5|CM-7(5) "</t>
  </si>
  <si>
    <t>#             powershell_args : "if(Test-Path -Path 'HKLM:\Software\Policies\Microsoft\Windows\Appx'){$noutput = (Get-ItemProperty -Path 'HKLM:\Software\Policies\Microsoft\Windows\Appx').BlockNonAdminUserInstall;if($noutput -eq $Null) {write-host 'Value Not Found'} else {$noutput}}else {write-host 'Path Not Found'}"</t>
  </si>
  <si>
    <t>#                 description : "QQ3CM - MSWRK - Let Windows apps activate with voice while the system is locked is set to Enabled: Force Deny"</t>
  </si>
  <si>
    <t>#                        info : "This policy setting specifies whether Windows apps can be activated by voice (apps and Cortana) while the system is locked."</t>
  </si>
  <si>
    <t>#                  value_data : "^2$"</t>
  </si>
  <si>
    <t>#             powershell_args : "if(Test-Path -Path 'HKLM:\Software\Policies\Microsoft\Windows\AppPrivacy'){$noutput = (Get-ItemProperty -Path 'HKLM:\Software\Policies\Microsoft\Windows\AppPrivacy').LetAppsActivateWithVoiceAboveLock;if($noutput -eq $Null) {write-host 'Value Not Found'} else {$noutput}}else {write-host 'Path Not Found'}"</t>
  </si>
  <si>
    <t>#                 description : "QQAC - MSWRK - Block all consumer Microsoft account user authentication is set to Enabled"</t>
  </si>
  <si>
    <t>#                        info : "This setting determines whether applications and services on the device can utilize new consumer Microsoft account authentication via the Windows OnlineID and WebAccountManager APIs."</t>
  </si>
  <si>
    <t>#                   reference : "NIST 800-53r5|AC-2(1) "</t>
  </si>
  <si>
    <t>#             powershell_args : "if(Test-Path -Path 'HKLM:\Software\Policies\Microsoft\MicrosoftAccount'){$noutput = (Get-ItemProperty -Path 'HKLM:\Software\Policies\Microsoft\MicrosoftAccount').DisableUserAuth;if($noutput -eq $Null) {write-host 'Value Not Found'} else {$noutput}}else {write-host 'Path Not Found'}"</t>
  </si>
  <si>
    <t xml:space="preserve">                description : "SI - MSWRK - Ensure 'Scan all downloaded files and attachments' is set to 'Disabled'"</t>
  </si>
  <si>
    <t xml:space="preserve">                       info : "This policy setting configures scanning for all downloaded files and attachments."</t>
  </si>
  <si>
    <t xml:space="preserve">                  reference : "NIST 800-53r5|SI-3"</t>
  </si>
  <si>
    <t xml:space="preserve">            powershell_args : "if(Test-Path -Path 'HKLM:\Software\Policies\Microsoft\Windows Defender\Real-Time Protection'){$noutput = (Get-ItemProperty -Path 'HKLM:\Software\Policies\Microsoft\Windows Defender\Real-Time Protection').DisableIOAVProtection;if($noutput -eq $Null) {write-host 'Value Not Found'} else {$noutput}}else {write-host 'Path Not Found'}"</t>
  </si>
  <si>
    <t xml:space="preserve">                description : "SI - MSWRK - Ensure 'Turn off real-time protection' is set to 'Disabled'"</t>
  </si>
  <si>
    <t xml:space="preserve">                       info : "This policy setting configures real-time protection prompts for known malware detection."</t>
  </si>
  <si>
    <t xml:space="preserve">            powershell_args : "if(Test-Path -Path 'HKLM:\Software\Policies\Microsoft\Windows Defender\Real-Time Protection'){$noutput = (Get-ItemProperty -Path 'HKLM:\Software\Policies\Microsoft\Windows Defender\Real-Time Protection').DisableRealtimeMonitoring;if($noutput -eq $Null) {write-host 'Value Not Found'} else {$noutput}}else {write-host 'Path Not Found'}"</t>
  </si>
  <si>
    <t xml:space="preserve">                description : "SI - MSWRK - Ensure 'Turn on behavior monitoring' is set to 'Enabled'"</t>
  </si>
  <si>
    <t xml:space="preserve">                       info : "This policy setting allows you to configure behavior monitoring for Microsoft Defender Antivirus."</t>
  </si>
  <si>
    <t xml:space="preserve">                  reference : "NIST 800-53r5|SI-4"</t>
  </si>
  <si>
    <t xml:space="preserve">            powershell_args : "if(Test-Path -Path 'HKLM:\Software\Policies\Microsoft\Windows Defender\Real-Time Protection'){$noutput = (Get-ItemProperty -Path 'HKLM:\Software\Policies\Microsoft\Windows Defender\Real-Time Protection').DisableBehaviorMonitoring;if($noutput -eq $Null) {write-host 'Value Not Found'} else {$noutput}}else {write-host 'Path Not Found'}"</t>
  </si>
  <si>
    <t>#                 description : "QQ2SI - MSWRK - Turn on script scanning is set to Enabled"</t>
  </si>
  <si>
    <t>#                        info : "This policy setting allows script scanning to be turned on/off. Script scanning intercepts scripts then scans them before they are executed on the system."</t>
  </si>
  <si>
    <t>#             powershell_args : "if(Test-Path -Path 'HKLM:\Software\Policies\Microsoft\Windows Defender\Real-Time Protection'){$noutput = (Get-ItemProperty -Path 'HKLM:\Software\Policies\Microsoft\Windows Defender\Real-Time Protection').DisableScriptScanning;if($noutput -eq $Null) {write-host 'Value Not Found'} else {$noutput}}else {write-host 'Path Not Found'}"</t>
  </si>
  <si>
    <t>#                 description : "QQ2MP - MSWRK - Scan packed executables is set to Enabled"</t>
  </si>
  <si>
    <t>#                        info : "This policy setting manages whether or not Microsoft Defender Antivirus scans packed executables. Packed executables are executable files that contain compressed code."</t>
  </si>
  <si>
    <t>#                   reference : "NIST 800-53r5|MP-7 "</t>
  </si>
  <si>
    <t>#             powershell_args : "if(Test-Path -Path 'HKLM:\Software\Policies\Microsoft\Windows Defender\Scan'){$noutput = (Get-ItemProperty -Path 'HKLM:\Software\Policies\Microsoft\Windows Defender\Scan').DisablePackedExeScanning;if($noutput -eq $Null) {write-host 'Value Not Found'} else {$noutput}}else {write-host 'Path Not Found'}"</t>
  </si>
  <si>
    <t>#                 description : "QQ2MP - MSWRK - Scan removable drives is set to Enabled"</t>
  </si>
  <si>
    <t>#                        info : "This policy setting manages whether or not to scan for malicious software and unwanted software in the contents of removable drives, such as USB flash drives, when running a full scan."</t>
  </si>
  <si>
    <t>#             powershell_args : "if(Test-Path -Path 'HKLM:\Software\Policies\Microsoft\Windows Defender\Scan'){$noutput = (Get-ItemProperty -Path 'HKLM:\Software\Policies\Microsoft\Windows Defender\Scan').DisableRemovableDriveScanning;if($noutput -eq $Null) {write-host 'Value Not Found'} else {$noutput}}else {write-host 'Path Not Found'}"</t>
  </si>
  <si>
    <t>#                 description : "QQ2SI - MSWRK - Turn on e-mail scanning is set to Enabled"</t>
  </si>
  <si>
    <t>#                        info : "This policy setting configures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t>
  </si>
  <si>
    <t>#                   reference : "NIST 800-53r5|SI-3 "</t>
  </si>
  <si>
    <t>#             powershell_args : "if(Test-Path -Path 'HKLM:\Software\Policies\Microsoft\Windows Defender\Scan'){$noutput = (Get-ItemProperty -Path 'HKLM:\Software\Policies\Microsoft\Windows Defender\Scan').DisableEmailScanning;if($noutput -eq $Null) {write-host 'Value Not Found'} else {$noutput}}else {write-host 'Path Not Found'}"</t>
  </si>
  <si>
    <t xml:space="preserve">                description : "SI - MSWRK - Ensure 'Configure detection for potentially unwanted applications' is set to 'Disabled'"</t>
  </si>
  <si>
    <t xml:space="preserve">                       info : "This policy setting controls detection and action for Potentially Unwanted Applications (PUA), that can deliver adware or malware."</t>
  </si>
  <si>
    <t xml:space="preserve">            powershell_args : "if(Test-Path -Path 'HKLM:\Software\Policies\Microsoft\Windows Defender'){$noutput = (Get-ItemProperty -Path 'HKLM:\Software\Policies\Microsoft\Windows Defender').PUAProtection;if($noutput -eq $Null) {write-host 'Value Not Found'} else {$noutput}}else {write-host 'Path Not Found'}"</t>
  </si>
  <si>
    <t>#                 description : "QQ2SI - MSWRK - Turn off Microsoft Defender AntiVirus is set to Disabled"</t>
  </si>
  <si>
    <t>#                        info : "This policy setting turns off Microsoft Defender Antivirus. If the setting is configured to Disabled, Microsoft Defender Antivirus runs and computers are scanned for malware and other potentially unwanted software."</t>
  </si>
  <si>
    <t>#             powershell_args : "if(Test-Path -Path 'HKLM:\Software\Policies\Microsoft\Windows Defender'){$noutput = (Get-ItemProperty -Path 'HKLM:\Software\Policies\Microsoft\Windows Defender').DisableAntiSpyware;if($noutput -eq $Null) {write-host 'Value Not Found'} else {$noutput}}else {write-host 'Path Not Found'}"</t>
  </si>
  <si>
    <t>#                 description : "QQ2CM - MSWRK - Configure local setting override for reporting to Microsoft MAPS is set to Disabled"</t>
  </si>
  <si>
    <t>#                        info : "This policy setting configures a local override for the configuration to join Microsoft Active Protection Service (MAPS), which Microsoft renamed to"</t>
  </si>
  <si>
    <t>#             powershell_args : "if(Test-Path -Path 'HKLM:\Software\Policies\Microsoft\Windows Defender\Spynet'){$noutput = (Get-ItemProperty -Path 'HKLM:\Software\Policies\Microsoft\Windows Defender\Spynet').LocalSettingOverrideSpynetReporting;if($noutput -eq $Null) {write-host 'Value Not Found'} else {$noutput}}else {write-host 'Path Not Found'}"</t>
  </si>
  <si>
    <t>#                 description : "QQ3SI - MSWRK - Configure Attack Surface Reduction rules is set to Enabled"</t>
  </si>
  <si>
    <t>#                        info : "This policy setting controls the state for the Attack Surface Reduction (ASR) rules."</t>
  </si>
  <si>
    <t>#                  value_data : "1"</t>
  </si>
  <si>
    <t>#             powershell_args : "if(Test-Path -Path 'HKLM:\Software\Policies\Microsoft\Windows Defender\Windows Defender Exploit Guard\ASR'){$noutput = (Get-ItemProperty -Path 'HKLM:\Software\Policies\Microsoft\Windows Defender\Windows Defender Exploit Guard\ASR').ExploitGuard_ASR_Rules;if($noutput -eq $Null) {write-host 'Value Not Found'} else {$noutput}}else {write-host 'Path Not Found'}"</t>
  </si>
  <si>
    <t>#                  check_type : CHECK_EQUAL</t>
  </si>
  <si>
    <t>#            &lt;if&gt;</t>
  </si>
  <si>
    <t>#            &lt;condition auto:"FAILED" type:"AND"&gt;</t>
  </si>
  <si>
    <t>#                 description : "3b576869-a4ec-4529-8536-b80a7769e899"</t>
  </si>
  <si>
    <t>#             powershell_args : "if(Test-Path -Path 'HKLM:\Software\Policies\Microsoft\Windows Defender\Windows Defender Exploit Guard\ASR\Rules'){$noutput = (Get-ItemProperty -Path 'HKLM:\Software\Policies\Microsoft\Windows Defender\Windows Defender Exploit Guard\ASR\Rules').'3b576869-a4ec-4529-8536-b80a7769e899';if($noutput -eq $Null) {write-host 'Value Not Found'} else {$noutput}}else {write-host 'Path Not Found'}"</t>
  </si>
  <si>
    <t>#                 description : "9e6c4e1f-7d60-472f-ba1a-a39ef669e4b2"</t>
  </si>
  <si>
    <t>#             powershell_args : "if(Test-Path -Path 'HKLM:\Software\Policies\Microsoft\Windows Defender\Windows Defender Exploit Guard\ASR\Rules'){$noutput = (Get-ItemProperty -Path 'HKLM:\Software\Policies\Microsoft\Windows Defender\Windows Defender Exploit Guard\ASR\Rules').'9e6c4e1f-7d60-472f-ba1a-a39ef669e4b2';if($noutput -eq $Null) {write-host 'Value Not Found'} else {$noutput}}else {write-host 'Path Not Found'}"</t>
  </si>
  <si>
    <t>#                 description : "7674ba52-37eb-4a4f-a9a1-f0f9a1619a2c"</t>
  </si>
  <si>
    <t>#             powershell_args : "if(Test-Path -Path 'HKLM:\Software\Policies\Microsoft\Windows Defender\Windows Defender Exploit Guard\ASR\Rules'){$noutput = (Get-ItemProperty -Path 'HKLM:\Software\Policies\Microsoft\Windows Defender\Windows Defender Exploit Guard\ASR\Rules').'7674ba52-37eb-4a4f-a9a1-f0f9a1619a2c';if($noutput -eq $Null) {write-host 'Value Not Found'} else {$noutput}}else {write-host 'Path Not Found'}"</t>
  </si>
  <si>
    <t>#                 description : "56a863a9-875e-4185-98a7-b882c64b5ce5"</t>
  </si>
  <si>
    <t>#             powershell_args : "if(Test-Path -Path 'HKLM:\Software\Policies\Microsoft\Windows Defender\Windows Defender Exploit Guard\ASR\Rules'){$noutput = (Get-ItemProperty -Path 'HKLM:\Software\Policies\Microsoft\Windows Defender\Windows Defender Exploit Guard\ASR\Rules').'56a863a9-875e-4185-98a7-b882c64b5ce5';if($noutput -eq $Null) {write-host 'Value Not Found'} else {$noutput}}else {write-host 'Path Not Found'}"</t>
  </si>
  <si>
    <t>#                 description : "d4f940ab-401b-4efc-aadc-ad5f3c50688a"</t>
  </si>
  <si>
    <t>#             powershell_args : "if(Test-Path -Path 'HKLM:\Software\Policies\Microsoft\Windows Defender\Windows Defender Exploit Guard\ASR\Rules'){$noutput = (Get-ItemProperty -Path 'HKLM:\Software\Policies\Microsoft\Windows Defender\Windows Defender Exploit Guard\ASR\Rules').'d4f940ab-401b-4efc-aadc-ad5f3c50688a';if($noutput -eq $Null) {write-host 'Value Not Found'} else {$noutput}}else {write-host 'Path Not Found'}"</t>
  </si>
  <si>
    <t>#                 description : "e6db77e5-3df2-4cf1-b95a-636979351e5b"</t>
  </si>
  <si>
    <t>#             powershell_args : "if(Test-Path -Path 'HKLM:\Software\Policies\Microsoft\Windows Defender\Windows Defender Exploit Guard\ASR\Rules'){$noutput = (Get-ItemProperty -Path 'HKLM:\Software\Policies\Microsoft\Windows Defender\Windows Defender Exploit Guard\ASR\Rules').'e6db77e5-3df2-4cf1-b95a-636979351e5b';if($noutput -eq $Null) {write-host 'Value Not Found'} else {$noutput}}else {write-host 'Path Not Found'}"</t>
  </si>
  <si>
    <t>#                 description : "92e97fa1-2edf-4476-bdd6-9dd0b4dddc7b"</t>
  </si>
  <si>
    <t>#             powershell_args : "if(Test-Path -Path 'HKLM:\Software\Policies\Microsoft\Windows Defender\Windows Defender Exploit Guard\ASR\Rules'){$noutput = (Get-ItemProperty -Path 'HKLM:\Software\Policies\Microsoft\Windows Defender\Windows Defender Exploit Guard\ASR\Rules').'92e97fa1-2edf-4476-bdd6-9dd0b4dddc7b';if($noutput -eq $Null) {write-host 'Value Not Found'} else {$noutput}}else {write-host 'Path Not Found'}"</t>
  </si>
  <si>
    <t>#                 description : "d3e037e1-3eb8-44c8-a917-57927947596d"</t>
  </si>
  <si>
    <t>#             powershell_args : "if(Test-Path -Path 'HKLM:\Software\Policies\Microsoft\Windows Defender\Windows Defender Exploit Guard\ASR\Rules'){$noutput = (Get-ItemProperty -Path 'HKLM:\Software\Policies\Microsoft\Windows Defender\Windows Defender Exploit Guard\ASR\Rules').'d3e037e1-3eb8-44c8-a917-57927947596d';if($noutput -eq $Null) {write-host 'Value Not Found'} else {$noutput}}else {write-host 'Path Not Found'}"</t>
  </si>
  <si>
    <t>#                 description : "5beb7efe-fd9a-4556-801d-275e5ffc04cc"</t>
  </si>
  <si>
    <t>#             powershell_args : "if(Test-Path -Path 'HKLM:\Software\Policies\Microsoft\Windows Defender\Windows Defender Exploit Guard\ASR\Rules'){$noutput = (Get-ItemProperty -Path 'HKLM:\Software\Policies\Microsoft\Windows Defender\Windows Defender Exploit Guard\ASR\Rules').'5beb7efe-fd9a-4556-801d-275e5ffc04cc';if($noutput -eq $Null) {write-host 'Value Not Found'} else {$noutput}}else {write-host 'Path Not Found'}"</t>
  </si>
  <si>
    <t>#                 description : "26190899-1602-49e8-8b27-eb1d0a1ce869"</t>
  </si>
  <si>
    <t>#             powershell_args : "if(Test-Path -Path 'HKLM:\Software\Policies\Microsoft\Windows Defender\Windows Defender Exploit Guard\ASR\Rules'){$noutput = (Get-ItemProperty -Path 'HKLM:\Software\Policies\Microsoft\Windows Defender\Windows Defender Exploit Guard\ASR\Rules').'26190899-1602-49e8-8b27-eb1d0a1ce869';if($noutput -eq $Null) {write-host 'Value Not Found'} else {$noutput}}else {write-host 'Path Not Found'}"</t>
  </si>
  <si>
    <t>#                 description : "b2b3f03d-6a65-4f7b-a9c7-1c7ef74a9ba4"</t>
  </si>
  <si>
    <t>#             powershell_args : "if(Test-Path -Path 'HKLM:\Software\Policies\Microsoft\Windows Defender\Windows Defender Exploit Guard\ASR\Rules'){$noutput = (Get-ItemProperty -Path 'HKLM:\Software\Policies\Microsoft\Windows Defender\Windows Defender Exploit Guard\ASR\Rules').'b2b3f03d-6a65-4f7b-a9c7-1c7ef74a9ba4';if($noutput -eq $Null) {write-host 'Value Not Found'} else {$noutput}}else {write-host 'Path Not Found'}"</t>
  </si>
  <si>
    <t>#                 description : "be9ba2d9-53ea-4cdc-84e5-9b1eeee46550"</t>
  </si>
  <si>
    <t>#             powershell_args : "if(Test-Path -Path 'HKLM:\Software\Policies\Microsoft\Windows Defender\Windows Defender Exploit Guard\ASR\Rules'){$noutput = (Get-ItemProperty -Path 'HKLM:\Software\Policies\Microsoft\Windows Defender\Windows Defender Exploit Guard\ASR\Rules').'be9ba2d9-53ea-4cdc-84e5-9b1eeee46550';if($noutput -eq $Null) {write-host 'Value Not Found'} else {$noutput}}else {write-host 'Path Not Found'}"</t>
  </si>
  <si>
    <t>#                 description : "75668c1f-73b5-4cf0-bb93-3ecf5cb7cc84"</t>
  </si>
  <si>
    <t>#             powershell_args : "if(Test-Path -Path 'HKLM:\Software\Policies\Microsoft\Windows Defender\Windows Defender Exploit Guard\ASR\Rules'){$noutput = (Get-ItemProperty -Path 'HKLM:\Software\Policies\Microsoft\Windows Defender\Windows Defender Exploit Guard\ASR\Rules').'75668c1f-73b5-4cf0-bb93-3ecf5cb7cc84';if($noutput -eq $Null) {write-host 'Value Not Found'} else {$noutput}}else {write-host 'Path Not Found'}"</t>
  </si>
  <si>
    <t>#            &lt;/condition&gt;</t>
  </si>
  <si>
    <t>#            &lt;then&gt;</t>
  </si>
  <si>
    <t>#            &lt;report type:"PASSED"&gt;</t>
  </si>
  <si>
    <t>#                 description : "QQ3SI - MSWRK - Configure Attack Surface Reduction rules: Set the state for each ASR rule is configured"</t>
  </si>
  <si>
    <t>#                        info : "This policy setting sets the Attack Surface Reduction rules."</t>
  </si>
  <si>
    <t>#            &lt;/report&gt;</t>
  </si>
  <si>
    <t>#            &lt;/then&gt;</t>
  </si>
  <si>
    <t>#            &lt;/if&gt;</t>
  </si>
  <si>
    <t>#                 description : "QQ2SC - MSWRK - Prevent users and apps from accessing dangerous websites is set to Enabled: Block"</t>
  </si>
  <si>
    <t>#                        info : "This policy setting controls Microsoft Defender Exploit Guard network protection."</t>
  </si>
  <si>
    <t>#                   reference : "NIST 800-53r5|SC-7(3) SC-7(4) "</t>
  </si>
  <si>
    <t>#             powershell_args : "if(Test-Path -Path 'HKLM:\Software\Policies\Microsoft\Windows Defender\Windows Defender Exploit Guard\Network Protection'){$noutput = (Get-ItemProperty -Path 'HKLM:\Software\Policies\Microsoft\Windows Defender\Windows Defender Exploit Guard\Network Protection').EnableNetworkProtection;if($noutput -eq $Null) {write-host 'Value Not Found'} else {$noutput}}else {write-host 'Path Not Found'}"</t>
  </si>
  <si>
    <t>#                 description : "QQ2SI - MSWRK - Enable file hash computation feature is set to Enabled"</t>
  </si>
  <si>
    <t>#                        info : "This setting determines whether hash values are computed for files scanned by Microsoft Defender."</t>
  </si>
  <si>
    <t>#             powershell_args : "if(Test-Path -Path 'HKLM:\Software\Policies\Microsoft\Windows Defender\MpEngine'){$noutput = (Get-ItemProperty -Path 'HKLM:\Software\Policies\Microsoft\Windows Defender\MpEngine').EnableFileHashComputation;if($noutput -eq $Null) {write-host 'Value Not Found'} else {$noutput}}else {write-host 'Path Not Found'}"</t>
  </si>
  <si>
    <t>#                 description : "QQ2AU - MSWRK - Allow auditing events in Microsoft Defender Application Guard is set to Enabled"</t>
  </si>
  <si>
    <t>#                        info : "This policy setting allows you to decide whether auditing events can be collected from Microsoft Defender Application Guard."</t>
  </si>
  <si>
    <t>#                   reference : "NIST 800-53r5|AU-2 AU-7 "</t>
  </si>
  <si>
    <t>#             powershell_args : "if(Test-Path -Path 'HKLM:\Software\Policies\Microsoft\AppHVSI'){$noutput = (Get-ItemProperty -Path 'HKLM:\Software\Policies\Microsoft\AppHVSI').AuditApplicationGuard;if($noutput -eq $Null) {write-host 'Value Not Found'} else {$noutput}}else {write-host 'Path Not Found'}"</t>
  </si>
  <si>
    <t>#                 description : "QQ2CM - MSWRK - Allow camera and microphone access in Microsoft Defender Application Guard is set to Disabled"</t>
  </si>
  <si>
    <t>#                        info : "The policy allows you to determine whether applications inside Microsoft Defender Application Guard can access the devices camera and microphone."</t>
  </si>
  <si>
    <t>#             powershell_args : "if(Test-Path -Path 'HKLM:\Software\Policies\Microsoft\AppHVSI'){$noutput = (Get-ItemProperty -Path 'HKLM:\Software\Policies\Microsoft\AppHVSI').AllowCameraMicrophoneRedirection;if($noutput -eq $Null) {write-host 'Value Not Found'} else {$noutput}}else {write-host 'Path Not Found'}"</t>
  </si>
  <si>
    <t>#                 description : "QQ2CM - MSWRK - Allow data persistence for Microsoft Defender Application Guard is set to Disabled"</t>
  </si>
  <si>
    <t>#                        info : "This policy setting allows you to decide whether data should persist across different sessions in Microsoft Defender Application Guard."</t>
  </si>
  <si>
    <t>#             powershell_args : "if(Test-Path -Path 'HKLM:\Software\Policies\Microsoft\AppHVSI'){$noutput = (Get-ItemProperty -Path 'HKLM:\Software\Policies\Microsoft\AppHVSI').AllowPersistence;if($noutput -eq $Null) {write-host 'Value Not Found'} else {$noutput}}else {write-host 'Path Not Found'}"</t>
  </si>
  <si>
    <t>#                 description : "QQ2CM - MSWRK - Allow files to download and save to the host operating system from Microsoft Defender Application Guard is set to Disabled"</t>
  </si>
  <si>
    <t>#                        info : "This policy setting determines whether to save downloaded files to the host operating system from the Microsoft Defender Application Guard container."</t>
  </si>
  <si>
    <t>#             powershell_args : "if(Test-Path -Path 'HKLM:\Software\Policies\Microsoft\AppHVSI'){$noutput = (Get-ItemProperty -Path 'HKLM:\Software\Policies\Microsoft\AppHVSI').SaveFilesToHost;if($noutput -eq $Null) {write-host 'Value Not Found'} else {$noutput}}else {write-host 'Path Not Found'}"</t>
  </si>
  <si>
    <t>#                 description : "QQ2CM - MSWRK - Configure Microsoft Defender Application Guard clipboard settings: Clipboard behavior setting is set to Enabled: Enable clipboard operation from an isolated session to the host"</t>
  </si>
  <si>
    <t>#                        info : "This policy setting allows you to decide how the clipboard behaves while in Microsoft Defender Application Guard."</t>
  </si>
  <si>
    <t>#             powershell_args : "if(Test-Path -Path 'HKLM:\Software\Policies\Microsoft\AppHVSI'){$noutput = (Get-ItemProperty -Path 'HKLM:\Software\Policies\Microsoft\AppHVSI').AppHVSIClipboardSettings;if($noutput -eq $Null) {write-host 'Value Not Found'} else {$noutput}}else {write-host 'Path Not Found'}"</t>
  </si>
  <si>
    <t>#                 description : "QQ2SI - MSWRK - Turn on Microsoft Defender Application Guard in Managed Mode is set to Enabled: 1"</t>
  </si>
  <si>
    <t>#                        info : "This policy setting enables application isolation through Microsoft Defender Application Guard (Application Guard)."</t>
  </si>
  <si>
    <t>#             powershell_args : "if(Test-Path -Path 'HKLM:\Software\Policies\Microsoft\AppHVSI'){$noutput = (Get-ItemProperty -Path 'HKLM:\Software\Policies\Microsoft\AppHVSI').AllowAppHVSI_ProviderSet;if($noutput -eq $Null) {write-host 'Value Not Found'} else {$noutput}}else {write-host 'Path Not Found'}"</t>
  </si>
  <si>
    <t>#                 description : "QQCM - MSWRK - Prevent the usage of OneDrive for file storage is set to Enabled"</t>
  </si>
  <si>
    <t>#                        info : "This policy setting lets you prevent apps and features from working with files on OneDrive using the Next Generation Sync Client."</t>
  </si>
  <si>
    <t>#             powershell_args : "if(Test-Path -Path 'HKLM:\Software\Policies\Microsoft\Windows\OneDrive'){$noutput = (Get-ItemProperty -Path 'HKLM:\Software\Policies\Microsoft\Windows\OneDrive').DisableFileSyncNGSC;if($noutput -eq $Null) {write-host 'Value Not Found'} else {$noutput}}else {write-host 'Path Not Found'}"</t>
  </si>
  <si>
    <t>#                 description : "QQ3AC - MSWRK - Allow Microsoft accounts to be optional is set to Enabled"</t>
  </si>
  <si>
    <t>#                        info : "This policy setting lets you control whether Microsoft accounts are optional for Windows Store apps that require an account to sign in. This policy only affects Windows Store apps that support it."</t>
  </si>
  <si>
    <t>#             powershell_args : "if(Test-Path -Path 'HKLM:\Software\Microsoft\Windows\CurrentVersion\Policies\System'){$noutput = (Get-ItemProperty -Path 'HKLM:\Software\Microsoft\Windows\CurrentVersion\Policies\System').MSAOptional;if($noutput -eq $Null) {write-host 'Value Not Found'} else {$noutput}}else {write-host 'Path Not Found'}"</t>
  </si>
  <si>
    <t>#                 description : "QQ3IA - MSWRK - Do not allow passwords to be saved is set to Enabled"</t>
  </si>
  <si>
    <t>#                        info : "This policy setting helps prevent Remote Desktop clients from saving passwords on a computer."</t>
  </si>
  <si>
    <t>#                   reference : "NIST 800-53r5|IA-5(13) "</t>
  </si>
  <si>
    <t>#             powershell_args : "if(Test-Path -Path 'HKLM:\Software\Policies\Microsoft\Windows NT\Terminal Services'){$noutput = (Get-ItemProperty -Path 'HKLM:\Software\Policies\Microsoft\Windows NT\Terminal Services').DisablePasswordSaving;if($noutput -eq $Null) {write-host 'Value Not Found'} else {$noutput}}else {write-host 'Path Not Found'}"</t>
  </si>
  <si>
    <t>#                 description : "QQ3AU - MSWRK - Do not delete temp folders upon exit is set to Disabled"</t>
  </si>
  <si>
    <t>#                        info : "This policy setting specifies whether Remote Desktop Services retains a users per-session temporary folders at logoff."</t>
  </si>
  <si>
    <t>#                   reference : "NIST 800-53r5|AU-11 "</t>
  </si>
  <si>
    <t>#             powershell_args : "if(Test-Path -Path 'HKLM:\Software\Policies\Microsoft\Windows NT\Terminal Services'){$noutput = (Get-ItemProperty -Path 'HKLM:\Software\Policies\Microsoft\Windows NT\Terminal Services').DeleteTempDirsOnExit;if($noutput -eq $Null) {write-host 'Value Not Found'} else {$noutput}}else {write-host 'Path Not Found'}"</t>
  </si>
  <si>
    <t>#                 description : "QQ3CM - MSWRK - Do not allow drive redirection is set to Enabled"</t>
  </si>
  <si>
    <t>#                        info : "This policy setting prevents users from sharing the local drives on their client computers to Remote Desktop Servers that they access. Mapped drives appear in the session folder tree in Windows Explorer in the following format:"</t>
  </si>
  <si>
    <t>#             powershell_args : "if(Test-Path -Path 'HKLM:\Software\Policies\Microsoft\Windows NT\Terminal Services'){$noutput = (Get-ItemProperty -Path 'HKLM:\Software\Policies\Microsoft\Windows NT\Terminal Services').fDisableCdm;if($noutput -eq $Null) {write-host 'Value Not Found'} else {$noutput}}else {write-host 'Path Not Found'}"</t>
  </si>
  <si>
    <t xml:space="preserve">                description : "SI - MSWRK - Ensure 'Always prompt for password upon connection' is set to 'Disabled'"</t>
  </si>
  <si>
    <t xml:space="preserve">                       info : "This policy setting specifies whether Remote Desktop Services always prompts the client computer for a password upon connection."</t>
  </si>
  <si>
    <t xml:space="preserve">            powershell_args : "if(Test-Path -Path 'HKLM:\Software\Policies\Microsoft\Windows NT\Terminal Services'){$noutput = (Get-ItemProperty -Path 'HKLM:\Software\Policies\Microsoft\Windows NT\Terminal Services').fPromptForPassword;if($noutput -eq $Null) {write-host 'Value Not Found'} else {$noutput}}else {write-host 'Path Not Found'}"</t>
  </si>
  <si>
    <t>#                 description : "QQ3AC - MSWRK - Require secure RPC communication is set to Enabled"</t>
  </si>
  <si>
    <t>#                        info : "This policy setting allows you to specify whether Remote Desktop Services requires secure Remote Procedure Call (RPC) communication with all clients or allows unsecured communication."</t>
  </si>
  <si>
    <t>#                   reference : "NIST 800-53r5|AC-17(2) IA-5 IA-5(1) SC-8 "</t>
  </si>
  <si>
    <t>#             powershell_args : "if(Test-Path -Path 'HKLM:\Software\Policies\Microsoft\Windows NT\Terminal Services'){$noutput = (Get-ItemProperty -Path 'HKLM:\Software\Policies\Microsoft\Windows NT\Terminal Services').fEncryptRPCTraffic;if($noutput -eq $Null) {write-host 'Value Not Found'} else {$noutput}}else {write-host 'Path Not Found'}"</t>
  </si>
  <si>
    <t>#                 description : "QQ3AC - MSWRK - Require use of specific security layer for remote (RDP) connections is set to Enabled: SSL"</t>
  </si>
  <si>
    <t>#                        info : "This policy setting specifies whether to require the use of a specific security layer to secure communications between clients and RD Session Host servers during Remote Desktop Protocol (RDP) connections."</t>
  </si>
  <si>
    <t>#             powershell_args : "if(Test-Path -Path 'HKLM:\Software\Policies\Microsoft\Windows NT\Terminal Services'){$noutput = (Get-ItemProperty -Path 'HKLM:\Software\Policies\Microsoft\Windows NT\Terminal Services').SecurityLayer;if($noutput -eq $Null) {write-host 'Value Not Found'} else {$noutput}}else {write-host 'Path Not Found'}"</t>
  </si>
  <si>
    <t xml:space="preserve">                description : "AC - MSWRK - Ensure 'Require user authentication for remote connections by using Network Level Authentication' is set to 'Enabled'"</t>
  </si>
  <si>
    <t xml:space="preserve">                       info : "This policy setting allows you to specify whether to require user authentication for remote connections to the RD Session Host server by using Network Level Authentication."</t>
  </si>
  <si>
    <t xml:space="preserve">                  reference : "NIST 800-53r5|AC-17(2) IA-5 SC-8"</t>
  </si>
  <si>
    <t xml:space="preserve">            powershell_args : "if(Test-Path -Path 'HKLM:\Software\Policies\Microsoft\Windows NT\Terminal Services'){$noutput = (Get-ItemProperty -Path 'HKLM:\Software\Policies\Microsoft\Windows NT\Terminal Services').UserAuthentication;if($noutput -eq $Null) {write-host 'Value Not Found'} else {$noutput}}else {write-host 'Path Not Found'}"</t>
  </si>
  <si>
    <t xml:space="preserve">                description : "AC - MSWRK - Ensure 'Set client connection encryption level' is set to 'Enabled: High Level'"</t>
  </si>
  <si>
    <t xml:space="preserve">                       info : "This policy setting specifies whether to require the use of a specific encryption level to secure communications between client computers and RD Session Host servers during Remote Desktop Protocol (RDP) connections."</t>
  </si>
  <si>
    <t xml:space="preserve">                  reference : "NIST 800-53r5|AC-17(2)IA-5 SC-8"</t>
  </si>
  <si>
    <t xml:space="preserve">                 value_data : "3"</t>
  </si>
  <si>
    <t xml:space="preserve">            powershell_args : "if(Test-Path -Path 'HKLM:\Software\Policies\Microsoft\Windows NT\Terminal Services'){$noutput = (Get-ItemProperty -Path 'HKLM:\Software\Policies\Microsoft\Windows NT\Terminal Services').MinEncryptionLevel;if($noutput -eq $Null) {write-host 'Value Not Found'} else {$noutput}}else {write-host 'Path Not Found'}"</t>
  </si>
  <si>
    <t>#                 description : "QQCM - MSWRK - Prevent downloading of enclosures is set to Enabled"</t>
  </si>
  <si>
    <t>#                        info : "This policy setting prevents the user from having enclosures (file attachments) downloaded from an RSS feed to the users computer."</t>
  </si>
  <si>
    <t>#                   reference : "NIST 800-53r5|CM-10 CM-11 "</t>
  </si>
  <si>
    <t>#             powershell_args : "if(Test-Path -Path 'HKLM:\Software\Policies\Microsoft\Internet Explorer\Feeds'){$noutput = (Get-ItemProperty -Path 'HKLM:\Software\Policies\Microsoft\Internet Explorer\Feeds').DisableEnclosureDownload;if($noutput -eq $Null) {write-host 'Value Not Found'} else {$noutput}}else {write-host 'Path Not Found'}"</t>
  </si>
  <si>
    <t xml:space="preserve">                description : "CM - MSWRK - Ensure 'Allow Cortana' is set to 'Disabled'"</t>
  </si>
  <si>
    <t xml:space="preserve">                       info : "This policy setting specifies whether Cortana is allowed on the device."</t>
  </si>
  <si>
    <t xml:space="preserve">            powershell_args : "if(Test-Path -Path 'HKLM:\Software\Policies\Microsoft\Windows\Windows Search'){$noutput = (Get-ItemProperty -Path 'HKLM:\Software\Policies\Microsoft\Windows\Windows Search').AllowCortana;if($noutput -eq $Null) {write-host 'Value Not Found'} else {$noutput}}else {write-host 'Path Not Found'}"</t>
  </si>
  <si>
    <t>#                 description : "QQ3CM - MSWRK - Allow Cortana above lock screen is set to Disabled"</t>
  </si>
  <si>
    <t>#                        info : "This policy setting determines whether or not the user can interact with Cortana using speech while the system is locked."</t>
  </si>
  <si>
    <t>#             powershell_args : "if(Test-Path -Path 'HKLM:\Software\Policies\Microsoft\Windows\Windows Search'){$noutput = (Get-ItemProperty -Path 'HKLM:\Software\Policies\Microsoft\Windows\Windows Search').AllowCortanaAboveLock;if($noutput -eq $Null) {write-host 'Value Not Found'} else {$noutput}}else {write-host 'Path Not Found'}"</t>
  </si>
  <si>
    <t>#                 description : "QQ3CM - MSWRK - Allow indexing of encrypted files is set to Disabled"</t>
  </si>
  <si>
    <t>#                        info : "This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t>
  </si>
  <si>
    <t>#             powershell_args : "if(Test-Path -Path 'HKLM:\Software\Policies\Microsoft\Windows\Windows Search'){$noutput = (Get-ItemProperty -Path 'HKLM:\Software\Policies\Microsoft\Windows\Windows Search').AllowIndexingEncryptedStoresOrItems;if($noutput -eq $Null) {write-host 'Value Not Found'} else {$noutput}}else {write-host 'Path Not Found'}"</t>
  </si>
  <si>
    <t>#                 description : "QQ3CM - MSWRK - Allow search and Cortana to use location is set to Disabled"</t>
  </si>
  <si>
    <t>#                        info : "This policy setting specifies whether search and Cortana can provide location aware search and Cortana results."</t>
  </si>
  <si>
    <t>#             powershell_args : "if(Test-Path -Path 'HKLM:\Software\Policies\Microsoft\Windows\Windows Search'){$noutput = (Get-ItemProperty -Path 'HKLM:\Software\Policies\Microsoft\Windows\Windows Search').AllowSearchToUseLocation;if($noutput -eq $Null) {write-host 'Value Not Found'} else {$noutput}}else {write-host 'Path Not Found'}"</t>
  </si>
  <si>
    <t xml:space="preserve">                description : "CM - MSWRK - Ensure Only display the private store within the Microsoft Store is set to 'Disabled'"</t>
  </si>
  <si>
    <t xml:space="preserve">                description : "RA - MSWRK - Ensure Turn off Automatic Download and Install of updates is set to Disabled."</t>
  </si>
  <si>
    <t xml:space="preserve">                       info : "This setting enables or disables the automatic download and installation of Microsoft Store app updates."</t>
  </si>
  <si>
    <t xml:space="preserve">                  reference : "NIST 800-53r5|RA-5 SI-2"</t>
  </si>
  <si>
    <t xml:space="preserve">                 value_data : "4"</t>
  </si>
  <si>
    <t xml:space="preserve">            powershell_args : "if(Test-Path -Path 'HKLM:\Software\Policies\Microsoft\WindowsStore'){$noutput = (Get-ItemProperty -Path 'HKLM:\Software\Policies\Microsoft\WindowsStore').AutoDownload;if($noutput -eq $Null) {write-host 'Value Not Found'} else {$noutput}}else {write-host 'Path Not Found'}"</t>
  </si>
  <si>
    <t>#                 description : "QQCM - MSWRK - Turn off the offer to update to the latest version of Windows is set to Enabled"</t>
  </si>
  <si>
    <t>#                        info : "Enables or disables the Microsoft Store offer to update to the latest version of Windows."</t>
  </si>
  <si>
    <t>#             powershell_args : "if(Test-Path -Path 'HKLM:\Software\Policies\Microsoft\WindowsStore'){$noutput = (Get-ItemProperty -Path 'HKLM:\Software\Policies\Microsoft\WindowsStore').DisableOSUpgrade;if($noutput -eq $Null) {write-host 'Value Not Found'} else {$noutput}}else {write-host 'Path Not Found'}"</t>
  </si>
  <si>
    <t>#                 description : "QQ3MP - MSWRK - Disallow Autoplay for non-volume devices is set to Enabled"</t>
  </si>
  <si>
    <t>#                        info : "This policy setting disallows AutoPlay for MTP devices like cameras or phones."</t>
  </si>
  <si>
    <t>#             powershell_args : "if(Test-Path -Path 'HKLM:\Software\Policies\Microsoft\Windows\Explorer'){$noutput = (Get-ItemProperty -Path 'HKLM:\Software\Policies\Microsoft\Windows\Explorer').NoAutoplayfornonVolume;if($noutput -eq $Null) {write-host 'Value Not Found'} else {$noutput}}else {write-host 'Path Not Found'}"</t>
  </si>
  <si>
    <t xml:space="preserve">                description : "CM - MSWRK - Allow widgets is set to Disabled"</t>
  </si>
  <si>
    <t>#                 description : "QQ3MP - MSWRK - Set the default behavior for AutoRun is set to Enabled: Do not execute any autorun commands"</t>
  </si>
  <si>
    <t>#                        info : "This policy setting sets the default behavior for Autorun commands. Autorun commands are generally stored in autorun.inf files. They often launch the installation program or other routines."</t>
  </si>
  <si>
    <t>#             powershell_args : "if(Test-Path -Path 'HKLM:\Software\Microsoft\Windows\CurrentVersion\Policies\Explorer'){$noutput = (Get-ItemProperty -Path 'HKLM:\Software\Microsoft\Windows\CurrentVersion\Policies\Explorer').NoAutorun;if($noutput -eq $Null) {write-host 'Value Not Found'} else {$noutput}}else {write-host 'Path Not Found'}"</t>
  </si>
  <si>
    <t>#                 description : "QQMP - MSWRK - Turn off Autoplay is set to Enabled: All drives"</t>
  </si>
  <si>
    <t>#                        info : "Autoplay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t>
  </si>
  <si>
    <t>#                  value_data : "255"</t>
  </si>
  <si>
    <t>#             powershell_args : "if(Test-Path -Path 'HKLM:\Software\Microsoft\Windows\CurrentVersion\Policies\Explorer'){$noutput = (Get-ItemProperty -Path 'HKLM:\Software\Microsoft\Windows\CurrentVersion\Policies\Explorer').NoDriveTypeAutoRun;if($noutput -eq $Null) {write-host 'Value Not Found'} else {$noutput}}else {write-host 'Path Not Found'}"</t>
  </si>
  <si>
    <t>#                 description : "QQ2SI - MSWRK - Automatic Data Collection is set to Enabled"</t>
  </si>
  <si>
    <t>#                        info : "This policy setting determines whether Enhanced Phishing Protection can collect additional information such as content displayed, sounds played, and application memory when users enter their work or school password into a suspicious website or app."</t>
  </si>
  <si>
    <t>#             powershell_args : "if(Test-Path -Path 'HKLM:\Software\Policies\Microsoft\Windows\WTDS\Components'){$noutput = (Get-ItemProperty -Path 'HKLM:\Software\Policies\Microsoft\Windows\WTDS\Components').CaptureThreatWindow;if($noutput -eq $Null) {write-host 'Value Not Found'} else {$noutput}}else {write-host 'Path Not Found'}"</t>
  </si>
  <si>
    <t>#                 description : "QQ2SI - MSWRK - Notify Malicious is set to Enabled"</t>
  </si>
  <si>
    <t>#                        info : "This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t>
  </si>
  <si>
    <t>#             powershell_args : "if(Test-Path -Path 'HKLM:\Software\Policies\Microsoft\Windows\WTDS\Components'){$noutput = (Get-ItemProperty -Path 'HKLM:\Software\Policies\Microsoft\Windows\WTDS\Components').NotifyMalicious;if($noutput -eq $Null) {write-host 'Value Not Found'} else {$noutput}}else {write-host 'Path Not Found'}"</t>
  </si>
  <si>
    <t>#                 description : "QQ2SI - MSWRK - Notify Password Reuse is set to Enabled"</t>
  </si>
  <si>
    <t>#                        info : "This policy setting determines whether Enhanced Phishing Protection in Microsoft Defender SmartScreen warns users if they reuse their work or school password."</t>
  </si>
  <si>
    <t>#             powershell_args : "if(Test-Path -Path 'HKLM:\Software\Policies\Microsoft\Windows\WTDS\Components'){$noutput = (Get-ItemProperty -Path 'HKLM:\Software\Policies\Microsoft\Windows\WTDS\Components').NotifyPasswordReuse;if($noutput -eq $Null) {write-host 'Value Not Found'} else {$noutput}}else {write-host 'Path Not Found'}"</t>
  </si>
  <si>
    <t>#                 description : "QQ2SI - MSWRK - Notify Unsafe App is set to Enabled"</t>
  </si>
  <si>
    <t>#                        info : "This policy setting determines whether Enhanced Phishing Protection in Microsoft Defender SmartScreen warns users if they type their work or school passwords in Notepad, WordPad, or M365 Office apps like OneNote, Word, Excel, etc."</t>
  </si>
  <si>
    <t>#             powershell_args : "if(Test-Path -Path 'HKLM:\Software\Policies\Microsoft\Windows\WTDS\Components'){$noutput = (Get-ItemProperty -Path 'HKLM:\Software\Policies\Microsoft\Windows\WTDS\Components').NotifyUnsafeApp;if($noutput -eq $Null) {write-host 'Value Not Found'} else {$noutput}}else {write-host 'Path Not Found'}"</t>
  </si>
  <si>
    <t>#                 description : "QQ2SI - MSWRK - Enhanced Phishing Protection Audit Mode Service Enabled is set to Enabled"</t>
  </si>
  <si>
    <t>#                        info : "This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t>
  </si>
  <si>
    <t>#             powershell_args : "if(Test-Path -Path 'HKLM:\Software\Policies\Microsoft\Windows\WTDS\Components'){$noutput = (Get-ItemProperty -Path 'HKLM:\Software\Policies\Microsoft\Windows\WTDS\Components').ServiceEnabled;if($noutput -eq $Null) {write-host 'Value Not Found'} else {$noutput}}else {write-host 'Path Not Found'}"</t>
  </si>
  <si>
    <t>#                 description : "ShellSmartScreenLevel is Windows: Registry Value to Block"</t>
  </si>
  <si>
    <t>#                  value_data : "Block"</t>
  </si>
  <si>
    <t>#             powershell_args : "if(Test-Path -Path 'HKLM:\SOFTWARE\Policies\Microsoft\Windows\System'){$noutput = (Get-ItemProperty -Path 'HKLM:\SOFTWARE\Policies\Microsoft\Windows\System').ShellSmartScreenLevel;if($noutput -eq $Null) {write-host 'Value Not Found'} else {$noutput}}else {write-host 'Path Not Found'}"</t>
  </si>
  <si>
    <t>#                 description : "EnableSmartScreen is Windows: Registry Value to 1"</t>
  </si>
  <si>
    <t>#             powershell_args : "if(Test-Path -Path 'HKLM:\Software\Policies\Microsoft\Windows\System'){$noutput = (Get-ItemProperty -Path 'HKLM:\Software\Policies\Microsoft\Windows\System').EnableSmartScreen;if($noutput -eq $Null) {write-host 'Value Not Found'} else {$noutput}}else {write-host 'Path Not Found'}"</t>
  </si>
  <si>
    <t>#                 description : "QQ2SI - MSWRK - Configure Windows Defender SmartScreen is set to Enabled: Warn and prevent bypass"</t>
  </si>
  <si>
    <t>#                        info : "This policy setting allows you to manage the behavior of Windows Defender SmartScreen. Windows Defender SmartScreen helps keep PCs safer by warning users before running unrecognized programs downloaded from the Internet. Some information is sent to Microsoft about files and programs run on PCs with this feature enabled."</t>
  </si>
  <si>
    <t xml:space="preserve">                description : "CM - MSWRK - Enables or disables Windows Game Recording and Broadcasting is set to Disabled"</t>
  </si>
  <si>
    <t xml:space="preserve">                       info : "This setting enables or disables the Windows Game Recording and Broadcasting features."</t>
  </si>
  <si>
    <t xml:space="preserve">            powershell_args : "if(Test-Path -Path 'HKLM:\Software\Policies\Microsoft\Windows\GameDVR'){$noutput = (Get-ItemProperty -Path 'HKLM:\Software\Policies\Microsoft\Windows\GameDVR').AllowGameDVR;if($noutput -eq $Null) {write-host 'Value Not Found'} else {$noutput}}else {write-host 'Path Not Found'}"</t>
  </si>
  <si>
    <t>#                 description : "QQSI - MSWRK - Enable ESS with Supported Peripherals is set to Enabled: 1"</t>
  </si>
  <si>
    <t>#                        info : "Enhanced Sign-in Security isolates Windows Hello biometric (face and fingerprint) template data and matching operations to trusted hardware or specified memory regions."</t>
  </si>
  <si>
    <t>#             powershell_args : "if(Test-Path -Path 'HKLM:\Software\Microsoft\Policies\PassportForWork\Biometrics'){$noutput = (Get-ItemProperty -Path 'HKLM:\Software\Microsoft\Policies\PassportForWork\Biometrics').EnableESSwithSupportedPeripherals;if($noutput -eq $Null) {write-host 'Value Not Found'} else {$noutput}}else {write-host 'Path Not Found'}"</t>
  </si>
  <si>
    <t>#                 description : "QQCM - MSWRK - Allow Windows Ink Workspace is set to Enabled: On, but disallow access above lock OR Enabled: Disabled"</t>
  </si>
  <si>
    <t>#                        info : "This policy setting determines whether Windows Ink items are allowed above the lock screen."</t>
  </si>
  <si>
    <t>#             powershell_args : "if(Test-Path -Path 'HKLM:\SOFTWARE\Policies\Microsoft\WindowsInkWorkspace'){$noutput = (Get-ItemProperty -Path 'HKLM:\SOFTWARE\Policies\Microsoft\WindowsInkWorkspace').AllowWindowsInkWorkspace;if($noutput -eq $Null) {write-host 'Value Not Found'} else {$noutput}}else {write-host 'Path Not Found'}"</t>
  </si>
  <si>
    <t>#                 description : "QQ3AC - MSWRK - Allow user control over installs is set to Disabled"</t>
  </si>
  <si>
    <t>#                        info :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
  </si>
  <si>
    <t>#                   reference : "NIST 800-53r5|AC-6(10) "</t>
  </si>
  <si>
    <t>#             powershell_args : "if(Test-Path -Path 'HKLM:\Software\Policies\Microsoft\Windows\Installer'){$noutput = (Get-ItemProperty -Path 'HKLM:\Software\Policies\Microsoft\Windows\Installer').EnableUserControl;if($noutput -eq $Null) {write-host 'Value Not Found'} else {$noutput}}else {write-host 'Path Not Found'}"</t>
  </si>
  <si>
    <t>#                 description : "QQ3AC - MSWRK - Always install with elevated privileges is set to Disabled for machine"</t>
  </si>
  <si>
    <t>#                        info : "This setting controls whether or not Windows Installer should use system permissions when it installs any program on the system."</t>
  </si>
  <si>
    <t>#                   reference : "NIST 800-53r5|AC-2(9) "</t>
  </si>
  <si>
    <t>#             powershell_args : "if(Test-Path -Path 'HKLM:\Software\Policies\Microsoft\Windows\Installer'){$noutput = (Get-ItemProperty -Path 'HKLM:\Software\Policies\Microsoft\Windows\Installer').AlwaysInstallElevated;if($noutput -eq $Null) {write-host 'Value Not Found'} else {$noutput}}else {write-host 'Path Not Found'}"</t>
  </si>
  <si>
    <t>#                 description : "QQSC - MSWRK - Configure enhanced anti-spoofing is set to Enabled"</t>
  </si>
  <si>
    <t>#                        info : "This policy setting determines whether enhanced anti-spoofing is configured for devices which support it."</t>
  </si>
  <si>
    <t>#                   reference : "NIST 800-53r5|SC-39 "</t>
  </si>
  <si>
    <t>#             powershell_args : "if(Test-Path -Path 'HKLM:\Software\Policies\Microsoft\Biometrics\FacialFeatures'){$noutput = (Get-ItemProperty -Path 'HKLM:\Software\Policies\Microsoft\Biometrics\FacialFeatures').EnhancedAntiSpoofing;if($noutput -eq $Null) {write-host 'Value Not Found'} else {$noutput}}else {write-host 'Path Not Found'}"</t>
  </si>
  <si>
    <t>#                 description : "QQ3CM - MSWRK - Enable MPR notifications for the system is set to Disabled"</t>
  </si>
  <si>
    <t>#                        info : "This policy setting controls whether winlogon sends Multiple Provider Router (MPR) notifications. MPR handles communication between the Windows operating system and the installed network providers. MPR checks the registry to determine which providers are installed on the system and the order they are cycled through."</t>
  </si>
  <si>
    <t>#             powershell_args : "if(Test-Path -Path 'HKLM:\Software\Microsoft\Windows\CurrentVersion\Policies\System'){$noutput = (Get-ItemProperty -Path 'HKLM:\Software\Microsoft\Windows\CurrentVersion\Policies\System').EnableMPR;if($noutput -eq $Null) {write-host 'Value Not Found'} else {$noutput}}else {write-host 'Path Not Found'}"</t>
  </si>
  <si>
    <t xml:space="preserve">                description : "AC - MSWRK - Ensure Sign-in and lock last interactive user automatically after a restart is set to Disabled."</t>
  </si>
  <si>
    <t xml:space="preserve">                       info : "This policy setting controls whether a device will automatically sign-in the last interactive user after Windows Update restarts the system."</t>
  </si>
  <si>
    <t xml:space="preserve">                  reference : "NIST 800-53r5|AC-11"</t>
  </si>
  <si>
    <t xml:space="preserve">            powershell_args : "if(Test-Path -Path 'HKLM:\Software\Microsoft\Windows\CurrentVersion\Policies\System'){$noutput = (Get-ItemProperty -Path 'HKLM:\Software\Microsoft\Windows\CurrentVersion\Policies\System').DisableAutomaticRestartSignOn;if($noutput -eq $Null) {write-host 'Value Not Found'} else {$noutput}}else {write-host 'Path Not Found'}"</t>
  </si>
  <si>
    <t>#                 description : "QQ3AC - MSWRK - Allow Basic authentication is set to Disabled"</t>
  </si>
  <si>
    <t>#                        info : "This policy setting allows you to manage whether the Windows Remote Management (WinRM) client uses Basic authentication."</t>
  </si>
  <si>
    <t>#             powershell_args : "if(Test-Path -Path 'HKLM:\Software\Policies\Microsoft\Windows\WinRM\Client'){$noutput = (Get-ItemProperty -Path 'HKLM:\Software\Policies\Microsoft\Windows\WinRM\Client').AllowBasic;if($noutput -eq $Null) {write-host 'Value Not Found'} else {$noutput}}else {write-host 'Path Not Found'}"</t>
  </si>
  <si>
    <t>#                 description : "QQ3AC - MSWRK - Allow unencrypted traffic is set to Disabled for client"</t>
  </si>
  <si>
    <t>#                        info : "This policy setting allows you to manage whether the Windows Remote Management (WinRM) client sends and receives unencrypted messages over the network."</t>
  </si>
  <si>
    <t>#             powershell_args : "if(Test-Path -Path 'HKLM:\Software\Policies\Microsoft\Windows\WinRM\Client'){$noutput = (Get-ItemProperty -Path 'HKLM:\Software\Policies\Microsoft\Windows\WinRM\Client').AllowUnencryptedTraffic;if($noutput -eq $Null) {write-host 'Value Not Found'} else {$noutput}}else {write-host 'Path Not Found'}"</t>
  </si>
  <si>
    <t>#                 description : "QQ3AC - MSWRK - Disallow Digest authentication is set to Enabled"</t>
  </si>
  <si>
    <t>#                        info : "This policy setting allows you to manage whether the Windows Remote Management (WinRM) client will not use Digest authentication."</t>
  </si>
  <si>
    <t>#             powershell_args : "if(Test-Path -Path 'HKLM:\Software\Policies\Microsoft\Windows\WinRM\Client'){$noutput = (Get-ItemProperty -Path 'HKLM:\Software\Policies\Microsoft\Windows\WinRM\Client').AllowDigest;if($noutput -eq $Null) {write-host 'Value Not Found'} else {$noutput}}else {write-host 'Path Not Found'}"</t>
  </si>
  <si>
    <t xml:space="preserve">                description : "AC - MSWRK - Ensure 'Allow Basic authentication' is set to 'Enabled'"</t>
  </si>
  <si>
    <t xml:space="preserve">                       info : "This policy setting allows you to manage whether the Windows Remote Management (WinRM) service accepts Basic authentication from a remote client."</t>
  </si>
  <si>
    <t xml:space="preserve">                  reference : "NIST 800-53r5|AC-17 IA-5 SC-8"</t>
  </si>
  <si>
    <t xml:space="preserve">            powershell_args : "if(Test-Path -Path 'HKLM:\Software\Policies\Microsoft\Windows\WinRM\Service'){$noutput = (Get-ItemProperty -Path 'HKLM:\Software\Policies\Microsoft\Windows\WinRM\Service').AllowBasic;if($noutput -eq $Null) {write-host 'Value Not Found'} else {$noutput}}else {write-host 'Path Not Found'}"</t>
  </si>
  <si>
    <t xml:space="preserve">                description : "AC - MSWRK - Allow unencrypted traffic is set to Disabled for service"</t>
  </si>
  <si>
    <t xml:space="preserve">                       info : "This policy setting allows you to manage whether the Windows Remote Management (WinRM) service sends and receives unencrypted messages over the network."</t>
  </si>
  <si>
    <t xml:space="preserve">            powershell_args : "if(Test-Path -Path 'HKLM:\SOFTWARE\Policies\Microsoft\Windows\WinRM\Service'){$noutput = (Get-ItemProperty -Path 'HKLM:\SOFTWARE\Policies\Microsoft\Windows\WinRM\Service').AllowUnencryptedTraffic;if($noutput -eq $Null) {write-host 'Value Not Found'} else {$noutput}}else {write-host 'Path Not Found'}"</t>
  </si>
  <si>
    <t>#                 description : "QQ3SC - MSWRK - Disallow WinRM from storing RunAs credentials is set to Enabled"</t>
  </si>
  <si>
    <t>#                        info : "This policy setting allows you to manage whether the Windows Remote Management (WinRM) service will allow RunAs credentials to be stored for any plug-ins."</t>
  </si>
  <si>
    <t>#                   reference : "NIST 800-53r5|SC-7(21) "</t>
  </si>
  <si>
    <t>#             powershell_args : "if(Test-Path -Path 'HKLM:\Software\Policies\Microsoft\Windows\WinRM\Service'){$noutput = (Get-ItemProperty -Path 'HKLM:\Software\Policies\Microsoft\Windows\WinRM\Service').DisableRunAs;if($noutput -eq $Null) {write-host 'Value Not Found'} else {$noutput}}else {write-host 'Path Not Found'}"</t>
  </si>
  <si>
    <t xml:space="preserve">                description : "CM - MSWRK - Ensure 'Allow clipboard sharing with Windows Sandbox' is set to 'Disabled'"</t>
  </si>
  <si>
    <t xml:space="preserve">                       info : "This policy setting enables or disables clipboard sharing with the Windows Sandbox."</t>
  </si>
  <si>
    <t xml:space="preserve">            powershell_args : "if(Test-Path -Path 'HKLM:\Software\Policies\Microsoft\Windows\Sandbox'){$noutput = (Get-ItemProperty -Path 'HKLM:\Software\Policies\Microsoft\Windows\Sandbox').AllowClipboardRedirection;if($noutput -eq $Null) {write-host 'Value Not Found'} else {$noutput}}else {write-host 'Path Not Found'}"</t>
  </si>
  <si>
    <t xml:space="preserve">                description : "CM - MSWRK - Ensure 'Allow networking in Windows Sandbox' is set to 'Disabled'"</t>
  </si>
  <si>
    <t xml:space="preserve">                       info : "This policy setting enables or disables networking in the Windows Sandbox."</t>
  </si>
  <si>
    <t xml:space="preserve">            powershell_args : "if(Test-Path -Path 'HKLM:\Software\Policies\Microsoft\Windows\Sandbox'){$noutput = (Get-ItemProperty -Path 'HKLM:\Software\Policies\Microsoft\Windows\Sandbox').AllowNetworking;if($noutput -eq $Null) {write-host 'Value Not Found'} else {$noutput}}else {write-host 'Path Not Found'}"</t>
  </si>
  <si>
    <t>#                 description : "QQ2SI - MSWRK - Prevent users from modifying settings is set to Enabled"</t>
  </si>
  <si>
    <t>#                        info : "This policy setting prevent users from making changes to the Exploit protection settings area in the Windows Security settings."</t>
  </si>
  <si>
    <t>#             powershell_args : "if(Test-Path -Path 'HKLM:\Software\Policies\Microsoft\Windows Defender Security Center\App and Browser protection'){$noutput = (Get-ItemProperty -Path 'HKLM:\Software\Policies\Microsoft\Windows Defender Security Center\App and Browser protection').DisallowExploitProtectionOverride;if($noutput -eq $Null) {write-host 'Value Not Found'} else {$noutput}}else {write-host 'Path Not Found'}"</t>
  </si>
  <si>
    <t>#                 description : "QQ3RA - MSWRK - No auto-restart with logged on users for scheduled automatic updates installations is set to Disabled"</t>
  </si>
  <si>
    <t>#                        info : "This policy setting specifies that Automatic Updates will wait for computers to be restarted by the users who are logged on to them to complete a scheduled installation."</t>
  </si>
  <si>
    <t>#             powershell_args : "if(Test-Path -Path 'HKLM:\Software\Policies\Microsoft\Windows\WindowsUpdate\AU'){$noutput = (Get-ItemProperty -Path 'HKLM:\Software\Policies\Microsoft\Windows\WindowsUpdate\AU').NoAutoRebootWithLoggedOnUsers;if($noutput -eq $Null) {write-host 'Value Not Found'} else {$noutput}}else {write-host 'Path Not Found'}"</t>
  </si>
  <si>
    <t xml:space="preserve">                description : "RA - MSWRK - Ensure 'Configure Automatic Updates' is set to 'Disabled'"</t>
  </si>
  <si>
    <t xml:space="preserve">                       info : "This policy setting specifies whether computers in your environment will receive security updates from Windows Update or WSUS."</t>
  </si>
  <si>
    <t xml:space="preserve">                  reference : "NIST 800-53r5|RA-5 SI-2(2)"</t>
  </si>
  <si>
    <t xml:space="preserve">            powershell_args : "if(Test-Path -Path 'HKLM:\Software\Policies\Microsoft\Windows\WindowsUpdate\AU'){$noutput = (Get-ItemProperty -Path 'HKLM:\Software\Policies\Microsoft\Windows\WindowsUpdate\AU').NoAutoUpdate;if($noutput -eq $Null) {write-host 'Value Not Found'} else {$noutput}}else {write-host 'Path Not Found'}"</t>
  </si>
  <si>
    <t>#                 description : "QQ3RA - MSWRK - Configure Automatic Updates: Scheduled install day is set to 0 - Every day"</t>
  </si>
  <si>
    <t>#                        info : "This policy setting specifies when computers in your environment will receive security updates from Windows Update or WSUS."</t>
  </si>
  <si>
    <t>#             powershell_args : "if(Test-Path -Path 'HKLM:\Software\Policies\Microsoft\Windows\WindowsUpdate\AU'){$noutput = (Get-ItemProperty -Path 'HKLM:\Software\Policies\Microsoft\Windows\WindowsUpdate\AU').ScheduledInstallDay;if($noutput -eq $Null) {write-host 'Value Not Found'} else {$noutput}}else {write-host 'Path Not Found'}"</t>
  </si>
  <si>
    <t>#                 description : "QQ3CM - MSWRK - Enable features introduced via servicing that are off by default is set to Disabled"</t>
  </si>
  <si>
    <t>#                        info : "This policy settings configures whether or not features and enhancements that are introduced through monthly cumulative updates (servicing), are enabled on the system."</t>
  </si>
  <si>
    <t>#             powershell_args : "if(Test-Path -Path 'HKLM:\Software\Policies\Microsoft\Windows\WindowsUpdate'){$noutput = (Get-ItemProperty -Path 'HKLM:\Software\Policies\Microsoft\Windows\WindowsUpdate').AllowTemporaryEnterpriseFeatureControl;if($noutput -eq $Null) {write-host 'Value Not Found'} else {$noutput}}else {write-host 'Path Not Found'}"</t>
  </si>
  <si>
    <t>#                 description : "QQ3RA - MSWRK - Remove access to Pause updates feature is set to Enabled"</t>
  </si>
  <si>
    <t>#                        info : "This policy removes access to Pause updates feature."</t>
  </si>
  <si>
    <t>#             powershell_args : "if(Test-Path -Path 'HKLM:\Software\Policies\Microsoft\Windows\WindowsUpdate'){$noutput = (Get-ItemProperty -Path 'HKLM:\Software\Policies\Microsoft\Windows\WindowsUpdate').SetDisablePauseUXAccess;if($noutput -eq $Null) {write-host 'Value Not Found'} else {$noutput}}else {write-host 'Path Not Found'}"</t>
  </si>
  <si>
    <t>#                 description : "QQ3CM - MSWRK - Manage preview builds is set to Disabled"</t>
  </si>
  <si>
    <t>#                        info : "This policy setting manages which updates that are received prior to the update being released."</t>
  </si>
  <si>
    <t>#             powershell_args : "if(Test-Path -Path 'HKLM:\Software\Policies\Microsoft\Windows\WindowsUpdate'){$noutput = (Get-ItemProperty -Path 'HKLM:\Software\Policies\Microsoft\Windows\WindowsUpdate').ManagePreviewBuildsPolicyValue;if($noutput -eq $Null) {write-host 'Value Not Found'} else {$noutput}}else {write-host 'Path Not Found'}"</t>
  </si>
  <si>
    <t>#                 description : "DeferFeatureUpdatesPeriodInDays is Windows: Registry Value to 180"</t>
  </si>
  <si>
    <t>#                  value_data : "[180..MAX]"</t>
  </si>
  <si>
    <t>#             powershell_args : "if(Test-Path -Path 'HKLM:\Software\Policies\Microsoft\Windows\WindowsUpdate'){$noutput = (Get-ItemProperty -Path 'HKLM:\Software\Policies\Microsoft\Windows\WindowsUpdate').DeferFeatureUpdatesPeriodInDays;if($noutput -eq $Null) {write-host 'Value Not Found'} else {$noutput}}else {write-host 'Path Not Found'}"</t>
  </si>
  <si>
    <t>#                 description : "DeferFeatureUpdates is Windows: Registry Value to 1"</t>
  </si>
  <si>
    <t>#             powershell_args : "if(Test-Path -Path 'HKLM:\Software\Policies\Microsoft\Windows\WindowsUpdate'){$noutput = (Get-ItemProperty -Path 'HKLM:\Software\Policies\Microsoft\Windows\WindowsUpdate').DeferFeatureUpdates;if($noutput -eq $Null) {write-host 'Value Not Found'} else {$noutput}}else {write-host 'Path Not Found'}"</t>
  </si>
  <si>
    <t>#                 description : "QQ3RA - MSWRK - Select when Preview Builds and Feature Updates are received is set to Enabled: 180 or more days"</t>
  </si>
  <si>
    <t>#                        info : "This policy setting determines when Preview Build or Feature Updates are received."</t>
  </si>
  <si>
    <t>#                 description : "DeferQualityUpdatesPeriodInDays is Windows: Registry Value to 0"</t>
  </si>
  <si>
    <t>#             powershell_args : "if(Test-Path -Path 'HKLM:\Software\Policies\Microsoft\Windows\WindowsUpdate'){$noutput = (Get-ItemProperty -Path 'HKLM:\Software\Policies\Microsoft\Windows\WindowsUpdate').DeferQualityUpdatesPeriodInDays;if($noutput -eq $Null) {write-host 'Value Not Found'} else {$noutput}}else {write-host 'Path Not Found'}"</t>
  </si>
  <si>
    <t>#                 description : "DeferQualityUpdates is Windows: Registry Value to 1"</t>
  </si>
  <si>
    <t>#             powershell_args : "if(Test-Path -Path 'HKLM:\Software\Policies\Microsoft\Windows\WindowsUpdate'){$noutput = (Get-ItemProperty -Path 'HKLM:\Software\Policies\Microsoft\Windows\WindowsUpdate').DeferQualityUpdates;if($noutput -eq $Null) {write-host 'Value Not Found'} else {$noutput}}else {write-host 'Path Not Found'}"</t>
  </si>
  <si>
    <t>#                 description : "QQ3RA - MSWRK - Select when Quality Updates are received is set to Enabled: 0 days"</t>
  </si>
  <si>
    <t>#                        info : "This settings controls when Quality Updates are received."</t>
  </si>
  <si>
    <t>#                 description : "QQ3RA - MSWRK - Enable optional updates is set to Disabled"</t>
  </si>
  <si>
    <t>#                        info : "This policy setting controls whether devices are able to receive optional updates (including Controlled Feature Rollout (CFRs)). These optional updates can include non-security updates, feature enhancements, and other improvements."</t>
  </si>
  <si>
    <t>#             powershell_args : "if(Test-Path -Path 'HKLM:\Software\Policies\Microsoft\Windows\WindowsUpdate'){$noutput = (Get-ItemProperty -Path 'HKLM:\Software\Policies\Microsoft\Windows\WindowsUpdate').SetAllowOptionalContent;if($noutput -eq $Null) {write-host 'Value Not Found'} else {$noutput}}else {write-host 'Path Not Found'}"</t>
  </si>
  <si>
    <t>#                 description : "QQ3AC - MSWRK - Prevent enabling lock screen camera is set to Enabled"</t>
  </si>
  <si>
    <t>#                        info : "Disables the lock screen camera toggle switch in PC Settings and prevents a camera from being invoked on the lock screen."</t>
  </si>
  <si>
    <t>#                   reference : "NIST 800-53r5|AC-11 "</t>
  </si>
  <si>
    <t>#             powershell_args : "if(Test-Path -Path 'HKLM:\Software\Policies\Microsoft\Windows\Personalization'){$noutput = (Get-ItemProperty -Path 'HKLM:\Software\Policies\Microsoft\Windows\Personalization').NoLockScreenCamera;if($noutput -eq $Null) {write-host 'Value Not Found'} else {$noutput}}else {write-host 'Path Not Found'}"</t>
  </si>
  <si>
    <t xml:space="preserve">                description : "AC - MSWRK - Prevent enabling lock screen slide show is set to Enabled"</t>
  </si>
  <si>
    <t xml:space="preserve">                       info : "Disables the lock screen slide show settings in PC Settings and prevents a slide show from playing on the lock screen."</t>
  </si>
  <si>
    <t xml:space="preserve">                  reference : "NIST 800-53r5|AC-11 "</t>
  </si>
  <si>
    <t xml:space="preserve">            powershell_args : "if(Test-Path -Path 'HKLM:\Software\Policies\Microsoft\Windows\Personalization'){$noutput = (Get-ItemProperty -Path 'HKLM:\Software\Policies\Microsoft\Windows\Personalization').NoLockScreenSlideshow;if($noutput -eq $Null) {write-host 'Value Not Found'} else {$noutput}}else {write-host 'Path Not Found'}"</t>
  </si>
  <si>
    <t xml:space="preserve">                description : "CM - MSWRK - Allow users to enable online speech recognition services is set to Disabled"</t>
  </si>
  <si>
    <t xml:space="preserve">                       info :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t>
  </si>
  <si>
    <t xml:space="preserve">            powershell_args : "if(Test-Path -Path 'HKLM:\SOFTWARE\Policies\Microsoft\InputPersonalization'){$noutput = (Get-ItemProperty -Path 'HKLM:\SOFTWARE\Policies\Microsoft\InputPersonalization').AllowInputPersonalization;if($noutput -eq $Null) {write-host 'Value Not Found'} else {$noutput}}else {write-host 'Path Not Found'}"</t>
  </si>
  <si>
    <t>#                 description : "QQ3AC - MSWRK - Apply UAC restrictions to local accounts on network logons is set to Enabled"</t>
  </si>
  <si>
    <t>#                        info : "This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t>
  </si>
  <si>
    <t>#             powershell_args : "if(Test-Path -Path 'HKLM:\Software\Microsoft\Windows\CurrentVersion\Policies\System'){$noutput = (Get-ItemProperty -Path 'HKLM:\Software\Microsoft\Windows\CurrentVersion\Policies\System').LocalAccountTokenFilterPolicy;if($noutput -eq $Null) {write-host 'Value Not Found'} else {$noutput}}else {write-host 'Path Not Found'}"</t>
  </si>
  <si>
    <t>#                 description : "QQ3CM - MSWRK - Configure RPC packet level privacy setting for incoming connections is set to Enabled"</t>
  </si>
  <si>
    <t>#                        info : "This policy setting controls packet level privacy for Remote Procedure Call (RPC) incoming connections."</t>
  </si>
  <si>
    <t>#                   reference : "NIST 800-53r5|CM-6b. "</t>
  </si>
  <si>
    <t>#             powershell_args : "if(Test-Path -Path 'HKLM:\SYSTEM\CurrentControlSet\Control\Print'){$noutput = (Get-ItemProperty -Path 'HKLM:\SYSTEM\CurrentControlSet\Control\Print').RpcAuthnLevelPrivacyEnabled;if($noutput -eq $Null) {write-host 'Value Not Found'} else {$noutput}}else {write-host 'Path Not Found'}"</t>
  </si>
  <si>
    <t xml:space="preserve">                description : "CM - MSWRK - Configure SMB v1 client driver is set to Enabled: Disable driver (recommended)"</t>
  </si>
  <si>
    <t xml:space="preserve">                       info : "This setting configures the start type for the Server Message Block version 1 (SMBv1) client driver service ( MRxSmb10 ), which is recommended to be disabled."</t>
  </si>
  <si>
    <t xml:space="preserve">                 value_data : "^4$"</t>
  </si>
  <si>
    <t xml:space="preserve">            powershell_args : "if(Test-Path -Path 'HKLM:\SYSTEM\CurrentControlSet\Services\mrxsmb10'){$noutput = (Get-ItemProperty -Path 'HKLM:\SYSTEM\CurrentControlSet\Services\mrxsmb10').Start;if($noutput -eq $Null) {write-host 'Value Not Found'} else {$noutput}}else {write-host 'Path Not Found'}"</t>
  </si>
  <si>
    <t>#                 description : "QQCM - MSWRK - Configure SMB v1 server is set to Disabled"</t>
  </si>
  <si>
    <t>#                        info : "This setting configures the server-side processing of the Server Message Block version 1 (SMBv1) protocol."</t>
  </si>
  <si>
    <t>#             powershell_args : "if(Test-Path -Path 'HKLM:\SYSTEM\CurrentControlSet\Services\LanmanServer\Parameters'){$noutput = (Get-ItemProperty -Path 'HKLM:\SYSTEM\CurrentControlSet\Services\LanmanServer\Parameters').SMB1;if($noutput -eq $Null) {write-host 'Value Not Found'} else {$noutput}}else {write-host 'Path Not Found'}"</t>
  </si>
  <si>
    <t xml:space="preserve">                description : "SC - MSWRK - Enable Certificate Padding is set to Enabled"</t>
  </si>
  <si>
    <t xml:space="preserve">                       info : "This policy setting configures whether the"</t>
  </si>
  <si>
    <t xml:space="preserve">                  reference : "NIST 800-53r5|SC-8 "</t>
  </si>
  <si>
    <t xml:space="preserve">            powershell_args : "if(Test-Path -Path 'HKLM:\Software\Microsoft\Cryptography\Wintrust\Config'){$noutput = (Get-ItemProperty -Path 'HKLM:\Software\Microsoft\Cryptography\Wintrust\Config').EnableCertPaddingCheck;if($noutput -eq $Null) {write-host 'Value Not Found'} else {$noutput}}else {write-host 'Path Not Found'}"</t>
  </si>
  <si>
    <t>#                 description : "QQ3SI - MSWRK - Enable Structured Exception Handling Overwrite Protection (SEHOP) is set to Enabled"</t>
  </si>
  <si>
    <t>#                        info : "Windows includes support for Structured Exception Handling Overwrite Protection (SEHOP). We recommend enabling this feature to improve the security profile of the computer."</t>
  </si>
  <si>
    <t>#             powershell_args : "if(Test-Path -Path 'HKLM:\SYSTEM\CurrentControlSet\Control\Session Manager\kernel'){$noutput = (Get-ItemProperty -Path 'HKLM:\SYSTEM\CurrentControlSet\Control\Session Manager\kernel').DisableExceptionChainValidation;if($noutput -eq $Null) {write-host 'Value Not Found'} else {$noutput}}else {write-host 'Path Not Found'}"</t>
  </si>
  <si>
    <t xml:space="preserve">                description : "CM - MSWRK - NetBT NodeType configuration is set to Enabled: P-node (recommended)"</t>
  </si>
  <si>
    <t xml:space="preserve">                       info : "This setting determines which method NetBIOS over TCP/IP (NetBT) uses to register and resolve names. The available methods are:"</t>
  </si>
  <si>
    <t xml:space="preserve">                 value_data : "^2$"</t>
  </si>
  <si>
    <t xml:space="preserve">            powershell_args : "if(Test-Path -Path 'HKLM:\System\CurrentControlSet\Services\NetBT\Parameters'){$noutput = (Get-ItemProperty -Path 'HKLM:\System\CurrentControlSet\Services\NetBT\Parameters').NodeType;if($noutput -eq $Null) {write-host 'Value Not Found'} else {$noutput}}else {write-host 'Path Not Found'}"</t>
  </si>
  <si>
    <t>#                 description : "QQ3IA - MSWRK - WDigest Authentication is set to Disabled"</t>
  </si>
  <si>
    <t>#                        info : "When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t>
  </si>
  <si>
    <t>#                   reference : "NIST 800-53r5|IA-5(1) SC-28 "</t>
  </si>
  <si>
    <t>#             powershell_args : "if(Test-Path -Path 'HKLM:\SYSTEM\CurrentControlSet\Control\SecurityProviders\WDigest'){$noutput = (Get-ItemProperty -Path 'HKLM:\SYSTEM\CurrentControlSet\Control\SecurityProviders\WDigest').UseLogonCredential;if($noutput -eq $Null) {write-host 'Value Not Found'} else {$noutput}}else {write-host 'Path Not Found'}"</t>
  </si>
  <si>
    <t>#                 description : "AutoAdminLogon is Windows: Registry Value to 0"</t>
  </si>
  <si>
    <t>#             powershell_args : "if(Test-Path -Path 'HKLM:\Software\Microsoft\Windows NT\CurrentVersion\Winlogon'){$noutput = (Get-ItemProperty -Path 'HKLM:\Software\Microsoft\Windows NT\CurrentVersion\Winlogon').AutoAdminLogon;if($noutput -eq $Null) {write-host 'Value Not Found'} else {$noutput}}else {write-host 'Path Not Found'}"</t>
  </si>
  <si>
    <t># powershell_option : CAN_BE_NULL</t>
  </si>
  <si>
    <t># type : REG_CHECK</t>
  </si>
  <si>
    <t>#                 description : "DefaultPassword does not exist"</t>
  </si>
  <si>
    <t>#                  value_data : "HKLM\Software\Microsoft\Windows NT\CurrentVersion\Winlogon"</t>
  </si>
  <si>
    <t># reg_option : MUST_NOT_EXIST</t>
  </si>
  <si>
    <t># key_item : "DefaultPassword"</t>
  </si>
  <si>
    <t>#                 description : "QQIA - MSWRK - MSS: (AutoAdminLogon) Enable Automatic Logon is set to Disabled"</t>
  </si>
  <si>
    <t>#                        info : "This setting is separate from the Welcome screen feature in Windows XP and Windows Vista; if that feature is disabled, this setting is not disabled. If you configure a computer for automatic logon, anyone who can physically gain access to the computer can also gain access to everything that is on the computer, including any network or networks to which the computer is connected. Also, if you enable automatic logon, the password is stored in the registry in plaintext, and the specific registry key that stores this value is remotely readable by the Authenticated Users group."</t>
  </si>
  <si>
    <t xml:space="preserve">                description : "AC - MSWRK - MSS: (ScreenSaverGracePeriod) The time in seconds before the screen saver grace period expires is set to Enabled: 5 or fewer seconds"</t>
  </si>
  <si>
    <t xml:space="preserve">                description : "AC - MSWRK - Screensaver - Enabled"</t>
  </si>
  <si>
    <t xml:space="preserve">                description : "AC - MSWRK - Screensaver - Password protect the screen saver- Enabled"</t>
  </si>
  <si>
    <t>#                 description : "QQ3AU - MSWRK - MSS: (WarningLevel) Percentage threshold for the security event log at which the system will generate a warning is set to Enabled: 90% or less"</t>
  </si>
  <si>
    <t>#                        info : "This setting can generate a security audit in the Security event log when the log reaches a user-defined threshold."</t>
  </si>
  <si>
    <t>#                   reference : "NIST 800-53r5|AU-4 "</t>
  </si>
  <si>
    <t>#                  value_data : [1..90]</t>
  </si>
  <si>
    <t>#             powershell_args : "if(Test-Path -Path 'HKLM:\System\CurrentControlSet\Services\Eventlog\Security'){$noutput = (Get-ItemProperty -Path 'HKLM:\System\CurrentControlSet\Services\Eventlog\Security').WarningLevel;if($noutput -eq $Null) {write-host 'Value Not Found'} else {$noutput}}else {write-host 'Path Not Found'}"</t>
  </si>
  <si>
    <t xml:space="preserve">                description : "SC - MSWRK - MSS: (DisableIPSourceRouting IPv6) IP source routing protection level is set to Enabled: Highest protection, source routing is completely disabled"</t>
  </si>
  <si>
    <t xml:space="preserve">                       info : "IP source routing is a mechanism that allows the sender to determine the IP route that a datagram should follow through the network."</t>
  </si>
  <si>
    <t xml:space="preserve">                  reference : "NIST 800-53r5|SC-7(12) "</t>
  </si>
  <si>
    <t xml:space="preserve">            powershell_args : "if(Test-Path -Path 'HKLM:\System\CurrentControlSet\Services\Tcpip6\Parameters'){$noutput = (Get-ItemProperty -Path 'HKLM:\System\CurrentControlSet\Services\Tcpip6\Parameters').DisableIPSourceRouting;if($noutput -eq $Null) {write-host 'Value Not Found'} else {$noutput}}else {write-host 'Path Not Found'}"</t>
  </si>
  <si>
    <t xml:space="preserve">                description : "SC - MSWRK - MSS: (DisableIPSourceRouting) IP source routing protection level is set to Enabled: Highest protection, source routing is completely disabled"</t>
  </si>
  <si>
    <t xml:space="preserve">                       info : "IP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t>
  </si>
  <si>
    <t xml:space="preserve">            powershell_args : "if(Test-Path -Path 'HKLM:\System\CurrentControlSet\Services\Tcpip\Parameters'){$noutput = (Get-ItemProperty -Path 'HKLM:\System\CurrentControlSet\Services\Tcpip\Parameters').DisableIPSourceRouting;if($noutput -eq $Null) {write-host 'Value Not Found'} else {$noutput}}else {write-host 'Path Not Found'}"</t>
  </si>
  <si>
    <t>#                 description : "QQ3CM - MSWRK - MSS: (EnableICMPRedirect) Allow ICMP redirects to override OSPF generated routes is set to Disabled"</t>
  </si>
  <si>
    <t>#                        info : "Internet Control Message Protocol (ICMP) redirects cause the IPv4 stack to plumb host routes. These routes override the Open Shortest Path First (OSPF) generated routes."</t>
  </si>
  <si>
    <t>#                   reference : "NIST 800-53r5|CM-1 CM-2 CM-6 CM-7 CM-7(1) CM-9 SA-3 SA-8 SA-10"</t>
  </si>
  <si>
    <t>#             powershell_args : "if(Test-Path -Path 'HKLM:\System\CurrentControlSet\Services\Tcpip\Parameters'){$noutput = (Get-ItemProperty -Path 'HKLM:\System\CurrentControlSet\Services\Tcpip\Parameters').EnableICMPRedirect;if($noutput -eq $Null) {write-host 'Value Not Found'} else {$noutput}}else {write-host 'Path Not Found'}"</t>
  </si>
  <si>
    <t>#                 description : "QQAC - MSWRK - MSS: (NoNameReleaseOnDemand) Allow the computer to ignore NetBIOS name release requests except from WINS servers is set to Enabled"</t>
  </si>
  <si>
    <t>#                        info : "NetBIOS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t>
  </si>
  <si>
    <t>#                   reference : "NIST 800-53r5|AC-18 AC-18(1) AC-18(3) CM-2 CM-6 CM-7 CM-7(1) "</t>
  </si>
  <si>
    <t>#             powershell_args : "if(Test-Path -Path 'HKLM:\System\CurrentControlSet\Services\NetBT\Parameters'){$noutput = (Get-ItemProperty -Path 'HKLM:\System\CurrentControlSet\Services\NetBT\Parameters').NoNameReleaseOnDemand;if($noutput -eq $Null) {write-host 'Value Not Found'} else {$noutput}}else {write-host 'Path Not Found'}"</t>
  </si>
  <si>
    <t>#                 description : "QQSI - MSWRK - MSS: (SafeDllSearchMode) Enable Safe DLL search mode is set to Enabled"</t>
  </si>
  <si>
    <t>#                        info : "The DLL search order can be configured to search for DLLs that are requested by running processes in one of two ways:"</t>
  </si>
  <si>
    <t>#             powershell_args : "if(Test-Path -Path 'HKLM:\System\CurrentControlSet\Control\Session Manager'){$noutput = (Get-ItemProperty -Path 'HKLM:\System\CurrentControlSet\Control\Session Manager').SafeDllSearchMode;if($noutput -eq $Null) {write-host 'Value Not Found'} else {$noutput}}else {write-host 'Path Not Found'}"</t>
  </si>
  <si>
    <t>#                 description : "QQ3AC - MSWRK - Prohibit installation and configuration of Network Bridge on your DNS domain network is set to Enabled"</t>
  </si>
  <si>
    <t>#                        info : "You can use this procedure to control a users ability to install and configure a Network Bridge."</t>
  </si>
  <si>
    <t>#             powershell_args : "if(Test-Path -Path 'HKLM:\Software\Policies\Microsoft\Windows\Network Connections'){$noutput = (Get-ItemProperty -Path 'HKLM:\Software\Policies\Microsoft\Windows\Network Connections').NC_AllowNetBridge_NLA;if($noutput -eq $Null) {write-host 'Value Not Found'} else {$noutput}}else {write-host 'Path Not Found'}"</t>
  </si>
  <si>
    <t>#                 description : "QQ3CM - MSWRK - Prohibit use of Internet Connection Sharing on your DNS domain network is set to Enabled"</t>
  </si>
  <si>
    <t>#                        info : "Although this legacy setting traditionally applied to the use of Internet Connection Sharing (ICS) in Windows 2000, Windows XP &amp;amp; Server 2003, this setting now freshly applies to the Mobile Hotspot feature in Windows 10 &amp;amp; Server 2016."</t>
  </si>
  <si>
    <t>#             powershell_args : "if(Test-Path -Path 'HKLM:\Software\Policies\Microsoft\Windows\Network Connections'){$noutput = (Get-ItemProperty -Path 'HKLM:\Software\Policies\Microsoft\Windows\Network Connections').NC_ShowSharedAccessUI;if($noutput -eq $Null) {write-host 'Value Not Found'} else {$noutput}}else {write-host 'Path Not Found'}"</t>
  </si>
  <si>
    <t>#                 description : "QQ3AC - MSWRK - Require domain users to elevate when setting a networks location is set to Enabled"</t>
  </si>
  <si>
    <t>#                        info : "This policy setting determines whether to require domain users to elevate when setting a networks location."</t>
  </si>
  <si>
    <t>#             powershell_args : "if(Test-Path -Path 'HKLM:\Software\Policies\Microsoft\Windows\Network Connections'){$noutput = (Get-ItemProperty -Path 'HKLM:\Software\Policies\Microsoft\Windows\Network Connections').NC_StdDomainUserSetLocation;if($noutput -eq $Null) {write-host 'Value Not Found'} else {$noutput}}else {write-host 'Path Not Found'}"</t>
  </si>
  <si>
    <t>#                 description : "QQ3IA - MSWRK - NETLOGON"</t>
  </si>
  <si>
    <t>#                  value_data : "[Rr]equire([Mm]utual[Aa]uthentication|[Ii]ntegrity|[Pp]rivacy)=1.*[Rr]equire([Mm]utual[Aa]uthentication|[Ii]ntegrity|[Pp]rivacy)=1.*[Rr]equire([Mm]utual[Aa]uthentication|[Ii]ntegrity|[Pp]rivacy)=1"</t>
  </si>
  <si>
    <t>#             powershell_args : "if(Test-Path -Path 'HKLM:\Software\Policies\Microsoft\Windows\NetworkProvider\HardenedPaths'){$noutput = (Get-ItemProperty -Path 'HKLM:\Software\Policies\Microsoft\Windows\NetworkProvider\HardenedPaths').'\\*\NETLOGON';if($noutput -eq $Null) {write-host 'Value Not Found'} else {$noutput}}else {write-host 'Path Not Found'}"</t>
  </si>
  <si>
    <t>#                 description : "QQ3IA - MSWRK - SYSVOL"</t>
  </si>
  <si>
    <t>#             powershell_args : "if(Test-Path -Path 'HKLM:\Software\Policies\Microsoft\Windows\NetworkProvider\HardenedPaths'){$noutput = (Get-ItemProperty -Path 'HKLM:\Software\Policies\Microsoft\Windows\NetworkProvider\HardenedPaths').'\\*\SYSVOL';if($noutput -eq $Null) {write-host 'Value Not Found'} else {$noutput}}else {write-host 'Path Not Found'}"</t>
  </si>
  <si>
    <t>#                 description : "QQ3IA - MSWRK - Hardened UNC Paths is set to Enabled, with Require Mutual Authentication, Require Integrity, and Require Privacy set for all NETLOGON and SYSVOL shares"</t>
  </si>
  <si>
    <t>#                        info : "This policy setting configures secure access to UNC paths."</t>
  </si>
  <si>
    <t>#                   reference : "NIST 800-53r5|IA-3(1) "</t>
  </si>
  <si>
    <t xml:space="preserve">                description : "CM - MSWRK - Minimize the number of simultaneous connections to the Internet or a Windows Domain is set to Enabled: 3 = Prevent Wi-Fi when on Ethernet"</t>
  </si>
  <si>
    <t xml:space="preserve">                       info : "This policy setting prevents computers from establishing multiple simultaneous connections to either the Internet or to a Windows domain."</t>
  </si>
  <si>
    <t xml:space="preserve">                 value_data : "^3$"</t>
  </si>
  <si>
    <t xml:space="preserve">            powershell_args : "if(Test-Path -Path 'HKLM:\Software\Policies\Microsoft\Windows\WcmSvc\GroupPolicy'){$noutput = (Get-ItemProperty -Path 'HKLM:\Software\Policies\Microsoft\Windows\WcmSvc\GroupPolicy').fMinimizeConnections;if($noutput -eq $Null) {write-host 'Value Not Found'} else {$noutput}}else {write-host 'Path Not Found'}"</t>
  </si>
  <si>
    <t>#                 description : "QQ3SC - MSWRK - Prohibit connection to non-domain networks when connected to domain authenticated network is set to Enabled"</t>
  </si>
  <si>
    <t>#                        info : "This policy setting prevents computers from connecting to both a domain based network and a non-domain based network at the same time."</t>
  </si>
  <si>
    <t>#                   reference : "NIST 800-53r5|SC-7 "</t>
  </si>
  <si>
    <t>#             powershell_args : "if(Test-Path -Path 'HKLM:\Software\Policies\Microsoft\Windows\WcmSvc\GroupPolicy'){$noutput = (Get-ItemProperty -Path 'HKLM:\Software\Policies\Microsoft\Windows\WcmSvc\GroupPolicy').fBlockNonDomain;if($noutput -eq $Null) {write-host 'Value Not Found'} else {$noutput}}else {write-host 'Path Not Found'}"</t>
  </si>
  <si>
    <t xml:space="preserve">                description : "CM - MSWRK - Allow Windows to automatically connect to suggested open hotspots, to networks shared by contacts, and to hotspots offering paid services is set to Disabled"</t>
  </si>
  <si>
    <t xml:space="preserve">                       info : "This policy setting determines whether users can enable the following WLAN settings: Connect to suggested open hotspots, Connect to networks shared by my contacts, and Enable paid services."</t>
  </si>
  <si>
    <t xml:space="preserve">            powershell_args : "if(Test-Path -Path 'HKLM:\Software\Microsoft\WcmSvc\wifinetworkmanager\config'){$noutput = (Get-ItemProperty -Path 'HKLM:\Software\Microsoft\WcmSvc\wifinetworkmanager\config').AutoConnectAllowedOEM;if($noutput -eq $Null) {write-host 'Value Not Found'} else {$noutput}}else {write-host 'Path Not Found'}"</t>
  </si>
  <si>
    <t>#                 description : "QQ3AC - MSWRK - Configure DNS over HTTPS (DoH) name resolution is set to Enabled: Allow DoH or higher"</t>
  </si>
  <si>
    <t>#                        info : "This setting determines if DNS over HTTPS (DoH) is used by the system. DNS over HTTPS (DoH) is a protocol for performing remote Domain Name System (DNS) resolution over the Hypertext Transfer Protocol Secure (HTTPS). For additional information on DNS over HTTPS (DoH), visit:"</t>
  </si>
  <si>
    <t>#                  value_data : "^2$" || "^3$"</t>
  </si>
  <si>
    <t>#             powershell_args : "if(Test-Path -Path 'HKLM:\Software\Policies\Microsoft\Windows NT\DNSClient'){$noutput = (Get-ItemProperty -Path 'HKLM:\Software\Policies\Microsoft\Windows NT\DNSClient').DoHPolicy;if($noutput -eq $Null) {write-host 'Value Not Found'} else {$noutput}}else {write-host 'Path Not Found'}"</t>
  </si>
  <si>
    <t>#                 description : "QQ3CM - MSWRK - Configure NetBIOS settings is set to Enabled: Disable NetBIOS name resolution on public networks"</t>
  </si>
  <si>
    <t>#                        info : "This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</si>
  <si>
    <t>#                  value_data : "^0$" || "^2$"</t>
  </si>
  <si>
    <t>#             powershell_args : "if(Test-Path -Path 'HKLM:\Software\Policies\Microsoft\Windows NT\DNSClient'){$noutput = (Get-ItemProperty -Path 'HKLM:\Software\Policies\Microsoft\Windows NT\DNSClient').EnableNetBIOS;if($noutput -eq $Null) {write-host 'Value Not Found'} else {$noutput}}else {write-host 'Path Not Found'}"</t>
  </si>
  <si>
    <t xml:space="preserve">                description : "CM - MSWRK - Turn off multicast name resolution is set to Enabled"</t>
  </si>
  <si>
    <t xml:space="preserve">                       info :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t>
  </si>
  <si>
    <t xml:space="preserve">            powershell_args : "if(Test-Path -Path 'HKLM:\SOFTWARE\Policies\Microsoft\Windows NT\DNSClient'){$noutput = (Get-ItemProperty -Path 'HKLM:\SOFTWARE\Policies\Microsoft\Windows NT\DNSClient').EnableMulticast;if($noutput -eq $Null) {write-host 'Value Not Found'} else {$noutput}}else {write-host 'Path Not Found'}"</t>
  </si>
  <si>
    <t>#                 description : "QQ3CM - MSWRK - Enable insecure guest logons is set to Disabled"</t>
  </si>
  <si>
    <t>#                        info : "This policy setting determines if the SMB client will allow insecure guest logons to an SMB server."</t>
  </si>
  <si>
    <t>#             powershell_args : "if(Test-Path -Path 'HKLM:\SOFTWARE\Policies\Microsoft\Windows\LanmanWorkstation'){$noutput = (Get-ItemProperty -Path 'HKLM:\SOFTWARE\Policies\Microsoft\Windows\LanmanWorkstation').AllowInsecureGuestAuth;if($noutput -eq $Null) {write-host 'Value Not Found'} else {$noutput}}else {write-host 'Path Not Found'}"</t>
  </si>
  <si>
    <t>#                 description : "QQ3CM - MSWRK - Allow Print Spooler to accept client connections is set to Disabled"</t>
  </si>
  <si>
    <t>#                        info : "This policy setting controls whether the Print Spooler service will accept client connections."</t>
  </si>
  <si>
    <t>#             powershell_args : "if(Test-Path -Path 'HKLM:\Software\Policies\Microsoft\Windows NT\Printers'){$noutput = (Get-ItemProperty -Path 'HKLM:\Software\Policies\Microsoft\Windows NT\Printers').RegisterSpoolerRemoteRpcEndPoint;if($noutput -eq $Null) {write-host 'Value Not Found'} else {$noutput}}else {write-host 'Path Not Found'}"</t>
  </si>
  <si>
    <t xml:space="preserve">                description : "AC - MSWRK - Point and Print Restrictions: When installing drivers for a new connection is set to Enabled: Show warning and elevation prompt"</t>
  </si>
  <si>
    <t xml:space="preserve">                       info : "This policy setting controls whether computers will show a warning and a security elevation prompt when users create a new printer connection using Point and Print."</t>
  </si>
  <si>
    <t xml:space="preserve">                  reference : "NIST 800-53r5|AC-6(8) "</t>
  </si>
  <si>
    <t xml:space="preserve">            powershell_args : "if(Test-Path -Path 'HKLM:\Software\Policies\Microsoft\Windows NT\Printers\PointAndPrint'){$noutput = (Get-ItemProperty -Path 'HKLM:\Software\Policies\Microsoft\Windows NT\Printers\PointAndPrint').NoWarningNoElevationOnInstall;if($noutput -eq $Null) {write-host 'Value Not Found'} else {$noutput}}else {write-host 'Path Not Found'}"</t>
  </si>
  <si>
    <t xml:space="preserve">                description : "CM - MSWRK - Point and Print Restrictions: When updating drivers for an existing connection is set to Enabled: Show warning and elevation prompt"</t>
  </si>
  <si>
    <t xml:space="preserve">                       info : "This policy setting controls whether computers will show a warning and a security elevation prompt when users are updating drivers for an existing connection using Point and Print."</t>
  </si>
  <si>
    <t xml:space="preserve">            powershell_args : "if(Test-Path -Path 'HKLM:\Software\Policies\Microsoft\Windows NT\Printers\PointAndPrint'){$noutput = (Get-ItemProperty -Path 'HKLM:\Software\Policies\Microsoft\Windows NT\Printers\PointAndPrint').UpdatePromptSettings;if($noutput -eq $Null) {write-host 'Value Not Found'} else {$noutput}}else {write-host 'Path Not Found'}"</t>
  </si>
  <si>
    <t>#                 description : "QQ3SI - MSWRK - Configure Redirection Guard is set to Enabled: Redirection Guard Enabled"</t>
  </si>
  <si>
    <t>#                        info : "This policy setting determines whether Redirection Guard is enabled for the print spooler. Redirection Guard can prevent file redirections from being used within the print spooler."</t>
  </si>
  <si>
    <t>#             powershell_args : "if(Test-Path -Path 'HKLM:\Software\Policies\Microsoft\Windows NT\Printers'){$noutput = (Get-ItemProperty -Path 'HKLM:\Software\Policies\Microsoft\Windows NT\Printers').RedirectionGuardPolicy;if($noutput -eq $Null) {write-host 'Value Not Found'} else {$noutput}}else {write-host 'Path Not Found'}"</t>
  </si>
  <si>
    <t>#                 description : "QQ3CM - MSWRK - Configure RPC connection settings: Protocol to use for outgoing RPC connections is set to Enabled: RPC over TCP"</t>
  </si>
  <si>
    <t>#                        info : "This policy setting controls which protocol and protocol settings to use for outgoing Remote Procedure Call (RPC) connections to a remote print spooler."</t>
  </si>
  <si>
    <t>#             powershell_args : "if(Test-Path -Path 'HKLM:\Software\Policies\Microsoft\Windows NT\Printers\RPC'){$noutput = (Get-ItemProperty -Path 'HKLM:\Software\Policies\Microsoft\Windows NT\Printers\RPC').RpcUseNamedPipeProtocol;if($noutput -eq $Null) {write-host 'Value Not Found'} else {$noutput}}else {write-host 'Path Not Found'}"</t>
  </si>
  <si>
    <t>#                 description : "QQ3CM - MSWRK - Configure RPC connection settings: Use authentication for outgoing RPC connections is set to Enabled: Default"</t>
  </si>
  <si>
    <t>#             powershell_args : "if(Test-Path -Path 'HKLM:\Software\Policies\Microsoft\Windows NT\Printers\RPC'){$noutput = (Get-ItemProperty -Path 'HKLM:\Software\Policies\Microsoft\Windows NT\Printers\RPC').RpcAuthentication;if($noutput -eq $Null) {write-host 'Value Not Found'} else {$noutput}}else {write-host 'Path Not Found'}"</t>
  </si>
  <si>
    <t>#                 description : "QQ3CM - MSWRK - Configure RPC listener settings: Protocols to allow for incoming RPC connections is set to Enabled: RPC over TCP"</t>
  </si>
  <si>
    <t>#                        info : "This policy setting controls which protocols incoming Remote Procedure Call (RPC) connections to the print spooler are allowed to use."</t>
  </si>
  <si>
    <t>#                  value_data : "^5$"</t>
  </si>
  <si>
    <t>#             powershell_args : "if(Test-Path -Path 'HKLM:\Software\Policies\Microsoft\Windows NT\Printers\RPC'){$noutput = (Get-ItemProperty -Path 'HKLM:\Software\Policies\Microsoft\Windows NT\Printers\RPC').RpcProtocols;if($noutput -eq $Null) {write-host 'Value Not Found'} else {$noutput}}else {write-host 'Path Not Found'}"</t>
  </si>
  <si>
    <t>#                 description : "QQIA - MSWRK - Configure RPC listener settings: Authentication protocol to use for incoming RPC connections: is set to Enabled: Negotiate or higher"</t>
  </si>
  <si>
    <t>#             powershell_args : "if(Test-Path -Path 'HKLM:\Software\Policies\Microsoft\Windows NT\Printers\RPC'){$noutput = (Get-ItemProperty -Path 'HKLM:\Software\Policies\Microsoft\Windows NT\Printers\RPC').ForceKerberosForRpc;if($noutput -eq $Null) {write-host 'Value Not Found'} else {$noutput}}else {write-host 'Path Not Found'}"</t>
  </si>
  <si>
    <t>#                 description : "QQ3CM - MSWRK - Configure RPC over TCP port is set to Enabled: 0"</t>
  </si>
  <si>
    <t>#                        info : "This policy setting controls which port is used for RPC over TCP for incoming connections to the print spooler and outgoing connections to remote print spoolers."</t>
  </si>
  <si>
    <t>#             powershell_args : "if(Test-Path -Path 'HKLM:\Software\Policies\Microsoft\Windows NT\Printers\RPC'){$noutput = (Get-ItemProperty -Path 'HKLM:\Software\Policies\Microsoft\Windows NT\Printers\RPC').RpcTcpPort;if($noutput -eq $Null) {write-host 'Value Not Found'} else {$noutput}}else {write-host 'Path Not Found'}"</t>
  </si>
  <si>
    <t>#                 description : "QQ3SI - MSWRK - Limits print driver installation to Administrators is set to Enabled"</t>
  </si>
  <si>
    <t>#                        info : "This policy setting controls whether users who arent Administrators can install print drivers on the system."</t>
  </si>
  <si>
    <t>#             powershell_args : "if(Test-Path -Path 'HKLM:\Software\Policies\Microsoft\Windows NT\Printers\PointAndPrint'){$noutput = (Get-ItemProperty -Path 'HKLM:\Software\Policies\Microsoft\Windows NT\Printers\PointAndPrint').RestrictDriverInstallationToAdministrators;if($noutput -eq $Null) {write-host 'Value Not Found'} else {$noutput}}else {write-host 'Path Not Found'}"</t>
  </si>
  <si>
    <t>#                 description : "QQ3SI - MSWRK - Manage processing of Queue-specific files is set to Enabled: Limit Queue-specific files to Color profiles"</t>
  </si>
  <si>
    <t>#                        info :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t>
  </si>
  <si>
    <t>#             powershell_args : "if(Test-Path -Path 'HKLM:\Software\Policies\Microsoft\Windows NT\Printers'){$noutput = (Get-ItemProperty -Path 'HKLM:\Software\Policies\Microsoft\Windows NT\Printers').CopyFilesPolicy;if($noutput -eq $Null) {write-host 'Value Not Found'} else {$noutput}}else {write-host 'Path Not Found'}"</t>
  </si>
  <si>
    <t>#                 description : "QQSI - MSWRK - Boot-Start Driver Initialization Policy is set to Enabled: Good, unknown and bad but critical"</t>
  </si>
  <si>
    <t>#                        info :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t>
  </si>
  <si>
    <t>#                  value_data : "^3$"</t>
  </si>
  <si>
    <t>#             powershell_args : "if(Test-Path -Path 'HKLM:\System\CurrentControlSet\Policies\EarlyLaunch'){$noutput = (Get-ItemProperty -Path 'HKLM:\System\CurrentControlSet\Policies\EarlyLaunch').DriverLoadPolicy;if($noutput -eq $Null) {write-host 'Value Not Found'} else {$noutput}}else {write-host 'Path Not Found'}"</t>
  </si>
  <si>
    <t>#                 description : "QQCM - MSWRK - Configure registry policy processing: Do not apply during periodic background processing is set to Enabled: FALSE"</t>
  </si>
  <si>
    <t>#                        info : "The Do not apply during periodic background processing option prevents the system from updating affected registry policies in the background while the computer is in use. When background updates are disabled, registry policy changes will not take effect until the next user logon or system restart."</t>
  </si>
  <si>
    <t>#             powershell_args : "if(Test-Path -Path 'HKLM:\Software\Policies\Microsoft\Windows\Group Policy\{35378EAC-683F-11D2-A89A-00C04FBBCFA2}'){$noutput = (Get-ItemProperty -Path 'HKLM:\Software\Policies\Microsoft\Windows\Group Policy\{35378EAC-683F-11D2-A89A-00C04FBBCFA2}').NoBackgroundPolicy;if($noutput -eq $Null) {write-host 'Value Not Found'} else {$noutput}}else {write-host 'Path Not Found'}"</t>
  </si>
  <si>
    <t>#                 description : "QQCM - MSWRK - Configure registry policy processing: Process even if the Group Policy objects have not changed is set to Enabled: TRUE"</t>
  </si>
  <si>
    <t>#                        info : "The Process even if the Group Policy objects have not changed option updates and reapplies registry policies even if the registry policies have not changed."</t>
  </si>
  <si>
    <t>#             powershell_args : "if(Test-Path -Path 'HKLM:\Software\Policies\Microsoft\Windows\Group Policy\{35378EAC-683F-11D2-A89A-00C04FBBCFA2}'){$noutput = (Get-ItemProperty -Path 'HKLM:\Software\Policies\Microsoft\Windows\Group Policy\{35378EAC-683F-11D2-A89A-00C04FBBCFA2}').NoGPOListChanges;if($noutput -eq $Null) {write-host 'Value Not Found'} else {$noutput}}else {write-host 'Path Not Found'}"</t>
  </si>
  <si>
    <t>#                 description : "QQCM - MSWRK - Configure security policy processing: Do not apply during periodic background processing is set to Enabled: FALSE"</t>
  </si>
  <si>
    <t>#                        info : "The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</si>
  <si>
    <t>#             powershell_args : "if(Test-Path -Path 'HKLM:\Software\Policies\Microsoft\Windows\Group Policy\{827D319E-6EAC-11D2-A4EA-00C04F79F83A}'){$noutput = (Get-ItemProperty -Path 'HKLM:\Software\Policies\Microsoft\Windows\Group Policy\{827D319E-6EAC-11D2-A4EA-00C04F79F83A}').NoBackgroundPolicy;if($noutput -eq $Null) {write-host 'Value Not Found'} else {$noutput}}else {write-host 'Path Not Found'}"</t>
  </si>
  <si>
    <t>#                 description : "QQCM - MSWRK - Configure security policy processing: Process even if the Group Policy objects have not changed is set to Enabled: TRUE"</t>
  </si>
  <si>
    <t>#                        info : "The Process even if the Group Policy objects have not changed option updates and reapplies security policies even if the security policies have not changed."</t>
  </si>
  <si>
    <t>#             powershell_args : "if(Test-Path -Path 'HKLM:\Software\Policies\Microsoft\Windows\Group Policy\{827D319E-6EAC-11D2-A4EA-00C04F79F83A}'){$noutput = (Get-ItemProperty -Path 'HKLM:\Software\Policies\Microsoft\Windows\Group Policy\{827D319E-6EAC-11D2-A4EA-00C04F79F83A}').NoGPOListChanges;if($noutput -eq $Null) {write-host 'Value Not Found'} else {$noutput}}else {write-host 'Path Not Found'}"</t>
  </si>
  <si>
    <t>#                 description : "QQ3CM - MSWRK - Continue experiences on this device is set to Disabled"</t>
  </si>
  <si>
    <t>#                        info : "This policy setting determines whether the Windows device is allowed to participate in cross-device experiences (continue experiences)."</t>
  </si>
  <si>
    <t>#             powershell_args : "if(Test-Path -Path 'HKLM:\Software\Policies\Microsoft\Windows\System'){$noutput = (Get-ItemProperty -Path 'HKLM:\Software\Policies\Microsoft\Windows\System').EnableCdp;if($noutput -eq $Null) {write-host 'Value Not Found'} else {$noutput}}else {write-host 'Path Not Found'}"</t>
  </si>
  <si>
    <t>#                 description : "CM - MSWRK - Turn off background refresh of Group Policy is set to Disabled"</t>
  </si>
  <si>
    <t>#                        info : "This policy setting prevents Group Policy from being updated while the computer is in use. This policy setting applies to Group Policy for computers, users and Domain Controllers."</t>
  </si>
  <si>
    <t>#                  value_data : "HKLM\Software\Microsoft\Windows\CurrentVersion\Policies\System"</t>
  </si>
  <si>
    <t># key_item : "DisableBkGndGroupPolicy"</t>
  </si>
  <si>
    <t>#                 description : "QQCM - MSWRK - Turn off downloading of print drivers over HTTP is set to Enabled"</t>
  </si>
  <si>
    <t>#                        info : "This policy setting controls whether the computer can download print driver packages over HTTP. To set up HTTP printing, printer drivers that are not available in the standard operating system installation might need to be downloaded over HTTP."</t>
  </si>
  <si>
    <t>#             powershell_args : "if(Test-Path -Path 'HKLM:\Software\Policies\Microsoft\Windows NT\Printers'){$noutput = (Get-ItemProperty -Path 'HKLM:\Software\Policies\Microsoft\Windows NT\Printers').DisableWebPnPDownload;if($noutput -eq $Null) {write-host 'Value Not Found'} else {$noutput}}else {write-host 'Path Not Found'}"</t>
  </si>
  <si>
    <t>#                 description : "QQCM - MSWRK - Turn off Internet download for Web publishing and online ordering wizards is set to Enabled"</t>
  </si>
  <si>
    <t>#                        info : "This policy setting controls whether Windows will download a list of providers for the Web publishing and online ordering wizards."</t>
  </si>
  <si>
    <t>#             powershell_args : "if(Test-Path -Path 'HKLM:\Software\Microsoft\Windows\CurrentVersion\Policies\Explorer'){$noutput = (Get-ItemProperty -Path 'HKLM:\Software\Microsoft\Windows\CurrentVersion\Policies\Explorer').NoWebServices;if($noutput -eq $Null) {write-host 'Value Not Found'} else {$noutput}}else {write-host 'Path Not Found'}"</t>
  </si>
  <si>
    <t>#                 description : "QQCP - MSWRK - Configure password backup directory is set to Enabled: Active Directory or Enabled: Azure Active Directory"</t>
  </si>
  <si>
    <t>#                        info : "This policy setting configures which directory Windows LAPS will use to back up the local admin account password."</t>
  </si>
  <si>
    <t>#                   reference : "NIST 800-53r5|CP-9 "</t>
  </si>
  <si>
    <t>#             powershell_args : "if(Test-Path -Path 'HKLM:\Software\Microsoft\Windows\CurrentVersion\Policies\LAPS'){$noutput = (Get-ItemProperty -Path 'HKLM:\Software\Microsoft\Windows\CurrentVersion\Policies\LAPS').BackupDirectory;if($noutput -eq $Null) {write-host 'Value Not Found'} else {$noutput}}else {write-host 'Path Not Found'}"</t>
  </si>
  <si>
    <t>#                 description : "QQIA - MSWRK - Do not allow password expiration time longer than required by policy is set to Enabled"</t>
  </si>
  <si>
    <t>#                        info : "This policy setting configures whether the password age dictated by the Windows LAPS Password Settings policy is enforced and cannot be extended manually (only shortened) by an authorized technician."</t>
  </si>
  <si>
    <t>#                   reference : "NIST 800-53r5|IA-5(1)(d) "</t>
  </si>
  <si>
    <t>#             powershell_args : "if(Test-Path -Path 'HKLM:\Software\Microsoft\Windows\CurrentVersion\Policies\LAPS'){$noutput = (Get-ItemProperty -Path 'HKLM:\Software\Microsoft\Windows\CurrentVersion\Policies\LAPS').PasswordExpirationProtectionEnabled;if($noutput -eq $Null) {write-host 'Value Not Found'} else {$noutput}}else {write-host 'Path Not Found'}"</t>
  </si>
  <si>
    <t>#                 description : "QQAC - MSWRK - Enable password encryption is set to Enabled"</t>
  </si>
  <si>
    <t>#                        info : "This policy setting controls whether the Windows LAPS managed password is encrypted before being sent to Active Directory."</t>
  </si>
  <si>
    <t>#             powershell_args : "if(Test-Path -Path 'HKLM:\Software\Microsoft\Windows\CurrentVersion\Policies\LAPS'){$noutput = (Get-ItemProperty -Path 'HKLM:\Software\Microsoft\Windows\CurrentVersion\Policies\LAPS').ADPasswordEncryptionEnabled;if($noutput -eq $Null) {write-host 'Value Not Found'} else {$noutput}}else {write-host 'Path Not Found'}"</t>
  </si>
  <si>
    <t>#                 description : "QQ3IA - MSWRK - Password Settings: Password Complexity is set to Enabled: Large letters + small letters + numbers + special characters"</t>
  </si>
  <si>
    <t>#                        info : "This policy setting configures the Windows LAPS Password Settings policy for password complexity."</t>
  </si>
  <si>
    <t>#                  value_data : "^4$"</t>
  </si>
  <si>
    <t>#             powershell_args : "if(Test-Path -Path 'HKLM:\Software\Microsoft\Windows\CurrentVersion\Policies\LAPS'){$noutput = (Get-ItemProperty -Path 'HKLM:\Software\Microsoft\Windows\CurrentVersion\Policies\LAPS').PasswordComplexity;if($noutput -eq $Null) {write-host 'Value Not Found'} else {$noutput}}else {write-host 'Path Not Found'}"</t>
  </si>
  <si>
    <t>#                 description : "QQ3IA - MSWRK - Password Settings: Password Length is set to Enabled: 15 or more"</t>
  </si>
  <si>
    <t>#                        info : "This policy setting configures the Windows LAPS Password Settings policy for password length."</t>
  </si>
  <si>
    <t>#                  value_data : "8"</t>
  </si>
  <si>
    <t>#             powershell_args : "if(Test-Path -Path 'HKLM:\Software\Microsoft\Windows\CurrentVersion\Policies\LAPS'){$noutput = (Get-ItemProperty -Path 'HKLM:\Software\Microsoft\Windows\CurrentVersion\Policies\LAPS').PasswordLength;if($noutput -eq $Null) {write-host 'Value Not Found'} else {$noutput}}else {write-host 'Path Not Found'}"</t>
  </si>
  <si>
    <t>#                 description : "QQ3IA - MSWRK - Password Settings: Password Age (Days) is set to Enabled: 30 or fewer"</t>
  </si>
  <si>
    <t>#                  value_data : "30"</t>
  </si>
  <si>
    <t>#             powershell_args : "if(Test-Path -Path 'HKLM:\Software\Microsoft\Windows\CurrentVersion\Policies\LAPS'){$noutput = (Get-ItemProperty -Path 'HKLM:\Software\Microsoft\Windows\CurrentVersion\Policies\LAPS').PasswordAgeDays;if($noutput -eq $Null) {write-host 'Value Not Found'} else {$noutput}}else {write-host 'Path Not Found'}"</t>
  </si>
  <si>
    <t>#                 description : "QQ3IA - MSWRK - Post-authentication actions: Grace period (hours) is set to Enabled: 8 or fewer hours, but not 0"</t>
  </si>
  <si>
    <t>#                        info : "This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t>
  </si>
  <si>
    <t>#             powershell_args : "if(Test-Path -Path 'HKLM:\Software\Microsoft\Windows\CurrentVersion\Policies\LAPS'){$noutput = (Get-ItemProperty -Path 'HKLM:\Software\Microsoft\Windows\CurrentVersion\Policies\LAPS').PostAuthenticationResetDelay;if($noutput -eq $Null) {write-host 'Value Not Found'} else {$noutput}}else {write-host 'Path Not Found'}"</t>
  </si>
  <si>
    <t>#                 description : "QQIA - MSWRK - Post-authentication actions: Actions is set to Enabled: Reset the password and logoff the managed account or higher"</t>
  </si>
  <si>
    <t>#                        info : "This policy settings configures post-authentication actions which will be executed after detecting an authentication by the LAPS managed account. The Action refers to actions to take upon expiry of the grace period before executing the specified post-authentication actions."</t>
  </si>
  <si>
    <t>#                  value_data : "^3$" || "^5$"</t>
  </si>
  <si>
    <t>#             powershell_args : "if(Test-Path -Path 'HKLM:\Software\Microsoft\Windows\CurrentVersion\Policies\LAPS'){$noutput = (Get-ItemProperty -Path 'HKLM:\Software\Microsoft\Windows\CurrentVersion\Policies\LAPS').PostAuthenticationActions;if($noutput -eq $Null) {write-host 'Value Not Found'} else {$noutput}}else {write-host 'Path Not Found'}"</t>
  </si>
  <si>
    <t>#                 description : "QQ3SI - MSWRK - Allow Custom SSPs and APs to be loaded into LSASS is set to Disabled"</t>
  </si>
  <si>
    <t>#                        info : "This policy setting controls the configuration under which the Local Security Authority Subsystem Service (LSASS) will load custom Security Support Provider/Authentication Package (SSP/AP)."</t>
  </si>
  <si>
    <t>#             powershell_args : "if(Test-Path -Path 'HKLM:\Software\Policies\Microsoft\Windows\System'){$noutput = (Get-ItemProperty -Path 'HKLM:\Software\Policies\Microsoft\Windows\System').AllowCustomSSPsAPs;if($noutput -eq $Null) {write-host 'Value Not Found'} else {$noutput}}else {write-host 'Path Not Found'}"</t>
  </si>
  <si>
    <t>#                 description : "QQ3SI - MSWRK - Configures LSASS to run as a protected process is set to Enabled: Enabled with UEFI Lock"</t>
  </si>
  <si>
    <t>#                        info : "This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t>
  </si>
  <si>
    <t>#             powershell_args : "if(Test-Path -Path 'HKLM:\System\CurrentControlSet\Control\Lsa'){$noutput = (Get-ItemProperty -Path 'HKLM:\System\CurrentControlSet\Control\Lsa').RunAsPPL;if($noutput -eq $Null) {write-host 'Value Not Found'} else {$noutput}}else {write-host 'Path Not Found'}"</t>
  </si>
  <si>
    <t>#                 description : "QQ3CM - MSWRK - Block user from showing account details on sign-in is set to Enabled"</t>
  </si>
  <si>
    <t>#                        info : "This policy prevents the user from showing account details (email address or user name) on the sign-in screen."</t>
  </si>
  <si>
    <t>#             powershell_args : "if(Test-Path -Path 'HKLM:\Software\Policies\Microsoft\Windows\System'){$noutput = (Get-ItemProperty -Path 'HKLM:\Software\Policies\Microsoft\Windows\System').BlockUserFromShowingAccountDetailsOnSignin;if($noutput -eq $Null) {write-host 'Value Not Found'} else {$noutput}}else {write-host 'Path Not Found'}"</t>
  </si>
  <si>
    <t>#                 description : "QQ3AC - MSWRK - Do not display network selection UI is set to Enabled"</t>
  </si>
  <si>
    <t>#                        info : "This policy setting allows you to control whether anyone can interact with available networks UI on the logon screen."</t>
  </si>
  <si>
    <t>#             powershell_args : "if(Test-Path -Path 'HKLM:\Software\Policies\Microsoft\Windows\System'){$noutput = (Get-ItemProperty -Path 'HKLM:\Software\Policies\Microsoft\Windows\System').DontDisplayNetworkSelectionUI;if($noutput -eq $Null) {write-host 'Value Not Found'} else {$noutput}}else {write-host 'Path Not Found'}"</t>
  </si>
  <si>
    <t>#                 description : "QQ3AC - MSWRK - Do not enumerate connected users on domain-joined computers is set to Enabled"</t>
  </si>
  <si>
    <t>#                        info : "This policy setting prevents connected users from being enumerated on domain-joined computers."</t>
  </si>
  <si>
    <t>#             powershell_args : "if(Test-Path -Path 'HKLM:\Software\Policies\Microsoft\Windows\System'){$noutput = (Get-ItemProperty -Path 'HKLM:\Software\Policies\Microsoft\Windows\System').DontEnumerateConnectedUsers;if($noutput -eq $Null) {write-host 'Value Not Found'} else {$noutput}}else {write-host 'Path Not Found'}"</t>
  </si>
  <si>
    <t>#                 description : "QQ3AC - MSWRK - Enumerate local users on domain-joined computers is set to Disabled"</t>
  </si>
  <si>
    <t>#                        info : "This policy setting allows local users to be enumerated on domain-joined computers."</t>
  </si>
  <si>
    <t>#             powershell_args : "if(Test-Path -Path 'HKLM:\Software\Policies\Microsoft\Windows\System'){$noutput = (Get-ItemProperty -Path 'HKLM:\Software\Policies\Microsoft\Windows\System').EnumerateLocalUsers;if($noutput -eq $Null) {write-host 'Value Not Found'} else {$noutput}}else {write-host 'Path Not Found'}"</t>
  </si>
  <si>
    <t>#                 description : "QQCM - MSWRK - Turn off app notifications on the lock screen is set to Enabled"</t>
  </si>
  <si>
    <t>#                        info : "This policy setting allows you to prevent app notifications from appearing on the lock screen."</t>
  </si>
  <si>
    <t>#             powershell_args : "if(Test-Path -Path 'HKLM:\Software\Policies\Microsoft\Windows\System'){$noutput = (Get-ItemProperty -Path 'HKLM:\Software\Policies\Microsoft\Windows\System').DisableLockScreenAppNotifications;if($noutput -eq $Null) {write-host 'Value Not Found'} else {$noutput}}else {write-host 'Path Not Found'}"</t>
  </si>
  <si>
    <t>#                 description : "QQCM - MSWRK - Turn off picture password sign-in is set to Enabled"</t>
  </si>
  <si>
    <t>#                        info : "This policy setting allows you to control whether a domain user can sign in using a picture password."</t>
  </si>
  <si>
    <t>#             powershell_args : "if(Test-Path -Path 'HKLM:\Software\Policies\Microsoft\Windows\System'){$noutput = (Get-ItemProperty -Path 'HKLM:\Software\Policies\Microsoft\Windows\System').BlockDomainPicturePassword;if($noutput -eq $Null) {write-host 'Value Not Found'} else {$noutput}}else {write-host 'Path Not Found'}"</t>
  </si>
  <si>
    <t xml:space="preserve">                description : "CM - MSWRK - Turn on convenience PIN sign-in is set to Disabled"</t>
  </si>
  <si>
    <t xml:space="preserve">                       info : "This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t>
  </si>
  <si>
    <t xml:space="preserve">            powershell_args : "if(Test-Path -Path 'HKLM:\Software\Policies\Microsoft\Windows\System'){$noutput = (Get-ItemProperty -Path 'HKLM:\Software\Policies\Microsoft\Windows\System').AllowDomainPINLogon;if($noutput -eq $Null) {write-host 'Value Not Found'} else {$noutput}}else {write-host 'Path Not Found'}"</t>
  </si>
  <si>
    <t>#                 description : "QQ3AU - MSWRK - Include command line in process creation events is set to Enabled"</t>
  </si>
  <si>
    <t>#                        info : "This policy setting controls whether the process creation command line text is logged in security audit events when a new process has been created."</t>
  </si>
  <si>
    <t>#             powershell_args : "if(Test-Path -Path 'HKLM:\Software\Microsoft\Windows\CurrentVersion\Policies\System\Audit'){$noutput = (Get-ItemProperty -Path 'HKLM:\Software\Microsoft\Windows\CurrentVersion\Policies\System\Audit').ProcessCreationIncludeCmdLine_Enabled;if($noutput -eq $Null) {write-host 'Value Not Found'} else {$noutput}}else {write-host 'Path Not Found'}"</t>
  </si>
  <si>
    <t xml:space="preserve">                description : "CM - MSWRK - Allow network connectivity during connected-standby (on battery) is set to Disabled"</t>
  </si>
  <si>
    <t xml:space="preserve">                       info : "This policy setting allows you to control the network connectivity state in standby on modern standby-capable systems."</t>
  </si>
  <si>
    <t xml:space="preserve">                  reference : "NIST 800-53r5|CM-7b. "</t>
  </si>
  <si>
    <t xml:space="preserve">            powershell_args : "if(Test-Path -Path 'HKLM:\Software\Policies\Microsoft\Power\PowerSettings\f15576e8-98b7-4186-b944-eafa664402d9'){$noutput = (Get-ItemProperty -Path 'HKLM:\Software\Policies\Microsoft\Power\PowerSettings\f15576e8-98b7-4186-b944-eafa664402d9').DCSettingIndex;if($noutput -eq $Null) {write-host 'Value Not Found'} else {$noutput}}else {write-host 'Path Not Found'}"</t>
  </si>
  <si>
    <t xml:space="preserve">                description : "CM - MSWRK - Allow network connectivity during connected-standby (plugged in) is set to Disabled"</t>
  </si>
  <si>
    <t xml:space="preserve">            powershell_args : "if(Test-Path -Path 'HKLM:\Software\Policies\Microsoft\Power\PowerSettings\f15576e8-98b7-4186-b944-eafa664402d9'){$noutput = (Get-ItemProperty -Path 'HKLM:\Software\Policies\Microsoft\Power\PowerSettings\f15576e8-98b7-4186-b944-eafa664402d9').ACSettingIndex;if($noutput -eq $Null) {write-host 'Value Not Found'} else {$noutput}}else {write-host 'Path Not Found'}"</t>
  </si>
  <si>
    <t>#                 description : "QQAC - MSWRK - Require a password when a computer wakes (on battery) is set to Enabled"</t>
  </si>
  <si>
    <t>#                        info : "Specifies whether or not the user is prompted for a password when the system resumes from sleep."</t>
  </si>
  <si>
    <t>#             powershell_args : "if(Test-Path -Path 'HKLM:\Software\Policies\Microsoft\Power\PowerSettings\0e796bdb-100d-47d6-a2d5-f7d2daa51f51'){$noutput = (Get-ItemProperty -Path 'HKLM:\Software\Policies\Microsoft\Power\PowerSettings\0e796bdb-100d-47d6-a2d5-f7d2daa51f51').DCSettingIndex;if($noutput -eq $Null) {write-host 'Value Not Found'} else {$noutput}}else {write-host 'Path Not Found'}"</t>
  </si>
  <si>
    <t>#                 description : "QQAC - MSWRK - Require a password when a computer wakes (plugged in) is set to Enabled"</t>
  </si>
  <si>
    <t>#             powershell_args : "if(Test-Path -Path 'HKLM:\Software\Policies\Microsoft\Power\PowerSettings\0e796bdb-100d-47d6-a2d5-f7d2daa51f51'){$noutput = (Get-ItemProperty -Path 'HKLM:\Software\Policies\Microsoft\Power\PowerSettings\0e796bdb-100d-47d6-a2d5-f7d2daa51f51').ACSettingIndex;if($noutput -eq $Null) {write-host 'Value Not Found'} else {$noutput}}else {write-host 'Path Not Found'}"</t>
  </si>
  <si>
    <t>#                 description : "QQCM - MSWRK - Configure Offer Remote Assistance is set to Disabled"</t>
  </si>
  <si>
    <t>#                        info : "This policy setting allows you to turn on or turn off Offer (Unsolicited) Remote Assistance on this computer."</t>
  </si>
  <si>
    <t>#             powershell_args : "if(Test-Path -Path 'HKLM:\Software\policies\Microsoft\Windows NT\Terminal Services'){$noutput = (Get-ItemProperty -Path 'HKLM:\Software\policies\Microsoft\Windows NT\Terminal Services').fAllowUnsolicited;if($noutput -eq $Null) {write-host 'Value Not Found'} else {$noutput}}else {write-host 'Path Not Found'}"</t>
  </si>
  <si>
    <t xml:space="preserve">                description : "CM - MSWRK - Configure Solicited Remote Assistance is set to Disabled"</t>
  </si>
  <si>
    <t xml:space="preserve">                       info : "This policy setting allows you to turn on or turn off Solicited (Ask for) Remote Assistance on this computer."</t>
  </si>
  <si>
    <t xml:space="preserve">            powershell_args : "if(Test-Path -Path 'HKLM:\Software\policies\Microsoft\Windows NT\Terminal Services'){$noutput = (Get-ItemProperty -Path 'HKLM:\Software\policies\Microsoft\Windows NT\Terminal Services').fAllowToGetHelp;if($noutput -eq $Null) {write-host 'Value Not Found'} else {$noutput}}else {write-host 'Path Not Found'}"</t>
  </si>
  <si>
    <t>#                 description : "QQCM - MSWRK - Enable RPC Endpoint Mapper Client Authentication is set to Enabled"</t>
  </si>
  <si>
    <t>#                        info : "This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This policy setting can cause a specific issue with"</t>
  </si>
  <si>
    <t>#             powershell_args : "if(Test-Path -Path 'HKLM:\Software\Policies\Microsoft\Windows NT\Rpc'){$noutput = (Get-ItemProperty -Path 'HKLM:\Software\Policies\Microsoft\Windows NT\Rpc').EnableAuthEpResolution;if($noutput -eq $Null) {write-host 'Value Not Found'} else {$noutput}}else {write-host 'Path Not Found'}"</t>
  </si>
  <si>
    <t>#                 description : "QQCM - MSWRK - Restrict Unauthenticated RPC clients is set to Enabled: Authenticated"</t>
  </si>
  <si>
    <t>#                        info : "This policy setting controls how the RPC server runtime handles unauthenticated RPC clients connecting to RPC servers."</t>
  </si>
  <si>
    <t>#             powershell_args : "if(Test-Path -Path 'HKLM:\Software\Policies\Microsoft\Windows NT\Rpc'){$noutput = (Get-ItemProperty -Path 'HKLM:\Software\Policies\Microsoft\Windows NT\Rpc').RestrictRemoteClients;if($noutput -eq $Null) {write-host 'Value Not Found'} else {$noutput}}else {write-host 'Path Not Found'}"</t>
  </si>
  <si>
    <t>#                 description : "QQ3SI - MSWRK - Encryption Oracle Remediation is set to Enabled: Force Updated Clients"</t>
  </si>
  <si>
    <t>#                        info :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t>
  </si>
  <si>
    <t>#             powershell_args : "if(Test-Path -Path 'HKLM:\Software\Microsoft\Windows\CurrentVersion\Policies\System\CredSSP\Parameters'){$noutput = (Get-ItemProperty -Path 'HKLM:\Software\Microsoft\Windows\CurrentVersion\Policies\System\CredSSP\Parameters').AllowEncryptionOracle;if($noutput -eq $Null) {write-host 'Value Not Found'} else {$noutput}}else {write-host 'Path Not Found'}"</t>
  </si>
  <si>
    <t>#                 description : "QQIA - MSWRK - Remote host allows delegation of non-exportable credentials is set to Enabled"</t>
  </si>
  <si>
    <t>#                        info : "Remote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t>
  </si>
  <si>
    <t>#                   reference : "NIST 800-53r5|IA-5 "</t>
  </si>
  <si>
    <t>#             powershell_args : "if(Test-Path -Path 'HKLM:\Software\Policies\Microsoft\Windows\CredentialsDelegation'){$noutput = (Get-ItemProperty -Path 'HKLM:\Software\Policies\Microsoft\Windows\CredentialsDelegation').AllowProtectedCreds;if($noutput -eq $Null) {write-host 'Value Not Found'} else {$noutput}}else {write-host 'Path Not Found'}"</t>
  </si>
  <si>
    <t xml:space="preserve">                description : "SI - MSWRK - Turn On Virtualization Based Security is set to Enabled"</t>
  </si>
  <si>
    <t xml:space="preserve">                       info : "This policy setting specifies whether Virtualization Based Security is enabled. Virtualization Based Security uses the Windows Hypervisor to provide support for security services."</t>
  </si>
  <si>
    <t xml:space="preserve">                  reference : "NIST 800-53r5|SI-16 "</t>
  </si>
  <si>
    <t xml:space="preserve">            powershell_args : "if(Test-Path -Path 'HKLM:\Software\Policies\Microsoft\Windows\DeviceGuard'){$noutput = (Get-ItemProperty -Path 'HKLM:\Software\Policies\Microsoft\Windows\DeviceGuard').EnableVirtualizationBasedSecurity;if($noutput -eq $Null) {write-host 'Value Not Found'} else {$noutput}}else {write-host 'Path Not Found'}"</t>
  </si>
  <si>
    <t>#                 description : "QQAU - MSWRK - Enable Windows NTP Client is set to Enabled"</t>
  </si>
  <si>
    <t>#                        info : "This policy setting specifies whether the Windows NTP Client is enabled. Enabling the Windows NTP Client allows synchronization from a systems computer clock to NTP server(s)."</t>
  </si>
  <si>
    <t>#                   reference : "NIST 800-53r5|AU-7 "</t>
  </si>
  <si>
    <t>#             powershell_args : "if(Test-Path -Path 'HKLM:\Software\Policies\Microsoft\W32Time\TimeProviders\NtpClient'){$noutput = (Get-ItemProperty -Path 'HKLM:\Software\Policies\Microsoft\W32Time\TimeProviders\NtpClient').Enabled;if($noutput -eq $Null) {write-host 'Value Not Found'} else {$noutput}}else {write-host 'Path Not Found'}"</t>
  </si>
  <si>
    <t>#                 description : "QQAU - MSWRK - Enable Windows NTP Server is set to Disabled"</t>
  </si>
  <si>
    <t>#                        info : "This policy setting specifies whether the Windows NTP Server is enabled. Disabling this setting prevents the system from acting as a NTP Server (time source) to service NTP requests from other systems (NTP Clients)."</t>
  </si>
  <si>
    <t>#             powershell_args : "if(Test-Path -Path 'HKLM:\Software\Policies\Microsoft\W32Time\TimeProviders\NtpServer'){$noutput = (Get-ItemProperty -Path 'HKLM:\Software\Policies\Microsoft\W32Time\TimeProviders\NtpServer').Enabled;if($noutput -eq $Null) {write-host 'Value Not Found'} else {$noutput}}else {write-host 'Path Not Found'}"</t>
  </si>
  <si>
    <t xml:space="preserve">                description : "SI - MSWRK - Turn On Virtualization Based Security: Select Platform Security Level is set to Secure Boot or higher"</t>
  </si>
  <si>
    <t xml:space="preserve">                       info : "This policy setting specifies whether Virtualization Based Security (VBS) is enabled. VBS uses the Windows Hypervisor to provide support for security services."</t>
  </si>
  <si>
    <t xml:space="preserve">                 value_data : "^3$" || "^1$"</t>
  </si>
  <si>
    <t xml:space="preserve">            powershell_args : "if(Test-Path -Path 'HKLM:\Software\Policies\Microsoft\Windows\DeviceGuard'){$noutput = (Get-ItemProperty -Path 'HKLM:\Software\Policies\Microsoft\Windows\DeviceGuard').RequirePlatformSecurityFeatures;if($noutput -eq $Null) {write-host 'Value Not Found'} else {$noutput}}else {write-host 'Path Not Found'}"</t>
  </si>
  <si>
    <t>#                 description : "QQ3SI - MSWRK - Turn On Virtualization Based Security: Virtualization Based Protection of Code Integrity is set to Enabled with UEFI lock"</t>
  </si>
  <si>
    <t>#                        info : "This setting enables virtualization based protection of Kernel Mode Code Integrity. When this is enabled, kernel mode memory protections are enforced and the Code Integrity validation path is protected by the Virtualization Based Security feature."</t>
  </si>
  <si>
    <t>#             powershell_args : "if(Test-Path -Path 'HKLM:\Software\Policies\Microsoft\Windows\DeviceGuard'){$noutput = (Get-ItemProperty -Path 'HKLM:\Software\Policies\Microsoft\Windows\DeviceGuard').HypervisorEnforcedCodeIntegrity;if($noutput -eq $Null) {write-host 'Value Not Found'} else {$noutput}}else {write-host 'Path Not Found'}"</t>
  </si>
  <si>
    <t>#                 description : "QQ3SI - MSWRK - Turn On Virtualization Based Security: Require UEFI Memory Attributes Table is set to True (checked)"</t>
  </si>
  <si>
    <t>#                        info : "This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t>
  </si>
  <si>
    <t>#             powershell_args : "if(Test-Path -Path 'HKLM:\Software\Policies\Microsoft\Windows\DeviceGuard'){$noutput = (Get-ItemProperty -Path 'HKLM:\Software\Policies\Microsoft\Windows\DeviceGuard').HVCIMATRequired;if($noutput -eq $Null) {write-host 'Value Not Found'} else {$noutput}}else {write-host 'Path Not Found'}"</t>
  </si>
  <si>
    <t>#                 description : "QQ3SI - MSWRK - Turn On Virtualization Based Security: Credential Guard Configuration is set to Enabled with UEFI lock"</t>
  </si>
  <si>
    <t>#                        info : "This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t>
  </si>
  <si>
    <t>#             powershell_args : "if(Test-Path -Path 'HKLM:\Software\Policies\Microsoft\Windows\DeviceGuard'){$noutput = (Get-ItemProperty -Path 'HKLM:\Software\Policies\Microsoft\Windows\DeviceGuard').LsaCfgFlags;if($noutput -eq $Null) {write-host 'Value Not Found'} else {$noutput}}else {write-host 'Path Not Found'}"</t>
  </si>
  <si>
    <t>#                 description : "QQ3SI - MSWRK - Turn On Virtualization Based Security: Secure Launch Configuration is set to Enabled"</t>
  </si>
  <si>
    <t>#                        info : "Secure Launch protects the Virtualization Based Security environment from exploited vulnerabilities in device firmware."</t>
  </si>
  <si>
    <t>#             powershell_args : "if(Test-Path -Path 'HKLM:\Software\Policies\Microsoft\Windows\DeviceGuard'){$noutput = (Get-ItemProperty -Path 'HKLM:\Software\Policies\Microsoft\Windows\DeviceGuard').ConfigureSystemGuardLaunch;if($noutput -eq $Null) {write-host 'Value Not Found'} else {$noutput}}else {write-host 'Path Not Found'}"</t>
  </si>
  <si>
    <t>#                 description : "QQ3SI - MSWRK - Turn On Virtualization Based Security: Kernel-mode Hardware-enforced Stack Protection is set to Enabled: Enabled in enforcement mode"</t>
  </si>
  <si>
    <t>#                        info : "This policy setting enables Hardware-enforced Stack Protection for kernel-mode code. Kernel-mode data stacks are hardened with hardware-based shadow stacks, which store intended return address targets to ensure that program control flow is not tampered."</t>
  </si>
  <si>
    <t>#             powershell_args : "if(Test-Path -Path 'HKLM:\Software\Policies\Microsoft\Windows\DeviceGuard'){$noutput = (Get-ItemProperty -Path 'HKLM:\Software\Policies\Microsoft\Windows\DeviceGuard').ConfigureKernelShadowStacksLaunch;if($noutput -eq $Null) {write-host 'Value Not Found'} else {$noutput}}else {write-host 'Path Not Found'}"</t>
  </si>
  <si>
    <t>#                 description : "QQCM - MSWRK - Prevent device metadata retrieval from the Internet is set to Enabled"</t>
  </si>
  <si>
    <t>#                        info : "This policy setting allows you to prevent Windows from retrieving device metadata from the Internet."</t>
  </si>
  <si>
    <t>#                   reference : "NIST 800-53r5|CM-7(5) CM-10 "</t>
  </si>
  <si>
    <t>#             powershell_args : "if(Test-Path -Path 'HKLM:\Software\Policies\Microsoft\Windows\Device Metadata'){$noutput = (Get-ItemProperty -Path 'HKLM:\Software\Policies\Microsoft\Windows\Device Metadata').PreventDeviceMetadataFromNetwork;if($noutput -eq $Null) {write-host 'Value Not Found'} else {$noutput}}else {write-host 'Path Not Found'}"</t>
  </si>
  <si>
    <t>#                 description : "QQ2CM - MSWRK - Turn off toast notifications on the lock screen is set to Enabled"</t>
  </si>
  <si>
    <t>#                        info : "This policy setting turns off toast notifications on the lock screen."</t>
  </si>
  <si>
    <t>#             powershell_args : "$noutput = (Get-ItemProperty -Path 'registry::hkey_users\S-1-5-21*\Software\Policies\Microsoft\Windows\CurrentVersion\PushNotifications').NoToastApplicationNotificationOnLockScreen; if ($noutput -eq $Null) {write-host 'Not Found'} else {$noutput}"</t>
  </si>
  <si>
    <t>#                 description : "QQ3AC - MSWRK - Prevent users from sharing files within their profile. is set to Enabled"</t>
  </si>
  <si>
    <t>#                        info :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t>
  </si>
  <si>
    <t>#                   reference : "NIST 800-53r5|AC-3 "</t>
  </si>
  <si>
    <t>#             powershell_args : "$noutput = (Get-ItemProperty -Path 'registry::hkey_users\S-1-5-21*\Software\Microsoft\Windows\CurrentVersion\Policies\Explorer').NoInplaceSharing; if ($noutput -eq $Null) {write-host 'Not Found'} else {$noutput}"</t>
  </si>
  <si>
    <t>#                 description : "QQCM - MSWRK - Turn off Windows Copilot is set to Enabled"</t>
  </si>
  <si>
    <t>#                        info : "This policy setting configures the use of Windows Copilot. Windows Copilot is an artificial intelligence (AI) assistant thats integrated in Microsoft Windows workstation OSes, beginning with Windows 11 Release 23H2."</t>
  </si>
  <si>
    <t>#             powershell_args : "$noutput = (Get-ItemProperty -Path 'registry::hkey_users\S-1-5-21*\Software\Policies\Microsoft\Windows\WindowsCopilot').TurnOffWindowsCopilot; if ($noutput -eq $Null) {write-host 'Not Found'} else {$noutput}"</t>
  </si>
  <si>
    <t>#                 description : "QQ3AC - MSWRK - Always install with elevated privileges is set to Disabled for user"</t>
  </si>
  <si>
    <t>#             powershell_args : "$noutput = (Get-ItemProperty -Path 'registry::hkey_users\S-1-5-21*\Software\Policies\Microsoft\Windows\Installer').AlwaysInstallElevated; if ($noutput -eq $Null) {write-host 'Not Found'} else {$noutput}"</t>
  </si>
  <si>
    <t>#                 description : "QQ3CM - MSWRK - Do not preserve zone information in file attachments is set to Disabled"</t>
  </si>
  <si>
    <t>#                        info :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</si>
  <si>
    <t>#             powershell_args : "$noutput = (Get-ItemProperty -Path 'registry::hkey_users\S-1-5-21*\Software\Microsoft\Windows\CurrentVersion\Policies\Attachments').SaveZoneInformation; if ($noutput -eq $Null) {write-host 'Not Found'} else {$noutput}"</t>
  </si>
  <si>
    <t>#                 description : "QQ3SI - MSWRK - Notify antivirus programs when opening attachments is set to Enabled"</t>
  </si>
  <si>
    <t>#                        info : "This policy setting manages the behavior for notifying registered antivirus programs. If multiple programs are registered, they will all be notified."</t>
  </si>
  <si>
    <t>#             powershell_args : "$noutput = (Get-ItemProperty -Path 'registry::hkey_users\S-1-5-21*\Software\Microsoft\Windows\CurrentVersion\Policies\Attachments').ScanWithAntiVirus; if ($noutput -eq $Null) {write-host 'Not Found'} else {$noutput}"</t>
  </si>
  <si>
    <t>#                 description : "QQ3AC - MSWRK - Configure Windows spotlight on lock screen is set to Disabled"</t>
  </si>
  <si>
    <t>#                        info : "This policy setting lets you configure Windows Spotlight on the lock screen."</t>
  </si>
  <si>
    <t>#             powershell_args : "$noutput = (Get-ItemProperty -Path 'registry::hkey_users\S-1-5-21*\Software\Policies\Microsoft\Windows\CloudContent').ConfigureWindowsSpotlight; if ($noutput -eq $Null) {write-host 'Not Found'} else {$noutput}"</t>
  </si>
  <si>
    <t>#                 description : "QQ3CM - MSWRK - Do not suggest third-party content in Windows spotlight is set to Enabled"</t>
  </si>
  <si>
    <t>#                        info : "This policy setting determines whether Windows will suggest apps and content from third-party software publishers."</t>
  </si>
  <si>
    <t>#             powershell_args : "$noutput = (Get-ItemProperty -Path 'registry::hkey_users\S-1-5-21*\Software\Policies\Microsoft\Windows\CloudContent').DisableThirdPartySuggestions; if ($noutput -eq $Null) {write-host 'Not Found'} else {$noutput}"</t>
  </si>
  <si>
    <t>#                 description : "QQ3CM - MSWRK - Turn off Spotlight collection on Desktop is set to Enabled"</t>
  </si>
  <si>
    <t>#                        info : "This policy setting removes the Spotlight collection setting in Personalization, rendering the user unable to select and subsequently download daily images from Microsoft to the system desktop."</t>
  </si>
  <si>
    <t>#             powershell_args : "$noutput = (Get-ItemProperty -Path 'registry::hkey_users\S-1-5-21*\:Software\Policies\Microsoft\Windows\CloudContent').DisableSpotlightCollectionOnDesktop; if ($noutput -eq $Null) {write-host 'Not Found'} else {$noutput}"</t>
  </si>
  <si>
    <t xml:space="preserve">                description : "AC - MSWRK - Access Credential Manager as a trusted caller is set to No One"</t>
  </si>
  <si>
    <t xml:space="preserve">                       info : "This security setting is used by Credential Manager during Backup and Restore. No accounts should have this user right, as it is only assigned to Winlogon. Users saved credentials might be compromised if this user right is assigned to other entities."</t>
  </si>
  <si>
    <t xml:space="preserve">                  reference : "NIST 800-53r5|AC-2 AC-5 AC-6 AC-6(1) AC-6(7) "</t>
  </si>
  <si>
    <t xml:space="preserve">                 right_type : SeTrustedCredManAccessPrivilege</t>
  </si>
  <si>
    <t xml:space="preserve">                description : "AC - MSWRK - Ensure Create a pagefile is set to Administrators"</t>
  </si>
  <si>
    <t xml:space="preserve">                       info : "This policy setting allows users to change the size of the pagefile."</t>
  </si>
  <si>
    <t xml:space="preserve">                 value_data : "administrators"</t>
  </si>
  <si>
    <t xml:space="preserve">                 right_type : SeCreatePagefilePrivilege</t>
  </si>
  <si>
    <t xml:space="preserve">                description : "AC - MSWRK - Create a token object is set to No One"</t>
  </si>
  <si>
    <t xml:space="preserve">                       info : "This policy setting allows a process to create an access token, which may provide elevated rights to access sensitive data."</t>
  </si>
  <si>
    <t xml:space="preserve">                 right_type : SeCreateTokenPrivilege</t>
  </si>
  <si>
    <t xml:space="preserve">                description : "AC - MSWRK - Create global objects is set to Administrators, LOCAL SERVICE, NETWORK SERVICE, SERVICE"</t>
  </si>
  <si>
    <t xml:space="preserve">                       info : "This policy setting determines whether users can create global objects that are available to all sessions. Users can still create objects that are specific to their own session if they do not have this user right."</t>
  </si>
  <si>
    <t xml:space="preserve">                 value_data : "Administrators" &amp;&amp; "LOCAL SERVICE" &amp;&amp; "NETWORK SERVICE" &amp;&amp; "SERVICE"</t>
  </si>
  <si>
    <t xml:space="preserve">                 right_type : SeCreateGlobalPrivilege</t>
  </si>
  <si>
    <t xml:space="preserve">                description : "AC - MSWRK - Create permanent shared objects is set to No One"</t>
  </si>
  <si>
    <t xml:space="preserve">                       info : "This user right is useful to kernel-mode components that extend the object namespace. However, components that run in kernel mode have this user right inherently. Therefore, it is typically not necessary to specifically assign this user right."</t>
  </si>
  <si>
    <t xml:space="preserve">                 right_type : SeCreatePermanentPrivilege</t>
  </si>
  <si>
    <t xml:space="preserve">                description : "AC - MSWRK - Configure Create symbolic links"</t>
  </si>
  <si>
    <t xml:space="preserve">                       info :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t>
  </si>
  <si>
    <t xml:space="preserve">                 value_data : ("Administrators" || ("Administrators" &amp;&amp; "Virtual Machines") || ("Administrators" &amp;&amp; "NT VIRTUAL MACHINE\Virtual Machines"))</t>
  </si>
  <si>
    <t xml:space="preserve">                 right_type : SeCreateSymbolicLinkPrivilege</t>
  </si>
  <si>
    <t xml:space="preserve">                description : "AC - MSWRK - Debug programs is set to Administrators"</t>
  </si>
  <si>
    <t xml:space="preserve">                       info : "This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</si>
  <si>
    <t xml:space="preserve">                 value_data : "Administrators"</t>
  </si>
  <si>
    <t xml:space="preserve">                 right_type : SeDebugPrivilege</t>
  </si>
  <si>
    <t>#                        type : USER_RIGHTS_POLICY</t>
  </si>
  <si>
    <t>#                 description : "QQ3AC - MSWRK - Deny access to this computer from the network to include Guests, Local account"</t>
  </si>
  <si>
    <t>#                        info :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t>
  </si>
  <si>
    <t>#                   reference : "NIST 800-53r5|AC-2 AC-5 AC-6 AC-6(1) AC-6(7) "</t>
  </si>
  <si>
    <t>#                  value_type : USER_RIGHT</t>
  </si>
  <si>
    <t>#                  value_data : "Guests" &amp;&amp; "Local account"</t>
  </si>
  <si>
    <t>#                  right_type : SeDenyNetworkLogonRight</t>
  </si>
  <si>
    <t>#                  check_type : CHECK_SUPERSET</t>
  </si>
  <si>
    <t>#                 description : "QQAC - MSWRK - Deny log on as a batch job to include Guests"</t>
  </si>
  <si>
    <t>#                        info : "This policy setting determines which accounts will not be able to log on to the computer as a batch job. A batch job is not a batch (.bat) file, but rather a batch-queue facility. Accounts that use the Task Scheduler to schedule jobs need this user right."</t>
  </si>
  <si>
    <t>#                  value_data : "Guests"</t>
  </si>
  <si>
    <t>#                  right_type : SeDenyBatchLogonRight</t>
  </si>
  <si>
    <t xml:space="preserve">                description : "AC - MSWRK - Deny log on as a service to include Guests"</t>
  </si>
  <si>
    <t xml:space="preserve">                       info : "This security setting determines which service accounts are prevented from registering a process as a service. This user right supersedes the Log on as a service user right if an account is subject to both policies."</t>
  </si>
  <si>
    <t xml:space="preserve">                 value_data : "Guests"</t>
  </si>
  <si>
    <t xml:space="preserve">                 right_type : SeDenyServiceLogonRight</t>
  </si>
  <si>
    <t xml:space="preserve">                 check_type : CHECK_SUPERSET</t>
  </si>
  <si>
    <t xml:space="preserve">                description : "AC - MSWRK - Ensure Deny log on locally to include Guests"</t>
  </si>
  <si>
    <t xml:space="preserve">                       info : "This security setting determines which users are prevented from logging on at the computer."</t>
  </si>
  <si>
    <t xml:space="preserve">                 value_data : "domain guests" &amp;&amp; "guests"</t>
  </si>
  <si>
    <t xml:space="preserve">                 right_type : SeDenyInteractiveLogonRight</t>
  </si>
  <si>
    <t xml:space="preserve">                description : "AC - MSWRK - Access this computer from the network is set to Administrators, Remote Desktop Users"</t>
  </si>
  <si>
    <t xml:space="preserve">                       info : "This policy setting allows other users on the network to connect to the computer and is required by various network protocols that include Server Message Block (SMB)-based protocols, NetBIOS, Common Internet File System (CIFS), and Component Object Model Plus (COM+)."</t>
  </si>
  <si>
    <t xml:space="preserve">                 value_data : "Administrators" &amp;&amp; "Remote Desktop Users"</t>
  </si>
  <si>
    <t xml:space="preserve">                 right_type : SeNetworkLogonRight</t>
  </si>
  <si>
    <t>#                 description : "QQ3AC - MSWRK - Deny log on through Remote Desktop Services to include Guests, Local account"</t>
  </si>
  <si>
    <t>#                        info : "This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t>
  </si>
  <si>
    <t>#                  right_type : SeDenyRemoteInteractiveLogonRight</t>
  </si>
  <si>
    <t xml:space="preserve">                description : "AC - MSWRK - Enable computer and user accounts to be trusted for delegation is set to No One"</t>
  </si>
  <si>
    <t xml:space="preserve">                       info : "This policy setting allows users to change the Trusted for Delegation setting on a computer object in Active Directory. Abuse of this privilege could allow unauthorized users to impersonate other users on the network."</t>
  </si>
  <si>
    <t xml:space="preserve">                 right_type : SeEnableDelegationPrivilege</t>
  </si>
  <si>
    <t xml:space="preserve">                description : "AC - MSWRK - Force shutdown from a remote system is set to Administrators"</t>
  </si>
  <si>
    <t xml:space="preserve">                       info : "This policy setting allows users to shut down Windows Vista-based or newer computers from remote locations on the network. Anyone who has been assigned this user right can cause a denial of service (DoS) condition, which would make the computer unavailable to service user requests. Therefore, it is recommended that only highly trusted administrators be assigned this user right."</t>
  </si>
  <si>
    <t xml:space="preserve">                 right_type : SeRemoteShutdownPrivilege</t>
  </si>
  <si>
    <t xml:space="preserve">                description : "AC - MSWRK - Generate security audits is set to LOCAL SERVICE, NETWORK SERVICE"</t>
  </si>
  <si>
    <t xml:space="preserve">                       info : "This policy setting determines which users or processes can generate audit records in the Security log."</t>
  </si>
  <si>
    <t xml:space="preserve">                 value_data : "LOCAL SERVICE" &amp;&amp; "NETWORK SERVICE"</t>
  </si>
  <si>
    <t xml:space="preserve">                 right_type : SeAuditPrivilege</t>
  </si>
  <si>
    <t xml:space="preserve">                description : "AC - MSWRK - Impersonate a client after authentication is set to Administrators, LOCAL SERVICE, NETWORK SERVICE, SERVICE"</t>
  </si>
  <si>
    <t xml:space="preserve">                       info :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</si>
  <si>
    <t xml:space="preserve">                 right_type : SeImpersonatePrivilege</t>
  </si>
  <si>
    <t xml:space="preserve">                description : "AC - MSWRK - Increase scheduling priority is set to Administrators, Window Manager\Window Manager Group"</t>
  </si>
  <si>
    <t xml:space="preserve">                       info : "This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t>
  </si>
  <si>
    <t xml:space="preserve">                 value_data : ("Administrators" &amp;&amp; "Window Manager Group") || ("Administrators" &amp;&amp; "Window Manager\Window Manager Group")</t>
  </si>
  <si>
    <t xml:space="preserve">                 right_type : SeIncreaseBasePriorityPrivilege</t>
  </si>
  <si>
    <t xml:space="preserve">                description : "AC - MSWRK - Load and unload device drivers is set to Administrators"</t>
  </si>
  <si>
    <t xml:space="preserve">                       info : "This policy setting allows users to dynamically load a new device driver on a system. An attacker could potentially use this capability to install malicious code that appears to be a device driver. This user right is required for users to add local printers or printer drivers in Windows Vista."</t>
  </si>
  <si>
    <t xml:space="preserve">                 right_type : SeLoadDriverPrivilege</t>
  </si>
  <si>
    <t xml:space="preserve">                description : "AC - MSWRK - Lock pages in memory is set to No One"</t>
  </si>
  <si>
    <t xml:space="preserve">                       info : "This policy setting allows a process to keep data in physical memory, which prevents the system from paging the data to virtual memory on disk. If this user right is assigned, significant degradation of system performance can occur."</t>
  </si>
  <si>
    <t xml:space="preserve">                 right_type : SeLockMemoryPrivilege</t>
  </si>
  <si>
    <t xml:space="preserve">                description : "AC - MSWRK - Act as part of the operating system is set to No One"</t>
  </si>
  <si>
    <t xml:space="preserve">                       info : "This policy setting allows a process to assume the identity of any user and thus gain access to the resources that the user is authorized to access."</t>
  </si>
  <si>
    <t xml:space="preserve">                 right_type : SeTcbPrivilege</t>
  </si>
  <si>
    <t xml:space="preserve">                description : "AC - MSWRK - Manage auditing and security log is set to Administrators"</t>
  </si>
  <si>
    <t xml:space="preserve">                       info : "This policy setting determines which users can change the auditing options for files and directories and clear the Security log."</t>
  </si>
  <si>
    <t xml:space="preserve">                 right_type : SeSecurityPrivilege</t>
  </si>
  <si>
    <t xml:space="preserve">                description : "AC - MSWRK - Modify an object label is set to No One"</t>
  </si>
  <si>
    <t xml:space="preserve">                       info :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t>
  </si>
  <si>
    <t xml:space="preserve">                 right_type : SeReLabelPrivilege</t>
  </si>
  <si>
    <t xml:space="preserve">                description : "AC - MSWRK - Modify firmware environment values is set to Administrators"</t>
  </si>
  <si>
    <t xml:space="preserve">                       info : "This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 of service condition."</t>
  </si>
  <si>
    <t xml:space="preserve">                 right_type : SeSystemEnvironmentPrivilege</t>
  </si>
  <si>
    <t xml:space="preserve">                description : "AC - MSWRK - Perform volume maintenance tasks is set to Administrators"</t>
  </si>
  <si>
    <t xml:space="preserve">                       info : "This policy setting allows users to manage the systems volume or disk configuration, which could allow a user to delete a volume and cause data loss as well as a denial-of-service condition."</t>
  </si>
  <si>
    <t xml:space="preserve">                 right_type : SeManageVolumePrivilege</t>
  </si>
  <si>
    <t xml:space="preserve">                description : "AC - MSWRK - Profile single process is set to Administrators"</t>
  </si>
  <si>
    <t xml:space="preserve">                       info : "This policy setting determines which users can use tools to monitor the performance of non-system processes. Typically, you do not need to configure this user right to use the Microsoft Management Console (MMC) Performance snap-in. However, you do need this user right if System Monitor is configured to collect data using Windows Management Instrumentation (WMI). Restricting the Profile single process user right prevents intruders from gaining additional information that could be used to mount an attack on the system."</t>
  </si>
  <si>
    <t xml:space="preserve">                 right_type : SeProfileSingleProcessPrivilege</t>
  </si>
  <si>
    <t xml:space="preserve">                description : "AC - MSWRK - Profile system performance is set to Administrators, NT SERVICE\WdiServiceHost"</t>
  </si>
  <si>
    <t xml:space="preserve">                       info : "This policy setting allows users to use tools to view the performance of different system processes, which could be abused to allow attackers to determine a systems active processes and provide insight into the potential attack surface of the computer."</t>
  </si>
  <si>
    <t xml:space="preserve">                 value_data : "Administrators" &amp;&amp; ("NT SERVICE\WdiServiceHost" || "WdiServiceHost")</t>
  </si>
  <si>
    <t xml:space="preserve">                 right_type : SeSystemProfilePrivilege</t>
  </si>
  <si>
    <t xml:space="preserve">                description : "AC - MSWRK - Replace a process level token is set to LOCAL SERVICE, NETWORK SERVICE"</t>
  </si>
  <si>
    <t xml:space="preserve">                       info : "This policy setting allows one process or service to start another service or process with a different security access token, which can be used to modify the security access token of that sub-process and result in the escalation of privileges."</t>
  </si>
  <si>
    <t xml:space="preserve">                 right_type : SeAssignPrimaryTokenPrivilege</t>
  </si>
  <si>
    <t xml:space="preserve">                description : "AC - MSWRK - Restore files and directories is set to Administrators"</t>
  </si>
  <si>
    <t xml:space="preserve">                       info : "This policy setting determines which users can bypass file, directory, registry, and other persistent object permissions when restoring backed up files and directories on computers that run Windows Vista (or newer) in your environment. This user right also determines which users can set valid security principals as object owners; it is similar to the Back up files and directories user right."</t>
  </si>
  <si>
    <t xml:space="preserve">                 right_type : SeRestorePrivilege</t>
  </si>
  <si>
    <t xml:space="preserve">                description : "AC - MSWRK - Shut down the system is set to Administrators, Users"</t>
  </si>
  <si>
    <t xml:space="preserve">                       info : "This policy setting determines which users who are logged on locally to the computers in your environment can shut down the operating system with the Shut Down command. Misuse of this user right can result in a denial of service condition."</t>
  </si>
  <si>
    <t xml:space="preserve">                 value_data : "Users" &amp;&amp; "Administrators"</t>
  </si>
  <si>
    <t xml:space="preserve">                 right_type : SeShutdownPrivilege</t>
  </si>
  <si>
    <t xml:space="preserve">                description : "AC - MSWRK - Take ownership of files or other objects is set to Administrators"</t>
  </si>
  <si>
    <t xml:space="preserve">                       info : "This policy setting allows users to take ownership of files, folders, registry keys, processes, or threads. This user right bypasses any permissions that are in place to protect objects to give ownership to the specified user."</t>
  </si>
  <si>
    <t xml:space="preserve">                 right_type : SeTakeOwnershipPrivilege</t>
  </si>
  <si>
    <t xml:space="preserve">                description : "AC - MSWRK - Adjust memory quotas for a process is set to Administrators, LOCAL SERVICE, NETWORK SERVICE"</t>
  </si>
  <si>
    <t xml:space="preserve">                       info : "This policy setting allows a user to adjust the maximum amount of memory that is available to a process. The ability to adjust memory quotas is useful for system tuning, but it can be abused. In the wrong hands, it could be used to launch a denial of service (DoS) attack."</t>
  </si>
  <si>
    <t xml:space="preserve">                 value_data : "Administrators" &amp;&amp; "LOCAL SERVICE" &amp;&amp; "NETWORK SERVICE"</t>
  </si>
  <si>
    <t xml:space="preserve">                 right_type : SeIncreaseQuotaPrivilege</t>
  </si>
  <si>
    <t xml:space="preserve">                description : "AC - MSWRK - Allow log on locally is set to Administrators, Users"</t>
  </si>
  <si>
    <t xml:space="preserve">                       info :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t>
  </si>
  <si>
    <t xml:space="preserve">                 value_data : "Administrators" &amp;&amp; "Users"</t>
  </si>
  <si>
    <t xml:space="preserve">                 right_type : SeInteractiveLogonRight</t>
  </si>
  <si>
    <t xml:space="preserve">                description : "AC - MSWRK - Allow log on through Remote Desktop Services is set to Administrators, Remote Desktop Users"</t>
  </si>
  <si>
    <t xml:space="preserve">                       info : "This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t>
  </si>
  <si>
    <t xml:space="preserve">                 right_type : SeRemoteInteractiveLogonRight</t>
  </si>
  <si>
    <t xml:space="preserve">                description : "AC - MSWRK - Back up files and directories is set to Administrators"</t>
  </si>
  <si>
    <t xml:space="preserve">                       info : "This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</si>
  <si>
    <t xml:space="preserve">                 right_type : SeBackupPrivilege</t>
  </si>
  <si>
    <t xml:space="preserve">                description : "AC - MSWRK - Ensure Change the system time is set to Administrators, LOCAL SERVICE'"</t>
  </si>
  <si>
    <t xml:space="preserve">                       info : "This policy setting determines which users and groups can change the time and date on the internal clock of the computers in your environment."</t>
  </si>
  <si>
    <t xml:space="preserve">                 right_type : SeSystemTimePrivilege</t>
  </si>
  <si>
    <t xml:space="preserve">                description : "AC - MSWRK - Ensure Change the time zone is set to Administrators, LOCAL SERVICE'"</t>
  </si>
  <si>
    <t xml:space="preserve">                description : "AC - MSWRK - Network access: Allow anonymous SID/Name translation is set to Disabled"</t>
  </si>
  <si>
    <t>#                 description : "QQ3AC - MSWRK - Network access: Restrict clients allowed to make remote calls to SAM is set to Administrators: Remote Access: Allow"</t>
  </si>
  <si>
    <t>#                        info : "This policy setting allows you to restrict remote RPC connections to SAM."</t>
  </si>
  <si>
    <t>#                   reference : "NIST 800-53r5|AC-6(3) "</t>
  </si>
  <si>
    <t>#                  value_data : "O:BAG:BAD:(A;;RC;;;BA)"</t>
  </si>
  <si>
    <t>#             powershell_args : "if(Test-Path -Path 'HKLM:\SYSTEM\CurrentControlSet\Control\Lsa'){$noutput = (Get-ItemProperty -Path 'HKLM:\SYSTEM\CurrentControlSet\Control\Lsa').restrictremotesam;if($noutput -eq $Null) {write-host 'Value Not Found'} else {$noutput}}else {write-host 'Path Not Found'}"</t>
  </si>
  <si>
    <t xml:space="preserve">                description : "AC - MSWRK - Network access: Shares that can be accessed anonymously is set to None"</t>
  </si>
  <si>
    <t xml:space="preserve">                description : "CM - MSWRK - Network access: Sharing and security model for local accounts is set to Classic - local users authenticate as themselves"</t>
  </si>
  <si>
    <t xml:space="preserve">                       info : "This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t>
  </si>
  <si>
    <t xml:space="preserve">            powershell_args : "if(Test-Path -Path 'HKLM:\System\CurrentControlSet\Control\Lsa'){$noutput = (Get-ItemProperty -Path 'HKLM:\System\CurrentControlSet\Control\Lsa').ForceGuest;if($noutput -eq $Null) {write-host 'Value Not Found'} else {$noutput}}else {write-host 'Path Not Found'}"</t>
  </si>
  <si>
    <t xml:space="preserve">                description : "AC - MSWRK - Network access: Do not allow anonymous enumeration of SAM accounts is set to Enabled"</t>
  </si>
  <si>
    <t xml:space="preserve">                       info : "This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t>
  </si>
  <si>
    <t xml:space="preserve">            powershell_args : "if(Test-Path -Path 'HKLM:\System\CurrentControlSet\Control\Lsa'){$noutput = (Get-ItemProperty -Path 'HKLM:\System\CurrentControlSet\Control\Lsa').RestrictAnonymousSAM;if($noutput -eq $Null) {write-host 'Value Not Found'} else {$noutput}}else {write-host 'Path Not Found'}"</t>
  </si>
  <si>
    <t>#                 description : "QQAC - MSWRK - Network access: Do not allow anonymous enumeration of SAM accounts and shares is set to Enabled"</t>
  </si>
  <si>
    <t>#                        info : "This policy setting controls the ability of anonymous users to enumerate SAM accounts as well as shares. If you enable this policy setting, anonymous users will not be able to enumerate domain account user names and network share names on the systems in your environment."</t>
  </si>
  <si>
    <t>#             powershell_args : "if(Test-Path -Path 'HKLM:\System\CurrentControlSet\Control\Lsa'){$noutput = (Get-ItemProperty -Path 'HKLM:\System\CurrentControlSet\Control\Lsa').RestrictAnonymous;if($noutput -eq $Null) {write-host 'Value Not Found'} else {$noutput}}else {write-host 'Path Not Found'}"</t>
  </si>
  <si>
    <t>#                 description : "QQ3IA - MSWRK - Network access: Do not allow storage of passwords and credentials for network authentication is set to Enabled"</t>
  </si>
  <si>
    <t>#                        info : "This policy setting determines whether Credential Manager (formerly called Stored User Names and Passwords) saves passwords or credentials for later use when it gains domain authentication."</t>
  </si>
  <si>
    <t>#                   reference : "NIST 800-53r5|IA-5(1)(c) "</t>
  </si>
  <si>
    <t>#             powershell_args : "if(Test-Path -Path 'HKLM:\System\CurrentControlSet\Control\Lsa'){$noutput = (Get-ItemProperty -Path 'HKLM:\System\CurrentControlSet\Control\Lsa').DisableDomainCreds;if($noutput -eq $Null) {write-host 'Value Not Found'} else {$noutput}}else {write-host 'Path Not Found'}"</t>
  </si>
  <si>
    <t xml:space="preserve">                description : "AC - MSWRK - Network access: Let Everyone permissions apply to anonymous users is set to Disabled"</t>
  </si>
  <si>
    <t xml:space="preserve">                       info : "This policy setting determines what additional permissions are assigned for anonymous connections to the computer."</t>
  </si>
  <si>
    <t xml:space="preserve">            powershell_args : "if(Test-Path -Path 'HKLM:\System\CurrentControlSet\Control\Lsa'){$noutput = (Get-ItemProperty -Path 'HKLM:\System\CurrentControlSet\Control\Lsa').EveryoneIncludesAnonymous;if($noutput -eq $Null) {write-host 'Value Not Found'} else {$noutput}}else {write-host 'Path Not Found'}"</t>
  </si>
  <si>
    <t xml:space="preserve">                description : "IA - MSWRK - Network access: Named Pipes that can be accessed anonymously is set to None"</t>
  </si>
  <si>
    <t xml:space="preserve">                description : "AC - MSWRK - Network access: Remotely accessible registry paths is configured"</t>
  </si>
  <si>
    <t xml:space="preserve">                description : "AC - MSWRK - Network access: Remotely accessible registry paths and sub-paths is configured"</t>
  </si>
  <si>
    <t xml:space="preserve">                description : "AC - MSWRK - Network access: Restrict anonymous access to Named Pipes and Shares is set to Enabled"</t>
  </si>
  <si>
    <t xml:space="preserve">                       info : "When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t>
  </si>
  <si>
    <t xml:space="preserve">            powershell_args : "if(Test-Path -Path 'HKLM:\System\CurrentControlSet\Services\LanManServer\Parameters'){$noutput = (Get-ItemProperty -Path 'HKLM:\System\CurrentControlSet\Services\LanManServer\Parameters').RestrictNullSessAccess;if($noutput -eq $Null) {write-host 'Value Not Found'} else {$noutput}}else {write-host 'Path Not Found'}"</t>
  </si>
  <si>
    <t>#                 description : "QQ3AC - MSWRK - Accounts: Block Microsoft accounts is set to Users cant add or log on with Microsoft accounts"</t>
  </si>
  <si>
    <t>#                        info : "This policy setting prevents users from adding new Microsoft accounts on this computer."</t>
  </si>
  <si>
    <t>#             powershell_args : "if(Test-Path -Path 'HKLM:\Software\Microsoft\Windows\CurrentVersion\Policies\System'){$noutput = (Get-ItemProperty -Path 'HKLM:\Software\Microsoft\Windows\CurrentVersion\Policies\System').NoConnectedUser;if($noutput -eq $Null) {write-host 'Value Not Found'} else {$noutput}}else {write-host 'Path Not Found'}"</t>
  </si>
  <si>
    <t>#                 description : "QQ3IA - MSWRK - Network security: Allow Local System to use computer identity for NTLM is set to Enabled"</t>
  </si>
  <si>
    <t>#                        info : "This policy setting determines whether Local System services that use Negotiate when reverting to NTLM authentication can use the computer identity. This policy is supported on at least Windows 7 or Windows Server 2008 R2."</t>
  </si>
  <si>
    <t>#                   reference : "NIST 800-53r5|IA-3 "</t>
  </si>
  <si>
    <t>#             powershell_args : "if(Test-Path -Path 'HKLM:\System\CurrentControlSet\Control\Lsa'){$noutput = (Get-ItemProperty -Path 'HKLM:\System\CurrentControlSet\Control\Lsa').UseMachineId;if($noutput -eq $Null) {write-host 'Value Not Found'} else {$noutput}}else {write-host 'Path Not Found'}"</t>
  </si>
  <si>
    <t>#                 description : "QQ3AC - MSWRK - Network security: Minimum session security for NTLM SSP based (including secure RPC) servers is set to Require NTLMv2 session security, Require 128-bit encryption"</t>
  </si>
  <si>
    <t>#                        info : "This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</si>
  <si>
    <t>#                  value_data : "537395200"</t>
  </si>
  <si>
    <t>#             powershell_args : "if(Test-Path -Path 'HKLM:\System\CurrentControlSet\Control\Lsa\MSV1_0'){$noutput = (Get-ItemProperty -Path 'HKLM:\System\CurrentControlSet\Control\Lsa\MSV1_0').NTLMMinServerSec;if($noutput -eq $Null) {write-host 'Value Not Found'} else {$noutput}}else {write-host 'Path Not Found'}"</t>
  </si>
  <si>
    <t>#                 description : "QQ3AU - MSWRK - Network security: Restrict NTLM: Audit Incoming NTLM Traffic is set to Enable auditing for all accounts"</t>
  </si>
  <si>
    <t>#                        info : "This policy setting allows the auditing of incoming NTLM traffic. Events for this setting are recorded in the operational event log (e.g. Applications and Services Log\Microsoft\Windows\NTLM)."</t>
  </si>
  <si>
    <t>#             powershell_args : "if(Test-Path -Path 'HKLM:\System\CurrentControlSet\Control\Lsa\MSV1_0'){$noutput = (Get-ItemProperty -Path 'HKLM:\System\CurrentControlSet\Control\Lsa\MSV1_0').AuditReceivingNTLMTraffic;if($noutput -eq $Null) {write-host 'Value Not Found'} else {$noutput}}else {write-host 'Path Not Found'}"</t>
  </si>
  <si>
    <t>#                 description : "QQ3AU - MSWRK - Network security: Restrict NTLM: Outgoing NTLM traffic to remote servers is set to Audit all or higher"</t>
  </si>
  <si>
    <t>#                        info : "This policy setting allows the auditing of outgoing NTLM traffic. Events for this setting are recorded in the operational event log (e.g. Applications and Services Log\Microsoft\Windows\NTLM)."</t>
  </si>
  <si>
    <t>#             powershell_args : "if(Test-Path -Path 'HKLM:\System\CurrentControlSet\Control\Lsa\MSV1_0'){$noutput = (Get-ItemProperty -Path 'HKLM:\System\CurrentControlSet\Control\Lsa\MSV1_0').RestrictSendingNTLMTraffic;if($noutput -eq $Null) {write-host 'Value Not Found'} else {$noutput}}else {write-host 'Path Not Found'}"</t>
  </si>
  <si>
    <t>#                 description : "QQAC - MSWRK - Network security: Allow LocalSystem NULL session fallback is set to Disabled"</t>
  </si>
  <si>
    <t>#                        info : "This policy setting determines whether NTLM is allowed to fall back to a NULL session when used with LocalSystem."</t>
  </si>
  <si>
    <t>#             powershell_args : "if(Test-Path -Path 'HKLM:\System\CurrentControlSet\Control\Lsa\MSV1_0'){$noutput = (Get-ItemProperty -Path 'HKLM:\System\CurrentControlSet\Control\Lsa\MSV1_0').AllowNullSessionFallback;if($noutput -eq $Null) {write-host 'Value Not Found'} else {$noutput}}else {write-host 'Path Not Found'}"</t>
  </si>
  <si>
    <t>#                 description : "QQ3CM - MSWRK - Network Security: Allow PKU2U authentication requests to this computer to use online identities is set to Disabled"</t>
  </si>
  <si>
    <t>#                        info : "This setting determines if online identities are able to authenticate to this computer."</t>
  </si>
  <si>
    <t>#             powershell_args : "if(Test-Path -Path 'HKLM:\System\CurrentControlSet\Control\Lsa\pku2u'){$noutput = (Get-ItemProperty -Path 'HKLM:\System\CurrentControlSet\Control\Lsa\pku2u').AllowOnlineID;if($noutput -eq $Null) {write-host 'Value Not Found'} else {$noutput}}else {write-host 'Path Not Found'}"</t>
  </si>
  <si>
    <t>#                 description : "QQ3AC - MSWRK - Network security: Configure encryption types allowed for Kerberos is set to AES128_HMAC_SHA1, AES256_HMAC_SHA1, Future encryption types"</t>
  </si>
  <si>
    <t>#                        info : "This policy setting allows you to set the encryption types that Kerberos is allowed to use."</t>
  </si>
  <si>
    <t>#                  value_data : "2147483640"</t>
  </si>
  <si>
    <t>#             powershell_args : "if(Test-Path -Path 'HKLM:\Software\Microsoft\Windows\CurrentVersion\Policies\System\Kerberos\Parameters'){$noutput = (Get-ItemProperty -Path 'HKLM:\Software\Microsoft\Windows\CurrentVersion\Policies\System\Kerberos\Parameters').SupportedEncryptionTypes;if($noutput -eq $Null) {write-host 'Value Not Found'} else {$noutput}}else {write-host 'Path Not Found'}"</t>
  </si>
  <si>
    <t xml:space="preserve">                description : "IA - MSWRK - Network security: Do not store LAN Manager hash value on next password change is set to Enabled"</t>
  </si>
  <si>
    <t>#                        type : PASSWORD_POLICY</t>
  </si>
  <si>
    <t>#                 description : "QQAC - MSWRK - Network security: Force logoff when logon hours expire is set to Enabled"</t>
  </si>
  <si>
    <t>#                        info : "This policy setting determines whether to disconnect users who are connected to the local computer outside their user accounts valid logon hours and should be implemented in conjunction with Network Server: Disconnect clients. This setting affects the Server Message Block (SMB) component. If you enable this policy setting you should also enable"</t>
  </si>
  <si>
    <t>#                   reference : "NIST 800-53r5|AC-2(12) "</t>
  </si>
  <si>
    <t>#                  value_type : POLICY_SET</t>
  </si>
  <si>
    <t>#                  value_data : "Enabled"</t>
  </si>
  <si>
    <t>#             password_policy : FORCE_LOGOFF</t>
  </si>
  <si>
    <t xml:space="preserve">                description : "AC - MSWRK - Network security: LAN Manager authentication level is set to Send NTLMv2 response only. Refuse LM &amp; NTLM"</t>
  </si>
  <si>
    <t xml:space="preserve">                       info : "LAN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t>
  </si>
  <si>
    <t xml:space="preserve">                 value_data : "^5$"</t>
  </si>
  <si>
    <t xml:space="preserve">            powershell_args : "if(Test-Path -Path 'HKLM:\System\CurrentControlSet\Control\Lsa'){$noutput = (Get-ItemProperty -Path 'HKLM:\System\CurrentControlSet\Control\Lsa').LMCompatibilityLevel;if($noutput -eq $Null) {write-host 'Value Not Found'} else {$noutput}}else {write-host 'Path Not Found'}"</t>
  </si>
  <si>
    <t xml:space="preserve">                description : "AC - MSWRK - Network security: LDAP client signing requirements is set to Negotiate signing or higher"</t>
  </si>
  <si>
    <t xml:space="preserve">                       info : "This policy setting determines the level of data signing that is requested on behalf of clients that issue LDAP BIND requests."</t>
  </si>
  <si>
    <t xml:space="preserve">                 value_data : "^1$" || "^2$"</t>
  </si>
  <si>
    <t xml:space="preserve">            powershell_args : "if(Test-Path -Path 'HKLM:\System\CurrentControlSet\Services\LDAP'){$noutput = (Get-ItemProperty -Path 'HKLM:\System\CurrentControlSet\Services\LDAP').LDAPClientIntegrity;if($noutput -eq $Null) {write-host 'Value Not Found'} else {$noutput}}else {write-host 'Path Not Found'}"</t>
  </si>
  <si>
    <t>#                 description : "QQ3AC - MSWRK - Network security: Minimum session security for NTLM SSP based (including secure RPC) clients is set to Require NTLMv2 session security, Require 128-bit encryption"</t>
  </si>
  <si>
    <t>#                        info : "This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</si>
  <si>
    <t>#             powershell_args : "if(Test-Path -Path 'HKLM:\System\CurrentControlSet\Control\Lsa\MSV1_0'){$noutput = (Get-ItemProperty -Path 'HKLM:\System\CurrentControlSet\Control\Lsa\MSV1_0').NTLMMinClientSec;if($noutput -eq $Null) {write-host 'Value Not Found'} else {$noutput}}else {write-host 'Path Not Found'}"</t>
  </si>
  <si>
    <t xml:space="preserve">                description : "IA - MSWRK - Account - Guest Account Disabled"</t>
  </si>
  <si>
    <t xml:space="preserve">                       info : "The built-in local guest account should be disabled."</t>
  </si>
  <si>
    <t xml:space="preserve">                  reference : "NIST 800-53r5|IA-5"</t>
  </si>
  <si>
    <t xml:space="preserve">                 value_data : "False"</t>
  </si>
  <si>
    <t xml:space="preserve">            powershell_args : "$noutput = Get-LocalUser | Where-Object { $_.SID -Match '^S-1-5-21.*-501$' } | Select-Object Name, Enabled; if ($noutput -eq $Null) {write-host 'Not Found'} else {$noutput}"</t>
  </si>
  <si>
    <t xml:space="preserve">                description : "IA - MSWRK - Accounts: Limit local account use of blank passwords to console logon only is set to Enabled"</t>
  </si>
  <si>
    <t xml:space="preserve">                       info : "This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t>
  </si>
  <si>
    <t xml:space="preserve">                  reference : "NIST 800-53r5|IA-5(1) "</t>
  </si>
  <si>
    <t xml:space="preserve">            powershell_args : "if(Test-Path -Path 'HKLM:\System\CurrentControlSet\Control\Lsa'){$noutput = (Get-ItemProperty -Path 'HKLM:\System\CurrentControlSet\Control\Lsa').LimitBlankPasswordUse;if($noutput -eq $Null) {write-host 'Value Not Found'} else {$noutput}}else {write-host 'Path Not Found'}"</t>
  </si>
  <si>
    <t xml:space="preserve">                description : "IA - MSWRK - Account - Local Admin Account Enabled"</t>
  </si>
  <si>
    <t xml:space="preserve">                       info : "The built-in local admin account should be disabled"</t>
  </si>
  <si>
    <t xml:space="preserve">            powershell_args : "$noutput = Get-LocalUser | Where-Object { $_.SID -Match '^S-1-5-21.*-500$' } | Select-Object Name, Enabled; if ($noutput -eq $Null) {write-host 'Not Found'} else {$noutput}"</t>
  </si>
  <si>
    <t xml:space="preserve">                description : "IA - MSWRK - Account - Rename Local Admin"</t>
  </si>
  <si>
    <t xml:space="preserve">                       info : "The built-in local admin account should be renamed."</t>
  </si>
  <si>
    <t xml:space="preserve">                 value_data : "Administrator" || "Admin"</t>
  </si>
  <si>
    <t xml:space="preserve">            powershell_args : "$noutput = Get-LocalUser | Where-Object { $_.SID -Match '^S-1-5-21.*-500$' } | Select-Object Name; if ($noutput -eq $Null) {write-host 'Not Found'} else {$noutput}"</t>
  </si>
  <si>
    <t xml:space="preserve">                 check_type : CHECK_NOT_EQUAL</t>
  </si>
  <si>
    <t xml:space="preserve">                description : "IA - MSWRK - Account - Rename Guest Account"</t>
  </si>
  <si>
    <t xml:space="preserve">                       info : "The built-in local guest account should be reset"</t>
  </si>
  <si>
    <t xml:space="preserve">                 value_data : "Guest"</t>
  </si>
  <si>
    <t xml:space="preserve">            powershell_args : "$noutput = (Get-LocalUser | Where-Object { $_.SID -Match '^S-1-5-21.*-501$' }).Name; if ($noutput -eq $Null) {write-host 'Not Found'} else {$noutput}"</t>
  </si>
  <si>
    <t xml:space="preserve">                description : "CM - MSWRK - System objects: Require case insensitivity for non-Windows subsystems is set to Enabled"</t>
  </si>
  <si>
    <t xml:space="preserve">                       info : "This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t>
  </si>
  <si>
    <t xml:space="preserve">            powershell_args : "if(Test-Path -Path 'HKLM:\System\CurrentControlSet\Control\Session Manager\Kernel'){$noutput = (Get-ItemProperty -Path 'HKLM:\System\CurrentControlSet\Control\Session Manager\Kernel').ObCaseInsensitive;if($noutput -eq $Null) {write-host 'Value Not Found'} else {$noutput}}else {write-host 'Path Not Found'}"</t>
  </si>
  <si>
    <t xml:space="preserve">                description : "CM - MSWRK - System objects: Strengthen default permissions of internal system objects (e.g. Symbolic Links) is set to Enabled"</t>
  </si>
  <si>
    <t xml:space="preserve">                       info : "This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t>
  </si>
  <si>
    <t xml:space="preserve">            powershell_args : "if(Test-Path -Path 'HKLM:\System\CurrentControlSet\Control\Session Manager'){$noutput = (Get-ItemProperty -Path 'HKLM:\System\CurrentControlSet\Control\Session Manager').ProtectionMode;if($noutput -eq $Null) {write-host 'Value Not Found'} else {$noutput}}else {write-host 'Path Not Found'}"</t>
  </si>
  <si>
    <t>#                 description : "QQ3IA - MSWRK - User Account Control: Admin Approval Mode for the Built-in Administrator account is set to Enabled"</t>
  </si>
  <si>
    <t>#                        info : "This policy setting controls the behavior of Admin Approval Mode for the built-in Administrator account."</t>
  </si>
  <si>
    <t>#             powershell_args : "if(Test-Path -Path 'HKLM:\Software\Microsoft\Windows\CurrentVersion\Policies\System'){$noutput = (Get-ItemProperty -Path 'HKLM:\Software\Microsoft\Windows\CurrentVersion\Policies\System').FilterAdministratorToken;if($noutput -eq $Null) {write-host 'Value Not Found'} else {$noutput}}else {write-host 'Path Not Found'}"</t>
  </si>
  <si>
    <t>#                 description : "QQ3AC - MSWRK - User Account Control: Behavior of the elevation prompt for administrators in Admin Approval Mode is set to Prompt for consent on the secure desktop or higher"</t>
  </si>
  <si>
    <t>#                        info : "This policy setting controls the behavior of the elevation prompt for administrators."</t>
  </si>
  <si>
    <t>#                   reference : "NIST 800-53r5|AC-6(1) "</t>
  </si>
  <si>
    <t>#             powershell_args : "if(Test-Path -Path 'HKLM:\Software\Microsoft\Windows\CurrentVersion\Policies\System'){$noutput = (Get-ItemProperty -Path 'HKLM:\Software\Microsoft\Windows\CurrentVersion\Policies\System').ConsentPromptBehaviorAdmin;if($noutput -eq $Null) {write-host 'Value Not Found'} else {$noutput}}else {write-host 'Path Not Found'}"</t>
  </si>
  <si>
    <t>#                 description : "QQ3AC - MSWRK - User Account Control: Behavior of the elevation prompt for standard users is set to Automatically deny elevation requests"</t>
  </si>
  <si>
    <t>#                        info : "This policy setting controls the behavior of the elevation prompt for standard users."</t>
  </si>
  <si>
    <t>#             powershell_args : "if(Test-Path -Path 'HKLM:\Software\Microsoft\Windows\CurrentVersion\Policies\System'){$noutput = (Get-ItemProperty -Path 'HKLM:\Software\Microsoft\Windows\CurrentVersion\Policies\System').ConsentPromptBehaviorUser;if($noutput -eq $Null) {write-host 'Value Not Found'} else {$noutput}}else {write-host 'Path Not Found'}"</t>
  </si>
  <si>
    <t>#                 description : "QQ3AC - MSWRK - User Account Control: Detect application installations and prompt for elevation is set to Enabled"</t>
  </si>
  <si>
    <t>#                        info : "This policy setting controls the behavior of application installation detection for the computer."</t>
  </si>
  <si>
    <t>#                   reference : "NIST 800-53r5|AC-6(8) "</t>
  </si>
  <si>
    <t>#             powershell_args : "if(Test-Path -Path 'HKLM:\Software\Microsoft\Windows\CurrentVersion\Policies\System'){$noutput = (Get-ItemProperty -Path 'HKLM:\Software\Microsoft\Windows\CurrentVersion\Policies\System').EnableInstallerDetection;if($noutput -eq $Null) {write-host 'Value Not Found'} else {$noutput}}else {write-host 'Path Not Found'}"</t>
  </si>
  <si>
    <t xml:space="preserve">                description : "AC - MSWRK - User Account Control: Only elevate UIAccess applications that are installed in secure locations is set to Enabled"</t>
  </si>
  <si>
    <t xml:space="preserve">                       info : "This policy setting controls whether applications that request to run with a User Interface Accessibility (UIAccess) integrity level must reside in a secure location in the file system. Secure locations are limited to the following:"</t>
  </si>
  <si>
    <t xml:space="preserve">            powershell_args : "if(Test-Path -Path 'HKLM:\Software\Microsoft\Windows\CurrentVersion\Policies\System'){$noutput = (Get-ItemProperty -Path 'HKLM:\Software\Microsoft\Windows\CurrentVersion\Policies\System').EnableSecureUIAPaths;if($noutput -eq $Null) {write-host 'Value Not Found'} else {$noutput}}else {write-host 'Path Not Found'}"</t>
  </si>
  <si>
    <t xml:space="preserve">                description : "AC - MSWRK - User Account Control: Run all administrators in Admin Approval Mode is set to Enabled"</t>
  </si>
  <si>
    <t xml:space="preserve">                       info : "This policy setting controls the behavior of all User Account Control (UAC) policy settings for the computer. If you change this policy setting, you must restart your computer."</t>
  </si>
  <si>
    <t xml:space="preserve">                  reference : "NIST 800-53r5|AC-6(1) "</t>
  </si>
  <si>
    <t xml:space="preserve">            powershell_args : "if(Test-Path -Path 'HKLM:\Software\Microsoft\Windows\CurrentVersion\Policies\System'){$noutput = (Get-ItemProperty -Path 'HKLM:\Software\Microsoft\Windows\CurrentVersion\Policies\System').EnableLUA;if($noutput -eq $Null) {write-host 'Value Not Found'} else {$noutput}}else {write-host 'Path Not Found'}"</t>
  </si>
  <si>
    <t>#                 description : "QQ3AC - MSWRK - User Account Control: Switch to the secure desktop when prompting for elevation is set to Enabled"</t>
  </si>
  <si>
    <t>#                        info : "This policy setting controls whether the elevation request prompt is displayed on the interactive users desktop or the secure desktop."</t>
  </si>
  <si>
    <t>#             powershell_args : "if(Test-Path -Path 'HKLM:\Software\Microsoft\Windows\CurrentVersion\Policies\System'){$noutput = (Get-ItemProperty -Path 'HKLM:\Software\Microsoft\Windows\CurrentVersion\Policies\System').PromptOnSecureDesktop;if($noutput -eq $Null) {write-host 'Value Not Found'} else {$noutput}}else {write-host 'Path Not Found'}"</t>
  </si>
  <si>
    <t xml:space="preserve">                description : "SC - MSWRK - User Account Control: Virtualize file and registry write failures to per-user locations is set to Enabled"</t>
  </si>
  <si>
    <t xml:space="preserve">                       info : "This policy setting controls whether application write failures are redirected to defined registry and file system locations. This policy setting mitigates applications that run as administrator and write run-time application data to:"</t>
  </si>
  <si>
    <t xml:space="preserve">                  reference : "NIST 800-53r5|SC-29(1) "</t>
  </si>
  <si>
    <t xml:space="preserve">            powershell_args : "if(Test-Path -Path 'HKLM:\Software\Microsoft\Windows\CurrentVersion\Policies\System'){$noutput = (Get-ItemProperty -Path 'HKLM:\Software\Microsoft\Windows\CurrentVersion\Policies\System').EnableVirtualization;if($noutput -eq $Null) {write-host 'Value Not Found'} else {$noutput}}else {write-host 'Path Not Found'}"</t>
  </si>
  <si>
    <t>#                 description : "QQAU - MSWRK - Audit: Force audit policy subcategory settings (Windows Vista or later) to override audit policy category settings is set to Enabled"</t>
  </si>
  <si>
    <t>#                        info : "This policy setting allows administrators to enable the more precise auditing capabilities present in Windows Vista."</t>
  </si>
  <si>
    <t>#             powershell_args : "if(Test-Path -Path 'HKLM:\System\CurrentControlSet\Control\Lsa'){$noutput = (Get-ItemProperty -Path 'HKLM:\System\CurrentControlSet\Control\Lsa').SCENoApplyLegacyAuditPolicy;if($noutput -eq $Null) {write-host 'Value Not Found'} else {$noutput}}else {write-host 'Path Not Found'}"</t>
  </si>
  <si>
    <t xml:space="preserve">                description : "AU - MSWRK - Audit: Shut down system immediately if unable to log security audits is set to Disabled"</t>
  </si>
  <si>
    <t xml:space="preserve">                       info : "This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t>
  </si>
  <si>
    <t xml:space="preserve">            powershell_args : "if(Test-Path -Path 'HKLM:\System\CurrentControlSet\Control\Lsa'){$noutput = (Get-ItemProperty -Path 'HKLM:\System\CurrentControlSet\Control\Lsa').CrashOnAuditFail;if($noutput -eq $Null) {write-host 'Value Not Found'} else {$noutput}}else {write-host 'Path Not Found'}"</t>
  </si>
  <si>
    <t xml:space="preserve">                description : "AC - MSWRK - Domain member: Digitally encrypt or sign secure channel data (always) is set to Enabled"</t>
  </si>
  <si>
    <t xml:space="preserve">                       info : "This policy setting determines whether all secure channel traffic that is initiated by the domain member must be signed or encrypted."</t>
  </si>
  <si>
    <t xml:space="preserve">            powershell_args : "if(Test-Path -Path 'HKLM:\System\CurrentControlSet\Services\Netlogon\Parameters'){$noutput = (Get-ItemProperty -Path 'HKLM:\System\CurrentControlSet\Services\Netlogon\Parameters').RequireSignOrSeal;if($noutput -eq $Null) {write-host 'Value Not Found'} else {$noutput}}else {write-host 'Path Not Found'}"</t>
  </si>
  <si>
    <t xml:space="preserve">                description : "AC - MSWRK - Domain member: Digitally encrypt secure channel data (when possible) is set to Enabled"</t>
  </si>
  <si>
    <t xml:space="preserve">                       info : "This policy setting determines whether a domain member should attempt to negotiate encryption for all secure channel traffic that it initiates."</t>
  </si>
  <si>
    <t xml:space="preserve">            powershell_args : "if(Test-Path -Path 'HKLM:\System\CurrentControlSet\Services\Netlogon\Parameters'){$noutput = (Get-ItemProperty -Path 'HKLM:\System\CurrentControlSet\Services\Netlogon\Parameters').SealSecureChannel;if($noutput -eq $Null) {write-host 'Value Not Found'} else {$noutput}}else {write-host 'Path Not Found'}"</t>
  </si>
  <si>
    <t xml:space="preserve">                description : "AC - MSWRK - Domain member: Digitally sign secure channel data (when possible) is set to Enabled"</t>
  </si>
  <si>
    <t xml:space="preserve">                       info : "This policy setting determines whether a domain member should attempt to negotiate whether all secure channel traffic that it initiates must be digitally signed. Digital signatures protect the traffic from being modified by anyone who captures the data as it traverses the network."</t>
  </si>
  <si>
    <t xml:space="preserve">            powershell_args : "if(Test-Path -Path 'HKLM:\System\CurrentControlSet\Services\Netlogon\Parameters'){$noutput = (Get-ItemProperty -Path 'HKLM:\System\CurrentControlSet\Services\Netlogon\Parameters').SignSecureChannel;if($noutput -eq $Null) {write-host 'Value Not Found'} else {$noutput}}else {write-host 'Path Not Found'}"</t>
  </si>
  <si>
    <t xml:space="preserve">                description : "AC - MSWRK - Domain member: Disable machine account password changes is set to Disabled"</t>
  </si>
  <si>
    <t xml:space="preserve">                       info : "This policy setting determines whether a domain member can periodically change its computer account password. Computers that cannot automatically change their account passwords are potentially vulnerable, because an attacker might be able to determine the password for the systems domain account."</t>
  </si>
  <si>
    <t xml:space="preserve">                  reference : "NIST 800-53r5|AC-2(1) "</t>
  </si>
  <si>
    <t xml:space="preserve">            powershell_args : "if(Test-Path -Path 'HKLM:\System\CurrentControlSet\Services\Netlogon\Parameters'){$noutput = (Get-ItemProperty -Path 'HKLM:\System\CurrentControlSet\Services\Netlogon\Parameters').DisablePasswordChange;if($noutput -eq $Null) {write-host 'Value Not Found'} else {$noutput}}else {write-host 'Path Not Found'}"</t>
  </si>
  <si>
    <t>#                 description : "QQ3AC - MSWRK - Configure Interactive logon: Message text for users attempting to log on"</t>
  </si>
  <si>
    <t>#                        info : "This policy setting specifies a text message that displays to users when they log on. Set the following group policy to a value that is consistent with the security and operational requirements of your organization."</t>
  </si>
  <si>
    <t>#                   reference : "NIST 800-53r5|AC-8 "</t>
  </si>
  <si>
    <t>#                  value_data : "LEGAL NOTICE TEXT"</t>
  </si>
  <si>
    <t>#             powershell_args : "if(Test-Path -Path 'HKLM:\Software\Microsoft\Windows\CurrentVersion\Policies\System'){$noutput = (Get-ItemProperty -Path 'HKLM:\Software\Microsoft\Windows\CurrentVersion\Policies\System').LegalNoticeText;if($noutput -eq $Null) {write-host 'Value Not Found'} else {$noutput}}else {write-host 'Path Not Found'}"</t>
  </si>
  <si>
    <t>#                 description : "QQAC - MSWRK - Configure Interactive logon: Message title for users attempting to log on"</t>
  </si>
  <si>
    <t>#                        info : "This policy setting specifies the text displayed in the title bar of the window that users see when they log on to the system. Configure this setting in a manner that is consistent with the security and operational requirements of your organization."</t>
  </si>
  <si>
    <t>#                  value_data : "LEGAL CAPTION TEXT"</t>
  </si>
  <si>
    <t>#             powershell_args : "if(Test-Path -Path 'HKLM:\Software\Microsoft\Windows\CurrentVersion\Policies\System'){$noutput = (Get-ItemProperty -Path 'HKLM:\Software\Microsoft\Windows\CurrentVersion\Policies\System').LegalNoticeCaption;if($noutput -eq $Null) {write-host 'Value Not Found'} else {$noutput}}else {write-host 'Path Not Found'}"</t>
  </si>
  <si>
    <t xml:space="preserve">                description : "IA - MSWRK - Domain member: Maximum machine account password age is set to 30 or fewer days, but not 0"</t>
  </si>
  <si>
    <t xml:space="preserve">                       info : "This policy setting determines the maximum allowable age for a computer account password. By default, domain members automatically change their domain passwords every 30 days. If you increase this interval significantly so that the computers no longer change their passwords, an attacker would have more time to undertake a brute force attack against one of the computer accounts."</t>
  </si>
  <si>
    <t xml:space="preserve">                 value_data : "[1..30]"</t>
  </si>
  <si>
    <t xml:space="preserve">            powershell_args : "if(Test-Path -Path 'HKLM:\System\CurrentControlSet\Services\Netlogon\Parameters'){$noutput = (Get-ItemProperty -Path 'HKLM:\System\CurrentControlSet\Services\Netlogon\Parameters').MaximumPasswordAge;if($noutput -eq $Null) {write-host 'Value Not Found'} else {$noutput}}else {write-host 'Path Not Found'}"</t>
  </si>
  <si>
    <t xml:space="preserve">                description : "AC - MSWRK - Domain member: Require strong (Windows 2000 or later) session key is set to Enabled"</t>
  </si>
  <si>
    <t xml:space="preserve">                       info : "When this policy setting is enabled, a secure channel can only be established with Domain Controllers that are capable of encrypting secure channel data with a strong (128-bit) session key."</t>
  </si>
  <si>
    <t xml:space="preserve">            powershell_args : "if(Test-Path -Path 'HKLM:\System\CurrentControlSet\Services\Netlogon\Parameters'){$noutput = (Get-ItemProperty -Path 'HKLM:\System\CurrentControlSet\Services\Netlogon\Parameters').RequireStrongKey;if($noutput -eq $Null) {write-host 'Value Not Found'} else {$noutput}}else {write-host 'Path Not Found'}"</t>
  </si>
  <si>
    <t xml:space="preserve">                description : "CM - MSWRK - Interactive logon: Do not require CTRL+ALT+DEL is set to Disabled"</t>
  </si>
  <si>
    <t>#                 description : "QQ3CM - MSWRK - Interactive logon: Dont display last signed-in is set to Enabled"</t>
  </si>
  <si>
    <t>#                        info : "This policy setting determines whether the account name of the last user to log on to the client computers in your organization will be displayed in each computers respective Windows logon screen. Enable this policy setting to prevent intruders from collecting account names visually from the screens of desktop or laptop computers in your organization."</t>
  </si>
  <si>
    <t>#             powershell_args : "if(Test-Path -Path 'HKLM:\Software\Microsoft\Windows\CurrentVersion\Policies\System'){$noutput = (Get-ItemProperty -Path 'HKLM:\Software\Microsoft\Windows\CurrentVersion\Policies\System').DontDisplayLastUserName;if($noutput -eq $Null) {write-host 'Value Not Found'} else {$noutput}}else {write-host 'Path Not Found'}"</t>
  </si>
  <si>
    <t xml:space="preserve">                description : "AC - MSWRK - Screensaver - Timeout is set to 900 seconds or fewer"</t>
  </si>
  <si>
    <t xml:space="preserve">                description : "IA - MSWRK - Interactive logon Prompt user to change password before expiration is set to between 5 and 14 days"</t>
  </si>
  <si>
    <t xml:space="preserve">                       info : "This policy setting determines how far in advance users are warned that their password will expire."</t>
  </si>
  <si>
    <t xml:space="preserve">                 value_data : "[5..14]"</t>
  </si>
  <si>
    <t xml:space="preserve">            powershell_args : "if(Test-Path -Path 'HKLM:\Software\Microsoft\Windows NT\CurrentVersion\Winlogon'){$noutput = (Get-ItemProperty -Path 'HKLM:\Software\Microsoft\Windows NT\CurrentVersion\Winlogon').PasswordExpiryWarning;if($noutput -eq $Null) {write-host 'Value Not Found'} else {$noutput}}else {write-host 'Path Not Found'}"</t>
  </si>
  <si>
    <t>#                 description : "QQ3AC - MSWRK - Interactive logon: Smart card removal behavior is set to Lock Workstation or higher"</t>
  </si>
  <si>
    <t>#                        info : "This policy setting determines what happens when the smart card for a logged-on user is removed from the smart card reader."</t>
  </si>
  <si>
    <t>#                   reference : "NIST 800-53r5|AC-2(5) AC-11 AC-11(1) "</t>
  </si>
  <si>
    <t>#                  value_data : "^(1|2|3)$"</t>
  </si>
  <si>
    <t>#             powershell_args : "if(Test-Path -Path 'HKLM:\Software\Microsoft\Windows NT\CurrentVersion\Winlogon'){$noutput = (Get-ItemProperty -Path 'HKLM:\Software\Microsoft\Windows NT\CurrentVersion\Winlogon').ScRemoveOption;if($noutput -eq $Null) {write-host 'Value Not Found'} else {$noutput}}else {write-host 'Path Not Found'}"</t>
  </si>
  <si>
    <t xml:space="preserve">                description : "AC - MSWRK - Microsoft network client: Digitally sign communications (always) is set to Enabled"</t>
  </si>
  <si>
    <t xml:space="preserve">                       info : "This policy setting determines whether packet signing is required by the SMB client component."</t>
  </si>
  <si>
    <t xml:space="preserve">            powershell_args : "if(Test-Path -Path 'HKLM:\System\CurrentControlSet\Services\LanmanWorkstation\Parameters'){$noutput = (Get-ItemProperty -Path 'HKLM:\System\CurrentControlSet\Services\LanmanWorkstation\Parameters').RequireSecuritySignature;if($noutput -eq $Null) {write-host 'Value Not Found'} else {$noutput}}else {write-host 'Path Not Found'}"</t>
  </si>
  <si>
    <t xml:space="preserve">                description : "AC - MSWRK - Microsoft network client: Digitally sign communications (if server agrees) is set to Enabled"</t>
  </si>
  <si>
    <t xml:space="preserve">                description : "AC - MSWRK - Microsoft network client: Send unencrypted password to third-party SMB servers is set to Disabled"</t>
  </si>
  <si>
    <t xml:space="preserve">                       info : "This policy setting determines whether the SMB redirector will send plaintext passwords during authentication to third-party SMB servers that do not support password encryption."</t>
  </si>
  <si>
    <t xml:space="preserve">            powershell_args : "if(Test-Path -Path 'HKLM:\System\CurrentControlSet\Services\LanmanWorkstation\Parameters'){$noutput = (Get-ItemProperty -Path 'HKLM:\System\CurrentControlSet\Services\LanmanWorkstation\Parameters').EnablePlainTextPassword;if($noutput -eq $Null) {write-host 'Value Not Found'} else {$noutput}}else {write-host 'Path Not Found'}"</t>
  </si>
  <si>
    <t>#                 description : "QQ3AC - MSWRK - Microsoft network server: Amount of idle time required before suspending session is set to 15 or fewer minute(s)"</t>
  </si>
  <si>
    <t>#                        info : "This policy setting allows you to specify the amount of continuous idle time that must pass in an SMB session before the session is suspended because of inactivity."</t>
  </si>
  <si>
    <t>#                  value_data : "[1..15]"</t>
  </si>
  <si>
    <t>#             powershell_args : "if(Test-Path -Path 'HKLM:\System\CurrentControlSet\Services\LanManServer\Parameters'){$noutput = (Get-ItemProperty -Path 'HKLM:\System\CurrentControlSet\Services\LanManServer\Parameters').AutoDisconnect;if($noutput -eq $Null) {write-host 'Value Not Found'} else {$noutput}}else {write-host 'Path Not Found'}"</t>
  </si>
  <si>
    <t xml:space="preserve">                description : "AC - MSWRK - Microsoft network server: Digitally sign communications (always) is set to Enabled"</t>
  </si>
  <si>
    <t xml:space="preserve">                       info : "This policy setting determines whether packet signing is required by the SMB server component. Enable this policy setting in a mixed environment to prevent downstream clients from using the workstation as a network server."</t>
  </si>
  <si>
    <t xml:space="preserve">            powershell_args : "if(Test-Path -Path 'HKLM:\System\CurrentControlSet\Services\LanManServer\Parameters'){$noutput = (Get-ItemProperty -Path 'HKLM:\System\CurrentControlSet\Services\LanManServer\Parameters').RequireSecuritySignature;if($noutput -eq $Null) {write-host 'Value Not Found'} else {$noutput}}else {write-host 'Path Not Found'}"</t>
  </si>
  <si>
    <t>#                 description : "QQAC - MSWRK - Microsoft network server: Digitally sign communications (if client agrees) is set to Enabled"</t>
  </si>
  <si>
    <t>#                        info : "This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t>
  </si>
  <si>
    <t>#             powershell_args : "if(Test-Path -Path 'HKLM:\System\CurrentControlSet\Services\LanManServer\Parameters'){$noutput = (Get-ItemProperty -Path 'HKLM:\System\CurrentControlSet\Services\LanManServer\Parameters').EnableSecuritySignature;if($noutput -eq $Null) {write-host 'Value Not Found'} else {$noutput}}else {write-host 'Path Not Found'}"</t>
  </si>
  <si>
    <t xml:space="preserve">                description : "AC - MSWRK - Microsoft network server: Disconnect clients when logon hours expire is set to Enabled"</t>
  </si>
  <si>
    <t xml:space="preserve">                       info : "This security setting determines whether to disconnect users who are connected to the local computer outside their user accounts valid logon hours and should be implemented in conjunction with Network Security Force Logoff. This setting affects the Server Message Block (SMB) component."</t>
  </si>
  <si>
    <t xml:space="preserve">                  reference : "NIST 800-53r5|AC-2(12) "</t>
  </si>
  <si>
    <t xml:space="preserve">            powershell_args : "if(Test-Path -Path 'HKLM:\System\CurrentControlSet\Services\LanManServer\Parameters'){$noutput = (Get-ItemProperty -Path 'HKLM:\System\CurrentControlSet\Services\LanManServer\Parameters').EnableForcedLogoff;if($noutput -eq $Null) {write-host 'Value Not Found'} else {$noutput}}else {write-host 'Path Not Found'}"</t>
  </si>
  <si>
    <t>#                 description : "QQ3CM - MSWRK - Microsoft network server: Server SPN target name validation level is set to Accept if provided by client or higher"</t>
  </si>
  <si>
    <t>#                        info : "This policy setting controls the level of validation a computer with shared folders or printers (the server) performs on the service principal name (SPN) that is provided by the client computer when it establishes a session using the server message block (SMB) protocol."</t>
  </si>
  <si>
    <t>#             powershell_args : "if(Test-Path -Path 'HKLM:\System\CurrentControlSet\Services\LanManServer\Parameters'){$noutput = (Get-ItemProperty -Path 'HKLM:\System\CurrentControlSet\Services\LanManServer\Parameters').SMBServerNameHardeningLevel;if($noutput -eq $Null) {write-host 'Value Not Found'} else {$noutput}}else {write-host 'Path Not Found'}"</t>
  </si>
  <si>
    <t>#                 description : "QQ3CM - MSWRK - Microsoft FTP Service (FTPSVC) is set to Disabled or Not Installed"</t>
  </si>
  <si>
    <t>#                        info : "Enables the server to be a File Transfer Protocol (FTP) server."</t>
  </si>
  <si>
    <t>#             powershell_args : "if(Test-Path -Path 'HKLM:\System\CurrentControlSet\Services\FTPSVC'){$noutput = (Get-ItemProperty -Path 'HKLM:\System\CurrentControlSet\Services\FTPSVC').Start;if($noutput -eq $Null) {write-host 'Value Not Found'} else {$noutput}}else {write-host 'Path Not Found'}"</t>
  </si>
  <si>
    <t>#                 description : "QQ3CM - MSWRK - OpenSSH SSH Server (sshd) is set to Disabled or Not Installed"</t>
  </si>
  <si>
    <t>#                        info : "SSH protocol based service to provide secure encrypted communications between two untrusted hosts over an insecure network."</t>
  </si>
  <si>
    <t>#             powershell_args : "if(Test-Path -Path 'HKLM:\System\CurrentControlSet\Services\sshd'){$noutput = (Get-ItemProperty -Path 'HKLM:\System\CurrentControlSet\Services\sshd').Start;if($noutput -eq $Null) {write-host 'Value Not Found'} else {$noutput}}else {write-host 'Path Not Found'}"</t>
  </si>
  <si>
    <t>#                 description : "QQ3CM - MSWRK - Remote Procedure Call (RPC) Locator (RpcLocator) is set to Disabled"</t>
  </si>
  <si>
    <t>#                        info : "In Windows 2003 and older versions of Windows, the Remote Procedure Call (RPC) Locator service manages the RPC name service database. In Windows Vista or newer versions of Windows, this service does not provide any functionality and is present for application compatibility."</t>
  </si>
  <si>
    <t>#             powershell_args : "if(Test-Path -Path 'HKLM:\System\CurrentControlSet\Services\RpcLocator'){$noutput = (Get-ItemProperty -Path 'HKLM:\System\CurrentControlSet\Services\RpcLocator').Start;if($noutput -eq $Null) {write-host 'Value Not Found'} else {$noutput}}else {write-host 'Path Not Found'}"</t>
  </si>
  <si>
    <t xml:space="preserve">                description : "CM - MSWRK - Routing and Remote Access (RemoteAccess) is set to Disabled"</t>
  </si>
  <si>
    <t xml:space="preserve">                       info : "Offers routing services to businesses in local area and wide area network environments."</t>
  </si>
  <si>
    <t xml:space="preserve">            powershell_args : "if(Test-Path -Path 'HKLM:\System\CurrentControlSet\Services\RemoteAccess'){$noutput = (Get-ItemProperty -Path 'HKLM:\System\CurrentControlSet\Services\RemoteAccess').Start;if($noutput -eq $Null) {write-host 'Value Not Found'} else {$noutput}}else {write-host 'Path Not Found'}"</t>
  </si>
  <si>
    <t>#                 description : "QQ3CM - MSWRK - Simple TCP/IP Services (simptcp) is set to Disabled or Not Installed"</t>
  </si>
  <si>
    <t>#                        info : "Supports the following TCP/IP services: Character Generator, Daytime, Discard, Write-Output, and Quote of the Day."</t>
  </si>
  <si>
    <t>#             powershell_args : "if(Test-Path -Path 'HKLM:\System\CurrentControlSet\Services\simptcp'){$noutput = (Get-ItemProperty -Path 'HKLM:\System\CurrentControlSet\Services\simptcp').Start;if($noutput -eq $Null) {write-host 'Value Not Found'} else {$noutput}}else {write-host 'Path Not Found'}"</t>
  </si>
  <si>
    <t>#                 description : "QQ3CM - MSWRK - Special Administration Console Helper (sacsvr) is set to Disabled or Not Installed"</t>
  </si>
  <si>
    <t>#                        info : "This service allows administrators to remotely access a command prompt using Emergency Management Services."</t>
  </si>
  <si>
    <t>#             powershell_args : "if(Test-Path -Path 'HKLM:\System\CurrentControlSet\Services\sacsvr'){$noutput = (Get-ItemProperty -Path 'HKLM:\System\CurrentControlSet\Services\sacsvr').Start;if($noutput -eq $Null) {write-host 'Value Not Found'} else {$noutput}}else {write-host 'Path Not Found'}"</t>
  </si>
  <si>
    <t>#                 description : "QQ3CM - MSWRK - Computer Browser (Browser) is set to Disabled or Not Installed"</t>
  </si>
  <si>
    <t>#                        info : "Maintains an updated list of computers on the network and supplies this list to computers designated as browsers."</t>
  </si>
  <si>
    <t>#             powershell_args : "if(Test-Path -Path 'HKLM:\System\CurrentControlSet\Services\Browser'){$noutput = (Get-ItemProperty -Path 'HKLM:\System\CurrentControlSet\Services\Browser').Start;if($noutput -eq $Null) {write-host 'Value Not Found'} else {$noutput}}else {write-host 'Path Not Found'}"</t>
  </si>
  <si>
    <t xml:space="preserve">                description : "CM - MSWRK - SSDP Discovery (SSDPSRV) is set to Disabled"</t>
  </si>
  <si>
    <t xml:space="preserve">                       info : "Discovers networked devices and services that use the SSDP discovery protocol, such as UPnP devices. Also announces SSDP devices and services running on the local computer."</t>
  </si>
  <si>
    <t xml:space="preserve">            powershell_args : "if(Test-Path -Path 'HKLM:\System\CurrentControlSet\Services\SSDPSRV'){$noutput = (Get-ItemProperty -Path 'HKLM:\System\CurrentControlSet\Services\SSDPSRV').Start;if($noutput -eq $Null) {write-host 'Value Not Found'} else {$noutput}}else {write-host 'Path Not Found'}"</t>
  </si>
  <si>
    <t xml:space="preserve">                description : "CM - MSWRK - UPnP Device Host (upnphost) is set to Disabled"</t>
  </si>
  <si>
    <t xml:space="preserve">                       info : "Allows UPnP devices to be hosted on this computer."</t>
  </si>
  <si>
    <t xml:space="preserve">            powershell_args : "if(Test-Path -Path 'HKLM:\System\CurrentControlSet\Services\upnphost'){$noutput = (Get-ItemProperty -Path 'HKLM:\System\CurrentControlSet\Services\upnphost').Start;if($noutput -eq $Null) {write-host 'Value Not Found'} else {$noutput}}else {write-host 'Path Not Found'}"</t>
  </si>
  <si>
    <t>#                 description : "QQ3CM - MSWRK - Web Management Service (WMSvc) is set to Disabled or Not Installed"</t>
  </si>
  <si>
    <t>#                        info : "The Web Management Service enables remote and delegated management capabilities for administrators to manage for the Web server, sites and applications present on the machine."</t>
  </si>
  <si>
    <t>#             powershell_args : "if(Test-Path -Path 'HKLM:\System\CurrentControlSet\Services\WMSvc'){$noutput = (Get-ItemProperty -Path 'HKLM:\System\CurrentControlSet\Services\WMSvc').Start;if($noutput -eq $Null) {write-host 'Value Not Found'} else {$noutput}}else {write-host 'Path Not Found'}"</t>
  </si>
  <si>
    <t xml:space="preserve">                description : "CM - MSWRK - Windows Media Player Network Sharing Service (WMPNetworkSvc) is set to Disabled or Not Installed"</t>
  </si>
  <si>
    <t xml:space="preserve">                       info : "Shares Windows Media Player libraries to other networked players and media devices using Universal Plug and Play."</t>
  </si>
  <si>
    <t xml:space="preserve">            powershell_args : "if(Test-Path -Path 'HKLM:\System\CurrentControlSet\Services\WMPNetworkSvc'){$noutput = (Get-ItemProperty -Path 'HKLM:\System\CurrentControlSet\Services\WMPNetworkSvc').Start;if($noutput -eq $Null) {write-host 'Value Not Found'} else {$noutput}}else {write-host 'Path Not Found'}"</t>
  </si>
  <si>
    <t xml:space="preserve">                description : "CM - MSWRK - Windows Mobile Hotspot Service (icssvc) is set to Disabled"</t>
  </si>
  <si>
    <t xml:space="preserve">                       info : "Provides the ability to share a cellular data connection with another device."</t>
  </si>
  <si>
    <t xml:space="preserve">            powershell_args : "if(Test-Path -Path 'HKLM:\System\CurrentControlSet\Services\icssvc'){$noutput = (Get-ItemProperty -Path 'HKLM:\System\CurrentControlSet\Services\icssvc').Start;if($noutput -eq $Null) {write-host 'Value Not Found'} else {$noutput}}else {write-host 'Path Not Found'}"</t>
  </si>
  <si>
    <t>#                 description : "QQ3CM - MSWRK - World Wide Web Publishing Service (W3SVC) is set to Disabled or Not Installed"</t>
  </si>
  <si>
    <t>#                        info : "Provides Web connectivity and administration through the Internet Information Services Manager."</t>
  </si>
  <si>
    <t>#             powershell_args : "if(Test-Path -Path 'HKLM:\System\CurrentControlSet\Services\W3SVC'){$noutput = (Get-ItemProperty -Path 'HKLM:\System\CurrentControlSet\Services\W3SVC').Start;if($noutput -eq $Null) {write-host 'Value Not Found'} else {$noutput}}else {write-host 'Path Not Found'}"</t>
  </si>
  <si>
    <t xml:space="preserve">                description : "CM - MSWRK - Xbox Accessory Management Service (XboxGipSvc) is set to Disabled"</t>
  </si>
  <si>
    <t xml:space="preserve">                       info : "This service manages connected Xbox Accessories."</t>
  </si>
  <si>
    <t xml:space="preserve">            powershell_args : "if(Test-Path -Path 'HKLM:\System\CurrentControlSet\Services\XboxGipSvc'){$noutput = (Get-ItemProperty -Path 'HKLM:\System\CurrentControlSet\Services\XboxGipSvc').Start;if($noutput -eq $Null) {write-host 'Value Not Found'} else {$noutput}}else {write-host 'Path Not Found'}"</t>
  </si>
  <si>
    <t xml:space="preserve">                description : "CM - MSWRK - Xbox Live Auth Manager (XblAuthManager) is set to Disabled"</t>
  </si>
  <si>
    <t xml:space="preserve">                       info : "Provides authentication and authorization services for interacting with Xbox Live."</t>
  </si>
  <si>
    <t xml:space="preserve">            powershell_args : "if(Test-Path -Path 'HKLM:\System\CurrentControlSet\Services\XblAuthManager'){$noutput = (Get-ItemProperty -Path 'HKLM:\System\CurrentControlSet\Services\XblAuthManager').Start;if($noutput -eq $Null) {write-host 'Value Not Found'} else {$noutput}}else {write-host 'Path Not Found'}"</t>
  </si>
  <si>
    <t xml:space="preserve">                description : "CM - MSWRK - Xbox Live Game Save (XblGameSave) is set to Disabled"</t>
  </si>
  <si>
    <t xml:space="preserve">                       info : "This service syncs save data for Xbox Live save enabled games."</t>
  </si>
  <si>
    <t xml:space="preserve">            powershell_args : "if(Test-Path -Path 'HKLM:\System\CurrentControlSet\Services\XblGameSave'){$noutput = (Get-ItemProperty -Path 'HKLM:\System\CurrentControlSet\Services\XblGameSave').Start;if($noutput -eq $Null) {write-host 'Value Not Found'} else {$noutput}}else {write-host 'Path Not Found'}"</t>
  </si>
  <si>
    <t xml:space="preserve">                description : "CM - MSWRK - Xbox Live Networking Service (XboxNetApiSvc) is set to Disabled"</t>
  </si>
  <si>
    <t xml:space="preserve">                       info : "This service supports the Windows.Networking.XboxLive application programming interface."</t>
  </si>
  <si>
    <t xml:space="preserve">            powershell_args : "if(Test-Path -Path 'HKLM:\System\CurrentControlSet\Services\XboxNetApiSvc'){$noutput = (Get-ItemProperty -Path 'HKLM:\System\CurrentControlSet\Services\XboxNetApiSvc').Start;if($noutput -eq $Null) {write-host 'Value Not Found'} else {$noutput}}else {write-host 'Path Not Found'}"</t>
  </si>
  <si>
    <t>#                 description : "QQ3CM - MSWRK - IIS Admin Service (IISADMIN) is set to Disabled or Not Installed"</t>
  </si>
  <si>
    <t>#                        info : "Enables the server to administer the IIS metabase. The IIS metabase stores configuration for the SMTP and FTP services."</t>
  </si>
  <si>
    <t>#             powershell_args : "if(Test-Path -Path 'HKLM:\System\CurrentControlSet\Services\IISADMIN'){$noutput = (Get-ItemProperty -Path 'HKLM:\System\CurrentControlSet\Services\IISADMIN').Start;if($noutput -eq $Null) {write-host 'Value Not Found'} else {$noutput}}else {write-host 'Path Not Found'}"</t>
  </si>
  <si>
    <t>#                 description : "QQ3CM - MSWRK - Infrared monitor service (irmon) is set to Disabled or Not Installed"</t>
  </si>
  <si>
    <t>#                        info : "Detects other Infrared devices that are in range and launches the file transfer application."</t>
  </si>
  <si>
    <t>#             powershell_args : "if(Test-Path -Path 'HKLM:\System\CurrentControlSet\Services\irmon'){$noutput = (Get-ItemProperty -Path 'HKLM:\System\CurrentControlSet\Services\irmon').Start;if($noutput -eq $Null) {write-host 'Value Not Found'} else {$noutput}}else {write-host 'Path Not Found'}"</t>
  </si>
  <si>
    <t>#                 description : "QQ3CM - MSWRK - LxssManager (LxssManager) is set to Disabled or Not Installed"</t>
  </si>
  <si>
    <t>#                        info : "The LXSS Manager service supports running native ELF binaries. The service provides the infrastructure necessary for ELF binaries to run on Windows."</t>
  </si>
  <si>
    <t>#             powershell_args : "if(Test-Path -Path 'HKLM:\System\CurrentControlSet\Services\LxssManager'){$noutput = (Get-ItemProperty -Path 'HKLM:\System\CurrentControlSet\Services\LxssManager').Start;if($noutput -eq $Null) {write-host 'Value Not Found'} else {$noutput}}else {write-host 'Path Not Found'}"</t>
  </si>
  <si>
    <t>#                 description : "QQ2SC - MSWRK - Windows Firewall: Domain: Firewall state is set to On (recommended)"</t>
  </si>
  <si>
    <t>#                        info : "Select On (recommended) to have Windows Firewall with Advanced Security use the settings for this profile to filter network traffic. If you select Off, Windows Firewall with Advanced Security will not use any of the firewall rules or connection security rules for this profile."</t>
  </si>
  <si>
    <t>#             powershell_args : "if(Test-Path -Path 'HKLM:\Software\Policies\Microsoft\WindowsFirewall\DomainProfile'){$noutput = (Get-ItemProperty -Path 'HKLM:\Software\Policies\Microsoft\WindowsFirewall\DomainProfile').EnableFirewall;if($noutput -eq $Null) {write-host 'Value Not Found'} else {$noutput}}else {write-host 'Path Not Found'}"</t>
  </si>
  <si>
    <t>#                 description : "QQ2SC - MSWRK - Windows Firewall: Domain: Inbound connections is set to Block (default)"</t>
  </si>
  <si>
    <t>#                        info : "This setting determines the behavior for inbound connections that do not match an inbound firewall rule."</t>
  </si>
  <si>
    <t>#             powershell_args : "if(Test-Path -Path 'HKLM:\Software\Policies\Microsoft\WindowsFirewall\DomainProfile'){$noutput = (Get-ItemProperty -Path 'HKLM:\Software\Policies\Microsoft\WindowsFirewall\DomainProfile').DefaultInboundAction;if($noutput -eq $Null) {write-host 'Value Not Found'} else {$noutput}}else {write-host 'Path Not Found'}"</t>
  </si>
  <si>
    <t>#                 description : "QQ2SC - MSWRK - Windows Firewall: Domain: Settings: Display a notification is set to No"</t>
  </si>
  <si>
    <t>#                        info : "Select this option to have Windows Firewall with Advanced Security display notifications to the user when a program is blocked from receiving inbound connections."</t>
  </si>
  <si>
    <t>#             powershell_args : "if(Test-Path -Path 'HKLM:\Software\Policies\Microsoft\WindowsFirewall\DomainProfile'){$noutput = (Get-ItemProperty -Path 'HKLM:\Software\Policies\Microsoft\WindowsFirewall\DomainProfile').DisableNotifications;if($noutput -eq $Null) {write-host 'Value Not Found'} else {$noutput}}else {write-host 'Path Not Found'}"</t>
  </si>
  <si>
    <t>#                 description : "QQ2AU - MSWRK - Windows Firewall: Domain: Logging: Name is set to %SystemRoot%\System32\logfiles\firewall\domainfw.log"</t>
  </si>
  <si>
    <t>#                        info : "Use this option to specify the path and name of the file in which Windows Firewall will write its log information."</t>
  </si>
  <si>
    <t>#                  value_data : "%SYSTEMROOT%\System32\logfiles\firewall\domainfw.log"</t>
  </si>
  <si>
    <t>#             powershell_args : "if(Test-Path -Path 'HKLM:\Software\Policies\Microsoft\WindowsFirewall\DomainProfile\Logging'){$noutput = (Get-ItemProperty -Path 'HKLM:\Software\Policies\Microsoft\WindowsFirewall\DomainProfile\Logging').LogFilePath;if($noutput -eq $Null) {write-host 'Value Not Found'} else {$noutput}}else {write-host 'Path Not Found'}"</t>
  </si>
  <si>
    <t>#                 description : "QQ2AU - MSWRK - Windows Firewall: Domain: Logging: Size limit (KB) is set to 16,384 KB or greater"</t>
  </si>
  <si>
    <t>#                        info : "Use this option to specify the size limit of the file in which Windows Firewall will write its log information."</t>
  </si>
  <si>
    <t>#                  value_data : "[16384..MAX]"</t>
  </si>
  <si>
    <t>#             powershell_args : "if(Test-Path -Path 'HKLM:\Software\Policies\Microsoft\WindowsFirewall\DomainProfile\Logging'){$noutput = (Get-ItemProperty -Path 'HKLM:\Software\Policies\Microsoft\WindowsFirewall\DomainProfile\Logging').LogFileSize;if($noutput -eq $Null) {write-host 'Value Not Found'} else {$noutput}}else {write-host 'Path Not Found'}"</t>
  </si>
  <si>
    <t>#                 description : "QQ2AU - MSWRK - Windows Firewall: Domain: Logging: Log dropped packets is set to Yes"</t>
  </si>
  <si>
    <t>#                        info : "Use this option to log when Windows Firewall with Advanced Security discards an inbound packet for any reason. The log records why and when the packet was dropped. Look for entries with the word DROP in the action column of the log."</t>
  </si>
  <si>
    <t>#                   reference : "NIST 800-53r5|AU-3 AU-3(1) AU-7 AU-12 SC-7 "</t>
  </si>
  <si>
    <t>#             powershell_args : "if(Test-Path -Path 'HKLM:\Software\Policies\Microsoft\WindowsFirewall\DomainProfile\Logging'){$noutput = (Get-ItemProperty -Path 'HKLM:\Software\Policies\Microsoft\WindowsFirewall\DomainProfile\Logging').LogDroppedPackets;if($noutput -eq $Null) {write-host 'Value Not Found'} else {$noutput}}else {write-host 'Path Not Found'}"</t>
  </si>
  <si>
    <t>#                 description : "QQ2AU - MSWRK - Windows Firewall: Domain: Logging: Log successful connections is set to Yes"</t>
  </si>
  <si>
    <t>#                        info : "Use this option to log when Windows Firewall with Advanced Security allows an inbound connection. The log records why and when the connection was formed. Look for entries with the word ALLOW in the action column of the log."</t>
  </si>
  <si>
    <t>#             powershell_args : "if(Test-Path -Path 'HKLM:\Software\Policies\Microsoft\WindowsFirewall\DomainProfile\Logging'){$noutput = (Get-ItemProperty -Path 'HKLM:\Software\Policies\Microsoft\WindowsFirewall\DomainProfile\Logging').LogSuccessfulConnections;if($noutput -eq $Null) {write-host 'Value Not Found'} else {$noutput}}else {write-host 'Path Not Found'}"</t>
  </si>
  <si>
    <t>#                 description : "QQ2SC - MSWRK - Windows Firewall: Private: Firewall state is set to On (recommended)"</t>
  </si>
  <si>
    <t>#             powershell_args : "if(Test-Path -Path 'HKLM:\Software\Policies\Microsoft\WindowsFirewall\PrivateProfile'){$noutput = (Get-ItemProperty -Path 'HKLM:\Software\Policies\Microsoft\WindowsFirewall\PrivateProfile').EnableFirewall;if($noutput -eq $Null) {write-host 'Value Not Found'} else {$noutput}}else {write-host 'Path Not Found'}"</t>
  </si>
  <si>
    <t>#                 description : "QQ2SC - MSWRK - Windows Firewall: Private: Inbound connections is set to Block (default)"</t>
  </si>
  <si>
    <t>#             powershell_args : "if(Test-Path -Path 'HKLM:\Software\Policies\Microsoft\WindowsFirewall\PrivateProfile'){$noutput = (Get-ItemProperty -Path 'HKLM:\Software\Policies\Microsoft\WindowsFirewall\PrivateProfile').DefaultInboundAction;if($noutput -eq $Null) {write-host 'Value Not Found'} else {$noutput}}else {write-host 'Path Not Found'}"</t>
  </si>
  <si>
    <t>#                 description : "QQ2SC - MSWRK - Windows Firewall: Private: Settings: Display a notification is set to No"</t>
  </si>
  <si>
    <t>#             powershell_args : "if(Test-Path -Path 'HKLM:\Software\Policies\Microsoft\WindowsFirewall\PrivateProfile'){$noutput = (Get-ItemProperty -Path 'HKLM:\Software\Policies\Microsoft\WindowsFirewall\PrivateProfile').DisableNotifications;if($noutput -eq $Null) {write-host 'Value Not Found'} else {$noutput}}else {write-host 'Path Not Found'}"</t>
  </si>
  <si>
    <t>#                 description : "QQ2AU - MSWRK - Windows Firewall: Private: Logging: Name is set to %SystemRoot%\System32\logfiles\firewall\privatefw.log"</t>
  </si>
  <si>
    <t>#                  value_data : "%SYSTEMROOT%\System32\logfiles\firewall\privatefw.log"</t>
  </si>
  <si>
    <t>#             powershell_args : "if(Test-Path -Path 'HKLM:\Software\Policies\Microsoft\WindowsFirewall\PrivateProfile\Logging'){$noutput = (Get-ItemProperty -Path 'HKLM:\Software\Policies\Microsoft\WindowsFirewall\PrivateProfile\Logging').LogFilePath;if($noutput -eq $Null) {write-host 'Value Not Found'} else {$noutput}}else {write-host 'Path Not Found'}"</t>
  </si>
  <si>
    <t>#                 description : "QQ2AU - MSWRK - Windows Firewall: Private: Logging: Size limit (KB) is set to 16,384 KB or greater"</t>
  </si>
  <si>
    <t>#             powershell_args : "if(Test-Path -Path 'HKLM:\Software\Policies\Microsoft\WindowsFirewall\PrivateProfile\Logging'){$noutput = (Get-ItemProperty -Path 'HKLM:\Software\Policies\Microsoft\WindowsFirewall\PrivateProfile\Logging').LogFileSize;if($noutput -eq $Null) {write-host 'Value Not Found'} else {$noutput}}else {write-host 'Path Not Found'}"</t>
  </si>
  <si>
    <t>#                 description : "QQ2AU - MSWRK - Windows Firewall: Private: Logging: Log dropped packets is set to Yes"</t>
  </si>
  <si>
    <t>#             powershell_args : "if(Test-Path -Path 'HKLM:\Software\Policies\Microsoft\WindowsFirewall\PrivateProfile\Logging'){$noutput = (Get-ItemProperty -Path 'HKLM:\Software\Policies\Microsoft\WindowsFirewall\PrivateProfile\Logging').LogDroppedPackets;if($noutput -eq $Null) {write-host 'Value Not Found'} else {$noutput}}else {write-host 'Path Not Found'}"</t>
  </si>
  <si>
    <t>#                 description : "QQ2AU - MSWRK - Windows Firewall: Private: Logging: Log successful connections is set to Yes"</t>
  </si>
  <si>
    <t>#             powershell_args : "if(Test-Path -Path 'HKLM:\Software\Policies\Microsoft\WindowsFirewall\PrivateProfile\Logging'){$noutput = (Get-ItemProperty -Path 'HKLM:\Software\Policies\Microsoft\WindowsFirewall\PrivateProfile\Logging').LogSuccessfulConnections;if($noutput -eq $Null) {write-host 'Value Not Found'} else {$noutput}}else {write-host 'Path Not Found'}"</t>
  </si>
  <si>
    <t>#                 description : "QQ2SC - MSWRK - Windows Firewall: Public: Firewall state is set to On (recommended)"</t>
  </si>
  <si>
    <t>#             powershell_args : "if(Test-Path -Path 'HKLM:\Software\Policies\Microsoft\WindowsFirewall\PublicProfile'){$noutput = (Get-ItemProperty -Path 'HKLM:\Software\Policies\Microsoft\WindowsFirewall\PublicProfile').EnableFirewall;if($noutput -eq $Null) {write-host 'Value Not Found'} else {$noutput}}else {write-host 'Path Not Found'}"</t>
  </si>
  <si>
    <t>#                 description : "QQ2SC - MSWRK - Windows Firewall: Public: Inbound connections is set to Block (default)"</t>
  </si>
  <si>
    <t>#             powershell_args : "if(Test-Path -Path 'HKLM:\Software\Policies\Microsoft\WindowsFirewall\PublicProfile'){$noutput = (Get-ItemProperty -Path 'HKLM:\Software\Policies\Microsoft\WindowsFirewall\PublicProfile').DefaultInboundAction;if($noutput -eq $Null) {write-host 'Value Not Found'} else {$noutput}}else {write-host 'Path Not Found'}"</t>
  </si>
  <si>
    <t>#                 description : "QQ2SC - MSWRK - Windows Firewall: Public: Settings: Display a notification is set to No"</t>
  </si>
  <si>
    <t>#             powershell_args : "if(Test-Path -Path 'HKLM:\Software\Policies\Microsoft\WindowsFirewall\PublicProfile'){$noutput = (Get-ItemProperty -Path 'HKLM:\Software\Policies\Microsoft\WindowsFirewall\PublicProfile').DisableNotifications;if($noutput -eq $Null) {write-host 'Value Not Found'} else {$noutput}}else {write-host 'Path Not Found'}"</t>
  </si>
  <si>
    <t>#                 description : "QQ2SC - MSWRK - Windows Firewall: Public: Settings: Apply local firewall rules is set to No"</t>
  </si>
  <si>
    <t>#                        info : "This setting controls whether local administrators are allowed to create local firewall rules that apply together with firewall rules configured by Group Policy."</t>
  </si>
  <si>
    <t>#             powershell_args : "if(Test-Path -Path 'HKLM:\Software\Policies\Microsoft\WindowsFirewall\PublicProfile'){$noutput = (Get-ItemProperty -Path 'HKLM:\Software\Policies\Microsoft\WindowsFirewall\PublicProfile').AllowLocalPolicyMerge;if($noutput -eq $Null) {write-host 'Value Not Found'} else {$noutput}}else {write-host 'Path Not Found'}"</t>
  </si>
  <si>
    <t>#                 description : "QQ2SC - MSWRK - Windows Firewall: Public: Settings: Apply local connection security rules is set to No"</t>
  </si>
  <si>
    <t>#                        info : "This setting controls whether local administrators are allowed to create connection security rules that apply together with connection security rules configured by Group Policy."</t>
  </si>
  <si>
    <t>#             powershell_args : "if(Test-Path -Path 'HKLM:\Software\Policies\Microsoft\WindowsFirewall\PublicProfile'){$noutput = (Get-ItemProperty -Path 'HKLM:\Software\Policies\Microsoft\WindowsFirewall\PublicProfile').AllowLocalIPsecPolicyMerge;if($noutput -eq $Null) {write-host 'Value Not Found'} else {$noutput}}else {write-host 'Path Not Found'}"</t>
  </si>
  <si>
    <t>#                 description : "QQ2AU - MSWRK - Windows Firewall: Public: Logging: Name is set to %SystemRoot%\System32\logfiles\firewall\publicfw.log"</t>
  </si>
  <si>
    <t>#                  value_data : "%SYSTEMROOT%\System32\logfiles\firewall\publicfw.log"</t>
  </si>
  <si>
    <t>#             powershell_args : "if(Test-Path -Path 'HKLM:\Software\Policies\Microsoft\WindowsFirewall\PublicProfile\Logging'){$noutput = (Get-ItemProperty -Path 'HKLM:\Software\Policies\Microsoft\WindowsFirewall\PublicProfile\Logging').LogFilePath;if($noutput -eq $Null) {write-host 'Value Not Found'} else {$noutput}}else {write-host 'Path Not Found'}"</t>
  </si>
  <si>
    <t>#                 description : "QQ2AU - MSWRK - Windows Firewall: Public: Logging: Size limit (KB) is set to 16,384 KB or greater"</t>
  </si>
  <si>
    <t>#             powershell_args : "if(Test-Path -Path 'HKLM:\Software\Policies\Microsoft\WindowsFirewall\PublicProfile\Logging'){$noutput = (Get-ItemProperty -Path 'HKLM:\Software\Policies\Microsoft\WindowsFirewall\PublicProfile\Logging').LogFileSize;if($noutput -eq $Null) {write-host 'Value Not Found'} else {$noutput}}else {write-host 'Path Not Found'}"</t>
  </si>
  <si>
    <t>#                 description : "QQ2AU - MSWRK - Windows Firewall: Public: Logging: Log dropped packets is set to Yes"</t>
  </si>
  <si>
    <t>#             powershell_args : "if(Test-Path -Path 'HKLM:\Software\Policies\Microsoft\WindowsFirewall\PublicProfile\Logging'){$noutput = (Get-ItemProperty -Path 'HKLM:\Software\Policies\Microsoft\WindowsFirewall\PublicProfile\Logging').LogDroppedPackets;if($noutput -eq $Null) {write-host 'Value Not Found'} else {$noutput}}else {write-host 'Path Not Found'}"</t>
  </si>
  <si>
    <t>#                 description : "QQ2AU - MSWRK - Windows Firewall: Public: Logging: Log successful connections is set to Yes"</t>
  </si>
  <si>
    <t>#             powershell_args : "if(Test-Path -Path 'HKLM:\Software\Policies\Microsoft\WindowsFirewall\PublicProfile\Logging'){$noutput = (Get-ItemProperty -Path 'HKLM:\Software\Policies\Microsoft\WindowsFirewall\PublicProfile\Logging').LogSuccessfulConnections;if($noutput -eq $Null) {write-host 'Value Not Found'} else {$noutput}}else {write-host 'Path Not Found'}"</t>
  </si>
  <si>
    <t xml:space="preserve">                description : "SC - MSWRK - Services - Windows Firewall is enabled"</t>
  </si>
  <si>
    <t xml:space="preserve">                description : "CM - MSWRK - Services - Windows Defender"</t>
  </si>
  <si>
    <t xml:space="preserve">                description : "CM - MSWRK - Services - BitLocker Drive Encryption Service"</t>
  </si>
  <si>
    <t xml:space="preserve">                description : "CM - MSWRK - Services - Security Accounts Manager"</t>
  </si>
  <si>
    <t xml:space="preserve">                description : "CM - MSWRK - Services - Cisco VPN Secure Client"</t>
  </si>
  <si>
    <t xml:space="preserve">                description : "CM - MSWRK - Services - Windows Event Log"</t>
  </si>
  <si>
    <t xml:space="preserve">                description : "AC - MSWRK - Create a pagefileallowed for Administrators"</t>
  </si>
  <si>
    <t xml:space="preserve">                description : "CM - MSWRK - TCPIP6 is disabled"</t>
  </si>
  <si>
    <t xml:space="preserve">                description : "CM - MSWRK - Check if WinRM service is running"</t>
  </si>
  <si>
    <t xml:space="preserve">                description : "CM - MSWRK - Computer Browser (Browser) is not Installed"</t>
  </si>
  <si>
    <t xml:space="preserve">                description : "CM - MSWRK - Disable SMB v1 client driver."</t>
  </si>
  <si>
    <t xml:space="preserve">                       info : "This setting configures the start type for the Server Message Block version 1 (SMBv1) client driver service ( MRxSmb10 )."</t>
  </si>
  <si>
    <t xml:space="preserve">            powershell_args : "if(Test-Path -Path 'HKLM:\SYSTEM\CurrentControlSet\Services\mrxsmb10'){$noutput = (Get-ItemProperty -Path 'HKLM:\SYSTEM\CurrentControlSet\Services\mrxsmb10').Start; if($noutput -eq $Null) {write-host 'Value Not Found'} else {$noutput}}else {write-host 'Path Not Found'}"</t>
  </si>
  <si>
    <t xml:space="preserve">                description : "CM - MSWRK - Services - BitLocker Drive Encryption Management Service"</t>
  </si>
  <si>
    <t xml:space="preserve">                description : "CM - MSWRK - Services - Rapid7 Insight Agent Service"</t>
  </si>
  <si>
    <t xml:space="preserve">                description : "CM - MSWRK - Sentinel Agent"</t>
  </si>
  <si>
    <t xml:space="preserve">                description : "CM - MSWRK - Services - Sentinel Helper Service"</t>
  </si>
  <si>
    <t xml:space="preserve">                description : "CM - MSWRK - Services - SentinelOne Agent Log Processing Service"</t>
  </si>
  <si>
    <t xml:space="preserve">                description : "CM - MSWRK - Services - SentinelOne Static Service"</t>
  </si>
  <si>
    <t xml:space="preserve">                description : "CM - MSWRK - Services - Xbox Live Auth Manager"</t>
  </si>
  <si>
    <t xml:space="preserve">                description : "CM - MSWRK - Services - Xbox Live Game Save Service"</t>
  </si>
  <si>
    <t xml:space="preserve">                description : "CM - MSWRK - Services - Xbox Live Networking Service"</t>
  </si>
  <si>
    <t xml:space="preserve">                description : "CM - MSWRK - Simple TCP/IP Services (simptcp) is Not Installed"</t>
  </si>
  <si>
    <t xml:space="preserve">                description : "CM - MSWRK - SMB v1 server is set to Disabled"</t>
  </si>
  <si>
    <t xml:space="preserve">                description : "CM - MSWRK - Turn off multicast name resolution"</t>
  </si>
  <si>
    <t xml:space="preserve">                       info : "LLMNR is a secondary name resolution protocol."</t>
  </si>
  <si>
    <t xml:space="preserve">           &lt;/then&gt;</t>
  </si>
  <si>
    <t xml:space="preserve">           &lt;else&gt;</t>
  </si>
  <si>
    <t xml:space="preserve">           &lt;report type: "WARNING"&gt;</t>
  </si>
  <si>
    <t xml:space="preserve">                description : "MSWRK - WARNING - TARGET OS DOESNT MATCH BASELINE - WINWRK"</t>
  </si>
  <si>
    <t xml:space="preserve">                       info : "NOTE: Nessus has identified that the chosen audit does not apply to the target device."</t>
  </si>
  <si>
    <t xml:space="preserve">           &lt;/else&gt;</t>
  </si>
  <si>
    <t xml:space="preserve">           &lt;/if&gt;</t>
  </si>
  <si>
    <t xml:space="preserve">           &lt;/group_policy&gt;</t>
  </si>
  <si>
    <t xml:space="preserve">           &lt;/check_type&gt;</t>
  </si>
  <si>
    <t># &lt;custom_item&gt;</t>
  </si>
  <si>
    <t>#   type                      : AUDIT_POWERSHELL</t>
  </si>
  <si>
    <t>#   description               : "1.0006 - MSWRK - Ensure Relax minimum password length limits is set to Enabled"</t>
  </si>
  <si>
    <t>#   info                      : "This policy setting determines whether the minimum password length setting can be increased beyond the legacy limit of 14 characters."</t>
  </si>
  <si>
    <t>#   reference                 : "NIST 800-53r5|IA-5(1)"</t>
  </si>
  <si>
    <t>#   see_also                  : "See HTH Policies and Standards"</t>
  </si>
  <si>
    <t>#   value_type                : POLICY_TEXT</t>
  </si>
  <si>
    <t>#   value_data                : "1"</t>
  </si>
  <si>
    <t>#   powershell_args           : "$p = Get-ItemProperty -Path 'Registry::HKEY_LOCAL_MACHINE\System\CurrentControlSet\Control\SAM' -ErrorAction SilentlyContinue; $val = if ($p -and $p.PSObject.Properties['RelaxMinimumPasswordLengthLimits'] -ne $null) { [int]$p.'RelaxMinimumPasswordLengthLimits' } else { 0 }; [string]$val"</t>
  </si>
  <si>
    <t># &lt;/custom_item&gt;</t>
  </si>
  <si>
    <t>#   description               : "1.0012 - MSWRK - Ensure Audit Credential Validation is set to Success and Failure"</t>
  </si>
  <si>
    <t>#   info                      : "This subcategory reports the results of validation tests on credentials submitted for a user account logon request."</t>
  </si>
  <si>
    <t>#   reference                 : "NIST 800-53r5|AU-3 AU-3(1) AU-7 AU-12"</t>
  </si>
  <si>
    <t>#   value_data                : "Success and Failure"</t>
  </si>
  <si>
    <t>#   powershell_args           : "$r = auditpol /get /subcategory:'Credential Validation'; $line = $r | Where-Object { $_ -like '*Credential Validation*' } | Select-Object -Last 1; if ($line) { ($line -split '\s{2,}')[-1].Trim() } else { 'No Auditing' }"</t>
  </si>
  <si>
    <t>#   description               : "1.0013 - MSWRK - Ensure Audit Application Group Management is set to Success and Failure"</t>
  </si>
  <si>
    <t>#   info                      : "This policy setting allows you to audit events generated by changes to application groups such as the following: - Application group is created, changed, or deleted."</t>
  </si>
  <si>
    <t>#   powershell_args           : "$r = auditpol /get /subcategory:'Application Group Management'; $line = $r | Where-Object { $_ -like '*Application Group Management*' } | Select-Object -Last 1; if ($line) { ($line -split '\s{2,}')[-1].Trim() } else { 'No Auditing' }"</t>
  </si>
  <si>
    <t>#   description               : "1.0014 - MSWRK - Ensure Audit Security Group Management is set to include Success"</t>
  </si>
  <si>
    <t>#   info                      : "This subcategory reports each event of security group management, such as when a security group is created, changed, or deleted or when a member is added to or removed from a security group."</t>
  </si>
  <si>
    <t>#   check_type                : CHECK_REGEX</t>
  </si>
  <si>
    <t>#   value_data                : "^(Success|Success\ and\ Failure)$"</t>
  </si>
  <si>
    <t>#   powershell_args           : "$r = auditpol /get /subcategory:'Security Group Management'; $line = $r | Where-Object { $_ -like '*Security Group Management*' } | Select-Object -Last 1; if ($line) { ($line -split '\s{2,}')[-1].Trim() } else { 'No Auditing' }"</t>
  </si>
  <si>
    <t>#   description               : "1.0015 - MSWRK - Ensure Audit User Account Management is set to Success and Failure"</t>
  </si>
  <si>
    <t>#   info                      : "This subcategory reports each event of user account management, such as when a user account is created, changed, or deleted; a user account is renamed, disabled, or enabled; or a password is set or changed."</t>
  </si>
  <si>
    <t>#   powershell_args           : "$r = auditpol /get /subcategory:'User Account Management'; $line = $r | Where-Object { $_ -like '*User Account Management*' } | Select-Object -Last 1; if ($line) { ($line -split '\s{2,}')[-1].Trim() } else { 'No Auditing' }"</t>
  </si>
  <si>
    <t>#   description               : "1.0016 - MSWRK - Ensure Audit PNP Activity is set to include Success"</t>
  </si>
  <si>
    <t>#   info                      : "This policy setting allows you to audit when plug and play detects an external device."</t>
  </si>
  <si>
    <t>#   powershell_args           : "$r = auditpol /get /subcategory:'Plug and Play Events'; $line = $r | Where-Object { $_ -like '*Plug and Play Events*' } | Select-Object -Last 1; if ($line) { ($line -split '\s{2,}')[-1].Trim() } else { 'No Auditing' }"</t>
  </si>
  <si>
    <t>#   description               : "1.0017 - MSWRK - Ensure Audit Process Creation is set to include Success"</t>
  </si>
  <si>
    <t>#   info                      : "This subcategory reports the creation of a process and the name of the program or user that created it."</t>
  </si>
  <si>
    <t>#   powershell_args           : "$r = auditpol /get /subcategory:'Process Creation'; $line = $r | Where-Object { $_ -like '*Process Creation*' } | Select-Object -Last 1; if ($line) { ($line -split '\s{2,}')[-1].Trim() } else { 'No Auditing' }"</t>
  </si>
  <si>
    <t>#   description               : "1.0019 - MSWRK - Ensure Audit Group Membership is set to include Success"</t>
  </si>
  <si>
    <t>#   info                      : "This policy allows you to audit the group membership information in the user's logon token."</t>
  </si>
  <si>
    <t>#   powershell_args           : "$r = auditpol /get /subcategory:'Group Membership'; $line = $r | Where-Object { $_ -like '*Group Membership*' } | Select-Object -Last 1; if ($line) { ($line -split '\s{2,}')[-1].Trim() } else { 'No Auditing' }"</t>
  </si>
  <si>
    <t>#   description               : "1.0024 - MSWRK - Ensure Audit Detailed File Share is set to include Failure"</t>
  </si>
  <si>
    <t>#   info                      : "This subcategory allows you to audit attempts to access files and folders on a shared folder."</t>
  </si>
  <si>
    <t>#   value_data                : "^(Failure|Success\ and\ Failure)$"</t>
  </si>
  <si>
    <t>#   powershell_args           : "$r = auditpol /get /subcategory:'Detailed File Share'; $line = $r | Where-Object { $_ -like '*Detailed File Share*' } | Select-Object -Last 1; if ($line) { ($line -split '\s{2,}')[-1].Trim() } else { 'No Auditing' }"</t>
  </si>
  <si>
    <t>#   description               : "1.0025 - MSWRK - Ensure Audit File Share is set to Success and Failure"</t>
  </si>
  <si>
    <t>#   info                      : "This policy setting allows you to audit attempts to access a shared folder."</t>
  </si>
  <si>
    <t>#   powershell_args           : "$r = auditpol /get /subcategory:'File Share'; $line = $r | Where-Object { $_ -like '*File Share*' } | Select-Object -Last 1; if ($line) { ($line -split '\s{2,}')[-1].Trim() } else { 'No Auditing' }"</t>
  </si>
  <si>
    <t>#   description               : "1.0026 - MSWRK - Ensure Audit Other Object Access Events is set to Success and Failure"</t>
  </si>
  <si>
    <t>#   info                      : "This policy setting allows you to audit events generated by the management of task scheduler jobs or COM+ objects."</t>
  </si>
  <si>
    <t>#   powershell_args           : "$r = auditpol /get /subcategory:'Other Object Access Events'; $line = $r | Where-Object { $_ -like '*Other Object Access Events*' } | Select-Object -Last 1; if ($line) { ($line -split '\s{2,}')[-1].Trim() } else { 'No Auditing' }"</t>
  </si>
  <si>
    <t>#   description               : "1.0027 - MSWRK - Ensure Audit Removable Storage is set to Success and Failure"</t>
  </si>
  <si>
    <t>#   info                      : "This policy setting allows you to audit user attempts to access file system objects on a removable storage device."</t>
  </si>
  <si>
    <t>#   powershell_args           : "$r = auditpol /get /subcategory:'Removable Storage'; $line = $r | Where-Object { $_ -like '*Removable Storage*' } | Select-Object -Last 1; if ($line) { ($line -split '\s{2,}')[-1].Trim() } else { 'No Auditing' }"</t>
  </si>
  <si>
    <t>#   description               : "1.0030 - MSWRK - Ensure Audit Authorization Policy Change is set to include Success"</t>
  </si>
  <si>
    <t>#   info                      : "This subcategory reports changes in authorization policy."</t>
  </si>
  <si>
    <t>#   powershell_args           : "$r = auditpol /get /subcategory:'Authorization Policy Change'; $line = $r | Where-Object { $_ -like '*Authorization Policy Change*' } | Select-Object -Last 1; if ($line) { ($line -split '\s{2,}')[-1].Trim() } else { 'No Auditing' }"</t>
  </si>
  <si>
    <t>#   description               : "1.0031 - MSWRK - Ensure Audit MPSSVC Rule-Level Policy Change is set to Success and Failure"</t>
  </si>
  <si>
    <t>#   info                      : "This subcategory determines whether the operating system generates audit events when changes are made to policy rules for the Microsoft Protection Service (MPSSVC."</t>
  </si>
  <si>
    <t>#   powershell_args           : "$r = auditpol /get /subcategory:'MPSSVC Rule-Level Policy Change'; $line = $r | Where-Object { $_ -like '*MPSSVC Rule-Level Policy Change*' } | Select-Object -Last 1; if ($line) { ($line -split '\s{2,}')[-1].Trim() } else { 'No Auditing' }"</t>
  </si>
  <si>
    <t>#   description               : "1.0032 - MSWRK - Ensure Audit Other Policy Change Events is set to include Failure"</t>
  </si>
  <si>
    <t>#   info                      : "This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t>
  </si>
  <si>
    <t>#   powershell_args           : "$r = auditpol /get /subcategory:'Other Policy Change Events'; $line = $r | Where-Object { $_ -like '*Other Policy Change Events*' } | Select-Object -Last 1; if ($line) { ($line -split '\s{2,}')[-1].Trim() } else { 'No Auditing' }"</t>
  </si>
  <si>
    <t>#   description               : "1.0033 - MSWRK - Ensure Audit Sensitive Privilege Use is set to Success"</t>
  </si>
  <si>
    <t>#   info                      : "This subcategory reports when a user account or service uses a sensitive privilege."</t>
  </si>
  <si>
    <t>#   powershell_args           : "$r = auditpol /get /subcategory:'Sensitive Privilege Use'; $line = $r | Where-Object { $_ -like '*Sensitive Privilege Use*' } | Select-Object -Last 1; if ($line) { ($line -split '\s{2,}')[-1].Trim() } else { 'No Auditing' }"</t>
  </si>
  <si>
    <t>#   description               : "1.0034 - MSWRK - Ensure Audit IPsec Driver is set to Success and Failure"</t>
  </si>
  <si>
    <t>#   info                      : "This subcategory reports on the activities of the Internet Protocol security (IPsec) driver."</t>
  </si>
  <si>
    <t>#   powershell_args           : "$r = auditpol /get /subcategory:'IPsec Driver'; $line = $r | Where-Object { $_ -like '*IPsec Driver*' } | Select-Object -Last 1; if ($line) { ($line -split '\s{2,}')[-1].Trim() } else { 'No Auditing' }"</t>
  </si>
  <si>
    <t>#   description               : "1.0039 - MSWRK - Ensure Allow access to BitLocker-protected fixed data drives from earlier versions of Windows is set to Disabled"</t>
  </si>
  <si>
    <t>#   info                      : "This policy setting configures whether or not fixed data drives formatted with the FAT file system can be unlocked and viewed on computers running Windows Server 2008 (non-R2), Windows Vista, Windows XP with Service Pack 3 (SP3), or Windows XP with Service Pack 2 (SP2) operating systems."</t>
  </si>
  <si>
    <t>#   reference                 : "NIST 800-53r5|AC-19(5)"</t>
  </si>
  <si>
    <t>#   value_data                : "NOT_EXISTS"</t>
  </si>
  <si>
    <t>#   powershell_args           : "$p = Get-ItemProperty -Path 'Registry::HKEY_LOCAL_MACHINE\Software\Policies\Microsoft\FVE' -ErrorAction SilentlyContinue; if ($p -eq $null -or $p.PSObject.Properties['FDVDiscoveryVolumeType'] -eq $null) { 'NOT_EXISTS' } else { 'EXISTS' }"</t>
  </si>
  <si>
    <t>#   description               : "1.0040 - MSWRK - Ensure Configure use of hardware-based encryption for fixed data drives is set to Disabled"</t>
  </si>
  <si>
    <t>#   info                      : "This policy setting allows you to manage BitLocker's use of hardware-based encryption on fixed data drives and specify which encryption algorithms it can use with hardware-based encryption."</t>
  </si>
  <si>
    <t>#   value_data                : "0"</t>
  </si>
  <si>
    <t>#   powershell_args           : "$p = Get-ItemProperty -Path 'Registry::HKEY_LOCAL_MACHINE\Software\Policies\Microsoft\FVE' -ErrorAction SilentlyContinue; $val = if ($p -and $p.PSObject.Properties['FDVHardwareEncryption'] -ne $null) { [int]$p.'FDVHardwareEncryption' } else { 0 }; [string]$val"</t>
  </si>
  <si>
    <t>#   description               : "1.0041 - MSWRK - Ensure Configure use of passwords for fixed data drives is set to Disabled"</t>
  </si>
  <si>
    <t>#   info                      : "This policy setting specifies whether a password is required to unlock BitLocker-protected fixed data drives."</t>
  </si>
  <si>
    <t>#   powershell_args           : "$p = Get-ItemProperty -Path 'Registry::HKEY_LOCAL_MACHINE\Software\Policies\Microsoft\FVE' -ErrorAction SilentlyContinue; $val = if ($p -and $p.PSObject.Properties['FDVPassphrase'] -ne $null) { [int]$p.'FDVPassphrase' } else { 0 }; [string]$val"</t>
  </si>
  <si>
    <t>#   description               : "1.0042 - MSWRK - Ensure Configure use of smart cards on fixed data drives is set to Enabled"</t>
  </si>
  <si>
    <t>#   info                      : "This policy setting allows you to specify whether smart cards can be used to authenticate user access to the BitLocker-protected fixed data drives on a computer."</t>
  </si>
  <si>
    <t>#   reference                 : "NIST 800-53r5|IA-2(1) IA-2(2) SC-28(1)"</t>
  </si>
  <si>
    <t>#   powershell_args           : "$p = Get-ItemProperty -Path 'Registry::HKEY_LOCAL_MACHINE\Software\Policies\Microsoft\FVE' -ErrorAction SilentlyContinue; $val = if ($p -and $p.PSObject.Properties['FDVAllowUserCert'] -ne $null) { [int]$p.'FDVAllowUserCert' } else { 0 }; [string]$val"</t>
  </si>
  <si>
    <t>#   description               : "1.0043 - MSWRK - Ensure Configure use of smart cards on fixed data drives: Require use of smart cards on fixed data drives is set to Enabled: True"</t>
  </si>
  <si>
    <t>#   info                      : "This policy setting allows you to specify whether smart cards must be used to authenticate user access to the BitLocker-protected fixed data drives on a computer."</t>
  </si>
  <si>
    <t>#   powershell_args           : "$p = Get-ItemProperty -Path 'Registry::HKEY_LOCAL_MACHINE\Software\Policies\Microsoft\FVE' -ErrorAction SilentlyContinue; $val = if ($p -and $p.PSObject.Properties['FDVEnforceUserCert'] -ne $null) { [int]$p.'FDVEnforceUserCert' } else { 0 }; [string]$val"</t>
  </si>
  <si>
    <t>#   description               : "1.0044 - MSWRK - Ensure Choose how BitLocker-protected fixed drives can be recovered is set to Enabled"</t>
  </si>
  <si>
    <t>#   info                      : "This policy setting allows you to control how BitLocker-protected fixed data drives are recovered in the absence of the required credentials."</t>
  </si>
  <si>
    <t>#   reference                 : "NIST 800-53r5|SC-28"</t>
  </si>
  <si>
    <t>#   powershell_args           : "$p = Get-ItemProperty -Path 'Registry::HKEY_LOCAL_MACHINE\SOFTWARE\Policies\Microsoft\FVE' -ErrorAction SilentlyContinue; $val = if ($p -and $p.PSObject.Properties['FDVRecovery'] -ne $null) { [int]$p.'FDVRecovery' } else { 0 }; [string]$val"</t>
  </si>
  <si>
    <t>#   description               : "1.0045 - MSWRK - Ensure Choose how BitLocker-protected fixed drives can be recovered: Allow data recovery agent is set to Enabled: True"</t>
  </si>
  <si>
    <t>#   powershell_args           : "$p = Get-ItemProperty -Path 'Registry::HKEY_LOCAL_MACHINE\Software\Policies\Microsoft\FVE' -ErrorAction SilentlyContinue; $val = if ($p -and $p.PSObject.Properties['FDVManageDRA'] -ne $null) { [int]$p.'FDVManageDRA' } else { 0 }; [string]$val"</t>
  </si>
  <si>
    <t>#   description               : "1.0046 - MSWRK - Ensure Choose how BitLocker-protected fixed drives can be recovered: Recovery Password is set to Enabled: Allow 48-digit recovery password or higher"</t>
  </si>
  <si>
    <t>#   value_data                : "2" || "1"</t>
  </si>
  <si>
    <t>#   powershell_args           : "$p = Get-ItemProperty -Path 'Registry::HKEY_LOCAL_MACHINE\Software\Policies\Microsoft\FVE' -ErrorAction SilentlyContinue; $val = if ($p -and $p.PSObject.Properties['FDVRecoveryPassword'] -ne $null) { [int]$p.'FDVRecoveryPassword' } else { 0 }; [string]$val"</t>
  </si>
  <si>
    <t>#   description               : "1.0047 - MSWRK - Ensure Choose how BitLocker-protected fixed drives can be recovered: Recovery Key is set to Enabled: Allow 256-bit recovery key or higher"</t>
  </si>
  <si>
    <t>#   powershell_args           : "$p = Get-ItemProperty -Path 'Registry::HKEY_LOCAL_MACHINE\Software\Policies\Microsoft\FVE' -ErrorAction SilentlyContinue; $val = if ($p -and $p.PSObject.Properties['FDVRecoveryKey'] -ne $null) { [int]$p.'FDVRecoveryKey' } else { 0 }; [string]$val"</t>
  </si>
  <si>
    <t>#   description               : "1.0048 - MSWRK - Ensure Choose how BitLocker-protected fixed drives can be recovered: Omit recovery options from the BitLocker setup wizard is set to Enabled: True"</t>
  </si>
  <si>
    <t>#   powershell_args           : "$p = Get-ItemProperty -Path 'Registry::HKEY_LOCAL_MACHINE\Software\Policies\Microsoft\FVE' -ErrorAction SilentlyContinue; $val = if ($p -and $p.PSObject.Properties['FDVHideRecoveryPage'] -ne $null) { [int]$p.'FDVHideRecoveryPage' } else { 0 }; [string]$val"</t>
  </si>
  <si>
    <t>#   description               : "1.0049 - MSWRK - Ensure Choose how BitLocker-protected fixed drives can be recovered: Save BitLocker recovery information to AD DS for fixed data drives is set to Enabled: False"</t>
  </si>
  <si>
    <t>#   powershell_args           : "$p = Get-ItemProperty -Path 'Registry::HKEY_LOCAL_MACHINE\Software\Policies\Microsoft\FVE' -ErrorAction SilentlyContinue; $val = if ($p -and $p.PSObject.Properties['FDVActiveDirectoryBackup'] -ne $null) { [int]$p.'FDVActiveDirectoryBackup' } else { 0 }; [string]$val"</t>
  </si>
  <si>
    <t>#   description               : "1.0050 - MSWRK - Ensure Choose how BitLocker-protected fixed drives can be recovered: Configure storage of BitLocker recovery information to AD DS is set to Enabled: Backup recovery passwords and key packages"</t>
  </si>
  <si>
    <t>#   powershell_args           : "$p = Get-ItemProperty -Path 'Registry::HKEY_LOCAL_MACHINE\Software\Policies\Microsoft\FVE' -ErrorAction SilentlyContinue; $val = if ($p -and $p.PSObject.Properties['FDVActiveDirectoryInfoToStore'] -ne $null) { [int]$p.'FDVActiveDirectoryInfoToStore' } else { 0 }; [string]$val"</t>
  </si>
  <si>
    <t>#   description               : "1.0051 - MSWRK - Ensure Choose how BitLocker-protected fixed drives can be recovered: Do not enable BitLocker until recovery information is stored to AD DS for fixed data drives is set to Enabled: False"</t>
  </si>
  <si>
    <t>#   powershell_args           : "$p = Get-ItemProperty -Path 'Registry::HKEY_LOCAL_MACHINE\Software\Policies\Microsoft\FVE' -ErrorAction SilentlyContinue; $val = if ($p -and $p.PSObject.Properties['FDVRequireActiveDirectoryBackup'] -ne $null) { [int]$p.'FDVRequireActiveDirectoryBackup' } else { 0 }; [string]$val"</t>
  </si>
  <si>
    <t>#   description               : "1.0052 - MSWRK - Ensure Allow enhanced PINs for startup is set to Enabled"</t>
  </si>
  <si>
    <t>#   info                      : "This policy setting allows you to configure whether or not enhanced startup PINs are used with BitLocker."</t>
  </si>
  <si>
    <t>#   powershell_args           : "$p = Get-ItemProperty -Path 'Registry::HKEY_LOCAL_MACHINE\Software\Policies\Microsoft\FVE' -ErrorAction SilentlyContinue; $val = if ($p -and $p.PSObject.Properties['UseEnhancedPin'] -ne $null) { [int]$p.'UseEnhancedPin' } else { 0 }; [string]$val"</t>
  </si>
  <si>
    <t>#   description               : "1.0053 - MSWRK - Ensure Choose how BitLocker-protected operating system drives can be recovered: Do not enable BitLocker until recovery information is stored to AD DS for operating system drives is set to Enabled: True"</t>
  </si>
  <si>
    <t>#   info                      : "This policy setting allows you to control how BitLocker-protected operating system drives are recovered in the absence of the required startup key information."</t>
  </si>
  <si>
    <t>#   powershell_args           : "$p = Get-ItemProperty -Path 'Registry::HKEY_LOCAL_MACHINE\Software\Policies\Microsoft\FVE' -ErrorAction SilentlyContinue; $val = if ($p -and $p.PSObject.Properties['OSRequireActiveDirectoryBackup'] -ne $null) { [int]$p.'OSRequireActiveDirectoryBackup' } else { 0 }; [string]$val"</t>
  </si>
  <si>
    <t>#   description               : "1.0054 - MSWRK - Ensure Configure use of hardware-based encryption for operating system drives is set to Disabled"</t>
  </si>
  <si>
    <t>#   info                      : "This policy setting allows you to manage BitLocker's use of hardware-based encryption on operating system drives and specify which encryption algorithms it can use with hardware-based encryption."</t>
  </si>
  <si>
    <t>#   powershell_args           : "$p = Get-ItemProperty -Path 'Registry::HKEY_LOCAL_MACHINE\Software\Policies\Microsoft\FVE' -ErrorAction SilentlyContinue; $val = if ($p -and $p.PSObject.Properties['OSHardwareEncryption'] -ne $null) { [int]$p.'OSHardwareEncryption' } else { 0 }; [string]$val"</t>
  </si>
  <si>
    <t>#   description               : "1.0055 - MSWRK - Ensure Allow Secure Boot for integrity validation is set to Enabled"</t>
  </si>
  <si>
    <t>#   info                      : "This policy setting allows you to configure whether Secure Boot will be allowed as the platform integrity provider for BitLocker operating system drives."</t>
  </si>
  <si>
    <t>#   reference                 : "NIST 800-53r5|SI-16"</t>
  </si>
  <si>
    <t>#   powershell_args           : "$p = Get-ItemProperty -Path 'Registry::HKEY_LOCAL_MACHINE\Software\Policies\Microsoft\FVE' -ErrorAction SilentlyContinue; $val = if ($p -and $p.PSObject.Properties['OSAllowSecureBootForIntegrity'] -ne $null) { [int]$p.'OSAllowSecureBootForIntegrity' } else { 0 }; [string]$val"</t>
  </si>
  <si>
    <t>#   description               : "1.0056 - MSWRK - Ensure Choose how BitLocker-protected operating system drives can be recovered is set to Enabled"</t>
  </si>
  <si>
    <t>#   powershell_args           : "$p = Get-ItemProperty -Path 'Registry::HKEY_LOCAL_MACHINE\Software\Policies\Microsoft\FVE' -ErrorAction SilentlyContinue; $val = if ($p -and $p.PSObject.Properties['OSRecovery'] -ne $null) { [int]$p.'OSRecovery' } else { 0 }; [string]$val"</t>
  </si>
  <si>
    <t>#   description               : "1.0057 - MSWRK - Ensure Choose how BitLocker-protected operating system drives can be recovered: Allow data recovery agent is set to Enabled: False"</t>
  </si>
  <si>
    <t>#   powershell_args           : "$p = Get-ItemProperty -Path 'Registry::HKEY_LOCAL_MACHINE\Software\Policies\Microsoft\FVE' -ErrorAction SilentlyContinue; $val = if ($p -and $p.PSObject.Properties['OSManageDRA'] -ne $null) { [int]$p.'OSManageDRA' } else { 0 }; [string]$val"</t>
  </si>
  <si>
    <t>#   description               : "1.0058 - MSWRK - Ensure Choose how BitLocker-protected operating system drives can be recovered: Recovery Password is set to Enabled: Require 48-digit recovery password"</t>
  </si>
  <si>
    <t>#   powershell_args           : "$p = Get-ItemProperty -Path 'Registry::HKEY_LOCAL_MACHINE\Software\Policies\Microsoft\FVE' -ErrorAction SilentlyContinue; $val = if ($p -and $p.PSObject.Properties['OSRecoveryPassword'] -ne $null) { [int]$p.'OSRecoveryPassword' } else { 0 }; [string]$val"</t>
  </si>
  <si>
    <t>#   description               : "1.0059 - MSWRK - Ensure Choose how BitLocker-protected operating system drives can be recovered: Recovery Key is set to Enabled: Do not allow 256-bit recovery key"</t>
  </si>
  <si>
    <t>#   powershell_args           : "$p = Get-ItemProperty -Path 'Registry::HKEY_LOCAL_MACHINE\Software\Policies\Microsoft\FVE' -ErrorAction SilentlyContinue; $val = if ($p -and $p.PSObject.Properties['OSRecoveryKey'] -ne $null) { [int]$p.'OSRecoveryKey' } else { 0 }; [string]$val"</t>
  </si>
  <si>
    <t>#   description               : "1.0060 - MSWRK - Ensure Choose how BitLocker-protected operating system drives can be recovered: Omit recovery options from the BitLocker setup wizard is set to Enabled: True"</t>
  </si>
  <si>
    <t>#   powershell_args           : "$p = Get-ItemProperty -Path 'Registry::HKEY_LOCAL_MACHINE\Software\Policies\Microsoft\FVE' -ErrorAction SilentlyContinue; $val = if ($p -and $p.PSObject.Properties['OSHideRecoveryPage'] -ne $null) { [int]$p.'OSHideRecoveryPage' } else { 0 }; [string]$val"</t>
  </si>
  <si>
    <t>#   description               : "1.0061 - MSWRK - Ensure Choose how BitLocker-protected operating system drives can be recovered: Save BitLocker recovery information to AD DS for operating system drives is set to Enabled: True"</t>
  </si>
  <si>
    <t>#   powershell_args           : "$p = Get-ItemProperty -Path 'Registry::HKEY_LOCAL_MACHINE\Software\Policies\Microsoft\FVE' -ErrorAction SilentlyContinue; $val = if ($p -and $p.PSObject.Properties['OSActiveDirectoryBackup'] -ne $null) { [int]$p.'OSActiveDirectoryBackup' } else { 0 }; [string]$val"</t>
  </si>
  <si>
    <t>#   description               : "1.0062 - MSWRK - Ensure Choose how BitLocker-protected operating system drives can be recovered: Configure storage of BitLocker recovery information to AD DS: is set to Enabled: Store recovery passwords and key packages"</t>
  </si>
  <si>
    <t>#   powershell_args           : "$p = Get-ItemProperty -Path 'Registry::HKEY_LOCAL_MACHINE\Software\Policies\Microsoft\FVE' -ErrorAction SilentlyContinue; $val = if ($p -and $p.PSObject.Properties['OSActiveDirectoryInfoToStore'] -ne $null) { [int]$p.'OSActiveDirectoryInfoToStore' } else { 0 }; [string]$val"</t>
  </si>
  <si>
    <t>#   description               : "1.0063 - MSWRK - Ensure Allow access to BitLocker-protected removable data drives from earlier versions of Windows is set to Disabled"</t>
  </si>
  <si>
    <t>#   info                      : "This policy setting configures whether or not removable data drives formatted with the FAT file system can be unlocked and viewed on computers running Windows Server 2008 (non-R2), Windows Vista, Windows XP with Service Pack 3 (SP3), or Windows XP with Service Pack 2 (SP2) operating systems."</t>
  </si>
  <si>
    <t>#   powershell_args           : "$p = Get-ItemProperty -Path 'Registry::HKEY_LOCAL_MACHINE\Software\Policies\Microsoft\FVE' -ErrorAction SilentlyContinue; if ($p -eq $null -or $p.PSObject.Properties['RDVDiscoveryVolumeType'] -eq $null) { 'NOT_EXISTS' } else { 'EXISTS' }"</t>
  </si>
  <si>
    <t>#   description               : "1.0064 - MSWRK - Ensure Configure use of hardware-based encryption for removable data drives is set to Disabled"</t>
  </si>
  <si>
    <t>#   info                      : "This policy setting allows you to manage BitLocker's use of hardware-based encryption on removable data drives and specify which encryption algorithms it can use with hardware-based encryption."</t>
  </si>
  <si>
    <t>#   powershell_args           : "$p = Get-ItemProperty -Path 'Registry::HKEY_LOCAL_MACHINE\Software\Policies\Microsoft\FVE' -ErrorAction SilentlyContinue; $val = if ($p -and $p.PSObject.Properties['RDVHardwareEncryption'] -ne $null) { [int]$p.'RDVHardwareEncryption' } else { 0 }; [string]$val"</t>
  </si>
  <si>
    <t>#   description               : "1.0065 - MSWRK - Ensure Configure use of passwords for removable data drives is set to Disabled"</t>
  </si>
  <si>
    <t>#   info                      : "This policy setting allows you to specify whether a password is required to unlock BitLocker-protected removable data drives."</t>
  </si>
  <si>
    <t>#   powershell_args           : "$p = Get-ItemProperty -Path 'Registry::HKEY_LOCAL_MACHINE\Software\Policies\Microsoft\FVE' -ErrorAction SilentlyContinue; $val = if ($p -and $p.PSObject.Properties['RDVPassphrase'] -ne $null) { [int]$p.'RDVPassphrase' } else { 0 }; [string]$val"</t>
  </si>
  <si>
    <t>#   description               : "1.0066 - MSWRK - Ensure Configure use of smart cards on removable data drives is set to Enabled"</t>
  </si>
  <si>
    <t>#   info                      : "This policy setting specifies whether smart cards can be used to authenticate user access to BitLocker-protected removable data drives on a computer."</t>
  </si>
  <si>
    <t>#   powershell_args           : "$p = Get-ItemProperty -Path 'Registry::HKEY_LOCAL_MACHINE\Software\Policies\Microsoft\FVE' -ErrorAction SilentlyContinue; $val = if ($p -and $p.PSObject.Properties['RDVAllowUserCert'] -ne $null) { [int]$p.'RDVAllowUserCert' } else { 0 }; [string]$val"</t>
  </si>
  <si>
    <t>#   description               : "1.0067 - MSWRK - Ensure Configure use of smart cards on removable data drives: Require use of smart cards on removable data drives is set to Enabled: True"</t>
  </si>
  <si>
    <t>#   info                      : "This policy setting specifies whether smart cards must be used to authenticate user access to BitLocker-protected removable data drives on a computer."</t>
  </si>
  <si>
    <t>#   powershell_args           : "$p = Get-ItemProperty -Path 'Registry::HKEY_LOCAL_MACHINE\Software\Policies\Microsoft\FVE' -ErrorAction SilentlyContinue; $val = if ($p -and $p.PSObject.Properties['RDVEnforceUserCert'] -ne $null) { [int]$p.'RDVEnforceUserCert' } else { 0 }; [string]$val"</t>
  </si>
  <si>
    <t>#   description               : "1.0068 - MSWRK - Ensure Deny write access to removable drives not protected by BitLocker is set to Enabled"</t>
  </si>
  <si>
    <t>#   info                      : "This policy setting configures whether BitLocker protection is required for a computer to be able to write data to a removable data drive."</t>
  </si>
  <si>
    <t>#   reference                 : "NIST 800-53r5|MP-7"</t>
  </si>
  <si>
    <t>#   powershell_args           : "$p = Get-ItemProperty -Path 'Registry::HKEY_LOCAL_MACHINE\System\CurrentControlSet\Policies\Microsoft\FVE' -ErrorAction SilentlyContinue; $val = if ($p -and $p.PSObject.Properties['RDVDenyWriteAccess'] -ne $null) { [int]$p.'RDVDenyWriteAccess' } else { 0 }; [string]$val"</t>
  </si>
  <si>
    <t>#   description               : "1.0069 - MSWRK - Ensure Deny write access to removable drives not protected by BitLocker: Do not allow write access to devices configured in another organization is set to Enabled: False"</t>
  </si>
  <si>
    <t>#   info                      : "This policy setting configures whether the computer will be able to write data to BitLocker-protected removable drives that were configured in another organization."</t>
  </si>
  <si>
    <t>#   powershell_args           : "$p = Get-ItemProperty -Path 'Registry::HKEY_LOCAL_MACHINE\Software\Policies\Microsoft\FVE' -ErrorAction SilentlyContinue; $val = if ($p -and $p.PSObject.Properties['RDVDenyCrossOrg'] -ne $null) { [int]$p.'RDVDenyCrossOrg' } else { 0 }; [string]$val"</t>
  </si>
  <si>
    <t>#   description               : "1.0070 - MSWRK - Ensure Choose how BitLocker-protected removable drives can be recovered is set to Enabled"</t>
  </si>
  <si>
    <t>#   info                      : "This policy setting allows you to control how BitLocker-protected removable data drives are recovered in the absence of the required credentials."</t>
  </si>
  <si>
    <t>#   powershell_args           : "$p = Get-ItemProperty -Path 'Registry::HKEY_LOCAL_MACHINE\Software\Policies\Microsoft\FVE' -ErrorAction SilentlyContinue; $val = if ($p -and $p.PSObject.Properties['RDVRecovery'] -ne $null) { [int]$p.'RDVRecovery' } else { 0 }; [string]$val"</t>
  </si>
  <si>
    <t>#   description               : "1.0071 - MSWRK - Ensure Choose how BitLocker-protected removable drives can be recovered: Allow data recovery agent is set to Enabled: True"</t>
  </si>
  <si>
    <t>#   powershell_args           : "$p = Get-ItemProperty -Path 'Registry::HKEY_LOCAL_MACHINE\Software\Policies\Microsoft\FVE' -ErrorAction SilentlyContinue; $val = if ($p -and $p.PSObject.Properties['RDVManageDRA'] -ne $null) { [int]$p.'RDVManageDRA' } else { 0 }; [string]$val"</t>
  </si>
  <si>
    <t>#   description               : "1.0072 - MSWRK - Ensure Choose how BitLocker-protected removable drives can be recovered: Recovery Password is set to Enabled: Do not allow 48-digit recovery password"</t>
  </si>
  <si>
    <t>#   powershell_args           : "$p = Get-ItemProperty -Path 'Registry::HKEY_LOCAL_MACHINE\Software\Policies\Microsoft\FVE' -ErrorAction SilentlyContinue; $val = if ($p -and $p.PSObject.Properties['RDVRecoveryPassword'] -ne $null) { [int]$p.'RDVRecoveryPassword' } else { 0 }; [string]$val"</t>
  </si>
  <si>
    <t>#   description               : "1.0073 - MSWRK - Ensure Choose how BitLocker-protected removable drives can be recovered: Recovery Key is set to Enabled: Do not allow 256-bit recovery key"</t>
  </si>
  <si>
    <t>#   powershell_args           : "$p = Get-ItemProperty -Path 'Registry::HKEY_LOCAL_MACHINE\Software\Policies\Microsoft\FVE' -ErrorAction SilentlyContinue; $val = if ($p -and $p.PSObject.Properties['RDVRecoveryKey'] -ne $null) { [int]$p.'RDVRecoveryKey' } else { 0 }; [string]$val"</t>
  </si>
  <si>
    <t>#   description               : "1.0074 - MSWRK - Ensure Choose how BitLocker-protected removable drives can be recovered: Omit recovery options from the BitLocker setup wizard is set to Enabled: True"</t>
  </si>
  <si>
    <t>#   powershell_args           : "$p = Get-ItemProperty -Path 'Registry::HKEY_LOCAL_MACHINE\Software\Policies\Microsoft\FVE' -ErrorAction SilentlyContinue; $val = if ($p -and $p.PSObject.Properties['RDVHideRecoveryPage'] -ne $null) { [int]$p.'RDVHideRecoveryPage' } else { 0 }; [string]$val"</t>
  </si>
  <si>
    <t>#   description               : "1.0075 - MSWRK - Ensure Choose how BitLocker-protected removable drives can be recovered: Save BitLocker recovery information to AD DS for removable data drives is set to Enabled: False"</t>
  </si>
  <si>
    <t>#   powershell_args           : "$p = Get-ItemProperty -Path 'Registry::HKEY_LOCAL_MACHINE\Software\Policies\Microsoft\FVE' -ErrorAction SilentlyContinue; $val = if ($p -and $p.PSObject.Properties['RDVActiveDirectoryBackup'] -ne $null) { [int]$p.'RDVActiveDirectoryBackup' } else { 0 }; [string]$val"</t>
  </si>
  <si>
    <t>#   description               : "1.0076 - MSWRK - Ensure Choose how BitLocker-protected removable drives can be recovered: Configure storage of BitLocker recovery information to AD DS: is set to Enabled: Backup recovery passwords and key packages"</t>
  </si>
  <si>
    <t>#   powershell_args           : "$p = Get-ItemProperty -Path 'Registry::HKEY_LOCAL_MACHINE\Software\Policies\Microsoft\FVE' -ErrorAction SilentlyContinue; $val = if ($p -and $p.PSObject.Properties['RDVActiveDirectoryInfoToStore'] -ne $null) { [int]$p.'RDVActiveDirectoryInfoToStore' } else { 0 }; [string]$val"</t>
  </si>
  <si>
    <t>#   description               : "1.0077 - MSWRK - Ensure Choose how BitLocker-protected removable drives can be recovered: Do not enable BitLocker until recovery information is stored to AD DS for removable data drives is set to Enabled: False"</t>
  </si>
  <si>
    <t>#   powershell_args           : "$p = Get-ItemProperty -Path 'Registry::HKEY_LOCAL_MACHINE\Software\Policies\Microsoft\FVE' -ErrorAction SilentlyContinue; $val = if ($p -and $p.PSObject.Properties['RDVRequireActiveDirectoryBackup'] -ne $null) { [int]$p.'RDVRequireActiveDirectoryBackup' } else { 0 }; [string]$val"</t>
  </si>
  <si>
    <t>#   description               : "1.0078 - MSWRK - Ensure Turn off cloud consumer account state content is set to Enabled"</t>
  </si>
  <si>
    <t>#   info                      : "This policy setting determines whether cloud consumer account state content is allowed in all Windows experiences."</t>
  </si>
  <si>
    <t>#   reference                 : "NIST 800-53r5|AC-2(1)"</t>
  </si>
  <si>
    <t>#   powershell_args           : "$p = Get-ItemProperty -Path 'Registry::HKEY_LOCAL_MACHINE\Software\Policies\Microsoft\Windows\CloudContent' -ErrorAction SilentlyContinue; $val = if ($p -and $p.PSObject.Properties['DisableConsumerAccountStateContent'] -ne $null) { [int]$p.'DisableConsumerAccountStateContent' } else { 0 }; [string]$val"</t>
  </si>
  <si>
    <t>#   description               : "1.0079 - MSWRK - Ensure Turn off Microsoft consumer experiences is set to Enabled"</t>
  </si>
  <si>
    <t>#   info                      : "This policy setting turns off experiences that help consumers make the most of their devices and Microsoft account."</t>
  </si>
  <si>
    <t>#   reference                 : "NIST 800-53r5|CM-6 CM-7"</t>
  </si>
  <si>
    <t>#   powershell_args           : "$p = Get-ItemProperty -Path 'Registry::HKEY_LOCAL_MACHINE\Software\Policies\Microsoft\Windows\CloudContent' -ErrorAction SilentlyContinue; $val = if ($p -and $p.PSObject.Properties['DisableWindowsConsumerFeatures'] -ne $null) { [int]$p.'DisableWindowsConsumerFeatures' } else { 0 }; [string]$val"</t>
  </si>
  <si>
    <t>#   description               : "1.0080 - MSWRK - Ensure Require pin for pairing is set to Enabled: First Time OR Enabled: Always"</t>
  </si>
  <si>
    <t>#   info                      : "This policy setting controls whether or not a PIN is required for pairing to a wireless display device."</t>
  </si>
  <si>
    <t>#   reference                 : "NIST 800-53r5|IA-5c."</t>
  </si>
  <si>
    <t>#   value_data                : "1" || "2"</t>
  </si>
  <si>
    <t>#   powershell_args           : "$p = Get-ItemProperty -Path 'Registry::HKEY_LOCAL_MACHINE\Software\Policies\Microsoft\Windows\Connect' -ErrorAction SilentlyContinue; $val = if ($p -and $p.PSObject.Properties['RequirePinForPairing'] -ne $null) { [int]$p.'RequirePinForPairing' } else { 0 }; [string]$val"</t>
  </si>
  <si>
    <t>#   description               : "1.0081 - MSWRK - Ensure Do not display the password reveal button is set to Enabled"</t>
  </si>
  <si>
    <t>#   info                      : "This policy setting allows you to configure the display of the password reveal button in password entry user experiences."</t>
  </si>
  <si>
    <t>#   powershell_args           : "$p = Get-ItemProperty -Path 'Registry::HKEY_LOCAL_MACHINE\Software\Policies\Microsoft\Windows\CredUI' -ErrorAction SilentlyContinue; $val = if ($p -and $p.PSObject.Properties['DisablePasswordReveal'] -ne $null) { [int]$p.'DisablePasswordReveal' } else { 0 }; [string]$val"</t>
  </si>
  <si>
    <t>#   description               : "1.0084 - MSWRK - Ensure Allow Diagnostic Data is set to Enabled: Diagnostic data off (not recommended) or Enabled: Send required diagnostic data"</t>
  </si>
  <si>
    <t>#   info                      : "This policy setting determines the amount of diagnostic and usage data reported to Microsoft: - A value of (0) Diagnostic data off (not recommended)."</t>
  </si>
  <si>
    <t>#   reference                 : "NIST 800-53r5|CM-7b."</t>
  </si>
  <si>
    <t>#   value_data                : "0" || "1"</t>
  </si>
  <si>
    <t>#   powershell_args           : "$p = Get-ItemProperty -Path 'Registry::HKEY_LOCAL_MACHINE\Software\Policies\Microsoft\Windows\DataCollection' -ErrorAction SilentlyContinue; $val = if ($p -and $p.PSObject.Properties['AllowTelemetry'] -ne $null) { [int]$p.'AllowTelemetry' } else { 0 }; [string]$val"</t>
  </si>
  <si>
    <t>#   description               : "1.0085 - MSWRK - Ensure Do not show feedback notifications is set to Enabled"</t>
  </si>
  <si>
    <t>#   info                      : "This policy setting allows an organization to prevent its devices from showing feedback questions from Microsoft."</t>
  </si>
  <si>
    <t>#   powershell_args           : "$p = Get-ItemProperty -Path 'Registry::HKEY_LOCAL_MACHINE\Software\Policies\Microsoft\Windows\DataCollection' -ErrorAction SilentlyContinue; $val = if ($p -and $p.PSObject.Properties['DoNotShowFeedbackNotifications'] -ne $null) { [int]$p.'DoNotShowFeedbackNotifications' } else { 0 }; [string]$val"</t>
  </si>
  <si>
    <t>#   description               : "1.0086 - MSWRK - Ensure Enable OneSettings Auditing is set to Enabled"</t>
  </si>
  <si>
    <t>#   info                      : "This policy setting controls whether Windows records attempts to connect with the OneSettings service to the Event Log."</t>
  </si>
  <si>
    <t>#   powershell_args           : "$p = Get-ItemProperty -Path 'Registry::HKEY_LOCAL_MACHINE\Software\Policies\Microsoft\Windows\DataCollection' -ErrorAction SilentlyContinue; $val = if ($p -and $p.PSObject.Properties['EnableOneSettingsAuditing'] -ne $null) { [int]$p.'EnableOneSettingsAuditing' } else { 0 }; [string]$val"</t>
  </si>
  <si>
    <t>#   description               : "1.0087 - MSWRK - Ensure Download Mode is NOT set to Enabled: Internet"</t>
  </si>
  <si>
    <t>#   info                      : "This policy setting specifies the download method that Delivery Optimization can use in downloads of Windows Updates, Apps and App updates."</t>
  </si>
  <si>
    <t>#   reference                 : "NIST 800-53r5|RA-5 RA-7 SI-2 SI-2(2)"</t>
  </si>
  <si>
    <t>#   value_data                : "0" || "1" || "2" || "99" || "100"</t>
  </si>
  <si>
    <t>#   powershell_args           : "$p = Get-ItemProperty -Path 'Registry::HKEY_LOCAL_MACHINE\Software\Policies\Microsoft\Windows\DeliveryOptimization' -ErrorAction SilentlyContinue; $val = if ($p -and $p.PSObject.Properties['DODownloadMode'] -ne $null) { [int]$p.'DODownloadMode' } else { 0 }; [string]$val"</t>
  </si>
  <si>
    <t>#   description               : "1.0088 - MSWRK - Ensure Enable App Installer Experimental Features is set to Disabled"</t>
  </si>
  <si>
    <t>#   info                      : "This policy setting controls whether users can enable experimental features in the Windows Package Manager."</t>
  </si>
  <si>
    <t>#   powershell_args           : "$p = Get-ItemProperty -Path 'Registry::HKEY_LOCAL_MACHINE\Software\Policies\Microsoft\Windows\AppInstaller' -ErrorAction SilentlyContinue; $val = if ($p -and $p.PSObject.Properties['EnableExperimentalFeatures'] -ne $null) { [int]$p.'EnableExperimentalFeatures' } else { 0 }; [string]$val"</t>
  </si>
  <si>
    <t>#   description               : "1.0089 - MSWRK - Ensure Enable App Installer Hash Override is set to Disabled"</t>
  </si>
  <si>
    <t>#   info                      : "This policy setting controls whether or not users can override the SHA256 security validation in the Windows Package Manager settings."</t>
  </si>
  <si>
    <t>#   powershell_args           : "$p = Get-ItemProperty -Path 'Registry::HKEY_LOCAL_MACHINE\Software\Policies\Microsoft\Windows\AppInstaller' -ErrorAction SilentlyContinue; $val = if ($p -and $p.PSObject.Properties['EnableHashOverride'] -ne $null) { [int]$p.'EnableHashOverride' } else { 0 }; [string]$val"</t>
  </si>
  <si>
    <t>#   description               : "1.0090 - MSWRK - Ensure Enable App Installer Local Archive Malware Scan Override is set to Disabled"</t>
  </si>
  <si>
    <t>#   info                      : "This policy setting controls the ability to override malware scans when the following conditions are true: - installing an archive file - using a local manifest - via command line arguments The recommended state for this setting is: Disabled."</t>
  </si>
  <si>
    <t>#   powershell_args           : "$p = Get-ItemProperty -Path 'Registry::HKEY_LOCAL_MACHINE\Software\Policies\Microsoft\Windows\AppInstaller' -ErrorAction SilentlyContinue; $val = if ($p -and $p.PSObject.Properties['EnableLocalArchiveMalwareScanOverride'] -ne $null) { [int]$p.'EnableLocalArchiveMalwareScanOverride' } else { 0 }; [string]$val"</t>
  </si>
  <si>
    <t>#   description               : "1.0091 - MSWRK - Ensure Enable App Installer Microsoft Store Source Certificate Validation Bypass is set to Disabled"</t>
  </si>
  <si>
    <t>#   info                      : "This policy setting controls whether Windows Package Manager validates the Microsoft Store certificate hash to match a known Microsoft Store certificate when it initiates a connection to the Microsoft Store source."</t>
  </si>
  <si>
    <t>#   powershell_args           : "$p = Get-ItemProperty -Path 'Registry::HKEY_LOCAL_MACHINE\Software\Policies\Microsoft\Windows\AppInstaller' -ErrorAction SilentlyContinue; $val = if ($p -and $p.PSObject.Properties['EnableBypassCertificatePinningForMicrosoftStore'] -ne $null) { [int]$p.'EnableBypassCertificatePinningForMicrosoftStore' } else { 0 }; [string]$val"</t>
  </si>
  <si>
    <t>#   description               : "1.0092 - MSWRK - Ensure Enable App Installer ms-appinstaller protocol is set to Disabled"</t>
  </si>
  <si>
    <t>#   info                      : "This policy setting controls whether users can install packages from a website that is using the ms-appinstaller protocol."</t>
  </si>
  <si>
    <t>#   powershell_args           : "$p = Get-ItemProperty -Path 'Registry::HKEY_LOCAL_MACHINE\Software\Policies\Microsoft\Windows\AppInstaller' -ErrorAction SilentlyContinue; $val = if ($p -and $p.PSObject.Properties['EnableMSAppInstallerProtocol'] -ne $null) { [int]$p.'EnableMSAppInstallerProtocol' } else { 0 }; [string]$val"</t>
  </si>
  <si>
    <t>#   description               : "1.0101 - MSWRK - Ensure Turn off Data Execution Prevention for Explorer is set to Disabled"</t>
  </si>
  <si>
    <t>#   info                      : "Disabling Data Execution Prevention can allow certain legacy plug-in applications to function without terminating Explorer."</t>
  </si>
  <si>
    <t>#   powershell_args           : "$p = Get-ItemProperty -Path 'Registry::HKEY_LOCAL_MACHINE\Software\Policies\Microsoft\Windows\Explorer' -ErrorAction SilentlyContinue; $val = if ($p -and $p.PSObject.Properties['NoDataExecutionPrevention'] -ne $null) { [int]$p.'NoDataExecutionPrevention' } else { 0 }; [string]$val"</t>
  </si>
  <si>
    <t>#   description               : "1.0102 - MSWRK - Ensure Do not apply the Mark of the Web tag to files copied from insecure sources is set to Disabled"</t>
  </si>
  <si>
    <t>#   info                      : "This policy setting determines whether files that are sourced from insecure locations are tagged with Mark of the Web (MOTW)."</t>
  </si>
  <si>
    <t>#   powershell_args           : "$p = Get-ItemProperty -Path 'Registry::HKEY_LOCAL_MACHINE\Software\Policies\Microsoft\Windows\Explorer' -ErrorAction SilentlyContinue; $val = if ($p -and $p.PSObject.Properties['DisableMotWOnInsecurePathCopy'] -ne $null) { [int]$p.'DisableMotWOnInsecurePathCopy' } else { 0 }; [string]$val"</t>
  </si>
  <si>
    <t>#   description               : "1.0103 - MSWRK - Ensure Turn off heap termination on corruption is set to Disabled"</t>
  </si>
  <si>
    <t>#   info                      : "Without heap termination on corruption, legacy plug-in applications may continue to function when a File Explorer session has become corrupt."</t>
  </si>
  <si>
    <t>#   powershell_args           : "$p = Get-ItemProperty -Path 'Registry::HKEY_LOCAL_MACHINE\Software\Policies\Microsoft\Windows\Explorer' -ErrorAction SilentlyContinue; $val = if ($p -and $p.PSObject.Properties['NoHeapTerminationOnCorruption'] -ne $null) { [int]$p.'NoHeapTerminationOnCorruption' } else { 0 }; [string]$val"</t>
  </si>
  <si>
    <t>#   description               : "1.0104 - MSWRK - Ensure Turn off shell protocol protected mode is set to Disabled"</t>
  </si>
  <si>
    <t>#   info                      : "This policy setting allows you to configure the amount of functionality that the shell protocol can have."</t>
  </si>
  <si>
    <t>#   powershell_args           : "$p = Get-ItemProperty -Path 'Registry::HKEY_LOCAL_MACHINE\Software\Microsoft\Windows\CurrentVersion\Policies\Explorer' -ErrorAction SilentlyContinue; $val = if ($p -and $p.PSObject.Properties['PreXPSP2ShellProtocolBehavior'] -ne $null) { [int]$p.'PreXPSP2ShellProtocolBehavior' } else { 0 }; [string]$val"</t>
  </si>
  <si>
    <t>#   description               : "1.0105 - MSWRK - Ensure Block all consumer Microsoft account user authentication is set to Enabled"</t>
  </si>
  <si>
    <t>#   info                      : "This setting determines whether applications and services on the device can utilize new consumer Microsoft account authentication via the Windows OnlineID and WebAccountManager APIs."</t>
  </si>
  <si>
    <t>#   powershell_args           : "$p = Get-ItemProperty -Path 'Registry::HKEY_LOCAL_MACHINE\Software\Policies\Microsoft\MicrosoftAccount' -ErrorAction SilentlyContinue; $val = if ($p -and $p.PSObject.Properties['DisableUserAuth'] -ne $null) { [int]$p.'DisableUserAuth' } else { 0 }; [string]$val"</t>
  </si>
  <si>
    <t>#   description               : "1.0106 - MSWRK - Ensure Not allow per-user unsigned packages to install by default (requires explicitly allow per install) is set to Enabled"</t>
  </si>
  <si>
    <t>#   info                      : "This setting manages a user's ability to install unsigned Windows App packages."</t>
  </si>
  <si>
    <t>#   reference                 : "NIST 800-53r5|CM-7(5) CM-10"</t>
  </si>
  <si>
    <t>#   powershell_args           : "$p = Get-ItemProperty -Path 'Registry::HKEY_LOCAL_MACHINE\Software\Policies\Microsoft\Windows\Appx' -ErrorAction SilentlyContinue; $val = if ($p -and $p.PSObject.Properties['DisablePerUserUnsignedPackagesByDefault'] -ne $null) { [int]$p.'DisablePerUserUnsignedPackagesByDefault' } else { 0 }; [string]$val"</t>
  </si>
  <si>
    <t>#   description               : "1.0107 - MSWRK - Ensure Configure real-time protection and Security Intelligence Updates during OOBE is set to Enabled"</t>
  </si>
  <si>
    <t>#   info                      : "This policy setting configures whether Real-time Protection and Security Intelligence Updates are enabled during the Out of Box experience (OOBE)."</t>
  </si>
  <si>
    <t>#   reference                 : "NIST 800-53r5|SI-3"</t>
  </si>
  <si>
    <t>#   powershell_args           : "$p = Get-ItemProperty -Path 'Registry::HKEY_LOCAL_MACHINE\Software\Policies\Microsoft\Windows Defender\Real-Time Protection' -ErrorAction SilentlyContinue; $val = if ($p -and $p.PSObject.Properties['OobeEnableRtpAndSigUpdate'] -ne $null) { [int]$p.'OobeEnableRtpAndSigUpdate' } else { 0 }; [string]$val"</t>
  </si>
  <si>
    <t>#   description               : "1.0111 - MSWRK - Ensure Turn on script scanning is set to Enabled"</t>
  </si>
  <si>
    <t>#   info                      : "This policy setting allows script scanning to be turned on/off."</t>
  </si>
  <si>
    <t>#   reference                 : "NIST 800-53r5|SI-4"</t>
  </si>
  <si>
    <t>#   powershell_args           : "$p = Get-ItemProperty -Path 'Registry::HKEY_LOCAL_MACHINE\Software\Policies\Microsoft\Windows Defender\Real-Time Protection' -ErrorAction SilentlyContinue; $val = if ($p -and $p.PSObject.Properties['DisableScriptScanning'] -ne $null) { [int]$p.'DisableScriptScanning' } else { 0 }; [string]$val"</t>
  </si>
  <si>
    <t>#   description               : "1.0112 - MSWRK - Ensure Configure Remote Encryption Protection Mode is set to Enabled: Audit or higher"</t>
  </si>
  <si>
    <t>#   info                      : "This policy setting configures the Brute-Force Protection feature in Microsoft Defender Antivirus."</t>
  </si>
  <si>
    <t>#   powershell_args           : "$p = Get-ItemProperty -Path 'Registry::HKEY_LOCAL_MACHINE\Software\Policies\Microsoft\Windows Defender\Remediation\Behavioral Network Blocks\Brute Force Protection' -ErrorAction SilentlyContinue; $val = if ($p -and $p.PSObject.Properties['BruteForceProtectionConfiguredState'] -ne $null) { [int]$p.'BruteForceProtectionConfiguredState' } else { 0 }; [string]$val"</t>
  </si>
  <si>
    <t>#   description               : "1.0113 - MSWRK - Ensure Scan excluded files and directories during quick scans is set to Enabled: 1"</t>
  </si>
  <si>
    <t>#   info                      : "This policy setting manages whether or not Microsoft Defender Antivirus scans excluded files and directories when running a Quick Scan."</t>
  </si>
  <si>
    <t>#   powershell_args           : "$p = Get-ItemProperty -Path 'Registry::HKEY_LOCAL_MACHINE\Software\Policies\Microsoft\Windows Defender\Scan' -ErrorAction SilentlyContinue; $val = if ($p -and $p.PSObject.Properties['QuickScanIncludeExclusions'] -ne $null) { [int]$p.'QuickScanIncludeExclusions' } else { 0 }; [string]$val"</t>
  </si>
  <si>
    <t>#   description               : "1.0114 - MSWRK - Ensure Scan packed executables is set to Enabled"</t>
  </si>
  <si>
    <t>#   info                      : "This policy setting manages whether or not Microsoft Defender Antivirus scans packed executables."</t>
  </si>
  <si>
    <t>#   reference                 : "NIST 800-53r5|MP-7 SI-3"</t>
  </si>
  <si>
    <t>#   powershell_args           : "$p = Get-ItemProperty -Path 'Registry::HKEY_LOCAL_MACHINE\Software\Policies\Microsoft\Windows Defender\Scan' -ErrorAction SilentlyContinue; $val = if ($p -and $p.PSObject.Properties['DisablePackedExeScanning'] -ne $null) { [int]$p.'DisablePackedExeScanning' } else { 0 }; [string]$val"</t>
  </si>
  <si>
    <t>#   description               : "1.0115 - MSWRK - Ensure Scan removable drives is set to Enabled"</t>
  </si>
  <si>
    <t>#   info                      : "This policy setting manages whether to scan for malicious software and unwanted software in the contents of removable drives, such as USB flash drives, when running a full scan."</t>
  </si>
  <si>
    <t>#   powershell_args           : "$p = Get-ItemProperty -Path 'Registry::HKEY_LOCAL_MACHINE\Software\Policies\Microsoft\Windows Defender\Scan' -ErrorAction SilentlyContinue; $val = if ($p -and $p.PSObject.Properties['DisableRemovableDriveScanning'] -ne $null) { [int]$p.'DisableRemovableDriveScanning' } else { 0 }; [string]$val"</t>
  </si>
  <si>
    <t>#   description               : "1.0116 - MSWRK - Ensure Trigger a quick scan after X days without any scans is set to Enabled: 7"</t>
  </si>
  <si>
    <t>#   info                      : "This policy setting configures the number of days after the last scan (of any type) before an aggressive Quick Scan is automatically triggered."</t>
  </si>
  <si>
    <t>#   value_data                : "7"</t>
  </si>
  <si>
    <t>#   powershell_args           : "$p = Get-ItemProperty -Path 'Registry::HKEY_LOCAL_MACHINE\Software\Policies\Microsoft\Windows Defender\Scan' -ErrorAction SilentlyContinue; $val = if ($p -and $p.PSObject.Properties['DaysUntilAggressiveCatchupQuickScan'] -ne $null) { [int]$p.'DaysUntilAggressiveCatchupQuickScan' } else { 0 }; [string]$val"</t>
  </si>
  <si>
    <t>#   description               : "1.0117 - MSWRK - Ensure Turn on e-mail scanning is set to Enabled"</t>
  </si>
  <si>
    <t>#   info                      : "This policy setting configures e-mail scanning."</t>
  </si>
  <si>
    <t>#   powershell_args           : "$p = Get-ItemProperty -Path 'Registry::HKEY_LOCAL_MACHINE\Software\Policies\Microsoft\Windows Defender\Scan' -ErrorAction SilentlyContinue; $val = if ($p -and $p.PSObject.Properties['DisableEmailScanning'] -ne $null) { [int]$p.'DisableEmailScanning' } else { 0 }; [string]$val"</t>
  </si>
  <si>
    <t>#   description               : "1.0119 - MSWRK - Ensure Control whether exclusions are visible to local users is set to Enabled"</t>
  </si>
  <si>
    <t>#   info                      : "This policy setting controls whether Microsoft Defender Antivirus exclusions are visible to local users on the system."</t>
  </si>
  <si>
    <t>#   powershell_args           : "$p = Get-ItemProperty -Path 'Registry::HKEY_LOCAL_MACHINE\Software\Policies\Microsoft\Windows Defender' -ErrorAction SilentlyContinue; $val = if ($p -and $p.PSObject.Properties['HideExclusionsFromLocalUsers'] -ne $null) { [int]$p.'HideExclusionsFromLocalUsers' } else { 0 }; [string]$val"</t>
  </si>
  <si>
    <t>#   description               : "1.0120 - MSWRK - Ensure Enable EDR in block mode is set to Enabled"</t>
  </si>
  <si>
    <t>#   info                      : "This policy setting controls whether Microsoft Defender Antivirus Endpoint Detection and Response (EDR) is enabled in block mode (passive remediation)."</t>
  </si>
  <si>
    <t>#   powershell_args           : "$p = Get-ItemProperty -Path 'Registry::HKEY_LOCAL_MACHINE\Software\Policies\Microsoft\Windows Defender\Features' -ErrorAction SilentlyContinue; $val = if ($p -and $p.PSObject.Properties['PassiveRemediation'] -ne $null) { [int]$p.'PassiveRemediation' } else { 0 }; [string]$val"</t>
  </si>
  <si>
    <t>#   description               : "1.0121 - MSWRK - Ensure Configure local setting override for reporting to Microsoft MAPS is set to Disabled"</t>
  </si>
  <si>
    <t>#   info                      : "This policy setting configures a local override for the configuration to join Microsoft Active Protection Service (MAPS), which Microsoft renamed to Windows Defender Antivirus Cloud Protection Service and then Microsoft Defender Antivirus Cloud Protection Service."</t>
  </si>
  <si>
    <t>#   powershell_args           : "$p = Get-ItemProperty -Path 'Registry::HKEY_LOCAL_MACHINE\Software\Policies\Microsoft\Windows Defender\Spynet' -ErrorAction SilentlyContinue; $val = if ($p -and $p.PSObject.Properties['LocalSettingOverrideSpynetReporting'] -ne $null) { [int]$p.'LocalSettingOverrideSpynetReporting' } else { 0 }; [string]$val"</t>
  </si>
  <si>
    <t>#   description               : "1.0122 - MSWRK - Ensure Join Microsoft MAPS is set to Enabled: Advanced"</t>
  </si>
  <si>
    <t>#   info                      : "This policy setting configures Microsoft Active Protection Service (MAPS)."</t>
  </si>
  <si>
    <t>#   value_data                : "2"</t>
  </si>
  <si>
    <t>#   powershell_args           : "$p = Get-ItemProperty -Path 'Registry::HKEY_LOCAL_MACHINE\Software\Policies\Microsoft\Windows Defender\Spynet' -ErrorAction SilentlyContinue; $val = if ($p -and $p.PSObject.Properties['SpynetReporting'] -ne $null) { [int]$p.'SpynetReporting' } else { 0 }; [string]$val"</t>
  </si>
  <si>
    <t>#   description               : "1.0123 - MSWRK - Ensure Configure Attack Surface Reduction rules is set to Enabled"</t>
  </si>
  <si>
    <t>#   info                      : "This policy setting controls the state for the Attack Surface Reduction (ASR) rules."</t>
  </si>
  <si>
    <t>#   powershell_args           : "$p = Get-ItemProperty -Path 'Registry::HKEY_LOCAL_MACHINE\Software\Policies\Microsoft\Windows Defender\Windows Defender Exploit Guard\ASR' -ErrorAction SilentlyContinue; $val = if ($p -and $p.PSObject.Properties['ExploitGuard_ASR_Rules'] -ne $null) { [int]$p.'ExploitGuard_ASR_Rules' } else { 0 }; [string]$val"</t>
  </si>
  <si>
    <t>#   description               : "1.0124 - MSWRK - 3b576869-a4ec-4529-8536-b80a7769e899"</t>
  </si>
  <si>
    <t>#   powershell_args           : "$p = Get-ItemProperty -Path 'Registry::HKEY_LOCAL_MACHINE\Software\Policies\Microsoft\Windows Defender\Windows Defender Exploit Guard\ASR\Rules' -ErrorAction SilentlyContinue; $raw = if ($p -and $p.PSObject.Properties['3b576869-a4ec-4529-8536-b80a7769e899'] -ne $null) { [string]$p.'3b576869-a4ec-4529-8536-b80a7769e899' } else { $null }; if ($raw) { $raw } else { 'NOT_FOUND' }"</t>
  </si>
  <si>
    <t>#   description               : "1.0125 - MSWRK - 9e6c4e1f-7d60-472f-ba1a-a39ef669e4b2"</t>
  </si>
  <si>
    <t>#   powershell_args           : "$p = Get-ItemProperty -Path 'Registry::HKEY_LOCAL_MACHINE\Software\Policies\Microsoft\Windows Defender\Windows Defender Exploit Guard\ASR\Rules' -ErrorAction SilentlyContinue; $raw = if ($p -and $p.PSObject.Properties['9e6c4e1f-7d60-472f-ba1a-a39ef669e4b2'] -ne $null) { [string]$p.'9e6c4e1f-7d60-472f-ba1a-a39ef669e4b2' } else { $null }; if ($raw) { $raw } else { 'NOT_FOUND' }"</t>
  </si>
  <si>
    <t>#   description               : "1.0126 - MSWRK - 7674ba52-37eb-4a4f-a9a1-f0f9a1619a2c"</t>
  </si>
  <si>
    <t>#   powershell_args           : "$p = Get-ItemProperty -Path 'Registry::HKEY_LOCAL_MACHINE\Software\Policies\Microsoft\Windows Defender\Windows Defender Exploit Guard\ASR\Rules' -ErrorAction SilentlyContinue; $raw = if ($p -and $p.PSObject.Properties['7674ba52-37eb-4a4f-a9a1-f0f9a1619a2c'] -ne $null) { [string]$p.'7674ba52-37eb-4a4f-a9a1-f0f9a1619a2c' } else { $null }; if ($raw) { $raw } else { 'NOT_FOUND' }"</t>
  </si>
  <si>
    <t>#   description               : "1.0127 - MSWRK - 56a863a9-875e-4185-98a7-b882c64b5ce5"</t>
  </si>
  <si>
    <t>#   powershell_args           : "$p = Get-ItemProperty -Path 'Registry::HKEY_LOCAL_MACHINE\Software\Policies\Microsoft\Windows Defender\Windows Defender Exploit Guard\ASR\Rules' -ErrorAction SilentlyContinue; $raw = if ($p -and $p.PSObject.Properties['56a863a9-875e-4185-98a7-b882c64b5ce5'] -ne $null) { [string]$p.'56a863a9-875e-4185-98a7-b882c64b5ce5' } else { $null }; if ($raw) { $raw } else { 'NOT_FOUND' }"</t>
  </si>
  <si>
    <t>#   description               : "1.0128 - MSWRK - d4f940ab-401b-4efc-aadc-ad5f3c50688a"</t>
  </si>
  <si>
    <t>#   powershell_args           : "$p = Get-ItemProperty -Path 'Registry::HKEY_LOCAL_MACHINE\Software\Policies\Microsoft\Windows Defender\Windows Defender Exploit Guard\ASR\Rules' -ErrorAction SilentlyContinue; $raw = if ($p -and $p.PSObject.Properties['d4f940ab-401b-4efc-aadc-ad5f3c50688a'] -ne $null) { [string]$p.'d4f940ab-401b-4efc-aadc-ad5f3c50688a' } else { $null }; if ($raw) { $raw } else { 'NOT_FOUND' }"</t>
  </si>
  <si>
    <t>#   description               : "1.0129 - MSWRK - e6db77e5-3df2-4cf1-b95a-636979351e5b"</t>
  </si>
  <si>
    <t>#   powershell_args           : "$p = Get-ItemProperty -Path 'Registry::HKEY_LOCAL_MACHINE\Software\Policies\Microsoft\Windows Defender\Windows Defender Exploit Guard\ASR\Rules' -ErrorAction SilentlyContinue; $raw = if ($p -and $p.PSObject.Properties['e6db77e5-3df2-4cf1-b95a-636979351e5b'] -ne $null) { [string]$p.'e6db77e5-3df2-4cf1-b95a-636979351e5b' } else { $null }; if ($raw) { $raw } else { 'NOT_FOUND' }"</t>
  </si>
  <si>
    <t>#   description               : "1.0130 - MSWRK - 92e97fa1-2edf-4476-bdd6-9dd0b4dddc7b"</t>
  </si>
  <si>
    <t>#   powershell_args           : "$p = Get-ItemProperty -Path 'Registry::HKEY_LOCAL_MACHINE\Software\Policies\Microsoft\Windows Defender\Windows Defender Exploit Guard\ASR\Rules' -ErrorAction SilentlyContinue; $raw = if ($p -and $p.PSObject.Properties['92e97fa1-2edf-4476-bdd6-9dd0b4dddc7b'] -ne $null) { [string]$p.'92e97fa1-2edf-4476-bdd6-9dd0b4dddc7b' } else { $null }; if ($raw) { $raw } else { 'NOT_FOUND' }"</t>
  </si>
  <si>
    <t>#   description               : "1.0131 - MSWRK - d3e037e1-3eb8-44c8-a917-57927947596d"</t>
  </si>
  <si>
    <t>#   powershell_args           : "$p = Get-ItemProperty -Path 'Registry::HKEY_LOCAL_MACHINE\Software\Policies\Microsoft\Windows Defender\Windows Defender Exploit Guard\ASR\Rules' -ErrorAction SilentlyContinue; $raw = if ($p -and $p.PSObject.Properties['d3e037e1-3eb8-44c8-a917-57927947596d'] -ne $null) { [string]$p.'d3e037e1-3eb8-44c8-a917-57927947596d' } else { $null }; if ($raw) { $raw } else { 'NOT_FOUND' }"</t>
  </si>
  <si>
    <t>#   description               : "1.0132 - MSWRK - 5beb7efe-fd9a-4556-801d-275e5ffc04cc"</t>
  </si>
  <si>
    <t>#   powershell_args           : "$p = Get-ItemProperty -Path 'Registry::HKEY_LOCAL_MACHINE\Software\Policies\Microsoft\Windows Defender\Windows Defender Exploit Guard\ASR\Rules' -ErrorAction SilentlyContinue; $raw = if ($p -and $p.PSObject.Properties['5beb7efe-fd9a-4556-801d-275e5ffc04cc'] -ne $null) { [string]$p.'5beb7efe-fd9a-4556-801d-275e5ffc04cc' } else { $null }; if ($raw) { $raw } else { 'NOT_FOUND' }"</t>
  </si>
  <si>
    <t>#   description               : "1.0133 - MSWRK - 26190899-1602-49e8-8b27-eb1d0a1ce869"</t>
  </si>
  <si>
    <t>#   powershell_args           : "$p = Get-ItemProperty -Path 'Registry::HKEY_LOCAL_MACHINE\Software\Policies\Microsoft\Windows Defender\Windows Defender Exploit Guard\ASR\Rules' -ErrorAction SilentlyContinue; $raw = if ($p -and $p.PSObject.Properties['26190899-1602-49e8-8b27-eb1d0a1ce869'] -ne $null) { [string]$p.'26190899-1602-49e8-8b27-eb1d0a1ce869' } else { $null }; if ($raw) { $raw } else { 'NOT_FOUND' }"</t>
  </si>
  <si>
    <t>#   description               : "1.0134 - MSWRK - b2b3f03d-6a65-4f7b-a9c7-1c7ef74a9ba4"</t>
  </si>
  <si>
    <t>#   powershell_args           : "$p = Get-ItemProperty -Path 'Registry::HKEY_LOCAL_MACHINE\Software\Policies\Microsoft\Windows Defender\Windows Defender Exploit Guard\ASR\Rules' -ErrorAction SilentlyContinue; $raw = if ($p -and $p.PSObject.Properties['b2b3f03d-6a65-4f7b-a9c7-1c7ef74a9ba4'] -ne $null) { [string]$p.'b2b3f03d-6a65-4f7b-a9c7-1c7ef74a9ba4' } else { $null }; if ($raw) { $raw } else { 'NOT_FOUND' }"</t>
  </si>
  <si>
    <t>#   description               : "1.0135 - MSWRK - be9ba2d9-53ea-4cdc-84e5-9b1eeee46550"</t>
  </si>
  <si>
    <t>#   powershell_args           : "$p = Get-ItemProperty -Path 'Registry::HKEY_LOCAL_MACHINE\Software\Policies\Microsoft\Windows Defender\Windows Defender Exploit Guard\ASR\Rules' -ErrorAction SilentlyContinue; $raw = if ($p -and $p.PSObject.Properties['be9ba2d9-53ea-4cdc-84e5-9b1eeee46550'] -ne $null) { [string]$p.'be9ba2d9-53ea-4cdc-84e5-9b1eeee46550' } else { $null }; if ($raw) { $raw } else { 'NOT_FOUND' }"</t>
  </si>
  <si>
    <t>#   description               : "1.0136 - MSWRK - 75668c1f-73b5-4cf0-bb93-3ecf5cb7cc84"</t>
  </si>
  <si>
    <t>#   powershell_args           : "$p = Get-ItemProperty -Path 'Registry::HKEY_LOCAL_MACHINE\Software\Policies\Microsoft\Windows Defender\Windows Defender Exploit Guard\ASR\Rules' -ErrorAction SilentlyContinue; $raw = if ($p -and $p.PSObject.Properties['75668c1f-73b5-4cf0-bb93-3ecf5cb7cc84'] -ne $null) { [string]$p.'75668c1f-73b5-4cf0-bb93-3ecf5cb7cc84' } else { $null }; if ($raw) { $raw } else { 'NOT_FOUND' }"</t>
  </si>
  <si>
    <t>#   description               : "1.0137 - MSWRK - Ensure Prevent users and apps from accessing dangerous websites is set to Enabled: Block"</t>
  </si>
  <si>
    <t>#   info                      : "This policy setting controls Microsoft Defender Exploit Guard network protection."</t>
  </si>
  <si>
    <t>#   reference                 : "NIST 800-53r5|SC-7(3) SC-7(4) SI-16"</t>
  </si>
  <si>
    <t>#   powershell_args           : "$p = Get-ItemProperty -Path 'Registry::HKEY_LOCAL_MACHINE\Software\Policies\Microsoft\Windows Defender\Windows Defender Exploit Guard\Network Protection' -ErrorAction SilentlyContinue; $val = if ($p -and $p.PSObject.Properties['EnableNetworkProtection'] -ne $null) { [int]$p.'EnableNetworkProtection' } else { 0 }; [string]$val"</t>
  </si>
  <si>
    <t>#   description               : "1.0138 - MSWRK - Ensure Enable file hash computation feature is set to Enabled"</t>
  </si>
  <si>
    <t>#   info                      : "This setting determines whether hash values are computed for files scanned by Microsoft Defender."</t>
  </si>
  <si>
    <t>#   powershell_args           : "$p = Get-ItemProperty -Path 'Registry::HKEY_LOCAL_MACHINE\Software\Policies\Microsoft\Windows Defender\MpEngine' -ErrorAction SilentlyContinue; $val = if ($p -and $p.PSObject.Properties['EnableFileHashComputation'] -ne $null) { [int]$p.'EnableFileHashComputation' } else { 0 }; [string]$val"</t>
  </si>
  <si>
    <t>#   description               : "1.0139 - MSWRK - Ensure Prevent non-admin users from installing packaged Windows apps is set to Enabled"</t>
  </si>
  <si>
    <t>#   info                      : "This setting manages non-Administrator users' ability to install Windows app packages."</t>
  </si>
  <si>
    <t>#   powershell_args           : "$p = Get-ItemProperty -Path 'Registry::HKEY_LOCAL_MACHINE\Software\Policies\Microsoft\Windows\Appx' -ErrorAction SilentlyContinue; $val = if ($p -and $p.PSObject.Properties['BlockNonAdminUserInstall'] -ne $null) { [int]$p.'BlockNonAdminUserInstall' } else { 0 }; [string]$val"</t>
  </si>
  <si>
    <t>#   description               : "1.0140 - MSWRK - Ensure Allow auditing events in Microsoft Defender Application Guard is set to Enabled"</t>
  </si>
  <si>
    <t>#   info                      : "This policy setting allows you to decide whether auditing events can be collected from Microsoft Defender Application Guard."</t>
  </si>
  <si>
    <t>#   reference                 : "NIST 800-53r5|AU-2 AU-7 AU-12"</t>
  </si>
  <si>
    <t>#   powershell_args           : "$p = Get-ItemProperty -Path 'Registry::HKEY_LOCAL_MACHINE\Software\Policies\Microsoft\AppHVSI' -ErrorAction SilentlyContinue; $val = if ($p -and $p.PSObject.Properties['AuditApplicationGuard'] -ne $null) { [int]$p.'AuditApplicationGuard' } else { 0 }; [string]$val"</t>
  </si>
  <si>
    <t>#   description               : "1.0141 - MSWRK - Ensure Allow camera and microphone access in Microsoft Defender Application Guard is set to Disabled"</t>
  </si>
  <si>
    <t>#   info                      : "The policy allows you to determine whether applications inside Microsoft Defender Application Guard can access the device's camera and microphone."</t>
  </si>
  <si>
    <t>#   powershell_args           : "$p = Get-ItemProperty -Path 'Registry::HKEY_LOCAL_MACHINE\Software\Policies\Microsoft\AppHVSI' -ErrorAction SilentlyContinue; $val = if ($p -and $p.PSObject.Properties['AllowCameraMicrophoneRedirection'] -ne $null) { [int]$p.'AllowCameraMicrophoneRedirection' } else { 0 }; [string]$val"</t>
  </si>
  <si>
    <t>#   description               : "1.0142 - MSWRK - Ensure Allow data persistence for Microsoft Defender Application Guard is set to Disabled"</t>
  </si>
  <si>
    <t>#   info                      : "This policy setting allows you to decide whether data should persist across different sessions in Microsoft Defender Application Guard."</t>
  </si>
  <si>
    <t>#   powershell_args           : "$p = Get-ItemProperty -Path 'Registry::HKEY_LOCAL_MACHINE\Software\Policies\Microsoft\AppHVSI' -ErrorAction SilentlyContinue; $val = if ($p -and $p.PSObject.Properties['AllowPersistence'] -ne $null) { [int]$p.'AllowPersistence' } else { 0 }; [string]$val"</t>
  </si>
  <si>
    <t>#   description               : "1.0143 - MSWRK - Ensure Allow files to download and save to the host operating system from Microsoft Defender Application Guard is set to Disabled"</t>
  </si>
  <si>
    <t>#   info                      : "This policy setting determines whether to save downloaded files to the host operating system from the Microsoft Defender Application Guard container."</t>
  </si>
  <si>
    <t>#   powershell_args           : "$p = Get-ItemProperty -Path 'Registry::HKEY_LOCAL_MACHINE\Software\Policies\Microsoft\AppHVSI' -ErrorAction SilentlyContinue; $val = if ($p -and $p.PSObject.Properties['SaveFilesToHost'] -ne $null) { [int]$p.'SaveFilesToHost' } else { 0 }; [string]$val"</t>
  </si>
  <si>
    <t>#   description               : "1.0144 - MSWRK - Ensure Configure Microsoft Defender Application Guard clipboard settings: Clipboard behavior setting is set to Enabled: Enable clipboard operation from an isolated session to the host"</t>
  </si>
  <si>
    <t>#   info                      : "This policy setting allows you to decide how the clipboard behaves while in Microsoft Defender Application Guard."</t>
  </si>
  <si>
    <t>#   powershell_args           : "$p = Get-ItemProperty -Path 'Registry::HKEY_LOCAL_MACHINE\Software\Policies\Microsoft\AppHVSI' -ErrorAction SilentlyContinue; $val = if ($p -and $p.PSObject.Properties['AppHVSIClipboardSettings'] -ne $null) { [int]$p.'AppHVSIClipboardSettings' } else { 0 }; [string]$val"</t>
  </si>
  <si>
    <t>#   description               : "1.0145 - MSWRK - Ensure Turn on Microsoft Defender Application Guard in Managed Mode is set to Enabled: 1"</t>
  </si>
  <si>
    <t>#   info                      : "This policy setting enables application isolation through Microsoft Defender Application Guard (Application Guard)."</t>
  </si>
  <si>
    <t>#   powershell_args           : "$p = Get-ItemProperty -Path 'Registry::HKEY_LOCAL_MACHINE\Software\Policies\Microsoft\AppHVSI' -ErrorAction SilentlyContinue; $val = if ($p -and $p.PSObject.Properties['AllowAppHVSI_ProviderSet'] -ne $null) { [int]$p.'AllowAppHVSI_ProviderSet' } else { 0 }; [string]$val"</t>
  </si>
  <si>
    <t>#   description               : "1.0146 - MSWRK - Ensure Let Windows apps activate with voice while the system is locked is set to Enabled: Force Deny"</t>
  </si>
  <si>
    <t>#   info                      : "This policy setting specifies whether Windows apps can be activated by voice (apps and Cortana) while the system is locked."</t>
  </si>
  <si>
    <t>#   powershell_args           : "$p = Get-ItemProperty -Path 'Registry::HKEY_LOCAL_MACHINE\Software\Policies\Microsoft\Windows\AppPrivacy' -ErrorAction SilentlyContinue; $val = if ($p -and $p.PSObject.Properties['LetAppsActivateWithVoiceAboveLock'] -ne $null) { [int]$p.'LetAppsActivateWithVoiceAboveLock' } else { 0 }; [string]$val"</t>
  </si>
  <si>
    <t>#   description               : "1.0147 - MSWRK - Ensure Do not allow passwords to be saved is set to Enabled"</t>
  </si>
  <si>
    <t>#   info                      : "This policy setting helps prevent Remote Desktop clients from saving passwords on a computer."</t>
  </si>
  <si>
    <t>#   reference                 : "NIST 800-53r5|IA-5(13)"</t>
  </si>
  <si>
    <t>#   powershell_args           : "$p = Get-ItemProperty -Path 'Registry::HKEY_LOCAL_MACHINE\Software\Policies\Microsoft\Windows NT\Terminal Services' -ErrorAction SilentlyContinue; $val = if ($p -and $p.PSObject.Properties['DisablePasswordSaving'] -ne $null) { [int]$p.'DisablePasswordSaving' } else { 0 }; [string]$val"</t>
  </si>
  <si>
    <t>#   description               : "1.0148 - MSWRK - Ensure Do not delete temp folders upon exit is set to Disabled"</t>
  </si>
  <si>
    <t>#   info                      : "This policy setting specifies whether Remote Desktop Services retains a user's per-session temporary folders at logoff."</t>
  </si>
  <si>
    <t>#   reference                 : "NIST 800-53r5|AU-11 SI-12"</t>
  </si>
  <si>
    <t>#   powershell_args           : "$p = Get-ItemProperty -Path 'Registry::HKEY_LOCAL_MACHINE\Software\Policies\Microsoft\Windows NT\Terminal Services' -ErrorAction SilentlyContinue; $val = if ($p -and $p.PSObject.Properties['DeleteTempDirsOnExit'] -ne $null) { [int]$p.'DeleteTempDirsOnExit' } else { 0 }; [string]$val"</t>
  </si>
  <si>
    <t>#   description               : "1.0149 - MSWRK - Ensure Do not allow drive redirection is set to Enabled"</t>
  </si>
  <si>
    <t>#   info                      : "This policy setting prevents users from sharing the local drives on their client computers to Remote Desktop Servers that they access."</t>
  </si>
  <si>
    <t>#   powershell_args           : "$p = Get-ItemProperty -Path 'Registry::HKEY_LOCAL_MACHINE\Software\Policies\Microsoft\Windows NT\Terminal Services' -ErrorAction SilentlyContinue; $val = if ($p -and $p.PSObject.Properties['fDisableCdm'] -ne $null) { [int]$p.'fDisableCdm' } else { 0 }; [string]$val"</t>
  </si>
  <si>
    <t>#   description               : "1.0151 - MSWRK - Ensure Require secure RPC communication is set to Enabled"</t>
  </si>
  <si>
    <t>#   info                      : "This policy setting allows you to specify whether Remote Desktop Services requires secure Remote Procedure Call (RPC) communication with all clients or allows unsecured communication."</t>
  </si>
  <si>
    <t>#   reference                 : "NIST 800-53r5|AC-17(2) IA-5 IA-5(1) SC-8 SC-8(1)"</t>
  </si>
  <si>
    <t>#   powershell_args           : "$p = Get-ItemProperty -Path 'Registry::HKEY_LOCAL_MACHINE\Software\Policies\Microsoft\Windows NT\Terminal Services' -ErrorAction SilentlyContinue; $val = if ($p -and $p.PSObject.Properties['fEncryptRPCTraffic'] -ne $null) { [int]$p.'fEncryptRPCTraffic' } else { 0 }; [string]$val"</t>
  </si>
  <si>
    <t>#   description               : "1.0152 - MSWRK - Ensure Require use of specific security layer for remote (RDP) connections is set to Enabled: SSL"</t>
  </si>
  <si>
    <t>#   info                      : "This policy setting specifies whether to require the use of a specific security layer to secure communications between clients and RD Session Host servers during Remote Desktop Protocol (RDP) connections."</t>
  </si>
  <si>
    <t>#   powershell_args           : "$p = Get-ItemProperty -Path 'Registry::HKEY_LOCAL_MACHINE\Software\Policies\Microsoft\Windows NT\Terminal Services' -ErrorAction SilentlyContinue; $val = if ($p -and $p.PSObject.Properties['SecurityLayer'] -ne $null) { [int]$p.'SecurityLayer' } else { 0 }; [string]$val"</t>
  </si>
  <si>
    <t>#   description               : "1.0155 - MSWRK - Ensure Prevent downloading of enclosures is set to Enabled"</t>
  </si>
  <si>
    <t>#   info                      : "This policy setting prevents the user from having enclosures (file attachments) downloaded from an RSS feed to the user's computer."</t>
  </si>
  <si>
    <t>#   reference                 : "NIST 800-53r5|CM-10 CM-11 SC-18"</t>
  </si>
  <si>
    <t>#   powershell_args           : "$p = Get-ItemProperty -Path 'Registry::HKEY_LOCAL_MACHINE\Software\Policies\Microsoft\Internet Explorer\Feeds' -ErrorAction SilentlyContinue; $val = if ($p -and $p.PSObject.Properties['DisableEnclosureDownload'] -ne $null) { [int]$p.'DisableEnclosureDownload' } else { 0 }; [string]$val"</t>
  </si>
  <si>
    <t>#   description               : "1.0157 - MSWRK - Ensure Allow Cortana above lock screen is set to Disabled"</t>
  </si>
  <si>
    <t>#   info                      : "This policy setting determines whether or not the user can interact with Cortana using speech while the system is locked."</t>
  </si>
  <si>
    <t>#   powershell_args           : "$p = Get-ItemProperty -Path 'Registry::HKEY_LOCAL_MACHINE\Software\Policies\Microsoft\Windows\Windows Search' -ErrorAction SilentlyContinue; $val = if ($p -and $p.PSObject.Properties['AllowCortanaAboveLock'] -ne $null) { [int]$p.'AllowCortanaAboveLock' } else { 0 }; [string]$val"</t>
  </si>
  <si>
    <t>#   description               : "1.0158 - MSWRK - Ensure Allow indexing of encrypted files is set to Disabled"</t>
  </si>
  <si>
    <t>#   info                      : "This policy setting controls whether encrypted items are allowed to be indexed."</t>
  </si>
  <si>
    <t>#   powershell_args           : "$p = Get-ItemProperty -Path 'Registry::HKEY_LOCAL_MACHINE\Software\Policies\Microsoft\Windows\Windows Search' -ErrorAction SilentlyContinue; $val = if ($p -and $p.PSObject.Properties['AllowIndexingEncryptedStoresOrItems'] -ne $null) { [int]$p.'AllowIndexingEncryptedStoresOrItems' } else { 0 }; [string]$val"</t>
  </si>
  <si>
    <t>#   description               : "1.0159 - MSWRK - Ensure Allow search and Cortana to use location is set to Disabled"</t>
  </si>
  <si>
    <t>#   info                      : "This policy setting specifies whether search and Cortana can provide location aware search and Cortana results."</t>
  </si>
  <si>
    <t>#   powershell_args           : "$p = Get-ItemProperty -Path 'Registry::HKEY_LOCAL_MACHINE\Software\Policies\Microsoft\Windows\Windows Search' -ErrorAction SilentlyContinue; $val = if ($p -and $p.PSObject.Properties['AllowSearchToUseLocation'] -ne $null) { [int]$p.'AllowSearchToUseLocation' } else { 0 }; [string]$val"</t>
  </si>
  <si>
    <t>#   description               : "1.0160 - MSWRK - Ensure Allow Microsoft accounts to be optional is set to Enabled"</t>
  </si>
  <si>
    <t>#   info                      : "This policy setting lets you control whether Microsoft accounts are optional for Windows Store apps that require an account to sign in."</t>
  </si>
  <si>
    <t>#   powershell_args           : "$p = Get-ItemProperty -Path 'Registry::HKEY_LOCAL_MACHINE\Software\Microsoft\Windows\CurrentVersion\Policies\System' -ErrorAction SilentlyContinue; $val = if ($p -and $p.PSObject.Properties['MSAOptional'] -ne $null) { [int]$p.'MSAOptional' } else { 0 }; [string]$val"</t>
  </si>
  <si>
    <t>#   description               : "1.0162 - MSWRK - Ensure Turn off the offer to update to the latest version of Windows is set to Enabled"</t>
  </si>
  <si>
    <t>#   info                      : "Enables or disables the Microsoft Store offer to update to the latest version of Windows."</t>
  </si>
  <si>
    <t>#   powershell_args           : "$p = Get-ItemProperty -Path 'Registry::HKEY_LOCAL_MACHINE\Software\Policies\Microsoft\WindowsStore' -ErrorAction SilentlyContinue; $val = if ($p -and $p.PSObject.Properties['DisableOSUpgrade'] -ne $null) { [int]$p.'DisableOSUpgrade' } else { 0 }; [string]$val"</t>
  </si>
  <si>
    <t>#   description               : "1.0163 - MSWRK - Ensure Allow Recall to be enabled is set to Disabled"</t>
  </si>
  <si>
    <t>#   info                      : "This policy setting controls whether the Recall optional component is available for end users to enable on the system."</t>
  </si>
  <si>
    <t>#   powershell_args           : "$p = Get-ItemProperty -Path 'Registry::HKEY_LOCAL_MACHINE\Software\Policies\Microsoft\Windows\WindowsAI' -ErrorAction SilentlyContinue; $val = if ($p -and $p.PSObject.Properties['AllowRecallEnablement'] -ne $null) { [int]$p.'AllowRecallEnablement' } else { 0 }; [string]$val"</t>
  </si>
  <si>
    <t>#   description               : "1.0164 - MSWRK - Ensure Automatic Data Collection is set to Enabled"</t>
  </si>
  <si>
    <t>#   info                      : "This policy setting determines whether Enhanced Phishing Protection can collect additional information such as content displayed, sounds played, and application memory when users enter their work or school password into a suspicious website or app."</t>
  </si>
  <si>
    <t>#   powershell_args           : "$p = Get-ItemProperty -Path 'Registry::HKEY_LOCAL_MACHINE\Software\Policies\Microsoft\Windows\WTDS\Components' -ErrorAction SilentlyContinue; $val = if ($p -and $p.PSObject.Properties['CaptureThreatWindow'] -ne $null) { [int]$p.'CaptureThreatWindow' } else { 0 }; [string]$val"</t>
  </si>
  <si>
    <t>#   description               : "1.0165 - MSWRK - Ensure Notify Malicious is set to Enabled"</t>
  </si>
  <si>
    <t>#   info                      : "This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t>
  </si>
  <si>
    <t>#   powershell_args           : "$p = Get-ItemProperty -Path 'Registry::HKEY_LOCAL_MACHINE\Software\Policies\Microsoft\Windows\WTDS\Components' -ErrorAction SilentlyContinue; $val = if ($p -and $p.PSObject.Properties['NotifyMalicious'] -ne $null) { [int]$p.'NotifyMalicious' } else { 0 }; [string]$val"</t>
  </si>
  <si>
    <t>#   description               : "1.0166 - MSWRK - Ensure Notify Password Reuse is set to Enabled"</t>
  </si>
  <si>
    <t>#   info                      : "This policy setting determines whether Enhanced Phishing Protection in Microsoft Defender SmartScreen warns users if they reuse their work or school password."</t>
  </si>
  <si>
    <t>#   powershell_args           : "$p = Get-ItemProperty -Path 'Registry::HKEY_LOCAL_MACHINE\Software\Policies\Microsoft\Windows\WTDS\Components' -ErrorAction SilentlyContinue; $val = if ($p -and $p.PSObject.Properties['NotifyPasswordReuse'] -ne $null) { [int]$p.'NotifyPasswordReuse' } else { 0 }; [string]$val"</t>
  </si>
  <si>
    <t>#   description               : "1.0167 - MSWRK - Ensure Notify Unsafe App is set to Enabled"</t>
  </si>
  <si>
    <t>#   info                      : "This policy setting determines whether Enhanced Phishing Protection in Microsoft Defender SmartScreen warns users if they type their work or school passwords in Notepad, WordPad, or M365 Office apps like OneNote, Word, Excel, etc."</t>
  </si>
  <si>
    <t>#   powershell_args           : "$p = Get-ItemProperty -Path 'Registry::HKEY_LOCAL_MACHINE\Software\Policies\Microsoft\Windows\WTDS\Components' -ErrorAction SilentlyContinue; $val = if ($p -and $p.PSObject.Properties['NotifyUnsafeApp'] -ne $null) { [int]$p.'NotifyUnsafeApp' } else { 0 }; [string]$val"</t>
  </si>
  <si>
    <t>#   description               : "1.0168 - MSWRK - Ensure Service Enabled is set to Enabled"</t>
  </si>
  <si>
    <t>#   info                      : "This policy setting determines whether Enhanced Phishing Protection is in audit mode."</t>
  </si>
  <si>
    <t>#   powershell_args           : "$p = Get-ItemProperty -Path 'Registry::HKEY_LOCAL_MACHINE\Software\Policies\Microsoft\Windows\WTDS\Components' -ErrorAction SilentlyContinue; $val = if ($p -and $p.PSObject.Properties['ServiceEnabled'] -ne $null) { [int]$p.'ServiceEnabled' } else { 0 }; [string]$val"</t>
  </si>
  <si>
    <t>#   description               : "1.0169 - MSWRK - Ensure ShellSmartScreenLevel is Windows: Registry Value to Block"</t>
  </si>
  <si>
    <t>#   value_data                : "Block"</t>
  </si>
  <si>
    <t>#   powershell_args           : "$p = Get-ItemProperty -Path 'Registry::HKEY_LOCAL_MACHINE\SOFTWARE\Policies\Microsoft\Windows\System' -ErrorAction SilentlyContinue; $raw = if ($p -and $p.PSObject.Properties['ShellSmartScreenLevel'] -ne $null) { [string]$p.'ShellSmartScreenLevel' } else { $null }; if ($raw) { $raw } else { 'NOT_FOUND' }"</t>
  </si>
  <si>
    <t>#   description               : "1.0170 - MSWRK - EnableSmartScreen"</t>
  </si>
  <si>
    <t>#   powershell_args           : "$p = Get-ItemProperty -Path 'Registry::HKEY_LOCAL_MACHINE\Software\Policies\Microsoft\Windows\System' -ErrorAction SilentlyContinue; $val = if ($p -and $p.PSObject.Properties['EnableSmartScreen'] -ne $null) { [int]$p.'EnableSmartScreen' } else { 0 }; [string]$val"</t>
  </si>
  <si>
    <t>#   description               : "1.0172 - MSWRK - Ensure Enable ESS with Supported Peripherals is set to Enabled: 1"</t>
  </si>
  <si>
    <t>#   info                      : "Enhanced Sign-in Security isolates Windows Hello biometric (face and fingerprint) template data and matching operations to trusted hardware or specified memory regions."</t>
  </si>
  <si>
    <t>#   powershell_args           : "$p = Get-ItemProperty -Path 'Registry::HKEY_LOCAL_MACHINE\Software\Microsoft\Policies\PassportForWork\Biometrics' -ErrorAction SilentlyContinue; $val = if ($p -and $p.PSObject.Properties['EnableESSwithSupportedPeripherals'] -ne $null) { [int]$p.'EnableESSwithSupportedPeripherals' } else { 0 }; [string]$val"</t>
  </si>
  <si>
    <t>#   description               : "1.0173 - MSWRK - Ensure Disallow Autoplay for non-volume devices is set to Enabled"</t>
  </si>
  <si>
    <t>#   info                      : "This policy setting disallows AutoPlay for MTP devices like cameras or phones."</t>
  </si>
  <si>
    <t>#   powershell_args           : "$p = Get-ItemProperty -Path 'Registry::HKEY_LOCAL_MACHINE\Software\Policies\Microsoft\Windows\Explorer' -ErrorAction SilentlyContinue; $val = if ($p -and $p.PSObject.Properties['NoAutoplayfornonVolume'] -ne $null) { [int]$p.'NoAutoplayfornonVolume' } else { 0 }; [string]$val"</t>
  </si>
  <si>
    <t>#   description               : "1.0174 - MSWRK - Ensure Allow Windows Ink Workspace is set to Enabled: On, but disallow access above lock OR Enabled: Disabled"</t>
  </si>
  <si>
    <t>#   info                      : "This policy setting determines whether Windows Ink items are allowed above the lock screen."</t>
  </si>
  <si>
    <t>#   powershell_args           : "$p = Get-ItemProperty -Path 'Registry::HKEY_LOCAL_MACHINE\SOFTWARE\Policies\Microsoft\WindowsInkWorkspace' -ErrorAction SilentlyContinue; $val = if ($p -and $p.PSObject.Properties['AllowWindowsInkWorkspace'] -ne $null) { [int]$p.'AllowWindowsInkWorkspace' } else { 0 }; [string]$val"</t>
  </si>
  <si>
    <t>#   description               : "1.0175 - MSWRK - Ensure Set the default behavior for AutoRun is set to Enabled: Do not execute any autorun commands"</t>
  </si>
  <si>
    <t>#   info                      : "This policy setting sets the default behavior for Autorun commands."</t>
  </si>
  <si>
    <t>#   powershell_args           : "$p = Get-ItemProperty -Path 'Registry::HKEY_LOCAL_MACHINE\Software\Microsoft\Windows\CurrentVersion\Policies\Explorer' -ErrorAction SilentlyContinue; $val = if ($p -and $p.PSObject.Properties['NoAutorun'] -ne $null) { [int]$p.'NoAutorun' } else { 0 }; [string]$val"</t>
  </si>
  <si>
    <t>#   description               : "1.0176 - MSWRK - Ensure Allow user control over installs is set to Disabled"</t>
  </si>
  <si>
    <t>#   info                      : "This setting controls whether users are permitted to change installation options that typically are available only to system administrators."</t>
  </si>
  <si>
    <t>#   reference                 : "NIST 800-53r5|AC-6(10)"</t>
  </si>
  <si>
    <t>#   powershell_args           : "$p = Get-ItemProperty -Path 'Registry::HKEY_LOCAL_MACHINE\Software\Policies\Microsoft\Windows\Installer' -ErrorAction SilentlyContinue; $val = if ($p -and $p.PSObject.Properties['EnableUserControl'] -ne $null) { [int]$p.'EnableUserControl' } else { 0 }; [string]$val"</t>
  </si>
  <si>
    <t>#   description               : "1.0177 - MSWRK - Ensure Always install with elevated privileges is set to Disabled"</t>
  </si>
  <si>
    <t>#   info                      : "This setting controls whether or not Windows Installer should use system permissions when it installs any program on the system."</t>
  </si>
  <si>
    <t>#   reference                 : "NIST 800-53r5|AC-2(9)"</t>
  </si>
  <si>
    <t>#   powershell_args           : "$p = Get-ItemProperty -Path 'Registry::HKEY_LOCAL_MACHINE\Software\Policies\Microsoft\Windows\Installer' -ErrorAction SilentlyContinue; $val = if ($p -and $p.PSObject.Properties['AlwaysInstallElevated'] -ne $null) { [int]$p.'AlwaysInstallElevated' } else { 0 }; [string]$val"</t>
  </si>
  <si>
    <t>#   description               : "1.0178 - MSWRK - Ensure Turn off Autoplay is set to Enabled: All drives"</t>
  </si>
  <si>
    <t>#   info                      : "This policy setting controls Autoplay."</t>
  </si>
  <si>
    <t>#   value_data                : "255"</t>
  </si>
  <si>
    <t>#   powershell_args           : "$p = Get-ItemProperty -Path 'Registry::HKEY_LOCAL_MACHINE\Software\Microsoft\Windows\CurrentVersion\Policies\Explorer' -ErrorAction SilentlyContinue; $val = if ($p -and $p.PSObject.Properties['NoDriveTypeAutoRun'] -ne $null) { [int]$p.'NoDriveTypeAutoRun' } else { 0 }; [string]$val"</t>
  </si>
  <si>
    <t>#   description               : "1.0179 - MSWRK - Ensure Configure the transmission of the users password in the content of MPR notifications sent by winlogon. is set to Disabled"</t>
  </si>
  <si>
    <t>#   info                      : "This policy setting controls whether winlogon includes a user's password in the content of Multiple Provider Router (MPR) notifications."</t>
  </si>
  <si>
    <t>#   powershell_args           : "$p = Get-ItemProperty -Path 'Registry::HKEY_LOCAL_MACHINE\Software\Microsoft\Windows\CurrentVersion\Policies\System' -ErrorAction SilentlyContinue; $val = if ($p -and $p.PSObject.Properties['EnableMPR'] -ne $null) { [int]$p.'EnableMPR' } else { 0 }; [string]$val"</t>
  </si>
  <si>
    <t>#   description               : "1.0181 - MSWRK - Ensure Allow Basic authentication is set to Disabled - Client"</t>
  </si>
  <si>
    <t>#   info                      : "This policy setting allows you to manage whether the Windows Remote Management (WinRM) client uses Basic authentication."</t>
  </si>
  <si>
    <t>#   powershell_args           : "$p = Get-ItemProperty -Path 'Registry::HKEY_LOCAL_MACHINE\Software\Policies\Microsoft\Windows\WinRM\Client' -ErrorAction SilentlyContinue; $val = if ($p -and $p.PSObject.Properties['AllowBasic'] -ne $null) { [int]$p.'AllowBasic' } else { 0 }; [string]$val"</t>
  </si>
  <si>
    <t>#   description               : "1.0182 - MSWRK - Ensure Allow unencrypted traffic is set to Disabled - Client"</t>
  </si>
  <si>
    <t>#   info                      : "This policy setting allows you to manage whether the Windows Remote Management (WinRM) client sends and receives unencrypted messages over the network."</t>
  </si>
  <si>
    <t>#   powershell_args           : "$p = Get-ItemProperty -Path 'Registry::HKEY_LOCAL_MACHINE\Software\Policies\Microsoft\Windows\WinRM\Client' -ErrorAction SilentlyContinue; $val = if ($p -and $p.PSObject.Properties['AllowUnencryptedTraffic'] -ne $null) { [int]$p.'AllowUnencryptedTraffic' } else { 0 }; [string]$val"</t>
  </si>
  <si>
    <t>#   description               : "1.0183 - MSWRK - Ensure Disallow Digest authentication is set to Enabled"</t>
  </si>
  <si>
    <t>#   info                      : "This policy setting allows you to manage whether the Windows Remote Management (WinRM) client will not use Digest authentication."</t>
  </si>
  <si>
    <t>#   powershell_args           : "$p = Get-ItemProperty -Path 'Registry::HKEY_LOCAL_MACHINE\Software\Policies\Microsoft\Windows\WinRM\Client' -ErrorAction SilentlyContinue; $val = if ($p -and $p.PSObject.Properties['AllowDigest'] -ne $null) { [int]$p.'AllowDigest' } else { 0 }; [string]$val"</t>
  </si>
  <si>
    <t>#   description               : "1.0186 - MSWRK - Ensure Disallow WinRM from storing RunAs credentials is set to Enabled"</t>
  </si>
  <si>
    <t>#   info                      : "This policy setting allows you to manage whether the Windows Remote Management (WinRM) service will allow RunAs credentials to be stored for any plug-ins."</t>
  </si>
  <si>
    <t>#   reference                 : "NIST 800-53r5|SC-7(21)"</t>
  </si>
  <si>
    <t>#   powershell_args           : "$p = Get-ItemProperty -Path 'Registry::HKEY_LOCAL_MACHINE\Software\Policies\Microsoft\Windows\WinRM\Service' -ErrorAction SilentlyContinue; $val = if ($p -and $p.PSObject.Properties['DisableRunAs'] -ne $null) { [int]$p.'DisableRunAs' } else { 0 }; [string]$val"</t>
  </si>
  <si>
    <t>#   description               : "1.0187 - MSWRK - Ensure Configure enhanced anti-spoofing is set to Enabled"</t>
  </si>
  <si>
    <t>#   info                      : "This policy setting determines whether enhanced anti-spoofing is configured for devices which support it."</t>
  </si>
  <si>
    <t>#   reference                 : "NIST 800-53r5|SC-39 SI-16"</t>
  </si>
  <si>
    <t>#   powershell_args           : "$p = Get-ItemProperty -Path 'Registry::HKEY_LOCAL_MACHINE\Software\Policies\Microsoft\Biometrics\FacialFeatures' -ErrorAction SilentlyContinue; $val = if ($p -and $p.PSObject.Properties['EnhancedAntiSpoofing'] -ne $null) { [int]$p.'EnhancedAntiSpoofing' } else { 0 }; [string]$val"</t>
  </si>
  <si>
    <t>#   description               : "1.0190 - MSWRK - Ensure Prevent users from modifying settings is set to Enabled"</t>
  </si>
  <si>
    <t>#   info                      : "This policy setting prevent users from making changes to the Exploit protection settings area in the Windows Security settings."</t>
  </si>
  <si>
    <t>#   powershell_args           : "$p = Get-ItemProperty -Path 'Registry::HKEY_LOCAL_MACHINE\Software\Policies\Microsoft\Windows Defender Security Center\App and Browser protection' -ErrorAction SilentlyContinue; $val = if ($p -and $p.PSObject.Properties['DisallowExploitProtectionOverride'] -ne $null) { [int]$p.'DisallowExploitProtectionOverride' } else { 0 }; [string]$val"</t>
  </si>
  <si>
    <t>#   description               : "1.0191 - MSWRK - Ensure No auto-restart with logged on users for scheduled automatic updates installations is set to Disabled"</t>
  </si>
  <si>
    <t>#   info                      : "This policy setting specifies that Automatic Updates will wait for computers to be restarted by the users who are logged on to them to complete a scheduled installation."</t>
  </si>
  <si>
    <t>#   powershell_args           : "$p = Get-ItemProperty -Path 'Registry::HKEY_LOCAL_MACHINE\Software\Policies\Microsoft\Windows\WindowsUpdate\AU' -ErrorAction SilentlyContinue; $val = if ($p -and $p.PSObject.Properties['NoAutoRebootWithLoggedOnUsers'] -ne $null) { [int]$p.'NoAutoRebootWithLoggedOnUsers' } else { 0 }; [string]$val"</t>
  </si>
  <si>
    <t>#   description               : "1.0193 - MSWRK - Ensure Configure Automatic Updates: Scheduled install day is set to 0 - Every day"</t>
  </si>
  <si>
    <t>#   info                      : "This policy setting specifies when computers in your environment will receive security updates from Windows Update or WSUS."</t>
  </si>
  <si>
    <t>#   powershell_args           : "$p = Get-ItemProperty -Path 'Registry::HKEY_LOCAL_MACHINE\Software\Policies\Microsoft\Windows\WindowsUpdate\AU' -ErrorAction SilentlyContinue; $val = if ($p -and $p.PSObject.Properties['ScheduledInstallDay'] -ne $null) { [int]$p.'ScheduledInstallDay' } else { 0 }; [string]$val"</t>
  </si>
  <si>
    <t>#   description               : "1.0194 - MSWRK - Ensure Enable features introduced via servicing that are off by default is set to Disabled"</t>
  </si>
  <si>
    <t>#   info                      : "This policy settings configures whether or not features and enhancements that are introduced through monthly cumulative updates (servicing), are enabled on the system."</t>
  </si>
  <si>
    <t>#   powershell_args           : "$p = Get-ItemProperty -Path 'Registry::HKEY_LOCAL_MACHINE\Software\Policies\Microsoft\Windows\WindowsUpdate' -ErrorAction SilentlyContinue; $val = if ($p -and $p.PSObject.Properties['AllowTemporaryEnterpriseFeatureControl'] -ne $null) { [int]$p.'AllowTemporaryEnterpriseFeatureControl' } else { 0 }; [string]$val"</t>
  </si>
  <si>
    <t>#   description               : "1.0195 - MSWRK - 18.10.94.2.4 Ensure \Remove access to \Pause updates\ feature\ is set to \Enabled\"</t>
  </si>
  <si>
    <t>#   info                      : "This policy removes access to \'Pause updates\' feature."</t>
  </si>
  <si>
    <t>#   powershell_args           : "$p = Get-ItemProperty -Path 'Registry::HKEY_LOCAL_MACHINE\Software\Policies\Microsoft\Windows\WindowsUpdate' -ErrorAction SilentlyContinue; $val = if ($p -and $p.PSObject.Properties['SetDisablePauseUXAccess'] -ne $null) { [int]$p.'SetDisablePauseUXAccess' } else { 0 }; [string]$val"</t>
  </si>
  <si>
    <t>#   description               : "1.0196 - MSWRK - Ensure Manage preview builds is set to Disabled"</t>
  </si>
  <si>
    <t>#   info                      : "This policy setting manages which updates that are received prior to the update being released."</t>
  </si>
  <si>
    <t>#   powershell_args           : "$p = Get-ItemProperty -Path 'Registry::HKEY_LOCAL_MACHINE\Software\Policies\Microsoft\Windows\WindowsUpdate' -ErrorAction SilentlyContinue; $val = if ($p -and $p.PSObject.Properties['ManagePreviewBuildsPolicyValue'] -ne $null) { [int]$p.'ManagePreviewBuildsPolicyValue' } else { 0 }; [string]$val"</t>
  </si>
  <si>
    <t>#   description               : "1.0197 - MSWRK - Value of DeferQualityUpdatesPeriodInDays"</t>
  </si>
  <si>
    <t>#   powershell_args           : "$p = Get-ItemProperty -Path 'Registry::HKEY_LOCAL_MACHINE\Software\Policies\Microsoft\Windows\WindowsUpdate' -ErrorAction SilentlyContinue; $val = if ($p -and $p.PSObject.Properties['DeferQualityUpdatesPeriodInDays'] -ne $null) { [int]$p.'DeferQualityUpdatesPeriodInDays' } else { 0 }; [string]$val"</t>
  </si>
  <si>
    <t>#   description               : "1.0198 - MSWRK - Value of DeferQualityUpdates"</t>
  </si>
  <si>
    <t>#   powershell_args           : "$p = Get-ItemProperty -Path 'Registry::HKEY_LOCAL_MACHINE\Software\Policies\Microsoft\Windows\WindowsUpdate' -ErrorAction SilentlyContinue; $val = if ($p -and $p.PSObject.Properties['DeferQualityUpdates'] -ne $null) { [int]$p.'DeferQualityUpdates' } else { 0 }; [string]$val"</t>
  </si>
  <si>
    <t>#   description               : "1.0199 - MSWRK - Ensure Enable optional updates is set to Disabled"</t>
  </si>
  <si>
    <t>#   info                      : "This policy setting controls whether devices are able to receive optional updates (including Controlled Feature Rollout (CFRs))."</t>
  </si>
  <si>
    <t>#   powershell_args           : "$p = Get-ItemProperty -Path 'Registry::HKEY_LOCAL_MACHINE\Software\Policies\Microsoft\Windows\WindowsUpdate' -ErrorAction SilentlyContinue; $val = if ($p -and $p.PSObject.Properties['SetAllowOptionalContent'] -ne $null) { [int]$p.'SetAllowOptionalContent' } else { 0 }; [string]$val"</t>
  </si>
  <si>
    <t>#   description               : "1.0200 - MSWRK - Ensure Prevent enabling lock screen camera is set to Enabled"</t>
  </si>
  <si>
    <t>#   info                      : "Disables the lock screen camera toggle switch in PC Settings and prevents a camera from being invoked on the lock screen."</t>
  </si>
  <si>
    <t>#   reference                 : "NIST 800-53r5|AC-11"</t>
  </si>
  <si>
    <t>#   powershell_args           : "$p = Get-ItemProperty -Path 'Registry::HKEY_LOCAL_MACHINE\Software\Policies\Microsoft\Windows\Personalization' -ErrorAction SilentlyContinue; $val = if ($p -and $p.PSObject.Properties['NoLockScreenCamera'] -ne $null) { [int]$p.'NoLockScreenCamera' } else { 0 }; [string]$val"</t>
  </si>
  <si>
    <t>#   description               : "1.0201 - MSWRK - Ensure Disable HTTP proxy features: Disable WPAD is set to Enabled: Checked"</t>
  </si>
  <si>
    <t>#   info                      : "This policy setting determines whether Web Proxy Auto-Discovery protocol (WPAD) is disabled on the system."</t>
  </si>
  <si>
    <t>#   powershell_args           : "$p = Get-ItemProperty -Path 'Registry::HKEY_LOCAL_MACHINE\Software\Microsoft\Windows\CurrentVersion\Internet Settings\WinHttp' -ErrorAction SilentlyContinue; $val = if ($p -and $p.PSObject.Properties['DisableWpad'] -ne $null) { [int]$p.'DisableWpad' } else { 0 }; [string]$val"</t>
  </si>
  <si>
    <t>#   description               : "1.0203 - MSWRK - Ensure Disable HTTP proxy features: Disable proxy authentication is set to Enabled: Disable authentication over loopback interfaces or higher"</t>
  </si>
  <si>
    <t>#   info                      : "This policy setting determines whether Windows can authenticate over a loopback interface."</t>
  </si>
  <si>
    <t>#   reference                 : "NIST 800-53r5|AC-3"</t>
  </si>
  <si>
    <t>#   value_data                : "256" || "287"</t>
  </si>
  <si>
    <t>#   powershell_args           : "$p = Get-ItemProperty -Path 'Registry::HKEY_LOCAL_MACHINE\Software\Microsoft\Windows\CurrentVersion\Internet Settings' -ErrorAction SilentlyContinue; $val = if ($p -and $p.PSObject.Properties['DisableProxyAuthenticationSchemes'] -ne $null) { [int]$p.'DisableProxyAuthenticationSchemes' } else { 0 }; [string]$val"</t>
  </si>
  <si>
    <t>#   description               : "1.0205 - MSWRK - Ensure Apply UAC restrictions to local accounts on network logons is set to Enabled"</t>
  </si>
  <si>
    <t>#   info                      : "This setting controls whether local accounts can be used for remote administration via network logon (e."</t>
  </si>
  <si>
    <t>#   powershell_args           : "$p = Get-ItemProperty -Path 'Registry::HKEY_LOCAL_MACHINE\Software\Microsoft\Windows\CurrentVersion\Policies\System' -ErrorAction SilentlyContinue; $val = if ($p -and $p.PSObject.Properties['LocalAccountTokenFilterPolicy'] -ne $null) { [int]$p.'LocalAccountTokenFilterPolicy' } else { 0 }; [string]$val"</t>
  </si>
  <si>
    <t>#   description               : "1.0207 - MSWRK - Ensure Configure SMB v1 server is set to Disabled"</t>
  </si>
  <si>
    <t>#   info                      : "This setting configures the server-side processing of the Server Message Block version 1 (SMBv1) protocol."</t>
  </si>
  <si>
    <t>#   powershell_args           : "$p = Get-ItemProperty -Path 'Registry::HKEY_LOCAL_MACHINE\SYSTEM\CurrentControlSet\Services\LanmanServer\Parameters' -ErrorAction SilentlyContinue; $val = if ($p -and $p.PSObject.Properties['SMB1'] -ne $null) { [int]$p.'SMB1' } else { 0 }; [string]$val"</t>
  </si>
  <si>
    <t>#   description               : "1.0209 - MSWRK - 32-bit subsystem on 64-bit OS - Config"</t>
  </si>
  <si>
    <t>#   powershell_args           : "$p = Get-ItemProperty -Path 'Registry::HKEY_LOCAL_MACHINE\Software\Wow6432Node\Microsoft\Cryptography\Wintrust\Config' -ErrorAction SilentlyContinue; $val = if ($p -and $p.PSObject.Properties['EnableCertPaddingCheck'] -ne $null) { [int]$p.'EnableCertPaddingCheck' } else { 0 }; [string]$val"</t>
  </si>
  <si>
    <t>#   description               : "1.0210 - MSWRK - Ensure Enable Structured Exception Handling Overwrite Protection (SEHOP) is set to Enabled"</t>
  </si>
  <si>
    <t>#   info                      : "Windows includes support for Structured Exception Handling Overwrite Protection (SEHOP)."</t>
  </si>
  <si>
    <t>#   powershell_args           : "$p = Get-ItemProperty -Path 'Registry::HKEY_LOCAL_MACHINE\SYSTEM\CurrentControlSet\Control\Session Manager\kernel' -ErrorAction SilentlyContinue; $val = if ($p -and $p.PSObject.Properties['DisableExceptionChainValidation'] -ne $null) { [int]$p.'DisableExceptionChainValidation' } else { 0 }; [string]$val"</t>
  </si>
  <si>
    <t>#   description               : "1.0212 - MSWRK - Ensure WDigest Authentication is set to Disabled"</t>
  </si>
  <si>
    <t>#   info                      : "When WDigest authentication is enabled, Lsass."</t>
  </si>
  <si>
    <t>#   reference                 : "NIST 800-53r5|IA-5(1) SC-28 SC-28(1)"</t>
  </si>
  <si>
    <t>#   powershell_args           : "$p = Get-ItemProperty -Path 'Registry::HKEY_LOCAL_MACHINE\SYSTEM\CurrentControlSet\Control\SecurityProviders\WDigest' -ErrorAction SilentlyContinue; $val = if ($p -and $p.PSObject.Properties['UseLogonCredential'] -ne $null) { [int]$p.'UseLogonCredential' } else { 0 }; [string]$val"</t>
  </si>
  <si>
    <t>#   description               : "1.0213 - MSWRK - Ensure AutoAdminLogon is Windows: Registry Value to 0"</t>
  </si>
  <si>
    <t>#   powershell_args           : "$p = Get-ItemProperty -Path 'Registry::HKEY_LOCAL_MACHINE\Software\Microsoft\Windows NT\CurrentVersion\Winlogon' -ErrorAction SilentlyContinue; $raw = if ($p -and $p.PSObject.Properties['AutoAdminLogon'] -ne $null) { [string]$p.'AutoAdminLogon' } else { $null }; if ($raw) { $raw } else { 'NOT_FOUND' }"</t>
  </si>
  <si>
    <t>#   description               : "1.0214 - MSWRK - Ensure DefaultPassword does not exist"</t>
  </si>
  <si>
    <t>#   value_data                : "NOT_FOUND"</t>
  </si>
  <si>
    <t>#   powershell_args           : "$p = Get-ItemProperty -Path 'Registry::HKEY_LOCAL_MACHINE\Software\Microsoft\Windows NT\CurrentVersion\Winlogon' -ErrorAction SilentlyContinue; if ($p -and $p.PSObject.Properties['DefaultPassword'] -ne $null) { 'EXISTS' } else { 'NOT_FOUND' }"</t>
  </si>
  <si>
    <t>#   description               : "1.0215 - MSWRK - Ensure MSS: (WarningLevel) Percentage threshold for the security event log at which the system will generate a warning is set to Enabled: 90% or less"</t>
  </si>
  <si>
    <t>#   info                      : "This setting can generate a security audit in the Security event log when the log reaches a user-defined threshold."</t>
  </si>
  <si>
    <t>#   reference                 : "NIST 800-53r5|AU-4"</t>
  </si>
  <si>
    <t>#   value_data                : "^(1|2|3|4|5|6|7|8|9|10|11|12|13|14|15|16|17|18|19|20|21|22|23|24|25|26|27|28|29|30|31|32|33|34|35|36|37|38|39|40|41|42|43|44|45|46|47|48|49|50|51|52|53|54|55|56|57|58|59|60|61|62|63|64|65|66|67|68|69|70|71|72|73|74|75|76|77|78|79|80|81|82|83|84|85|86|87|88|89|90)$"</t>
  </si>
  <si>
    <t>#   powershell_args           : "$p = Get-ItemProperty -Path 'Registry::HKEY_LOCAL_MACHINE\System\CurrentControlSet\Services\Eventlog\Security' -ErrorAction SilentlyContinue; $val = if ($p -and $p.PSObject.Properties['WarningLevel'] -ne $null) { [int]$p.'WarningLevel' } else { 0 }; [string]$val"</t>
  </si>
  <si>
    <t>#   description               : "1.0218 - MSWRK - Ensure MSS: (EnableICMPRedirect) Allow ICMP redirects to override OSPF generated routes is set to Disabled"</t>
  </si>
  <si>
    <t>#   info                      : "Internet Control Message Protocol (ICMP) redirects cause the IPv4 stack to plumb host routes."</t>
  </si>
  <si>
    <t>#   reference                 : "NIST 800-53r5|CM-1 CM-2 CM-6 CM-7 CM-7(1) CM-9 SA-3 SA-8 SA-10"</t>
  </si>
  <si>
    <t>#   powershell_args           : "$p = Get-ItemProperty -Path 'Registry::HKEY_LOCAL_MACHINE\System\CurrentControlSet\Services\Tcpip\Parameters' -ErrorAction SilentlyContinue; $val = if ($p -and $p.PSObject.Properties['EnableICMPRedirect'] -ne $null) { [int]$p.'EnableICMPRedirect' } else { 0 }; [string]$val"</t>
  </si>
  <si>
    <t>#   description               : "1.0219 - MSWRK - Ensure MSS: (NoNameReleaseOnDemand) Allow the computer to ignore NetBIOS name release requests except from WINS servers is set to Enabled"</t>
  </si>
  <si>
    <t>#   info                      : "NetBIOS over TCP/IP is a network protocol that among other things provides a way to easily resolve NetBIOS names that are registered on Windows-based systems to the IP addresses that are configured on those systems."</t>
  </si>
  <si>
    <t>#   reference                 : "NIST 800-53r5|AC-18 AC-18(1) AC-18(3) CM-2 CM-6 CM-7 CM-7(1) CM-9"</t>
  </si>
  <si>
    <t>#   powershell_args           : "$p = Get-ItemProperty -Path 'Registry::HKEY_LOCAL_MACHINE\System\CurrentControlSet\Services\NetBT\Parameters' -ErrorAction SilentlyContinue; $val = if ($p -and $p.PSObject.Properties['NoNameReleaseOnDemand'] -ne $null) { [int]$p.'NoNameReleaseOnDemand' } else { 0 }; [string]$val"</t>
  </si>
  <si>
    <t>#   description               : "1.0220 - MSWRK - Ensure MSS: (SafeDllSearchMode) Enable Safe DLL search mode is set to Enabled"</t>
  </si>
  <si>
    <t>#   info                      : "The DLL search order can be configured to search for DLLs that are requested by running processes in one of two ways: - Search folders specified in the system path first, and then search the current working folder."</t>
  </si>
  <si>
    <t>#   powershell_args           : "$p = Get-ItemProperty -Path 'Registry::HKEY_LOCAL_MACHINE\System\CurrentControlSet\Control\Session Manager' -ErrorAction SilentlyContinue; $val = if ($p -and $p.PSObject.Properties['SafeDllSearchMode'] -ne $null) { [int]$p.'SafeDllSearchMode' } else { 0 }; [string]$val"</t>
  </si>
  <si>
    <t>#   description               : "1.0221 - MSWRK - Ensure Prohibit installation and configuration of Network Bridge on your DNS domain network is set to Enabled"</t>
  </si>
  <si>
    <t>#   info                      : "You can use this procedure to control a user's ability to install and configure a Network Bridge."</t>
  </si>
  <si>
    <t>#   powershell_args           : "$p = Get-ItemProperty -Path 'Registry::HKEY_LOCAL_MACHINE\Software\Policies\Microsoft\Windows\Network Connections' -ErrorAction SilentlyContinue; $val = if ($p -and $p.PSObject.Properties['NC_AllowNetBridge_NLA'] -ne $null) { [int]$p.'NC_AllowNetBridge_NLA' } else { 0 }; [string]$val"</t>
  </si>
  <si>
    <t>#   description               : "1.0222 - MSWRK - Ensure Prohibit use of Internet Connection Sharing on your DNS domain network is set to Enabled"</t>
  </si>
  <si>
    <t>#   info                      : "Although this \'legacy\' setting traditionally applied to the use of Internet Connection Sharing (ICS) in Windows 2000, Windows XP &amp; Server 2003, this setting now freshly applies to the Mobile Hotspot feature in Windows 10 &amp; Server 2016."</t>
  </si>
  <si>
    <t>#   powershell_args           : "$p = Get-ItemProperty -Path 'Registry::HKEY_LOCAL_MACHINE\Software\Policies\Microsoft\Windows\Network Connections' -ErrorAction SilentlyContinue; $val = if ($p -and $p.PSObject.Properties['NC_ShowSharedAccessUI'] -ne $null) { [int]$p.'NC_ShowSharedAccessUI' } else { 0 }; [string]$val"</t>
  </si>
  <si>
    <t>#   description               : "1.0223 - MSWRK - Ensure Require domain users to elevate when setting a networks location is set to Enabled"</t>
  </si>
  <si>
    <t>#   info                      : "This policy setting determines whether to require domain users to elevate when setting a network's location."</t>
  </si>
  <si>
    <t>#   powershell_args           : "$p = Get-ItemProperty -Path 'Registry::HKEY_LOCAL_MACHINE\Software\Policies\Microsoft\Windows\Network Connections' -ErrorAction SilentlyContinue; $val = if ($p -and $p.PSObject.Properties['NC_StdDomainUserSetLocation'] -ne $null) { [int]$p.'NC_StdDomainUserSetLocation' } else { 0 }; [string]$val"</t>
  </si>
  <si>
    <t>#   description               : "1.0224 - MSWRK - NETLOGON"</t>
  </si>
  <si>
    <t>#   value_data                : "[Rr]equire([Mm]utual[Aa]uthentication|[Ii]ntegrity|[Pp]rivacy)=1.*[Rr]equire([Mm]utual[Aa]uthentication|[Ii]ntegrity|[Pp]rivacy)=1.*[Rr]equire([Mm]utual[Aa]uthentication|[Ii]ntegrity|[Pp]rivacy)=1"</t>
  </si>
  <si>
    <t>#   powershell_args           : "$p = Get-ItemProperty -Path 'Registry::HKEY_LOCAL_MACHINE\Software\Policies\Microsoft\Windows\NetworkProvider\HardenedPaths' -ErrorAction SilentlyContinue; $raw = if ($p -and $p.PSObject.Properties['\\*\NETLOGON'] -ne $null) { [string]$p.'\\*\NETLOGON' } else { $null }; if ($raw) { $raw } else { 'NOT_FOUND' }"</t>
  </si>
  <si>
    <t>#   description               : "1.0225 - MSWRK - SYSVOL"</t>
  </si>
  <si>
    <t>#   powershell_args           : "$p = Get-ItemProperty -Path 'Registry::HKEY_LOCAL_MACHINE\Software\Policies\Microsoft\Windows\NetworkProvider\HardenedPaths' -ErrorAction SilentlyContinue; $raw = if ($p -and $p.PSObject.Properties['\\*\SYSVOL'] -ne $null) { [string]$p.'\\*\SYSVOL' } else { $null }; if ($raw) { $raw } else { 'NOT_FOUND' }"</t>
  </si>
  <si>
    <t>#   description               : "1.0227 - MSWRK - Ensure Prohibit connection to non-domain networks when connected to domain authenticated network is set to Enabled"</t>
  </si>
  <si>
    <t>#   info                      : "This policy setting prevents computers from connecting to both a domain based network and a non-domain based network at the same time."</t>
  </si>
  <si>
    <t>#   reference                 : "NIST 800-53r5|SC-7"</t>
  </si>
  <si>
    <t>#   powershell_args           : "$p = Get-ItemProperty -Path 'Registry::HKEY_LOCAL_MACHINE\Software\Policies\Microsoft\Windows\WcmSvc\GroupPolicy' -ErrorAction SilentlyContinue; $val = if ($p -and $p.PSObject.Properties['fBlockNonDomain'] -ne $null) { [int]$p.'fBlockNonDomain' } else { 0 }; [string]$val"</t>
  </si>
  <si>
    <t>#   description               : "1.0229 - MSWRK - Ensure Configure multicast DNS (mDNS) protocol is set to Disabled"</t>
  </si>
  <si>
    <t>#   info                      : "This policy setting determines if the DNS client will perform name resolution over Multicast DNS (mDNS)."</t>
  </si>
  <si>
    <t>#   powershell_args           : "$p = Get-ItemProperty -Path 'Registry::HKEY_LOCAL_MACHINE\Software\Policies\Microsoft\Windows NT\DNSClient' -ErrorAction SilentlyContinue; $val = if ($p -and $p.PSObject.Properties['EnableMDNS'] -ne $null) { [int]$p.'EnableMDNS' } else { 0 }; [string]$val"</t>
  </si>
  <si>
    <t>#   description               : "1.0230 - MSWRK - Ensure Configure NetBIOS settings is set to Enabled: Disable NetBIOS name resolution on public networks"</t>
  </si>
  <si>
    <t>#   info                      : "This policy setting specifies if the Domain Name System (DNS) client will perform name resolution over Network Basic Input/Output System (NetBIOS)."</t>
  </si>
  <si>
    <t>#   value_data                : "0" || "2"</t>
  </si>
  <si>
    <t>#   powershell_args           : "$p = Get-ItemProperty -Path 'Registry::HKEY_LOCAL_MACHINE\Software\Policies\Microsoft\Windows NT\DNSClient' -ErrorAction SilentlyContinue; $val = if ($p -and $p.PSObject.Properties['EnableNetBIOS'] -ne $null) { [int]$p.'EnableNetBIOS' } else { 0 }; [string]$val"</t>
  </si>
  <si>
    <t>#   description               : "1.0232 - MSWRK - Ensure Audit client does not support encryption is set to Enabled"</t>
  </si>
  <si>
    <t>#   info                      : "This policy setting determines whether the Server Message Block (SMB) server will log events when the SMB client doesn't support encryption."</t>
  </si>
  <si>
    <t>#   powershell_args           : "$p = Get-ItemProperty -Path 'Registry::HKEY_LOCAL_MACHINE\Software\Policies\Microsoft\Windows\LanmanServer' -ErrorAction SilentlyContinue; $val = if ($p -and $p.PSObject.Properties['AuditClientDoesNotSupportEncryption'] -ne $null) { [int]$p.'AuditClientDoesNotSupportEncryption' } else { 0 }; [string]$val"</t>
  </si>
  <si>
    <t>#   description               : "1.0233 - MSWRK - Ensure Audit client does not support signing is set to Enabled"</t>
  </si>
  <si>
    <t>#   info                      : "This policy setting determines whether the Server Message Block (SMB) server will log events when the SMB client doesn't support signing."</t>
  </si>
  <si>
    <t>#   powershell_args           : "$p = Get-ItemProperty -Path 'Registry::HKEY_LOCAL_MACHINE\Software\Policies\Microsoft\Windows\LanmanServer' -ErrorAction SilentlyContinue; $val = if ($p -and $p.PSObject.Properties['AuditClientDoesNotSupportSigning'] -ne $null) { [int]$p.'AuditClientDoesNotSupportSigning' } else { 0 }; [string]$val"</t>
  </si>
  <si>
    <t>#   description               : "1.0234 - MSWRK - Ensure Audit insecure guest logon is set to Enabled - Lanmanserver"</t>
  </si>
  <si>
    <t>#   info                      : "This policy determines whether the Server Message Block (SMB) server will log events when the client is logged on as guest account."</t>
  </si>
  <si>
    <t>#   powershell_args           : "$p = Get-ItemProperty -Path 'Registry::HKEY_LOCAL_MACHINE\Software\Policies\Microsoft\Windows\LanmanServer' -ErrorAction SilentlyContinue; $val = if ($p -and $p.PSObject.Properties['AuditInsecureGuestLogon'] -ne $null) { [int]$p.'AuditInsecureGuestLogon' } else { 0 }; [string]$val"</t>
  </si>
  <si>
    <t>#   description               : "1.0235 - MSWRK - Ensure Enable authentication rate limiter is set to Enabled"</t>
  </si>
  <si>
    <t>#   info                      : "This policy settings configures the Server Message Block (SMB) server authentication rate limiter."</t>
  </si>
  <si>
    <t>#   reference                 : "NIST 800-53r5|SC-7(20)"</t>
  </si>
  <si>
    <t>#   powershell_args           : "$p = Get-ItemProperty -Path 'Registry::HKEY_LOCAL_MACHINE\Software\Policies\Microsoft\Windows\LanmanServer' -ErrorAction SilentlyContinue; $val = if ($p -and $p.PSObject.Properties['EnableAuthRateLimiter'] -ne $null) { [int]$p.'EnableAuthRateLimiter' } else { 0 }; [string]$val"</t>
  </si>
  <si>
    <t>#   description               : "1.0236 - MSWRK - Ensure Enable remote mailslots is set to Disabled - Bowser"</t>
  </si>
  <si>
    <t>#   info                      : "This policy settings controls whether the SMB server will use remote mailslots over the computer browser service."</t>
  </si>
  <si>
    <t>#   powershell_args           : "$p = Get-ItemProperty -Path 'Registry::HKEY_LOCAL_MACHINE\Software\Policies\Microsoft\Windows\Bowser' -ErrorAction SilentlyContinue; $val = if ($p -and $p.PSObject.Properties['EnableMailslots'] -ne $null) { [int]$p.'EnableMailslots' } else { 0 }; [string]$val"</t>
  </si>
  <si>
    <t>#   description               : "1.0237 - MSWRK - Ensure Mandate the minimum version of SMB is set to Enabled: 3.1.1 - Lanmanserver"</t>
  </si>
  <si>
    <t>#   info                      : "This policy settings controls the minimum version of Server Message Block (SMB) protocol that can be used on the system."</t>
  </si>
  <si>
    <t>#   value_data                : "785"</t>
  </si>
  <si>
    <t>#   powershell_args           : "$p = Get-ItemProperty -Path 'Registry::HKEY_LOCAL_MACHINE\Software\Policies\Microsoft\Windows\LanmanServer' -ErrorAction SilentlyContinue; $val = if ($p -and $p.PSObject.Properties['MinSmb2Dialect'] -ne $null) { [int]$p.'MinSmb2Dialect' } else { 0 }; [string]$val"</t>
  </si>
  <si>
    <t>#   description               : "1.0238 - MSWRK - Ensure Set authentication rate limiter delay (milliseconds) is set to Enabled: 2000 or more"</t>
  </si>
  <si>
    <t>#   info                      : "This policy settings configures the SMB server invalid authentication delay value in milliseconds."</t>
  </si>
  <si>
    <t>#   value_data                : "^([1-9][0-9]{4,}|[3-9][0-9]{3}|2[1-9][0-9]{2}|20[1-9][0-9]{1}|200[0-9])$"</t>
  </si>
  <si>
    <t>#   powershell_args           : "$p = Get-ItemProperty -Path 'Registry::HKEY_LOCAL_MACHINE\Software\Policies\Microsoft\Windows\LanmanServer' -ErrorAction SilentlyContinue; $val = if ($p -and $p.PSObject.Properties['InvalidAuthenticationDelayTimeInMs'] -ne $null) { [int]$p.'InvalidAuthenticationDelayTimeInMs' } else { 0 }; [string]$val"</t>
  </si>
  <si>
    <t>#   description               : "1.0239 - MSWRK - Ensure Audit insecure guest logon is set to Enabled - Lanmanworkstation"</t>
  </si>
  <si>
    <t>#   info                      : "This policy determines whether the Server Message Block (SMB) client will log events when the client is logged on as guest account."</t>
  </si>
  <si>
    <t>#   powershell_args           : "$p = Get-ItemProperty -Path 'Registry::HKEY_LOCAL_MACHINE\Software\Policies\Microsoft\Windows\LanmanWorkstation' -ErrorAction SilentlyContinue; $val = if ($p -and $p.PSObject.Properties['AuditInsecureGuestLogon'] -ne $null) { [int]$p.'AuditInsecureGuestLogon' } else { 0 }; [string]$val"</t>
  </si>
  <si>
    <t>#   description               : "1.0240 - MSWRK - Ensure Audit server does not support encryption is set to Enabled"</t>
  </si>
  <si>
    <t>#   info                      : "This policy setting determines whether the Server Message Block (SMB) client will log events when the SMB server doesn't support encryption."</t>
  </si>
  <si>
    <t>#   powershell_args           : "$p = Get-ItemProperty -Path 'Registry::HKEY_LOCAL_MACHINE\Software\Policies\Microsoft\Windows\LanmanWorkstation' -ErrorAction SilentlyContinue; $val = if ($p -and $p.PSObject.Properties['AuditServerDoesNotSupportEncryption'] -ne $null) { [int]$p.'AuditServerDoesNotSupportEncryption' } else { 0 }; [string]$val"</t>
  </si>
  <si>
    <t>#   description               : "1.0241 - MSWRK - Ensure Audit server does not support signing is set to Enabled"</t>
  </si>
  <si>
    <t>#   info                      : "This policy setting determines whether the Server Message Block (SMB) client will log events when the SMB server doesn't support signing."</t>
  </si>
  <si>
    <t>#   powershell_args           : "$p = Get-ItemProperty -Path 'Registry::HKEY_LOCAL_MACHINE\Software\Policies\Microsoft\Windows\LanmanWorkstation' -ErrorAction SilentlyContinue; $val = if ($p -and $p.PSObject.Properties['AuditServerDoesNotSupportSigning'] -ne $null) { [int]$p.'AuditServerDoesNotSupportSigning' } else { 0 }; [string]$val"</t>
  </si>
  <si>
    <t>#   description               : "1.0242 - MSWRK - Ensure Enable insecure guest logons is set to Disabled"</t>
  </si>
  <si>
    <t>#   info                      : "This policy setting determines if the SMB client will allow insecure guest logons to an SMB server."</t>
  </si>
  <si>
    <t>#   powershell_args           : "$p = Get-ItemProperty -Path 'Registry::HKEY_LOCAL_MACHINE\SOFTWARE\Policies\Microsoft\Windows\LanmanWorkstation' -ErrorAction SilentlyContinue; $val = if ($p -and $p.PSObject.Properties['AllowInsecureGuestAuth'] -ne $null) { [int]$p.'AllowInsecureGuestAuth' } else { 0 }; [string]$val"</t>
  </si>
  <si>
    <t>#   description               : "1.0243 - MSWRK - Ensure Enable remote mailslots is set to Disabled - Networkprovider"</t>
  </si>
  <si>
    <t>#   info                      : "This policy settings controls whether the SMB client will use remote mailslots over Multiple UNC Provider (MUP)."</t>
  </si>
  <si>
    <t>#   powershell_args           : "$p = Get-ItemProperty -Path 'Registry::HKEY_LOCAL_MACHINE\Software\Policies\Microsoft\Windows\NetworkProvider' -ErrorAction SilentlyContinue; $val = if ($p -and $p.PSObject.Properties['EnableMailslots'] -ne $null) { [int]$p.'EnableMailslots' } else { 0 }; [string]$val"</t>
  </si>
  <si>
    <t>#   description               : "1.0244 - MSWRK - Ensure Mandate the minimum version of SMB is set to Enabled: 3.1.1 - Lanmanworkstation"</t>
  </si>
  <si>
    <t>#   powershell_args           : "$p = Get-ItemProperty -Path 'Registry::HKEY_LOCAL_MACHINE\Software\Policies\Microsoft\Windows\LanmanWorkstation' -ErrorAction SilentlyContinue; $val = if ($p -and $p.PSObject.Properties['MinSmb2Dialect'] -ne $null) { [int]$p.'MinSmb2Dialect' } else { 0 }; [string]$val"</t>
  </si>
  <si>
    <t>#   description               : "1.0245 - MSWRK - Ensure Require Encryption is set to Enabled"</t>
  </si>
  <si>
    <t>#   info                      : "This policy setting controls whether the SMB client will require encryption."</t>
  </si>
  <si>
    <t>#   powershell_args           : "$p = Get-ItemProperty -Path 'Registry::HKEY_LOCAL_MACHINE\Software\Policies\Microsoft\Windows\LanmanWorkstation' -ErrorAction SilentlyContinue; $val = if ($p -and $p.PSObject.Properties['RequireEncryption'] -ne $null) { [int]$p.'RequireEncryption' } else { 0 }; [string]$val"</t>
  </si>
  <si>
    <t>#   description               : "1.0246 - MSWRK - Ensure Allow Print Spooler to accept client connections is set to Disabled"</t>
  </si>
  <si>
    <t>#   info                      : "This policy setting controls whether the Print Spooler service will accept client connections."</t>
  </si>
  <si>
    <t>#   powershell_args           : "$p = Get-ItemProperty -Path 'Registry::HKEY_LOCAL_MACHINE\Software\Policies\Microsoft\Windows NT\Printers' -ErrorAction SilentlyContinue; $val = if ($p -and $p.PSObject.Properties['RegisterSpoolerRemoteRpcEndPoint'] -ne $null) { [int]$p.'RegisterSpoolerRemoteRpcEndPoint' } else { 0 }; [string]$val"</t>
  </si>
  <si>
    <t>#   description               : "1.0247 - MSWRK - Ensure Limits print driver installation to Administrators is set to Enabled"</t>
  </si>
  <si>
    <t>#   info                      : "This policy setting controls whether users who aren't Administrators can install print drivers on the system."</t>
  </si>
  <si>
    <t>#   powershell_args           : "$p = Get-ItemProperty -Path 'Registry::HKEY_LOCAL_MACHINE\Software\Policies\Microsoft\Windows NT\Printers\PointAndPrint' -ErrorAction SilentlyContinue; $val = if ($p -and $p.PSObject.Properties['RestrictDriverInstallationToAdministrators'] -ne $null) { [int]$p.'RestrictDriverInstallationToAdministrators' } else { 0 }; [string]$val"</t>
  </si>
  <si>
    <t>#   description               : "1.0248 - MSWRK - Ensure Manage processing of Queue-specific files is set to Enabled: Limit Queue-specific files to Color profiles"</t>
  </si>
  <si>
    <t>#   info                      : "This policy setting manages how queue-specific files are processed during printer installation."</t>
  </si>
  <si>
    <t>#   powershell_args           : "$p = Get-ItemProperty -Path 'Registry::HKEY_LOCAL_MACHINE\Software\Policies\Microsoft\Windows NT\Printers' -ErrorAction SilentlyContinue; $val = if ($p -and $p.PSObject.Properties['CopyFilesPolicy'] -ne $null) { [int]$p.'CopyFilesPolicy' } else { 0 }; [string]$val"</t>
  </si>
  <si>
    <t>#   description               : "1.0251 - MSWRK - Ensure Configure Redirection Guard is set to Enabled: Redirection Guard Enabled"</t>
  </si>
  <si>
    <t>#   info                      : "This policy setting determines whether Redirection Guard is enabled for the print spooler."</t>
  </si>
  <si>
    <t>#   powershell_args           : "$p = Get-ItemProperty -Path 'Registry::HKEY_LOCAL_MACHINE\Software\Policies\Microsoft\Windows NT\Printers' -ErrorAction SilentlyContinue; $val = if ($p -and $p.PSObject.Properties['RedirectionGuardPolicy'] -ne $null) { [int]$p.'RedirectionGuardPolicy' } else { 0 }; [string]$val"</t>
  </si>
  <si>
    <t>#   description               : "1.0252 - MSWRK - Ensure Configure RPC connection settings: Protocol to use for outgoing RPC connections is set to Enabled: RPC over TCP"</t>
  </si>
  <si>
    <t>#   info                      : "This policy setting controls which protocol and protocol settings to use for outgoing Remote Procedure Call (RPC) connections to a remote print spooler."</t>
  </si>
  <si>
    <t>#   reference                 : "NIST 800-53r5|CM-6b."</t>
  </si>
  <si>
    <t>#   powershell_args           : "$p = Get-ItemProperty -Path 'Registry::HKEY_LOCAL_MACHINE\Software\Policies\Microsoft\Windows NT\Printers\RPC' -ErrorAction SilentlyContinue; $val = if ($p -and $p.PSObject.Properties['RpcUseNamedPipeProtocol'] -ne $null) { [int]$p.'RpcUseNamedPipeProtocol' } else { 0 }; [string]$val"</t>
  </si>
  <si>
    <t>#   description               : "1.0253 - MSWRK - Ensure Configure RPC connection settings: Use authentication for outgoing RPC connections is set to Enabled: Default"</t>
  </si>
  <si>
    <t>#   powershell_args           : "$p = Get-ItemProperty -Path 'Registry::HKEY_LOCAL_MACHINE\Software\Policies\Microsoft\Windows NT\Printers\RPC' -ErrorAction SilentlyContinue; $val = if ($p -and $p.PSObject.Properties['RpcAuthentication'] -ne $null) { [int]$p.'RpcAuthentication' } else { 0 }; [string]$val"</t>
  </si>
  <si>
    <t>#   description               : "1.0254 - MSWRK - Ensure Configure RPC listener settings: Protocols to allow for incoming RPC connections is set to Enabled: RPC over TCP"</t>
  </si>
  <si>
    <t>#   info                      : "This policy setting controls which protocols incoming Remote Procedure Call (RPC) connections to the print spooler are allowed to use."</t>
  </si>
  <si>
    <t>#   value_data                : "5"</t>
  </si>
  <si>
    <t>#   powershell_args           : "$p = Get-ItemProperty -Path 'Registry::HKEY_LOCAL_MACHINE\Software\Policies\Microsoft\Windows NT\Printers\RPC' -ErrorAction SilentlyContinue; $val = if ($p -and $p.PSObject.Properties['RpcProtocols'] -ne $null) { [int]$p.'RpcProtocols' } else { 0 }; [string]$val"</t>
  </si>
  <si>
    <t>#   description               : "1.0255 - MSWRK - Ensure Configure RPC listener settings: Authentication protocol to use for incoming RPC connections: is set to Enabled: Negotiate or higher"</t>
  </si>
  <si>
    <t>#   reference                 : "NIST 800-53r5|IA-3(1)"</t>
  </si>
  <si>
    <t>#   powershell_args           : "$p = Get-ItemProperty -Path 'Registry::HKEY_LOCAL_MACHINE\Software\Policies\Microsoft\Windows NT\Printers\RPC' -ErrorAction SilentlyContinue; $val = if ($p -and $p.PSObject.Properties['ForceKerberosForRpc'] -ne $null) { [int]$p.'ForceKerberosForRpc' } else { 0 }; [string]$val"</t>
  </si>
  <si>
    <t>#   description               : "1.0256 - MSWRK - Ensure Configure RPC over TCP port is set to Enabled: 0"</t>
  </si>
  <si>
    <t>#   info                      : "This policy setting controls which port is used for RPC over TCP for incoming connections to the print spooler and outgoing connections to remote print spoolers."</t>
  </si>
  <si>
    <t>#   powershell_args           : "$p = Get-ItemProperty -Path 'Registry::HKEY_LOCAL_MACHINE\Software\Policies\Microsoft\Windows NT\Printers\RPC' -ErrorAction SilentlyContinue; $val = if ($p -and $p.PSObject.Properties['RpcTcpPort'] -ne $null) { [int]$p.'RpcTcpPort' } else { 0 }; [string]$val"</t>
  </si>
  <si>
    <t>#   description               : "1.0257 - MSWRK - Ensure Configure RPC packet level privacy setting for incoming connections is set to Enabled"</t>
  </si>
  <si>
    <t>#   info                      : "This policy setting controls packet level privacy for Remote Procedure Call (RPC) incoming connections."</t>
  </si>
  <si>
    <t>#   powershell_args           : "$p = Get-ItemProperty -Path 'Registry::HKEY_LOCAL_MACHINE\SYSTEM\CurrentControlSet\Control\Print' -ErrorAction SilentlyContinue; $val = if ($p -and $p.PSObject.Properties['RpcAuthnLevelPrivacyEnabled'] -ne $null) { [int]$p.'RpcAuthnLevelPrivacyEnabled' } else { 0 }; [string]$val"</t>
  </si>
  <si>
    <t>#   description               : "1.0258 - MSWRK - Ensure Boot-Start Driver Initialization Policy is set to Enabled: Good, unknown and bad but critical"</t>
  </si>
  <si>
    <t>#   info                      : "This policy setting allows you to specify which boot-start drivers are initialized based on a classification determined by an Early Launch Antimalware boot-start driver."</t>
  </si>
  <si>
    <t>#   value_data                : "3"</t>
  </si>
  <si>
    <t>#   powershell_args           : "$p = Get-ItemProperty -Path 'Registry::HKEY_LOCAL_MACHINE\System\CurrentControlSet\Policies\EarlyLaunch' -ErrorAction SilentlyContinue; $val = if ($p -and $p.PSObject.Properties['DriverLoadPolicy'] -ne $null) { [int]$p.'DriverLoadPolicy' } else { 0 }; [string]$val"</t>
  </si>
  <si>
    <t>#   description               : "1.0259 - MSWRK - Ensure Enable / disable CLFS logfile authentication is set to Enabled"</t>
  </si>
  <si>
    <t>#   info                      : "This policy setting configures Common Log File System (CLFS) logfile authentication."</t>
  </si>
  <si>
    <t>#   reference                 : "NIST 800-53r5|AU-9(3)"</t>
  </si>
  <si>
    <t>#   powershell_args           : "$p = Get-ItemProperty -Path 'Registry::HKEY_LOCAL_MACHINE\System\CurrentControlSet\Policies' -ErrorAction SilentlyContinue; $val = if ($p -and $p.PSObject.Properties['ClfsAuthenticationChecking'] -ne $null) { [int]$p.'ClfsAuthenticationChecking' } else { 0 }; [string]$val"</t>
  </si>
  <si>
    <t>#   description               : "1.0260 - MSWRK - Ensure Configure security policy processing: Do not apply during periodic background processing is set to Enabled: FALSE"</t>
  </si>
  <si>
    <t>#   info                      : "The \'Do not apply during periodic background processing\' option prevents the system from updating affected security policies in the background while the computer is in use."</t>
  </si>
  <si>
    <t>#   powershell_args           : "$p = Get-ItemProperty -Path 'Registry::HKEY_LOCAL_MACHINE\Software\Policies\Microsoft\Windows\Group Policy\{827D319E-6EAC-11D2-A4EA-00C04F79F83A}' -ErrorAction SilentlyContinue; $val = if ($p -and $p.PSObject.Properties['NoBackgroundPolicy'] -ne $null) { [int]$p.'NoBackgroundPolicy' } else { 0 }; [string]$val"</t>
  </si>
  <si>
    <t>#   description               : "1.0261 - MSWRK - Ensure Configure security policy processing: Process even if the Group Policy objects have not changed is set to Enabled: TRUE"</t>
  </si>
  <si>
    <t>#   info                      : "The \'Process even if the Group Policy objects have not changed\' option updates and reapplies security policies even if the security policies have not changed."</t>
  </si>
  <si>
    <t>#   powershell_args           : "$p = Get-ItemProperty -Path 'Registry::HKEY_LOCAL_MACHINE\Software\Policies\Microsoft\Windows\Group Policy\{827D319E-6EAC-11D2-A4EA-00C04F79F83A}' -ErrorAction SilentlyContinue; $val = if ($p -and $p.PSObject.Properties['NoGPOListChanges'] -ne $null) { [int]$p.'NoGPOListChanges' } else { 0 }; [string]$val"</t>
  </si>
  <si>
    <t>#   description               : "1.0262 - MSWRK - Ensure Continue experiences on this device is set to Disabled"</t>
  </si>
  <si>
    <t>#   info                      : "This policy setting determines whether the Windows device is allowed to participate in cross-device experiences (continue experiences)."</t>
  </si>
  <si>
    <t>#   powershell_args           : "$p = Get-ItemProperty -Path 'Registry::HKEY_LOCAL_MACHINE\Software\Policies\Microsoft\Windows\System' -ErrorAction SilentlyContinue; $val = if ($p -and $p.PSObject.Properties['EnableCdp'] -ne $null) { [int]$p.'EnableCdp' } else { 0 }; [string]$val"</t>
  </si>
  <si>
    <t>#   description               : "1.0263 - MSWRK - Ensure Turn off background refresh of Group Policy is set to Disabled"</t>
  </si>
  <si>
    <t>#   info                      : "This policy setting prevents Group Policy from being updated while the computer is in use."</t>
  </si>
  <si>
    <t>#   powershell_args           : "$p = Get-ItemProperty -Path 'Registry::HKEY_LOCAL_MACHINE\Software\Microsoft\Windows\CurrentVersion\Policies\System' -ErrorAction SilentlyContinue; if ($p -and $p.PSObject.Properties['DisableBkGndGroupPolicy'] -ne $null) { 'EXISTS' } else { 'NOT_FOUND' }"</t>
  </si>
  <si>
    <t>#   description               : "1.0264 - MSWRK - Ensure Turn off downloading of print drivers over HTTP is set to Enabled"</t>
  </si>
  <si>
    <t>#   info                      : "This policy setting controls whether the computer can download print driver packages over HTTP."</t>
  </si>
  <si>
    <t>#   reference                 : "NIST 800-53r5|CM-7(5)"</t>
  </si>
  <si>
    <t>#   powershell_args           : "$p = Get-ItemProperty -Path 'Registry::HKEY_LOCAL_MACHINE\Software\Policies\Microsoft\Windows NT\Printers' -ErrorAction SilentlyContinue; $val = if ($p -and $p.PSObject.Properties['DisableWebPnPDownload'] -ne $null) { [int]$p.'DisableWebPnPDownload' } else { 0 }; [string]$val"</t>
  </si>
  <si>
    <t>#   description               : "1.0265 - MSWRK - Ensure Turn off Internet download for Web publishing and online ordering wizards is set to Enabled"</t>
  </si>
  <si>
    <t>#   info                      : "This policy setting controls whether Windows will download a list of providers for the Web publishing and online ordering wizards."</t>
  </si>
  <si>
    <t>#   powershell_args           : "$p = Get-ItemProperty -Path 'Registry::HKEY_LOCAL_MACHINE\Software\Microsoft\Windows\CurrentVersion\Policies\Explorer' -ErrorAction SilentlyContinue; $val = if ($p -and $p.PSObject.Properties['NoWebServices'] -ne $null) { [int]$p.'NoWebServices' } else { 0 }; [string]$val"</t>
  </si>
  <si>
    <t>#   description               : "1.0266 - MSWRK - Ensure Enumeration policy for external devices incompatible with Kernel DMA Protection is set to Enabled: Block All"</t>
  </si>
  <si>
    <t>#   info                      : "This policy is intended to provide additional security against external DMA-capable devices."</t>
  </si>
  <si>
    <t>#   reference                 : "NIST 800-53r5|CM-8"</t>
  </si>
  <si>
    <t>#   powershell_args           : "$p = Get-ItemProperty -Path 'Registry::HKEY_LOCAL_MACHINE\Software\Policies\Microsoft\Windows\Kernel DMA Protection' -ErrorAction SilentlyContinue; $val = if ($p -and $p.PSObject.Properties['DeviceEnumerationPolicy'] -ne $null) { [int]$p.'DeviceEnumerationPolicy' } else { 0 }; [string]$val"</t>
  </si>
  <si>
    <t>#   description               : "1.0267 - MSWRK - Ensure Configure password backup directory is set to Enabled: Active Directory or Enabled: Azure Active Directory"</t>
  </si>
  <si>
    <t>#   info                      : "This policy setting configures which directory Windows LAPS will use to back up the local admin account password."</t>
  </si>
  <si>
    <t>#   reference                 : "NIST 800-53r5|CP-9"</t>
  </si>
  <si>
    <t>#   powershell_args           : "$p = Get-ItemProperty -Path 'Registry::HKEY_LOCAL_MACHINE\Software\Microsoft\Windows\CurrentVersion\Policies\LAPS' -ErrorAction SilentlyContinue; $val = if ($p -and $p.PSObject.Properties['BackupDirectory'] -ne $null) { [int]$p.'BackupDirectory' } else { 0 }; [string]$val"</t>
  </si>
  <si>
    <t>#   description               : "1.0268 - MSWRK - Ensure Do not allow password expiration time longer than required by policy is set to Enabled"</t>
  </si>
  <si>
    <t>#   info                      : "This policy setting configures whether the password age dictated by the Windows LAPS \'Password Settings\' policy is enforced and cannot be extended manually (only shortened) by an authorized technician."</t>
  </si>
  <si>
    <t>#   reference                 : "NIST 800-53r5|IA-5(1)(d)"</t>
  </si>
  <si>
    <t>#   powershell_args           : "$p = Get-ItemProperty -Path 'Registry::HKEY_LOCAL_MACHINE\SOFTWARE\Microsoft\Windows\CurrentVersion\Policies\LAPS' -ErrorAction SilentlyContinue; $val = if ($p -and $p.PSObject.Properties['PasswordExpirationProtectionEnabled'] -ne $null) { [int]$p.'PasswordExpirationProtectionEnabled' } else { 0 }; [string]$val"</t>
  </si>
  <si>
    <t>#   description               : "1.0269 - MSWRK - Ensure Enable password encryption is set to Enabled"</t>
  </si>
  <si>
    <t>#   info                      : "This policy setting controls whether the Windows LAPS managed password is encrypted before being sent to Active Directory."</t>
  </si>
  <si>
    <t>#   powershell_args           : "$p = Get-ItemProperty -Path 'Registry::HKEY_LOCAL_MACHINE\Software\Microsoft\Windows\CurrentVersion\Policies\LAPS' -ErrorAction SilentlyContinue; $val = if ($p -and $p.PSObject.Properties['ADPasswordEncryptionEnabled'] -ne $null) { [int]$p.'ADPasswordEncryptionEnabled' } else { 0 }; [string]$val"</t>
  </si>
  <si>
    <t>#   description               : "1.0270 - MSWRK - Ensure Password Settings: Password Complexity is set to Enabled: Large letters + small letters + numbers + special characters or Passphrase"</t>
  </si>
  <si>
    <t>#   info                      : "This policy setting configures the Windows LAPS Password Settings policy for password complexity."</t>
  </si>
  <si>
    <t>#   value_data                : "4" || "6" || "7" || "8"</t>
  </si>
  <si>
    <t>#   powershell_args           : "$p = Get-ItemProperty -Path 'Registry::HKEY_LOCAL_MACHINE\Software\Microsoft\Windows\CurrentVersion\Policies\LAPS' -ErrorAction SilentlyContinue; $val = if ($p -and $p.PSObject.Properties['PasswordComplexity'] -ne $null) { [int]$p.'PasswordComplexity' } else { 0 }; [string]$val"</t>
  </si>
  <si>
    <t>#   description               : "1.0271 - MSWRK - Ensure Password Settings: Password Length is set to Enabled: 15 or more"</t>
  </si>
  <si>
    <t>#   info                      : "This policy setting configures the Windows LAPS Password Settings policy for password length."</t>
  </si>
  <si>
    <t>#   value_data                : "^(8|9|10|11|12|13|14|15|16|17|18|19|20)$"</t>
  </si>
  <si>
    <t>#   powershell_args           : "$p = Get-ItemProperty -Path 'Registry::HKEY_LOCAL_MACHINE\Software\Microsoft\Windows\CurrentVersion\Policies\LAPS' -ErrorAction SilentlyContinue; $val = if ($p -and $p.PSObject.Properties['PasswordLength'] -ne $null) { [int]$p.'PasswordLength' } else { 0 }; [string]$val"</t>
  </si>
  <si>
    <t>#   description               : "1.0272 - MSWRK - Ensure Password Settings: Password Age (Days) is set to Enabled: 30 or fewer"</t>
  </si>
  <si>
    <t>#   info                      : "This policy setting configures the Windows LAPS Password Settings policy for password age."</t>
  </si>
  <si>
    <t>#   value_data                : "^(0|1|2|3|4|5|6|7|8|9|10|11|12|13|14|15|16|17|18|19|20|21|22|23|24|25|26|27|28|29|30)$"</t>
  </si>
  <si>
    <t>#   powershell_args           : "$p = Get-ItemProperty -Path 'Registry::HKEY_LOCAL_MACHINE\Software\Microsoft\Windows\CurrentVersion\Policies\LAPS' -ErrorAction SilentlyContinue; $val = if ($p -and $p.PSObject.Properties['PasswordAgeDays'] -ne $null) { [int]$p.'PasswordAgeDays' } else { 0 }; [string]$val"</t>
  </si>
  <si>
    <t>#   description               : "1.0273 - MSWRK - Ensure Post-authentication actions: Grace period (hours) is set to Enabled: 8 or fewer hours, but not 0"</t>
  </si>
  <si>
    <t>#   info                      : "This policy settings configures post-authentication actions which will be executed after detecting an authentication by the Windows LAPS managed account."</t>
  </si>
  <si>
    <t>#   value_data                : "^(1|2|3|4|5|6|7|8)$"</t>
  </si>
  <si>
    <t>#   powershell_args           : "$p = Get-ItemProperty -Path 'Registry::HKEY_LOCAL_MACHINE\Software\Microsoft\Windows\CurrentVersion\Policies\LAPS' -ErrorAction SilentlyContinue; $val = if ($p -and $p.PSObject.Properties['PostAuthenticationResetDelay'] -ne $null) { [int]$p.'PostAuthenticationResetDelay' } else { 0 }; [string]$val"</t>
  </si>
  <si>
    <t>#   description               : "1.0274 - MSWRK - Ensure Post-authentication actions: Actions is set to Enabled: Reset the password and logoff the managed account or higher"</t>
  </si>
  <si>
    <t>#   info                      : "This policy settings configures post-authentication actions which will be executed after detecting an authentication by the LAPS managed account."</t>
  </si>
  <si>
    <t>#   value_data                : "3" || "5" || "11"</t>
  </si>
  <si>
    <t>#   powershell_args           : "$p = Get-ItemProperty -Path 'Registry::HKEY_LOCAL_MACHINE\Software\Microsoft\Windows\CurrentVersion\Policies\LAPS' -ErrorAction SilentlyContinue; $val = if ($p -and $p.PSObject.Properties['PostAuthenticationActions'] -ne $null) { [int]$p.'PostAuthenticationActions' } else { 0 }; [string]$val"</t>
  </si>
  <si>
    <t>#   description               : "1.0275 - MSWRK - Ensure Allow Custom SSPs and APs to be loaded into LSASS is set to Disabled"</t>
  </si>
  <si>
    <t>#   info                      : "This policy setting controls the configuration under which the Local Security Authority Subsystem Service (LSASS) will load custom Security Support Provider/Authentication Package (SSP/AP)."</t>
  </si>
  <si>
    <t>#   powershell_args           : "$p = Get-ItemProperty -Path 'Registry::HKEY_LOCAL_MACHINE\Software\Policies\Microsoft\Windows\System' -ErrorAction SilentlyContinue; $val = if ($p -and $p.PSObject.Properties['AllowCustomSSPsAPs'] -ne $null) { [int]$p.'AllowCustomSSPsAPs' } else { 0 }; [string]$val"</t>
  </si>
  <si>
    <t>#   description               : "1.0276 - MSWRK - Ensure Configures LSASS to run as a protected process is set to Enabled: Enabled with UEFI Lock"</t>
  </si>
  <si>
    <t>#   info                      : "This policy setting controls whether the Local Security Authority Subservice Service (LSASS) runs in protected mode and also has the option to lock in protected mode with Unified Extensible Firmware Interface (UEFI)."</t>
  </si>
  <si>
    <t>#   powershell_args           : "$p = Get-ItemProperty -Path 'Registry::HKEY_LOCAL_MACHINE\Software\Policies\Microsoft\Windows\System' -ErrorAction SilentlyContinue; $val = if ($p -and $p.PSObject.Properties['RunAsPPL'] -ne $null) { [int]$p.'RunAsPPL' } else { 0 }; [string]$val"</t>
  </si>
  <si>
    <t>#   description               : "1.0277 - MSWRK - Ensure Block user from showing account details on sign-in is set to Enabled"</t>
  </si>
  <si>
    <t>#   info                      : "This policy prevents the user from showing account details (email address or user name) on the sign-in screen."</t>
  </si>
  <si>
    <t>#   powershell_args           : "$p = Get-ItemProperty -Path 'Registry::HKEY_LOCAL_MACHINE\Software\Policies\Microsoft\Windows\System' -ErrorAction SilentlyContinue; $val = if ($p -and $p.PSObject.Properties['BlockUserFromShowingAccountDetailsOnSignin'] -ne $null) { [int]$p.'BlockUserFromShowingAccountDetailsOnSignin' } else { 0 }; [string]$val"</t>
  </si>
  <si>
    <t>#   description               : "1.0278 - MSWRK - Ensure Do not display network selection UI is set to Enabled"</t>
  </si>
  <si>
    <t>#   info                      : "This policy setting allows you to control whether anyone can interact with available networks UI on the logon screen."</t>
  </si>
  <si>
    <t>#   powershell_args           : "$p = Get-ItemProperty -Path 'Registry::HKEY_LOCAL_MACHINE\Software\Policies\Microsoft\Windows\System' -ErrorAction SilentlyContinue; $val = if ($p -and $p.PSObject.Properties['DontDisplayNetworkSelectionUI'] -ne $null) { [int]$p.'DontDisplayNetworkSelectionUI' } else { 0 }; [string]$val"</t>
  </si>
  <si>
    <t>#   description               : "1.0279 - MSWRK - Ensure Do not enumerate connected users on domain-joined computers is set to Enabled"</t>
  </si>
  <si>
    <t>#   info                      : "This policy setting prevents connected users from being enumerated on domain-joined computers."</t>
  </si>
  <si>
    <t>#   powershell_args           : "$p = Get-ItemProperty -Path 'Registry::HKEY_LOCAL_MACHINE\Software\Policies\Microsoft\Windows\System' -ErrorAction SilentlyContinue; $val = if ($p -and $p.PSObject.Properties['DontEnumerateConnectedUsers'] -ne $null) { [int]$p.'DontEnumerateConnectedUsers' } else { 0 }; [string]$val"</t>
  </si>
  <si>
    <t>#   description               : "1.0280 - MSWRK - Ensure Enumerate local users on domain-joined computers is set to Disabled"</t>
  </si>
  <si>
    <t>#   info                      : "This policy setting allows local users to be enumerated on domain-joined computers."</t>
  </si>
  <si>
    <t>#   powershell_args           : "$p = Get-ItemProperty -Path 'Registry::HKEY_LOCAL_MACHINE\Software\Policies\Microsoft\Windows\System' -ErrorAction SilentlyContinue; $val = if ($p -and $p.PSObject.Properties['EnumerateLocalUsers'] -ne $null) { [int]$p.'EnumerateLocalUsers' } else { 0 }; [string]$val"</t>
  </si>
  <si>
    <t>#   description               : "1.0281 - MSWRK - Ensure Turn off app notifications on the lock screen is set to Enabled"</t>
  </si>
  <si>
    <t>#   info                      : "This policy setting allows you to prevent app notifications from appearing on the lock screen."</t>
  </si>
  <si>
    <t>#   powershell_args           : "$p = Get-ItemProperty -Path 'Registry::HKEY_LOCAL_MACHINE\Software\Policies\Microsoft\Windows\System' -ErrorAction SilentlyContinue; $val = if ($p -and $p.PSObject.Properties['DisableLockScreenAppNotifications'] -ne $null) { [int]$p.'DisableLockScreenAppNotifications' } else { 0 }; [string]$val"</t>
  </si>
  <si>
    <t>#   description               : "1.0282 - MSWRK - Ensure Turn off picture password sign-in is set to Enabled"</t>
  </si>
  <si>
    <t>#   info                      : "This policy setting allows you to control whether a domain user can sign in using a picture password."</t>
  </si>
  <si>
    <t>#   powershell_args           : "$p = Get-ItemProperty -Path 'Registry::HKEY_LOCAL_MACHINE\Software\Policies\Microsoft\Windows\System' -ErrorAction SilentlyContinue; $val = if ($p -and $p.PSObject.Properties['BlockDomainPicturePassword'] -ne $null) { [int]$p.'BlockDomainPicturePassword' } else { 0 }; [string]$val"</t>
  </si>
  <si>
    <t>#   description               : "1.0284 - MSWRK - Ensure Include command line in process creation events is set to Enabled"</t>
  </si>
  <si>
    <t>#   info                      : "This policy setting controls whether the process creation command line text is logged in security audit events when a new process has been created."</t>
  </si>
  <si>
    <t>#   reference                 : "NIST 800-53r5|AU-2"</t>
  </si>
  <si>
    <t>#   powershell_args           : "$p = Get-ItemProperty -Path 'Registry::HKEY_LOCAL_MACHINE\Software\Microsoft\Windows\CurrentVersion\Policies\System\Audit' -ErrorAction SilentlyContinue; $val = if ($p -and $p.PSObject.Properties['ProcessCreationIncludeCmdLine_Enabled'] -ne $null) { [int]$p.'ProcessCreationIncludeCmdLine_Enabled' } else { 0 }; [string]$val"</t>
  </si>
  <si>
    <t>#   description               : "1.0285 - MSWRK - Ensure Block NetBIOS-based discovery for domain controller location is set to Enabled"</t>
  </si>
  <si>
    <t>#   info                      : "This policy setting determines whether the Domain Controller (DC) location algorithm uses NetBIOS-based discovery for the Domain Controller's location."</t>
  </si>
  <si>
    <t>#   powershell_args           : "$p = Get-ItemProperty -Path 'Registry::HKEY_LOCAL_MACHINE\SOFTWARE\Policies\Microsoft\Netlogon\Parameters' -ErrorAction SilentlyContinue; $val = if ($p -and $p.PSObject.Properties['BlockNetbiosDiscovery'] -ne $null) { [int]$p.'BlockNetbiosDiscovery' } else { 0 }; [string]$val"</t>
  </si>
  <si>
    <t>#   description               : "1.0288 - MSWRK - Ensure Allow standby states (S1-S3) when sleeping (on battery) is set to Disabled - Abfc2519-3608-4c2a-94ea-171b0ed546ab"</t>
  </si>
  <si>
    <t>#   info                      : "This policy setting manages whether or not Windows is allowed to use standby states when putting the computer in a sleep state."</t>
  </si>
  <si>
    <t>#   powershell_args           : "$p = Get-ItemProperty -Path 'Registry::HKEY_LOCAL_MACHINE\Software\Policies\Microsoft\Power\PowerSettings\abfc2519-3608-4c2a-94ea-171b0ed546ab' -ErrorAction SilentlyContinue; $val = if ($p -and $p.PSObject.Properties['DCSettingIndex'] -ne $null) { [int]$p.'DCSettingIndex' } else { 0 }; [string]$val"</t>
  </si>
  <si>
    <t>#   description               : "1.0289 - MSWRK - Ensure Allow standby states (S1-S3) when sleeping (plugged in) is set to Disabled - Abfc2519-3608-4c2a-94ea-171b0ed546ab"</t>
  </si>
  <si>
    <t>#   powershell_args           : "$p = Get-ItemProperty -Path 'Registry::HKEY_LOCAL_MACHINE\Software\Policies\Microsoft\Power\PowerSettings\abfc2519-3608-4c2a-94ea-171b0ed546ab' -ErrorAction SilentlyContinue; $val = if ($p -and $p.PSObject.Properties['ACSettingIndex'] -ne $null) { [int]$p.'ACSettingIndex' } else { 0 }; [string]$val"</t>
  </si>
  <si>
    <t>#   description               : "1.0290 - MSWRK - Ensure Require a password when a computer wakes (on battery) is set to Enabled - 0e796bdb-100d-47d6-a2d5-f7d2daa51f51"</t>
  </si>
  <si>
    <t>#   info                      : "Specifies whether or not the user is prompted for a password when the system resumes from sleep."</t>
  </si>
  <si>
    <t>#   powershell_args           : "$p = Get-ItemProperty -Path 'Registry::HKEY_LOCAL_MACHINE\Software\Policies\Microsoft\Power\PowerSettings\0e796bdb-100d-47d6-a2d5-f7d2daa51f51' -ErrorAction SilentlyContinue; $val = if ($p -and $p.PSObject.Properties['DCSettingIndex'] -ne $null) { [int]$p.'DCSettingIndex' } else { 0 }; [string]$val"</t>
  </si>
  <si>
    <t>#   description               : "1.0291 - MSWRK - Ensure Require a password when a computer wakes (plugged in) is set to Enabled - 0e796bdb-100d-47d6-a2d5-f7d2daa51f51"</t>
  </si>
  <si>
    <t>#   powershell_args           : "$p = Get-ItemProperty -Path 'Registry::HKEY_LOCAL_MACHINE\Software\Policies\Microsoft\Power\PowerSettings\0e796bdb-100d-47d6-a2d5-f7d2daa51f51' -ErrorAction SilentlyContinue; $val = if ($p -and $p.PSObject.Properties['ACSettingIndex'] -ne $null) { [int]$p.'ACSettingIndex' } else { 0 }; [string]$val"</t>
  </si>
  <si>
    <t>#   description               : "1.0292 - MSWRK - Ensure Configure Offer Remote Assistance is set to Disabled"</t>
  </si>
  <si>
    <t>#   info                      : "This policy setting allows you to turn on or turn off Offer (Unsolicited) Remote Assistance on this computer."</t>
  </si>
  <si>
    <t>#   powershell_args           : "$p = Get-ItemProperty -Path 'Registry::HKEY_LOCAL_MACHINE\Software\policies\Microsoft\Windows NT\Terminal Services' -ErrorAction SilentlyContinue; $val = if ($p -and $p.PSObject.Properties['fAllowUnsolicited'] -ne $null) { [int]$p.'fAllowUnsolicited' } else { 0 }; [string]$val"</t>
  </si>
  <si>
    <t>#   description               : "1.0294 - MSWRK - Ensure Enable RPC Endpoint Mapper Client Authentication is set to Enabled"</t>
  </si>
  <si>
    <t>#   info                      : "This policy setting controls whether RPC clients authenticate with the Endpoint Mapper Service when the call they are making contains authentication information."</t>
  </si>
  <si>
    <t>#   powershell_args           : "$p = Get-ItemProperty -Path 'Registry::HKEY_LOCAL_MACHINE\Software\Policies\Microsoft\Windows NT\Rpc' -ErrorAction SilentlyContinue; $val = if ($p -and $p.PSObject.Properties['EnableAuthEpResolution'] -ne $null) { [int]$p.'EnableAuthEpResolution' } else { 0 }; [string]$val"</t>
  </si>
  <si>
    <t>#   description               : "1.0295 - MSWRK - Ensure Restrict Unauthenticated RPC clients is set to Enabled: Authenticated"</t>
  </si>
  <si>
    <t>#   info                      : "This policy setting controls how the RPC server runtime handles unauthenticated RPC clients connecting to RPC servers."</t>
  </si>
  <si>
    <t>#   powershell_args           : "$p = Get-ItemProperty -Path 'Registry::HKEY_LOCAL_MACHINE\Software\Policies\Microsoft\Windows NT\Rpc' -ErrorAction SilentlyContinue; $val = if ($p -and $p.PSObject.Properties['RestrictRemoteClients'] -ne $null) { [int]$p.'RestrictRemoteClients' } else { 0 }; [string]$val"</t>
  </si>
  <si>
    <t>#   description               : "1.0296 - MSWRK - Ensure Encryption Oracle Remediation is set to Enabled: Force Updated Clients"</t>
  </si>
  <si>
    <t>#   info                      : "Some versions of the CredSSP protocol that is used by some applications (such as Remote Desktop Connection) are vulnerable to an encryption oracle attack against the client."</t>
  </si>
  <si>
    <t>#   powershell_args           : "$p = Get-ItemProperty -Path 'Registry::HKEY_LOCAL_MACHINE\Software\Microsoft\Windows\CurrentVersion\Policies\System\CredSSP\Parameters' -ErrorAction SilentlyContinue; $val = if ($p -and $p.PSObject.Properties['AllowEncryptionOracle'] -ne $null) { [int]$p.'AllowEncryptionOracle' } else { 0 }; [string]$val"</t>
  </si>
  <si>
    <t>#   description               : "1.0297 - MSWRK - Ensure Configure SAM change password RPC methods policy is set to Enabled: Block all change password RPC methods"</t>
  </si>
  <si>
    <t>#   info                      : "This policy setting determines which RPC methods can be used to change passwords stored in the Security Account Manager (SAM)."</t>
  </si>
  <si>
    <t>#   powershell_args           : "$p = Get-ItemProperty -Path 'Registry::HKEY_LOCAL_MACHINE\Software\Microsoft\Windows\CurrentVersion\Policies\System\SAM' -ErrorAction SilentlyContinue; $val = if ($p -and $p.PSObject.Properties['SamrChangeUserPasswordApiPolicy'] -ne $null) { [int]$p.'SamrChangeUserPasswordApiPolicy' } else { 0 }; [string]$val"</t>
  </si>
  <si>
    <t>#   description               : "1.0298 - MSWRK - Ensure Remote host allows delegation of non-exportable credentials is set to Enabled"</t>
  </si>
  <si>
    <t>#   info                      : "When using credential delegation, devices provide an exportable version of credentials to the remote host."</t>
  </si>
  <si>
    <t>#   reference                 : "NIST 800-53r5|IA-5"</t>
  </si>
  <si>
    <t>#   powershell_args           : "$p = Get-ItemProperty -Path 'Registry::HKEY_LOCAL_MACHINE\Software\Policies\Microsoft\Windows\CredentialsDelegation' -ErrorAction SilentlyContinue; $val = if ($p -and $p.PSObject.Properties['AllowProtectedCreds'] -ne $null) { [int]$p.'AllowProtectedCreds' } else { 0 }; [string]$val"</t>
  </si>
  <si>
    <t>#   description               : "1.0301 - MSWRK - Ensure Turn On Virtualization Based Security: Virtualization Based Protection of Code Integrity is set to Enabled with UEFI lock"</t>
  </si>
  <si>
    <t>#   info                      : "This setting enables virtualization based protection of Kernel Mode Code Integrity."</t>
  </si>
  <si>
    <t>#   powershell_args           : "$p = Get-ItemProperty -Path 'Registry::HKEY_LOCAL_MACHINE\Software\Policies\Microsoft\Windows\DeviceGuard' -ErrorAction SilentlyContinue; $val = if ($p -and $p.PSObject.Properties['HypervisorEnforcedCodeIntegrity'] -ne $null) { [int]$p.'HypervisorEnforcedCodeIntegrity' } else { 0 }; [string]$val"</t>
  </si>
  <si>
    <t>#   description               : "1.0302 - MSWRK - Ensure Enable Windows NTP Client is set to Enabled - Ntpclient"</t>
  </si>
  <si>
    <t>#   info                      : "This policy setting specifies whether the Windows NTP Client is enabled."</t>
  </si>
  <si>
    <t>#   reference                 : "NIST 800-53r5|AU-7 AU-8"</t>
  </si>
  <si>
    <t>#   powershell_args           : "$p = Get-ItemProperty -Path 'Registry::HKEY_LOCAL_MACHINE\Software\Policies\Microsoft\W32Time\TimeProviders\NtpClient' -ErrorAction SilentlyContinue; $val = if ($p -and $p.PSObject.Properties['Enabled'] -ne $null) { [int]$p.'Enabled' } else { 0 }; [string]$val"</t>
  </si>
  <si>
    <t>#   description               : "1.0303 - MSWRK - Ensure Enable Windows NTP Server is set to Disabled - Ntpserver"</t>
  </si>
  <si>
    <t>#   info                      : "This policy setting specifies whether the Windows NTP Server is enabled."</t>
  </si>
  <si>
    <t>#   powershell_args           : "$p = Get-ItemProperty -Path 'Registry::HKEY_LOCAL_MACHINE\Software\Policies\Microsoft\W32Time\TimeProviders\NtpServer' -ErrorAction SilentlyContinue; $val = if ($p -and $p.PSObject.Properties['Enabled'] -ne $null) { [int]$p.'Enabled' } else { 0 }; [string]$val"</t>
  </si>
  <si>
    <t>#   description               : "1.0304 - MSWRK - Ensure Turn On Virtualization Based Security: Require UEFI Memory Attributes Table is set to True (checked)"</t>
  </si>
  <si>
    <t>#   info                      : "This option will only enable Virtualization Based Protection of Code Integrity on devices with UEFI firmware support for the Memory Attributes Table."</t>
  </si>
  <si>
    <t>#   powershell_args           : "$p = Get-ItemProperty -Path 'Registry::HKEY_LOCAL_MACHINE\Software\Policies\Microsoft\Windows\DeviceGuard' -ErrorAction SilentlyContinue; $val = if ($p -and $p.PSObject.Properties['HVCIMATRequired'] -ne $null) { [int]$p.'HVCIMATRequired' } else { 0 }; [string]$val"</t>
  </si>
  <si>
    <t>#   description               : "1.0305 - MSWRK - (L1) Ensure Configure the behavior of the sudo command is set to Enabled: Disabled - Sudo"</t>
  </si>
  <si>
    <t>#   info                      : "This policy setting configures the use of the sudo."</t>
  </si>
  <si>
    <t>#   powershell_args           : "$p = Get-ItemProperty -Path 'Registry::HKEY_LOCAL_MACHINE\Software\Policies\Microsoft\Windows\Sudo' -ErrorAction SilentlyContinue; $val = if ($p -and $p.PSObject.Properties['Enabled'] -ne $null) { [int]$p.'Enabled' } else { 0 }; [string]$val"</t>
  </si>
  <si>
    <t>#   description               : "1.0306 - MSWRK - Ensure Turn On Virtualization Based Security: Credential Guard Configuration is set to Enabled with UEFI lock"</t>
  </si>
  <si>
    <t>#   info                      : "This setting lets users turn on Credential Guard with virtualization-based security to help protect credentials."</t>
  </si>
  <si>
    <t>#   powershell_args           : "$p = Get-ItemProperty -Path 'Registry::HKEY_LOCAL_MACHINE\Software\Policies\Microsoft\Windows\DeviceGuard' -ErrorAction SilentlyContinue; $val = if ($p -and $p.PSObject.Properties['LsaCfgFlags'] -ne $null) { [int]$p.'LsaCfgFlags' } else { 0 }; [string]$val"</t>
  </si>
  <si>
    <t>#   description               : "1.0307 - MSWRK - Ensure Turn On Virtualization Based Security: Secure Launch Configuration is set to Enabled"</t>
  </si>
  <si>
    <t>#   info                      : "Secure Launch protects the Virtualization Based Security environment from exploited vulnerabilities in device firmware."</t>
  </si>
  <si>
    <t>#   powershell_args           : "$p = Get-ItemProperty -Path 'Registry::HKEY_LOCAL_MACHINE\Software\Policies\Microsoft\Windows\DeviceGuard' -ErrorAction SilentlyContinue; $val = if ($p -and $p.PSObject.Properties['ConfigureSystemGuardLaunch'] -ne $null) { [int]$p.'ConfigureSystemGuardLaunch' } else { 0 }; [string]$val"</t>
  </si>
  <si>
    <t>#   description               : "1.0308 - MSWRK - Ensure Turn On Virtualization Based Security: Kernel-mode Hardware-enforced Stack Protection is set to Enabled: Enabled in enforcement mode"</t>
  </si>
  <si>
    <t>#   info                      : "This policy setting enables Hardware-enforced Stack Protection for kernel-mode code."</t>
  </si>
  <si>
    <t>#   powershell_args           : "$p = Get-ItemProperty -Path 'Registry::HKEY_LOCAL_MACHINE\Software\Policies\Microsoft\Windows\DeviceGuard' -ErrorAction SilentlyContinue; $val = if ($p -and $p.PSObject.Properties['ConfigureKernelShadowStacksLaunch'] -ne $null) { [int]$p.'ConfigureKernelShadowStacksLaunch' } else { 0 }; [string]$val"</t>
  </si>
  <si>
    <t>#   description               : "1.0309 - MSWRK - Ensure Prevent installation of devices using drivers that match these device setup classes is set to Enabled"</t>
  </si>
  <si>
    <t>#   info                      : "This policy setting allows you to specify a list of device setup class globally unique identifiers (GUIDs) for device drivers that Windows is prevented from installing."</t>
  </si>
  <si>
    <t>#   powershell_args           : "$p = Get-ItemProperty -Path 'Registry::HKEY_LOCAL_MACHINE\Software\Policies\Microsoft\Windows\DeviceInstall\Restrictions' -ErrorAction SilentlyContinue; $val = if ($p -and $p.PSObject.Properties['DenyDeviceClasses'] -ne $null) { [int]$p.'DenyDeviceClasses' } else { 0 }; [string]$val"</t>
  </si>
  <si>
    <t>#   description               : "1.0310 - MSWRK - Ensure Prevent installation of devices using drivers that match these device setup classes: Prevent installation of devices using drivers for these device setup is set to IEEE 1394 device setup classes"</t>
  </si>
  <si>
    <t>#   reference                 : "NIST 800-53r5|SI-3c.2."</t>
  </si>
  <si>
    <t>#   value_data                : "STATUS: PASSED"</t>
  </si>
  <si>
    <t>#   powershell_args           : "$values = '{d48179be-ec20-11d1-b6b8-00c04fa372a7}', '{7ebefbc0-3200-11d2-b4c2-00a0C9697d07}', '{c06ff265-ae09-48f0-812c-16753d7cba83}', '{6bdd1fc1-810f-11d0-bec7-08002be2092f}'; $path = 'Registry::HKEY_LOCAL_MACHINE\Software\Policies\Microsoft\Windows\Deviceinstall\Restrictions\DenyDeviceClasses'; Get-Item -Path $path -ErrorAction SilentlyContinue | Select-Object -ExpandProperty Property | ForEach-Object { $value = (Get-ItemProperty -Path $path -Name $_).$_; if ($values -contains $value) { $values = $values | Where-Object { $_ -ne $value } } }; if ($values) { 'The following values are missing:'; ''; $values; ''; 'STATUS: FAILED' } else { 'STATUS: PASSED' }"</t>
  </si>
  <si>
    <t>#   description               : "1.0311 - MSWRK - Ensure Prevent installation of devices using drivers that match these device setup classes: Also apply to matching devices that are already installed. is set to True (checked)"</t>
  </si>
  <si>
    <t>#   powershell_args           : "$p = Get-ItemProperty -Path 'Registry::HKEY_LOCAL_MACHINE\Software\Policies\Microsoft\Windows\DeviceInstall\Restrictions' -ErrorAction SilentlyContinue; $val = if ($p -and $p.PSObject.Properties['DenyDeviceClassesRetroactive'] -ne $null) { [int]$p.'DenyDeviceClassesRetroactive' } else { 0 }; [string]$val"</t>
  </si>
  <si>
    <t>#   description               : "1.0312 - MSWRK - Ensure Prevent automatic download of applications associated with device metadata is set to Enabled"</t>
  </si>
  <si>
    <t>#   info                      : "This policy setting allows you to prevent Windows from retrieving device metadata from the Internet."</t>
  </si>
  <si>
    <t>#   reference                 : "NIST 800-53r5|CM-7(5) CM-10 SI-16"</t>
  </si>
  <si>
    <t>#   powershell_args           : "$p = Get-ItemProperty -Path 'Registry::HKEY_LOCAL_MACHINE\Software\Policies\Microsoft\Windows\Device Metadata' -ErrorAction SilentlyContinue; $val = if ($p -and $p.PSObject.Properties['PreventDeviceMetadataFromNetwork'] -ne $null) { [int]$p.'PreventDeviceMetadataFromNetwork' } else { 0 }; [string]$val"</t>
  </si>
  <si>
    <t>#   description               : "1.0313 - MSWRK - Ensure Turn off toast notifications on the lock screen is set to Enabled"</t>
  </si>
  <si>
    <t>#   info                      : "This policy setting turns off toast notifications on the lock screen."</t>
  </si>
  <si>
    <t>#   powershell_args           : "$p = Get-ItemProperty -Path 'Registry::HKEY_USERS\Software\Policies\Microsoft\Windows\CurrentVersion\PushNotifications' -ErrorAction SilentlyContinue; $val = if ($p -and $p.PSObject.Properties['NoToastApplicationNotificationOnLockScreen'] -ne $null) { [int]$p.'NoToastApplicationNotificationOnLockScreen' } else { 0 }; [string]$val"</t>
  </si>
  <si>
    <t>#   description               : "1.0314 - MSWRK - Ensure Prevent users from sharing files within their profile. is set to Enabled"</t>
  </si>
  <si>
    <t>#   info                      : "This policy setting determines whether users can share files within their profile."</t>
  </si>
  <si>
    <t>#   powershell_args           : "$p = Get-ItemProperty -Path 'Registry::HKEY_USERS\Software\Microsoft\Windows\CurrentVersion\Policies\Explorer' -ErrorAction SilentlyContinue; $val = if ($p -and $p.PSObject.Properties['NoInplaceSharing'] -ne $null) { [int]$p.'NoInplaceSharing' } else { 0 }; [string]$val"</t>
  </si>
  <si>
    <t>#   description               : "1.0315 - MSWRK - Ensure Do not preserve zone information in file attachments is set to Disabled"</t>
  </si>
  <si>
    <t>#   info                      : "This policy setting allows you to manage whether Windows marks file attachments with information about their zone of origin (such as restricted, Internet, intranet, local)."</t>
  </si>
  <si>
    <t>#   powershell_args           : "$p = Get-ItemProperty -Path 'Registry::HKEY_USERS\Software\Microsoft\Windows\CurrentVersion\Policies\Attachments' -ErrorAction SilentlyContinue; $val = if ($p -and $p.PSObject.Properties['SaveZoneInformation'] -ne $null) { [int]$p.'SaveZoneInformation' } else { 0 }; [string]$val"</t>
  </si>
  <si>
    <t>#   description               : "1.0316 - MSWRK - Ensure Notify antivirus programs when opening attachments is set to Enabled"</t>
  </si>
  <si>
    <t>#   info                      : "This policy setting manages the behavior for notifying registered antivirus programs."</t>
  </si>
  <si>
    <t>#   powershell_args           : "$p = Get-ItemProperty -Path 'Registry::HKEY_USERS\Software\Microsoft\Windows\CurrentVersion\Policies\Attachments' -ErrorAction SilentlyContinue; $val = if ($p -and $p.PSObject.Properties['ScanWithAntiVirus'] -ne $null) { [int]$p.'ScanWithAntiVirus' } else { 0 }; [string]$val"</t>
  </si>
  <si>
    <t>#   description               : "1.0317 - MSWRK - Ensure Configure Windows spotlight on lock screen is set to Disabled"</t>
  </si>
  <si>
    <t>#   info                      : "This policy setting lets you configure Windows Spotlight on the lock screen."</t>
  </si>
  <si>
    <t>#   powershell_args           : "$p = Get-ItemProperty -Path 'Registry::HKEY_USERS\Software\Policies\Microsoft\Windows\CloudContent' -ErrorAction SilentlyContinue; $val = if ($p -and $p.PSObject.Properties['ConfigureWindowsSpotlight'] -ne $null) { [int]$p.'ConfigureWindowsSpotlight' } else { 0 }; [string]$val"</t>
  </si>
  <si>
    <t>#   description               : "1.0318 - MSWRK - Ensure Do not suggest third-party content in Windows spotlight is set to Enabled"</t>
  </si>
  <si>
    <t>#   info                      : "This policy setting determines whether Windows will suggest apps and content from third-party software publishers."</t>
  </si>
  <si>
    <t>#   powershell_args           : "$p = Get-ItemProperty -Path 'Registry::HKEY_USERS\Software\Policies\Microsoft\Windows\CloudContent' -ErrorAction SilentlyContinue; $val = if ($p -and $p.PSObject.Properties['DisableThirdPartySuggestions'] -ne $null) { [int]$p.'DisableThirdPartySuggestions' } else { 0 }; [string]$val"</t>
  </si>
  <si>
    <t>#   description               : "1.0319 - MSWRK - Ensure Turn off Spotlight collection on Desktop is set to Enabled"</t>
  </si>
  <si>
    <t>#   info                      : "This policy setting removes the Spotlight collection setting in Personalization, rendering the user unable to select and subsequently download daily images from Microsoft to the system desktop."</t>
  </si>
  <si>
    <t>#   powershell_args           : "$p = Get-ItemProperty -Path 'Registry::HKEY_USERS\Software\Policies\Microsoft\Windows\CloudContent' -ErrorAction SilentlyContinue; $val = if ($p -and $p.PSObject.Properties['DisableSpotlightCollectionOnDesktop'] -ne $null) { [int]$p.'DisableSpotlightCollectionOnDesktop' } else { 0 }; [string]$val"</t>
  </si>
  <si>
    <t>#   description               : "1.0326 - MSWRK - Ensure Deny access to this computer from the network to include Guests, Local account"</t>
  </si>
  <si>
    <t>#   info                      : "This policy setting prohibits users from connecting to a computer from across the network, which would allow users to access and potentially modify data remotely."</t>
  </si>
  <si>
    <t>#   reference                 : "NIST 800-53r5|AC-2 AC-5 AC-6 AC-6(1) AC-6(7) AU-9(4)"</t>
  </si>
  <si>
    <t>#   value_data                : "(?=.*Guests)(?=.*Local\ account)"</t>
  </si>
  <si>
    <t>#   powershell_args           : "$t=[IO.Path]::GetTempFileName(); secedit /export /cfg $t /areas USER_RIGHTS /quiet; $l=(Get-Content $t | Where-Object { $_ -match '^SeDenyNetworkLogonRight\s*=' } | Select-Object -Last 1); $m=if($l){ ($l -replace '.*=','').Split(',') | ForEach-Object { $s=($_ -replace '\*','').Trim(); try{([Security.Principal.SecurityIdentifier]$s).Translate([Security.Principal.NTAccount]).Value.Split('\')[-1]}catch{$s} } | Sort-Object }else{ @() }; Remove-Item $t -Force; if($m){ $m -join ', ' } else { 'NO_MEMBERS' }"</t>
  </si>
  <si>
    <t>#   description               : "1.0327 - MSWRK - Ensure Deny log on as a batch job to include Guests"</t>
  </si>
  <si>
    <t>#   info                      : "This policy setting determines which accounts will not be able to log on to the computer as a batch job."</t>
  </si>
  <si>
    <t>#   value_data                : "(?=.*Guests)"</t>
  </si>
  <si>
    <t>#   powershell_args           : "$t=[IO.Path]::GetTempFileName(); secedit /export /cfg $t /areas USER_RIGHTS /quiet; $l=(Get-Content $t | Where-Object { $_ -match '^SeDenyBatchLogonRight\s*=' } | Select-Object -Last 1); $m=if($l){ ($l -replace '.*=','').Split(',') | ForEach-Object { $s=($_ -replace '\*','').Trim(); try{([Security.Principal.SecurityIdentifier]$s).Translate([Security.Principal.NTAccount]).Value.Split('\')[-1]}catch{$s} } | Sort-Object }else{ @() }; Remove-Item $t -Force; if($m){ $m -join ', ' } else { 'NO_MEMBERS' }"</t>
  </si>
  <si>
    <t>#   description               : "1.0330 - MSWRK - Ensure Deny log on through Remote Desktop Services to include Guests, Local account"</t>
  </si>
  <si>
    <t>#   info                      : "This policy setting determines whether users can log on as Remote Desktop clients."</t>
  </si>
  <si>
    <t>#   powershell_args           : "$t=[IO.Path]::GetTempFileName(); secedit /export /cfg $t /areas USER_RIGHTS /quiet; $l=(Get-Content $t | Where-Object { $_ -match '^SeDenyRemoteInteractiveLogonRight\s*=' } | Select-Object -Last 1); $m=if($l){ ($l -replace '.*=','').Split(',') | ForEach-Object { $s=($_ -replace '\*','').Trim(); try{([Security.Principal.SecurityIdentifier]$s).Translate([Security.Principal.NTAccount]).Value.Split('\')[-1]}catch{$s} } | Sort-Object }else{ @() }; Remove-Item $t -Force; if($m){ $m -join ', ' } else { 'NO_MEMBERS' }"</t>
  </si>
  <si>
    <t>#   description               : "1.0356 - MSWRK - Ensure Network access: Allow anonymous SID/Name translation is set to Disabled"</t>
  </si>
  <si>
    <t>#   info                      : "This policy setting determines whether an anonymous user can request security identifier (SID) attributes for another user, or use a SID to obtain its corresponding user name."</t>
  </si>
  <si>
    <t>#   reference                 : "NIST 800-53r5|AC-6(10) IA-2(2)"</t>
  </si>
  <si>
    <t>#   value_data                : "Disabled"</t>
  </si>
  <si>
    <t>#   powershell_args           : "$p = Get-ItemProperty -Path 'Registry::HKEY_LOCAL_MACHINE\SYSTEM\CurrentControlSet\Control\Lsa' -ErrorAction SilentlyContinue; $v = if ($p) { [int]$p.AnonymousNameLookup } else { $null }; if ($v -eq 0) { 'Disabled' } elseif ($v -eq 1) { 'Enabled' } else { 'NOT_FOUND' }"</t>
  </si>
  <si>
    <t>#   description               : "1.0357 - MSWRK - Ensure Network access: Restrict clients allowed to make remote calls to SAM is set to Administrators: Remote Access: Allow"</t>
  </si>
  <si>
    <t>#   info                      : "This policy setting allows you to restrict remote RPC connections to SAM."</t>
  </si>
  <si>
    <t>#   reference                 : "NIST 800-53r5|AC-6(3)"</t>
  </si>
  <si>
    <t>#   value_data                : "O:BAG:BAD:(A;;RC;;;BA)"</t>
  </si>
  <si>
    <t>#   powershell_args           : "$p = Get-ItemProperty -Path 'Registry::HKEY_LOCAL_MACHINE\SYSTEM\CurrentControlSet\Control\Lsa' -ErrorAction SilentlyContinue; $raw = if ($p -and $p.PSObject.Properties['restrictremotesam'] -ne $null) { [string]$p.'restrictremotesam' } else { $null }; if ($raw) { $raw } else { 'NOT_FOUND' }"</t>
  </si>
  <si>
    <t>#   description               : "1.0358 - MSWRK - Ensure Network access: Shares that can be accessed anonymously is set to None"</t>
  </si>
  <si>
    <t>#   info                      : "This policy setting determines which network shares can be accessed by anonymous users."</t>
  </si>
  <si>
    <t>#   value_data                : "NO_MEMBERS"</t>
  </si>
  <si>
    <t>#   powershell_args           : "$p = Get-ItemProperty -Path 'Registry::HKEY_LOCAL_MACHINE\System\CurrentControlSet\Services\LanManServer\Parameters' -ErrorAction SilentlyContinue; $vals = if ($p) { $p.PSObject.Properties | Where-Object { $_.Name -notmatch '^(PS|RunSpace)' } | ForEach-Object { $_.Value } } else { @() }; if ($vals.Count -gt 0) { $vals -join ',' } else { 'NO_MEMBERS' }"</t>
  </si>
  <si>
    <t>#   description               : "1.0361 - MSWRK - Ensure Network access: Do not allow anonymous enumeration of SAM accounts and shares is set to Enabled"</t>
  </si>
  <si>
    <t>#   info                      : "This policy setting controls the ability of anonymous users to enumerate SAM accounts as well as shares."</t>
  </si>
  <si>
    <t>#   powershell_args           : "$p = Get-ItemProperty -Path 'Registry::HKEY_LOCAL_MACHINE\System\CurrentControlSet\Control\Lsa' -ErrorAction SilentlyContinue; $val = if ($p -and $p.PSObject.Properties['RestrictAnonymous'] -ne $null) { [int]$p.'RestrictAnonymous' } else { 0 }; [string]$val"</t>
  </si>
  <si>
    <t>#   description               : "1.0362 - MSWRK - Ensure Network access: Do not allow storage of passwords and credentials for network authentication is set to Enabled"</t>
  </si>
  <si>
    <t>#   info                      : "This policy setting determines whether Credential Manager (formerly called Stored User Names and Passwords) saves passwords or credentials for later use when it gains domain authentication."</t>
  </si>
  <si>
    <t>#   reference                 : "NIST 800-53r5|IA-5(1)(c)"</t>
  </si>
  <si>
    <t>#   powershell_args           : "$p = Get-ItemProperty -Path 'Registry::HKEY_LOCAL_MACHINE\System\CurrentControlSet\Control\Lsa' -ErrorAction SilentlyContinue; $val = if ($p -and $p.PSObject.Properties['DisableDomainCreds'] -ne $null) { [int]$p.'DisableDomainCreds' } else { 0 }; [string]$val"</t>
  </si>
  <si>
    <t>#   description               : "1.0364 - MSWRK - Ensure Network access: Named Pipes that can be accessed anonymously is set to None"</t>
  </si>
  <si>
    <t>#   info                      : "This policy setting determines which communication sessions, or pipes, will have attributes and permissions that allow anonymous access."</t>
  </si>
  <si>
    <t>#   reference                 : "NIST 800-53r5|IA-2(2)"</t>
  </si>
  <si>
    <t>#   powershell_args           : "$p = Get-ItemProperty -Path 'Registry::HKEY_LOCAL_MACHINE\SYSTEM\CurrentControlSet\Services\LanManServer\Parameters' -ErrorAction SilentlyContinue; $vals = if ($p) { $p.PSObject.Properties | Where-Object { $_.Name -notmatch '^(PS|RunSpace)' } | ForEach-Object { $_.Value } } else { @() }; if ($vals.Count -gt 0) { $vals -join ',' } else { 'NO_MEMBERS' }"</t>
  </si>
  <si>
    <t>#   description               : "1.0365 - MSWRK - Ensure Network access: Remotely accessible registry paths is configured"</t>
  </si>
  <si>
    <t>#   info                      : "This policy setting determines which registry paths will be accessible over the network, regardless of the users or groups listed in the access control list (ACL) of the winreg registry key."</t>
  </si>
  <si>
    <t>#   reference                 : "NIST 800-53r5|AC-6(7)(b)"</t>
  </si>
  <si>
    <t>#   value_data                : "Software\Microsoft\Windows NT\CurrentVersion,System\CurrentControlSet\Control\ProductOptions,System\CurrentControlSet\Control\Server Applications"</t>
  </si>
  <si>
    <t>#   powershell_args           : "$p = Get-ItemProperty -Path 'Registry::HKEY_LOCAL_MACHINE\System\CurrentControlSet\Control\SecurePipeServers\Winreg\AllowedExactPaths' -ErrorAction SilentlyContinue; $vals = if ($p) { $p.PSObject.Properties | Where-Object { $_.Name -notmatch '^(PS|RunSpace)' } | ForEach-Object { $_.Value } } else { @() }; if ($vals.Count -gt 0) { $vals -join ',' } else { 'NO_MEMBERS' }"</t>
  </si>
  <si>
    <t>#   description               : "1.0366 - MSWRK - Ensure Network access: Remotely accessible registry paths and sub-paths is configured"</t>
  </si>
  <si>
    <t>#   info                      : "This policy setting determines which registry paths and sub-paths will be accessible over the network, regardless of the users or groups listed in the access control list (ACL) of the winreg registry key."</t>
  </si>
  <si>
    <t>#   value_data                : "Software\Microsoft\OLAP Server,Software\Microsoft\Windows NT\CurrentVersion\Perflib,Software\Microsoft\Windows NT\CurrentVersion\Print,Software\Microsoft\Windows NT\CurrentVersion\Windows,System\CurrentControlSet\Control\ContentIndex,System\CurrentControlSet\Control\Print\Printers,System\CurrentControlSet\Control\Terminal Server,System\CurrentControlSet\Control\Terminal Server\DefaultUserConfiguration,System\CurrentControlSet\Control\Terminal Server\UserConfig,System\CurrentControlSet\Services\Eventlog,System\CurrentControlSet\Services\Sysmonlog"</t>
  </si>
  <si>
    <t>#   powershell_args           : "$p = Get-ItemProperty -Path 'Registry::HKEY_LOCAL_MACHINE\System\CurrentControlSet\Control\SecurePipeServers\Winreg\AllowedPaths' -ErrorAction SilentlyContinue; $vals = if ($p) { $p.PSObject.Properties | Where-Object { $_.Name -notmatch '^(PS|RunSpace)' } | ForEach-Object { $_.Value } } else { @() }; if ($vals.Count -gt 0) { $vals -join ',' } else { 'NO_MEMBERS' }"</t>
  </si>
  <si>
    <t>#   description               : "1.0369 - MSWRK - Ensure Network security: Allow Local System to use computer identity for NTLM is set to Enabled"</t>
  </si>
  <si>
    <t>#   info                      : "This policy setting determines whether Local System services that use Negotiate when reverting to NTLM authentication can use the computer identity."</t>
  </si>
  <si>
    <t>#   reference                 : "NIST 800-53r5|IA-3"</t>
  </si>
  <si>
    <t>#   powershell_args           : "$p = Get-ItemProperty -Path 'Registry::HKEY_LOCAL_MACHINE\System\CurrentControlSet\Control\Lsa' -ErrorAction SilentlyContinue; $val = if ($p -and $p.PSObject.Properties['UseMachineId'] -ne $null) { [int]$p.'UseMachineId' } else { 0 }; [string]$val"</t>
  </si>
  <si>
    <t>#   description               : "1.0370 - MSWRK - Ensure Network security: Minimum session security for NTLM SSP based (including secure RPC) servers is set to Require NTLMv2 session security, Require 128-bit encryption"</t>
  </si>
  <si>
    <t>#   info                      : "This policy setting determines which behaviors are allowed by servers for applications using the NTLM Security Support Provider (SSP)."</t>
  </si>
  <si>
    <t>#   value_data                : "537395200"</t>
  </si>
  <si>
    <t>#   powershell_args           : "$p = Get-ItemProperty -Path 'Registry::HKEY_LOCAL_MACHINE\System\CurrentControlSet\Control\Lsa\MSV1_0' -ErrorAction SilentlyContinue; $val = if ($p -and $p.PSObject.Properties['NTLMMinServerSec'] -ne $null) { [int]$p.'NTLMMinServerSec' } else { 0 }; [string]$val"</t>
  </si>
  <si>
    <t>#   description               : "1.0371 - MSWRK - Ensure Network security: Restrict NTLM: Audit Incoming NTLM Traffic is set to Enable auditing for all accounts"</t>
  </si>
  <si>
    <t>#   info                      : "This policy setting allows the auditing of incoming NTLM traffic."</t>
  </si>
  <si>
    <t>#   powershell_args           : "$p = Get-ItemProperty -Path 'Registry::HKEY_LOCAL_MACHINE\System\CurrentControlSet\Control\Lsa\MSV1_0' -ErrorAction SilentlyContinue; $val = if ($p -and $p.PSObject.Properties['AuditReceivingNTLMTraffic'] -ne $null) { [int]$p.'AuditReceivingNTLMTraffic' } else { 0 }; [string]$val"</t>
  </si>
  <si>
    <t>#   description               : "1.0372 - MSWRK - Ensure Network security: Restrict NTLM: Outgoing NTLM traffic to remote servers is set to Audit all or higher"</t>
  </si>
  <si>
    <t>#   info                      : "This policy setting allows the auditing of outgoing NTLM traffic."</t>
  </si>
  <si>
    <t>#   powershell_args           : "$p = Get-ItemProperty -Path 'Registry::HKEY_LOCAL_MACHINE\System\CurrentControlSet\Control\Lsa\MSV1_0' -ErrorAction SilentlyContinue; $val = if ($p -and $p.PSObject.Properties['RestrictSendingNTLMTraffic'] -ne $null) { [int]$p.'RestrictSendingNTLMTraffic' } else { 0 }; [string]$val"</t>
  </si>
  <si>
    <t>#   description               : "1.0373 - MSWRK - Ensure Network security: Allow LocalSystem NULL session fallback is set to Disabled"</t>
  </si>
  <si>
    <t>#   info                      : "This policy setting determines whether NTLM is allowed to fall back to a NULL session when used with LocalSystem."</t>
  </si>
  <si>
    <t>#   powershell_args           : "$p = Get-ItemProperty -Path 'Registry::HKEY_LOCAL_MACHINE\System\CurrentControlSet\Control\Lsa\MSV1_0' -ErrorAction SilentlyContinue; $val = if ($p -and $p.PSObject.Properties['AllowNullSessionFallback'] -ne $null) { [int]$p.'AllowNullSessionFallback' } else { 0 }; [string]$val"</t>
  </si>
  <si>
    <t>#   description               : "1.0374 - MSWRK - Ensure Network Security: Allow PKU2U authentication requests to this computer to use online identities is set to Disabled"</t>
  </si>
  <si>
    <t>#   info                      : "This setting determines if online identities are able to authenticate to this computer."</t>
  </si>
  <si>
    <t>#   powershell_args           : "$p = Get-ItemProperty -Path 'Registry::HKEY_LOCAL_MACHINE\System\CurrentControlSet\Control\Lsa\pku2u' -ErrorAction SilentlyContinue; $val = if ($p -and $p.PSObject.Properties['AllowOnlineID'] -ne $null) { [int]$p.'AllowOnlineID' } else { 0 }; [string]$val"</t>
  </si>
  <si>
    <t>#   description               : "1.0375 - MSWRK - Ensure Network security: Configure encryption types allowed for Kerberos is set to AES128_HMAC_SHA1, AES256_HMAC_SHA1, Future encryption types"</t>
  </si>
  <si>
    <t>#   info                      : "This policy setting allows you to set the encryption types that Kerberos is allowed to use."</t>
  </si>
  <si>
    <t>#   value_data                : "2147483640"</t>
  </si>
  <si>
    <t>#   powershell_args           : "$p = Get-ItemProperty -Path 'Registry::HKEY_LOCAL_MACHINE\Software\Microsoft\Windows\CurrentVersion\Policies\System\Kerberos\Parameters' -ErrorAction SilentlyContinue; $val = if ($p -and $p.PSObject.Properties['SupportedEncryptionTypes'] -ne $null) { [int]$p.'SupportedEncryptionTypes' } else { 0 }; [string]$val"</t>
  </si>
  <si>
    <t>#   description               : "1.0376 - MSWRK - Ensure Network security: Force logoff when logon hours expire is set to Enabled"</t>
  </si>
  <si>
    <t>#   info                      : "This policy setting determines whether to disconnect users who are connected to the local computer outside their user account's valid logon hours."</t>
  </si>
  <si>
    <t>#   reference                 : "NIST 800-53r5|AC-2(12)"</t>
  </si>
  <si>
    <t>#   value_data                : "Enabled"</t>
  </si>
  <si>
    <t>#   powershell_args           : "$tmp = [System.IO.Path]::GetTempFileName(); secedit /export /cfg $tmp /quiet; $val = (Get-Content $tmp | Where-Object { $_ -match '^ForceLogoffWhenHourExpire\s*=' } | Select-Object -Last 1) -replace '.*=\s*',''; Remove-Item $tmp -Force; if ($val -eq '1') { 'Enabled' } elseif ($val -eq '0') { 'Disabled' } else { 'NOT_FOUND' }"</t>
  </si>
  <si>
    <t>#   description               : "1.0378 - MSWRK - Ensure Network security: LDAP client encryption requirements is set to Negotiate sealing or higher"</t>
  </si>
  <si>
    <t>#   info                      : "This policy setting determines the level of data encryption that is requested on behalf of clients that issue LDAP BIND requests."</t>
  </si>
  <si>
    <t>#   powershell_args           : "$p = Get-ItemProperty -Path 'Registry::HKEY_LOCAL_MACHINE\System\CurrentControlSet\Services\LDAP' -ErrorAction SilentlyContinue; $val = if ($p -and $p.PSObject.Properties['LDAPClientConfidentiality'] -ne $null) { [int]$p.'LDAPClientConfidentiality' } else { 0 }; [string]$val"</t>
  </si>
  <si>
    <t>#   description               : "1.0380 - MSWRK - Ensure Network security: Minimum session security for NTLM SSP based (including secure RPC) clients is set to Require NTLMv2 session security, Require 128-bit encryption"</t>
  </si>
  <si>
    <t>#   info                      : "This policy setting determines which behaviors are allowed by clients for applications using the NTLM Security Support Provider (SSP)."</t>
  </si>
  <si>
    <t>#   powershell_args           : "$p = Get-ItemProperty -Path 'Registry::HKEY_LOCAL_MACHINE\System\CurrentControlSet\Control\Lsa\MSV1_0' -ErrorAction SilentlyContinue; $val = if ($p -and $p.PSObject.Properties['NTLMMinClientSec'] -ne $null) { [int]$p.'NTLMMinClientSec' } else { 0 }; [string]$val"</t>
  </si>
  <si>
    <t>#   description               : "1.0386 - MSWRK - Ensure User Account Control: Admin Approval Mode for the Built-in Administrator account is set to Enabled"</t>
  </si>
  <si>
    <t>#   info                      : "This policy setting controls the behavior of Admin Approval Mode for the built-in Administrator account."</t>
  </si>
  <si>
    <t>#   powershell_args           : "$p = Get-ItemProperty -Path 'Registry::HKEY_LOCAL_MACHINE\Software\Microsoft\Windows\CurrentVersion\Policies\System' -ErrorAction SilentlyContinue; $val = if ($p -and $p.PSObject.Properties['FilterAdministratorToken'] -ne $null) { [int]$p.'FilterAdministratorToken' } else { 0 }; [string]$val"</t>
  </si>
  <si>
    <t>#   description               : "1.0387 - MSWRK - Ensure User Account Control: Behavior of the elevation prompt for administrators in Admin Approval Mode is set to Prompt for consent on the secure desktop or higher"</t>
  </si>
  <si>
    <t>#   info                      : "This policy setting controls the behavior of the elevation prompt for administrators."</t>
  </si>
  <si>
    <t>#   reference                 : "NIST 800-53r5|AC-6(1)"</t>
  </si>
  <si>
    <t>#   powershell_args           : "$p = Get-ItemProperty -Path 'Registry::HKEY_LOCAL_MACHINE\Software\Microsoft\Windows\CurrentVersion\Policies\System' -ErrorAction SilentlyContinue; $val = if ($p -and $p.PSObject.Properties['ConsentPromptBehaviorAdmin'] -ne $null) { [int]$p.'ConsentPromptBehaviorAdmin' } else { 0 }; [string]$val"</t>
  </si>
  <si>
    <t>#   description               : "1.0388 - MSWRK - Ensure User Account Control: Behavior of the elevation prompt for standard users is set to Automatically deny elevation requests"</t>
  </si>
  <si>
    <t>#   info                      : "This policy setting controls the behavior of the elevation prompt for standard users."</t>
  </si>
  <si>
    <t>#   powershell_args           : "$p = Get-ItemProperty -Path 'Registry::HKEY_LOCAL_MACHINE\Software\Microsoft\Windows\CurrentVersion\Policies\System' -ErrorAction SilentlyContinue; $val = if ($p -and $p.PSObject.Properties['ConsentPromptBehaviorUser'] -ne $null) { [int]$p.'ConsentPromptBehaviorUser' } else { 0 }; [string]$val"</t>
  </si>
  <si>
    <t>#   description               : "1.0389 - MSWRK - Ensure User Account Control: Detect application installations and prompt for elevation is set to Enabled"</t>
  </si>
  <si>
    <t>#   info                      : "This policy setting controls the behavior of application installation detection for the computer."</t>
  </si>
  <si>
    <t>#   reference                 : "NIST 800-53r5|AC-6(8)"</t>
  </si>
  <si>
    <t>#   powershell_args           : "$p = Get-ItemProperty -Path 'Registry::HKEY_LOCAL_MACHINE\Software\Microsoft\Windows\CurrentVersion\Policies\System' -ErrorAction SilentlyContinue; $val = if ($p -and $p.PSObject.Properties['EnableInstallerDetection'] -ne $null) { [int]$p.'EnableInstallerDetection' } else { 0 }; [string]$val"</t>
  </si>
  <si>
    <t>#   description               : "1.0392 - MSWRK - Ensure User Account Control: Switch to the secure desktop when prompting for elevation is set to Enabled"</t>
  </si>
  <si>
    <t>#   info                      : "This policy setting controls whether the elevation request prompt is displayed on the interactive user's desktop or the secure desktop."</t>
  </si>
  <si>
    <t>#   powershell_args           : "$p = Get-ItemProperty -Path 'Registry::HKEY_LOCAL_MACHINE\Software\Microsoft\Windows\CurrentVersion\Policies\System' -ErrorAction SilentlyContinue; $val = if ($p -and $p.PSObject.Properties['PromptOnSecureDesktop'] -ne $null) { [int]$p.'PromptOnSecureDesktop' } else { 0 }; [string]$val"</t>
  </si>
  <si>
    <t>#   description               : "1.0394 - MSWRK - Ensure Audit: Force audit policy subcategory settings (Windows Vista or later) to override audit policy category settings is set to Enabled"</t>
  </si>
  <si>
    <t>#   info                      : "This policy setting allows administrators to enable the more precise auditing capabilities present in Windows Vista."</t>
  </si>
  <si>
    <t>#   powershell_args           : "$p = Get-ItemProperty -Path 'Registry::HKEY_LOCAL_MACHINE\System\CurrentControlSet\Control\Lsa' -ErrorAction SilentlyContinue; $val = if ($p -and $p.PSObject.Properties['SCENoApplyLegacyAuditPolicy'] -ne $null) { [int]$p.'SCENoApplyLegacyAuditPolicy' } else { 0 }; [string]$val"</t>
  </si>
  <si>
    <t>#   description               : "1.0402 - MSWRK - Ensure Interactive logon: Dont display last signed-in is set to Enabled"</t>
  </si>
  <si>
    <t>#   info                      : "This policy setting determines whether the account name of the last user to log on to the client computers in your organization will be displayed on each computer's respective Windows logon screen."</t>
  </si>
  <si>
    <t>#   powershell_args           : "$p = Get-ItemProperty -Path 'Registry::HKEY_LOCAL_MACHINE\Software\Microsoft\Windows\CurrentVersion\Policies\System' -ErrorAction SilentlyContinue; $val = if ($p -and $p.PSObject.Properties['DontDisplayLastUserName'] -ne $null) { [int]$p.'DontDisplayLastUserName' } else { 0 }; [string]$val"</t>
  </si>
  <si>
    <t>#   description               : "1.0403 - MSWRK - Ensure Interactive logon: Machine inactivity limit is set to 900 or fewer second(s), but not 0"</t>
  </si>
  <si>
    <t>#   info                      : "Windows notices inactivity of a logon session, and if the amount of inactive time exceeds the inactivity limit, then the screen saver will run, locking the session."</t>
  </si>
  <si>
    <t>#   reference                 : "NIST 800-53r5|AC-2(5) AC-11 AC-11(1) AC-12"</t>
  </si>
  <si>
    <t>#   value_data                : "^(1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t>
  </si>
  <si>
    <t>#   powershell_args           : "$p = Get-ItemProperty -Path 'Registry::HKEY_LOCAL_MACHINE\Software\Microsoft\Windows\CurrentVersion\Policies\System' -ErrorAction SilentlyContinue; $val = if ($p -and $p.PSObject.Properties['InactivityTimeoutSecs'] -ne $null) { [int]$p.'InactivityTimeoutSecs' } else { 0 }; [string]$val"</t>
  </si>
  <si>
    <t>#   description               : "1.0404 - MSWRK - Configure Interactive logon: Message text for users attempting to log on"</t>
  </si>
  <si>
    <t>#   info                      : "This policy setting specifies a text message that is displayed to users when they log on."</t>
  </si>
  <si>
    <t>#   reference                 : "NIST 800-53r5|AC-8"</t>
  </si>
  <si>
    <t>#   value_data                : "LEGAL_NOTICE_TEXT"</t>
  </si>
  <si>
    <t>#   powershell_args           : "$p = Get-ItemProperty -Path 'Registry::HKEY_LOCAL_MACHINE\Software\Microsoft\Windows\CurrentVersion\Policies\System' -ErrorAction SilentlyContinue; $raw = if ($p -and $p.PSObject.Properties['LegalNoticeText'] -ne $null) { [string]$p.'LegalNoticeText' } else { $null }; if ($raw) { $raw } else { 'NOT_FOUND' }"</t>
  </si>
  <si>
    <t>#   description               : "1.0405 - MSWRK - Configure Interactive logon: Message title for users attempting to log on"</t>
  </si>
  <si>
    <t>#   info                      : "This policy setting specifies the text displayed in the title bar of the window that is displayed to users when they log on to the system."</t>
  </si>
  <si>
    <t>#   value_data                : "LEGAL_CAPTION_TEXT"</t>
  </si>
  <si>
    <t>#   powershell_args           : "$p = Get-ItemProperty -Path 'Registry::HKEY_LOCAL_MACHINE\Software\Microsoft\Windows\CurrentVersion\Policies\System' -ErrorAction SilentlyContinue; $raw = if ($p -and $p.PSObject.Properties['LegalNoticeCaption'] -ne $null) { [string]$p.'LegalNoticeCaption' } else { $null }; if ($raw) { $raw } else { 'NOT_FOUND' }"</t>
  </si>
  <si>
    <t>#   description               : "1.0407 - MSWRK - Ensure Interactive logon: Smart card removal behavior is set to Lock Workstation or higher"</t>
  </si>
  <si>
    <t>#   info                      : "This policy setting determines what happens when the smart card for a logged-on user is removed from the smart card reader."</t>
  </si>
  <si>
    <t>#   value_data                : "^(1|2|3)$"</t>
  </si>
  <si>
    <t>#   powershell_args           : "$p = Get-ItemProperty -Path 'Registry::HKEY_LOCAL_MACHINE\Software\Microsoft\Windows NT\CurrentVersion\Winlogon' -ErrorAction SilentlyContinue; $raw = if ($p -and $p.PSObject.Properties['ScRemoveOption'] -ne $null) { [string]$p.'ScRemoveOption' } else { $null }; if ($raw) { $raw } else { 'NOT_FOUND' }"</t>
  </si>
  <si>
    <t>#   description               : "1.0410 - MSWRK - Ensure Microsoft network server: Amount of idle time required before suspending session is set to 15 or fewer minute(s)"</t>
  </si>
  <si>
    <t>#   info                      : "This policy setting allows you to specify the amount of continuous idle time that must pass in an SMB session before the session is suspended because of inactivity."</t>
  </si>
  <si>
    <t>#   value_data                : "^(1|2|3|4|5|6|7|8|9|10|11|12|13|14|15)$"</t>
  </si>
  <si>
    <t>#   powershell_args           : "$p = Get-ItemProperty -Path 'Registry::HKEY_LOCAL_MACHINE\System\CurrentControlSet\Services\LanManServer\Parameters' -ErrorAction SilentlyContinue; $val = if ($p -and $p.PSObject.Properties['AutoDisconnect'] -ne $null) { [int]$p.'AutoDisconnect' } else { 0 }; [string]$val"</t>
  </si>
  <si>
    <t>#   description               : "1.0413 - MSWRK - Ensure Microsoft network server: Server SPN target name validation level is set to Accept if provided by client or higher"</t>
  </si>
  <si>
    <t>#   info                      : "This policy setting controls the level of validation a computer with shared folders or printers (the server) performs on the service principal name (SPN) that is provided by the client computer when it establishes a session using the server message block (SMB) protocol."</t>
  </si>
  <si>
    <t>#   powershell_args           : "$p = Get-ItemProperty -Path 'Registry::HKEY_LOCAL_MACHINE\System\CurrentControlSet\Services\LanManServer\Parameters' -ErrorAction SilentlyContinue; $val = if ($p -and $p.PSObject.Properties['SMBServerNameHardeningLevel'] -ne $null) { [int]$p.'SMBServerNameHardeningLevel' } else { 0 }; [string]$val"</t>
  </si>
  <si>
    <t>#   description               : "1.0414 - MSWRK - Ensure Microsoft FTP Service (FTPSVC) is set to Disabled or Not Installed - Ftpsvc"</t>
  </si>
  <si>
    <t>#   info                      : "Enables the server to be a File Transfer Protocol (FTP) server."</t>
  </si>
  <si>
    <t>#   value_data                : "4"</t>
  </si>
  <si>
    <t>#   powershell_args           : "$p = Get-ItemProperty -Path 'Registry::HKEY_LOCAL_MACHINE\System\CurrentControlSet\Services\FTPSVC' -ErrorAction SilentlyContinue; $val = if ($p -and $p.PSObject.Properties['Start'] -ne $null) { [int]$p.'Start' } else { 0 }; [string]$val"</t>
  </si>
  <si>
    <t>#   description               : "1.0415 - MSWRK - Ensure OpenSSH SSH Server (sshd) is set to Disabled or Not Installed - Sshd"</t>
  </si>
  <si>
    <t>#   info                      : "SSH protocol based service to provide secure encrypted communications between two untrusted hosts over an insecure network."</t>
  </si>
  <si>
    <t>#   powershell_args           : "$p = Get-ItemProperty -Path 'Registry::HKEY_LOCAL_MACHINE\System\CurrentControlSet\Services\sshd' -ErrorAction SilentlyContinue; $val = if ($p -and $p.PSObject.Properties['Start'] -ne $null) { [int]$p.'Start' } else { 0 }; [string]$val"</t>
  </si>
  <si>
    <t>#   description               : "1.0416 - MSWRK - Ensure Remote Procedure Call (RPC) Locator (RpcLocator) is set to Disabled - Rpclocator"</t>
  </si>
  <si>
    <t>#   info                      : "In Windows 2003 and older versions of Windows, the Remote Procedure Call (RPC) Locator service manages the RPC name service database."</t>
  </si>
  <si>
    <t>#   powershell_args           : "$p = Get-ItemProperty -Path 'Registry::HKEY_LOCAL_MACHINE\System\CurrentControlSet\Services\RpcLocator' -ErrorAction SilentlyContinue; $val = if ($p -and $p.PSObject.Properties['Start'] -ne $null) { [int]$p.'Start' } else { 0 }; [string]$val"</t>
  </si>
  <si>
    <t>#   description               : "1.0418 - MSWRK - Ensure Simple TCP/IP Services (simptcp) is set to Disabled or Not Installed - Simptcp"</t>
  </si>
  <si>
    <t>#   info                      : "Supports the following TCP/IP services: Character Generator, Daytime, Discard, Echo, and Quote of the Day."</t>
  </si>
  <si>
    <t>#   powershell_args           : "$p = Get-ItemProperty -Path 'Registry::HKEY_LOCAL_MACHINE\System\CurrentControlSet\Services\simptcp' -ErrorAction SilentlyContinue; $val = if ($p -and $p.PSObject.Properties['Start'] -ne $null) { [int]$p.'Start' } else { 0 }; [string]$val"</t>
  </si>
  <si>
    <t>#   description               : "1.0419 - MSWRK - Ensure Special Administration Console Helper (sacsvr) is set to Disabled or Not Installed - Sacsvr"</t>
  </si>
  <si>
    <t>#   info                      : "This service allows administrators to remotely access a command prompt using Emergency Management Services."</t>
  </si>
  <si>
    <t>#   powershell_args           : "$p = Get-ItemProperty -Path 'Registry::HKEY_LOCAL_MACHINE\System\CurrentControlSet\Services\sacsvr' -ErrorAction SilentlyContinue; $val = if ($p -and $p.PSObject.Properties['Start'] -ne $null) { [int]$p.'Start' } else { 0 }; [string]$val"</t>
  </si>
  <si>
    <t>#   description               : "1.0420 - MSWRK - Ensure Computer Browser (Browser) is set to Disabled or Not Installed"</t>
  </si>
  <si>
    <t>#   info                      : "Maintains an updated list of computers on the network and supplies this list to computers designated as browsers."</t>
  </si>
  <si>
    <t>#   powershell_args           : "$p = Get-ItemProperty -Path 'Registry::HKEY_LOCAL_MACHINE\System\CurrentControlSet\Services\Browser' -ErrorAction SilentlyContinue; $val = if ($p -and $p.PSObject.Properties['Start'] -ne $null) { [int]$p.'Start' } else { 0 }; [string]$val"</t>
  </si>
  <si>
    <t>#   description               : "1.0423 - MSWRK - Ensure Web Management Service (WMSvc) is set to Disabled or Not Installed - Wmsvc"</t>
  </si>
  <si>
    <t>#   info                      : "The Web Management Service enables remote and delegated management capabilities for administrators to manage for the Web server, sites and applications present on the machine."</t>
  </si>
  <si>
    <t>#   powershell_args           : "$p = Get-ItemProperty -Path 'Registry::HKEY_LOCAL_MACHINE\System\CurrentControlSet\Services\WMSvc' -ErrorAction SilentlyContinue; $val = if ($p -and $p.PSObject.Properties['Start'] -ne $null) { [int]$p.'Start' } else { 0 }; [string]$val"</t>
  </si>
  <si>
    <t>#   description               : "1.0426 - MSWRK - Ensure World Wide Web Publishing Service (W3SVC) is set to Disabled or Not Installed - W3svc"</t>
  </si>
  <si>
    <t>#   info                      : "Provides Web connectivity and administration through the Internet Information Services Manager."</t>
  </si>
  <si>
    <t>#   powershell_args           : "$p = Get-ItemProperty -Path 'Registry::HKEY_LOCAL_MACHINE\System\CurrentControlSet\Services\W3SVC' -ErrorAction SilentlyContinue; $val = if ($p -and $p.PSObject.Properties['Start'] -ne $null) { [int]$p.'Start' } else { 0 }; [string]$val"</t>
  </si>
  <si>
    <t>#   description               : "1.0431 - MSWRK - Ensure IIS Admin Service (IISADMIN) is set to Disabled or Not Installed - Iisadmin"</t>
  </si>
  <si>
    <t>#   info                      : "Enables the server to administer the IIS metabase."</t>
  </si>
  <si>
    <t>#   powershell_args           : "$p = Get-ItemProperty -Path 'Registry::HKEY_LOCAL_MACHINE\System\CurrentControlSet\Services\IISADMIN' -ErrorAction SilentlyContinue; $val = if ($p -and $p.PSObject.Properties['Start'] -ne $null) { [int]$p.'Start' } else { 0 }; [string]$val"</t>
  </si>
  <si>
    <t>#   description               : "1.0432 - MSWRK - Ensure Infrared monitor service (irmon) is set to Disabled or Not Installed - Irmon"</t>
  </si>
  <si>
    <t>#   info                      : "Detects other Infrared devices that are in range and launches the file transfer application."</t>
  </si>
  <si>
    <t>#   powershell_args           : "$p = Get-ItemProperty -Path 'Registry::HKEY_LOCAL_MACHINE\System\CurrentControlSet\Services\irmon' -ErrorAction SilentlyContinue; $val = if ($p -and $p.PSObject.Properties['Start'] -ne $null) { [int]$p.'Start' } else { 0 }; [string]$val"</t>
  </si>
  <si>
    <t>#   description               : "1.0433 - MSWRK - Ensure Windows Firewall: Domain: Firewall state is set to On (recommended) - Domainprofile"</t>
  </si>
  <si>
    <t>#   info                      : "This policy setting controls whether the built-in Domain Firewall state is enabled or disabled."</t>
  </si>
  <si>
    <t>#   reference                 : "NIST 800-53r5|SC-7 SC-7(5)"</t>
  </si>
  <si>
    <t>#   powershell_args           : "$p = Get-ItemProperty -Path 'Registry::HKEY_LOCAL_MACHINE\Software\Policies\Microsoft\WindowsFirewall\DomainProfile' -ErrorAction SilentlyContinue; $val = if ($p -and $p.PSObject.Properties['EnableFirewall'] -ne $null) { [int]$p.'EnableFirewall' } else { 0 }; [string]$val"</t>
  </si>
  <si>
    <t>#   description               : "1.0434 - MSWRK - Ensure Windows Firewall: Domain: Inbound connections is set to Block (default) - Domainprofile"</t>
  </si>
  <si>
    <t>#   info                      : "This policy setting determines the behavior for inbound connections that do not match an inbound firewall rule."</t>
  </si>
  <si>
    <t>#   powershell_args           : "$p = Get-ItemProperty -Path 'Registry::HKEY_LOCAL_MACHINE\Software\Policies\Microsoft\WindowsFirewall\DomainProfile' -ErrorAction SilentlyContinue; $val = if ($p -and $p.PSObject.Properties['DefaultInboundAction'] -ne $null) { [int]$p.'DefaultInboundAction' } else { 0 }; [string]$val"</t>
  </si>
  <si>
    <t>#   description               : "1.0435 - MSWRK - Ensure Windows Firewall: Domain: Settings: Display a notification is set to No - Domainprofile"</t>
  </si>
  <si>
    <t>#   info                      : "Select this option to have Windows Firewall with Advanced Security display notifications to the user when a program is blocked from receiving inbound connections."</t>
  </si>
  <si>
    <t>#   powershell_args           : "$p = Get-ItemProperty -Path 'Registry::HKEY_LOCAL_MACHINE\Software\Policies\Microsoft\WindowsFirewall\DomainProfile' -ErrorAction SilentlyContinue; $val = if ($p -and $p.PSObject.Properties['DisableNotifications'] -ne $null) { [int]$p.'DisableNotifications' } else { 0 }; [string]$val"</t>
  </si>
  <si>
    <t>#   description               : "1.0436 - MSWRK - Ensure Windows Firewall: Domain: Logging: Name is configured"</t>
  </si>
  <si>
    <t>#   info                      : "This policy setting is used to specify the path and name of the file in which Windows Firewall will write its log information."</t>
  </si>
  <si>
    <t>#   value_data                : "%SYSTEMROOT%\System32\logfiles\firewall\domainfw.log"</t>
  </si>
  <si>
    <t>#   powershell_args           : "$p = Get-ItemProperty -Path 'Registry::HKEY_LOCAL_MACHINE\Software\Policies\Microsoft\WindowsFirewall\DomainProfile\Logging' -ErrorAction SilentlyContinue; $raw = if ($p -and $p.PSObject.Properties['LogFilePath'] -ne $null) { [string]$p.'LogFilePath' } else { $null }; if ($raw) { $raw } else { 'NOT_FOUND' }"</t>
  </si>
  <si>
    <t>#   description               : "1.0437 - MSWRK - Ensure Windows Firewall: Domain: Logging: Size limit (KB) is set to 16,384 KB or greater"</t>
  </si>
  <si>
    <t>#   info                      : "Use this option to specify the size limit of the file in which Windows Firewall will write its log information."</t>
  </si>
  <si>
    <t>#   value_data                : "^([1-9][0-9]{5,}|[2-9][0-9]{4}|1[7-9][0-9]{3}|16[4-9][0-9]{2}|163[9-9][0-9]{1}|1638[4-9])$"</t>
  </si>
  <si>
    <t>#   powershell_args           : "$p = Get-ItemProperty -Path 'Registry::HKEY_LOCAL_MACHINE\Software\Policies\Microsoft\WindowsFirewall\DomainProfile\Logging' -ErrorAction SilentlyContinue; $val = if ($p -and $p.PSObject.Properties['LogFileSize'] -ne $null) { [int]$p.'LogFileSize' } else { 0 }; [string]$val"</t>
  </si>
  <si>
    <t>#   description               : "1.0438 - MSWRK - Ensure Windows Firewall: Domain: Logging: Log dropped packets is set to Yes"</t>
  </si>
  <si>
    <t>#   info                      : "Use this option to log when Windows Firewall with Advanced Security discards an inbound packet for any reason."</t>
  </si>
  <si>
    <t>#   reference                 : "NIST 800-53r5|AU-3 AU-3(1) AU-7 AU-12 SC-7 SC-7(5)"</t>
  </si>
  <si>
    <t>#   powershell_args           : "$p = Get-ItemProperty -Path 'Registry::HKEY_LOCAL_MACHINE\Software\Policies\Microsoft\WindowsFirewall\DomainProfile\Logging' -ErrorAction SilentlyContinue; $val = if ($p -and $p.PSObject.Properties['LogDroppedPackets'] -ne $null) { [int]$p.'LogDroppedPackets' } else { 0 }; [string]$val"</t>
  </si>
  <si>
    <t>#   description               : "1.0439 - MSWRK - Ensure Windows Firewall: Domain: Logging: Log successful connections is set to Yes"</t>
  </si>
  <si>
    <t>#   info                      : "Use this option to log when Windows Firewall with Advanced Security allows an inbound connection."</t>
  </si>
  <si>
    <t>#   powershell_args           : "$p = Get-ItemProperty -Path 'Registry::HKEY_LOCAL_MACHINE\Software\Policies\Microsoft\WindowsFirewall\DomainProfile\Logging' -ErrorAction SilentlyContinue; $val = if ($p -and $p.PSObject.Properties['LogSuccessfulConnections'] -ne $null) { [int]$p.'LogSuccessfulConnections' } else { 0 }; [string]$val"</t>
  </si>
  <si>
    <t>#   description               : "1.0440 - MSWRK - Ensure Windows Firewall: Private: Firewall state is set to On (recommended) - Privateprofile"</t>
  </si>
  <si>
    <t>#   info                      : "This policy setting controls whether the built-in Private Firewall state is enabled or disabled."</t>
  </si>
  <si>
    <t>#   powershell_args           : "$p = Get-ItemProperty -Path 'Registry::HKEY_LOCAL_MACHINE\Software\Policies\Microsoft\WindowsFirewall\PrivateProfile' -ErrorAction SilentlyContinue; $val = if ($p -and $p.PSObject.Properties['EnableFirewall'] -ne $null) { [int]$p.'EnableFirewall' } else { 0 }; [string]$val"</t>
  </si>
  <si>
    <t>#   description               : "1.0441 - MSWRK - Ensure Windows Firewall: Private: Inbound connections is set to Block (default) - Privateprofile"</t>
  </si>
  <si>
    <t>#   powershell_args           : "$p = Get-ItemProperty -Path 'Registry::HKEY_LOCAL_MACHINE\Software\Policies\Microsoft\WindowsFirewall\PrivateProfile' -ErrorAction SilentlyContinue; $val = if ($p -and $p.PSObject.Properties['DefaultInboundAction'] -ne $null) { [int]$p.'DefaultInboundAction' } else { 0 }; [string]$val"</t>
  </si>
  <si>
    <t>#   description               : "1.0442 - MSWRK - Ensure Windows Firewall: Private: Settings: Display a notification is set to No - Privateprofile"</t>
  </si>
  <si>
    <t>#   powershell_args           : "$p = Get-ItemProperty -Path 'Registry::HKEY_LOCAL_MACHINE\Software\Policies\Microsoft\WindowsFirewall\PrivateProfile' -ErrorAction SilentlyContinue; $val = if ($p -and $p.PSObject.Properties['DisableNotifications'] -ne $null) { [int]$p.'DisableNotifications' } else { 0 }; [string]$val"</t>
  </si>
  <si>
    <t>#   description               : "1.0443 - MSWRK - Ensure Windows Firewall: Private: Logging: Name is configured"</t>
  </si>
  <si>
    <t>#   value_data                : "%SYSTEMROOT%\System32\logfiles\firewall\privatefw.log"</t>
  </si>
  <si>
    <t>#   powershell_args           : "$p = Get-ItemProperty -Path 'Registry::HKEY_LOCAL_MACHINE\Software\Policies\Microsoft\WindowsFirewall\PrivateProfile\Logging' -ErrorAction SilentlyContinue; $raw = if ($p -and $p.PSObject.Properties['LogFilePath'] -ne $null) { [string]$p.'LogFilePath' } else { $null }; if ($raw) { $raw } else { 'NOT_FOUND' }"</t>
  </si>
  <si>
    <t>#   description               : "1.0444 - MSWRK - Ensure Windows Firewall: Private: Logging: Size limit (KB) is set to 16,384 KB or greater"</t>
  </si>
  <si>
    <t>#   powershell_args           : "$p = Get-ItemProperty -Path 'Registry::HKEY_LOCAL_MACHINE\Software\Policies\Microsoft\WindowsFirewall\PrivateProfile\Logging' -ErrorAction SilentlyContinue; $val = if ($p -and $p.PSObject.Properties['LogFileSize'] -ne $null) { [int]$p.'LogFileSize' } else { 0 }; [string]$val"</t>
  </si>
  <si>
    <t>#   description               : "1.0445 - MSWRK - Ensure Windows Firewall: Private: Logging: Log dropped packets is set to Yes"</t>
  </si>
  <si>
    <t>#   powershell_args           : "$p = Get-ItemProperty -Path 'Registry::HKEY_LOCAL_MACHINE\Software\Policies\Microsoft\WindowsFirewall\PrivateProfile\Logging' -ErrorAction SilentlyContinue; $val = if ($p -and $p.PSObject.Properties['LogDroppedPackets'] -ne $null) { [int]$p.'LogDroppedPackets' } else { 0 }; [string]$val"</t>
  </si>
  <si>
    <t>#   description               : "1.0446 - MSWRK - Ensure Windows Firewall: Private: Logging: Log successful connections is set to Yes"</t>
  </si>
  <si>
    <t>#   powershell_args           : "$p = Get-ItemProperty -Path 'Registry::HKEY_LOCAL_MACHINE\Software\Policies\Microsoft\WindowsFirewall\PrivateProfile\Logging' -ErrorAction SilentlyContinue; $val = if ($p -and $p.PSObject.Properties['LogSuccessfulConnections'] -ne $null) { [int]$p.'LogSuccessfulConnections' } else { 0 }; [string]$val"</t>
  </si>
  <si>
    <t>#   description               : "1.0447 - MSWRK - Ensure Windows Firewall: Public: Firewall state is set to On (recommended) - Publicprofile"</t>
  </si>
  <si>
    <t>#   info                      : "This policy setting controls whether the built-in Public Firewall state is enabled or disabled."</t>
  </si>
  <si>
    <t>#   powershell_args           : "$p = Get-ItemProperty -Path 'Registry::HKEY_LOCAL_MACHINE\Software\Policies\Microsoft\WindowsFirewall\PublicProfile' -ErrorAction SilentlyContinue; $val = if ($p -and $p.PSObject.Properties['EnableFirewall'] -ne $null) { [int]$p.'EnableFirewall' } else { 0 }; [string]$val"</t>
  </si>
  <si>
    <t>#   description               : "1.0448 - MSWRK - Ensure Windows Firewall: Public: Inbound connections is set to Block (default) - Publicprofile"</t>
  </si>
  <si>
    <t>#   info                      : "This setting determines the behavior for inbound connections that do not match an inbound firewall rule."</t>
  </si>
  <si>
    <t>#   powershell_args           : "$p = Get-ItemProperty -Path 'Registry::HKEY_LOCAL_MACHINE\Software\Policies\Microsoft\WindowsFirewall\PublicProfile' -ErrorAction SilentlyContinue; $val = if ($p -and $p.PSObject.Properties['DefaultInboundAction'] -ne $null) { [int]$p.'DefaultInboundAction' } else { 0 }; [string]$val"</t>
  </si>
  <si>
    <t>#   description               : "1.0449 - MSWRK - Ensure Windows Firewall: Public: Settings: Display a notification is set to No - Publicprofile"</t>
  </si>
  <si>
    <t>#   powershell_args           : "$p = Get-ItemProperty -Path 'Registry::HKEY_LOCAL_MACHINE\Software\Policies\Microsoft\WindowsFirewall\PublicProfile' -ErrorAction SilentlyContinue; $val = if ($p -and $p.PSObject.Properties['DisableNotifications'] -ne $null) { [int]$p.'DisableNotifications' } else { 0 }; [string]$val"</t>
  </si>
  <si>
    <t>#   description               : "1.0450 - MSWRK - Ensure Windows Firewall: Public: Settings: Apply local firewall rules is set to No"</t>
  </si>
  <si>
    <t>#   info                      : "This setting controls whether local administrators are allowed to create local firewall rules that apply together with firewall rules configured by Group Policy."</t>
  </si>
  <si>
    <t>#   powershell_args           : "$p = Get-ItemProperty -Path 'Registry::HKEY_LOCAL_MACHINE\Software\Policies\Microsoft\WindowsFirewall\PublicProfile' -ErrorAction SilentlyContinue; $val = if ($p -and $p.PSObject.Properties['AllowLocalPolicyMerge'] -ne $null) { [int]$p.'AllowLocalPolicyMerge' } else { 0 }; [string]$val"</t>
  </si>
  <si>
    <t>#   description               : "1.0451 - MSWRK - Ensure Windows Firewall: Public: Settings: Apply local connection security rules is set to No"</t>
  </si>
  <si>
    <t>#   info                      : "This setting controls whether local administrators are allowed to create connection security rules that apply together with connection security rules configured by Group Policy."</t>
  </si>
  <si>
    <t>#   powershell_args           : "$p = Get-ItemProperty -Path 'Registry::HKEY_LOCAL_MACHINE\Software\Policies\Microsoft\WindowsFirewall\PublicProfile' -ErrorAction SilentlyContinue; $val = if ($p -and $p.PSObject.Properties['AllowLocalIPsecPolicyMerge'] -ne $null) { [int]$p.'AllowLocalIPsecPolicyMerge' } else { 0 }; [string]$val"</t>
  </si>
  <si>
    <t>#   description               : "1.0452 - MSWRK - Ensure Windows Firewall: Public: Logging: Name is configured"</t>
  </si>
  <si>
    <t>#   value_data                : "%SYSTEMROOT%\System32\logfiles\firewall\publicfw.log"</t>
  </si>
  <si>
    <t>#   powershell_args           : "$p = Get-ItemProperty -Path 'Registry::HKEY_LOCAL_MACHINE\Software\Policies\Microsoft\WindowsFirewall\PublicProfile\Logging' -ErrorAction SilentlyContinue; $raw = if ($p -and $p.PSObject.Properties['LogFilePath'] -ne $null) { [string]$p.'LogFilePath' } else { $null }; if ($raw) { $raw } else { 'NOT_FOUND' }"</t>
  </si>
  <si>
    <t>#   description               : "1.0453 - MSWRK - Ensure Windows Firewall: Public: Logging: Size limit (KB) is set to 16,384 KB or greater"</t>
  </si>
  <si>
    <t>#   powershell_args           : "$p = Get-ItemProperty -Path 'Registry::HKEY_LOCAL_MACHINE\Software\Policies\Microsoft\WindowsFirewall\PublicProfile\Logging' -ErrorAction SilentlyContinue; $val = if ($p -and $p.PSObject.Properties['LogFileSize'] -ne $null) { [int]$p.'LogFileSize' } else { 0 }; [string]$val"</t>
  </si>
  <si>
    <t>#   description               : "1.0454 - MSWRK - Ensure Windows Firewall: Public: Logging: Log dropped packets is set to Yes"</t>
  </si>
  <si>
    <t>#   powershell_args           : "$p = Get-ItemProperty -Path 'Registry::HKEY_LOCAL_MACHINE\Software\Policies\Microsoft\WindowsFirewall\PublicProfile\Logging' -ErrorAction SilentlyContinue; $val = if ($p -and $p.PSObject.Properties['LogDroppedPackets'] -ne $null) { [int]$p.'LogDroppedPackets' } else { 0 }; [string]$val"</t>
  </si>
  <si>
    <t>#   description               : "1.0455 - MSWRK - Ensure Windows Firewall: Public: Logging: Log successful connections is set to Yes"</t>
  </si>
  <si>
    <t>#   powershell_args           : "$p = Get-ItemProperty -Path 'Registry::HKEY_LOCAL_MACHINE\Software\Policies\Microsoft\WindowsFirewall\PublicProfile\Logging' -ErrorAction SilentlyContinue; $val = if ($p -and $p.PSObject.Properties['LogSuccessfulConnections'] -ne $null) { [int]$p.'LogSuccessfulConnections' } else { 0 }; [string]$val"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</si>
</sst>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01033-CD20-4A66-B534-B1AD78CD85FB}">
  <dimension ref="A1:A767"/>
  <sheetViews>
    <sheetView tabSelected="1" workbookViewId="0">
      <selection activeCell="A8" sqref="A8"/>
    </sheetView>
  </sheetViews>
  <sheetFormatPr defaultRowHeight="15" x14ac:dyDescent="0.25"/>
  <cols>
    <col min="1" max="1" width="176.140625" bestFit="1" customWidth="1"/>
  </cols>
  <sheetData>
    <row r="1" spans="1:1" x14ac:dyDescent="0.25">
      <c r="A1" t="s">
        <v>1190</v>
      </c>
    </row>
    <row r="2" spans="1:1" x14ac:dyDescent="0.25">
      <c r="A2" t="s">
        <v>1191</v>
      </c>
    </row>
    <row r="3" spans="1:1" x14ac:dyDescent="0.25">
      <c r="A3" t="s">
        <v>1192</v>
      </c>
    </row>
    <row r="4" spans="1:1" x14ac:dyDescent="0.25">
      <c r="A4" t="s">
        <v>1190</v>
      </c>
    </row>
    <row r="6" spans="1:1" x14ac:dyDescent="0.25">
      <c r="A6" t="s">
        <v>1193</v>
      </c>
    </row>
    <row r="7" spans="1:1" x14ac:dyDescent="0.25">
      <c r="A7" t="s">
        <v>1190</v>
      </c>
    </row>
    <row r="10" spans="1:1" x14ac:dyDescent="0.25">
      <c r="A10" t="s">
        <v>1194</v>
      </c>
    </row>
    <row r="11" spans="1:1" x14ac:dyDescent="0.25">
      <c r="A11" t="s">
        <v>1195</v>
      </c>
    </row>
    <row r="13" spans="1:1" x14ac:dyDescent="0.25">
      <c r="A13" t="s">
        <v>1196</v>
      </c>
    </row>
    <row r="14" spans="1:1" x14ac:dyDescent="0.25">
      <c r="A14" t="s">
        <v>1197</v>
      </c>
    </row>
    <row r="16" spans="1:1" x14ac:dyDescent="0.25">
      <c r="A16" t="s">
        <v>1198</v>
      </c>
    </row>
    <row r="17" spans="1:1" x14ac:dyDescent="0.25">
      <c r="A17" t="s">
        <v>1199</v>
      </c>
    </row>
    <row r="18" spans="1:1" x14ac:dyDescent="0.25">
      <c r="A18" t="s">
        <v>1200</v>
      </c>
    </row>
    <row r="19" spans="1:1" x14ac:dyDescent="0.25">
      <c r="A19" t="s">
        <v>1201</v>
      </c>
    </row>
    <row r="20" spans="1:1" x14ac:dyDescent="0.25">
      <c r="A20" t="s">
        <v>1202</v>
      </c>
    </row>
    <row r="21" spans="1:1" x14ac:dyDescent="0.25">
      <c r="A21" t="s">
        <v>1203</v>
      </c>
    </row>
    <row r="22" spans="1:1" x14ac:dyDescent="0.25">
      <c r="A22" t="s">
        <v>1204</v>
      </c>
    </row>
    <row r="23" spans="1:1" x14ac:dyDescent="0.25">
      <c r="A23" t="s">
        <v>1205</v>
      </c>
    </row>
    <row r="24" spans="1:1" x14ac:dyDescent="0.25">
      <c r="A24" t="s">
        <v>1206</v>
      </c>
    </row>
    <row r="25" spans="1:1" x14ac:dyDescent="0.25">
      <c r="A25" t="s">
        <v>1207</v>
      </c>
    </row>
    <row r="26" spans="1:1" x14ac:dyDescent="0.25">
      <c r="A26" t="s">
        <v>1208</v>
      </c>
    </row>
    <row r="27" spans="1:1" x14ac:dyDescent="0.25">
      <c r="A27" t="s">
        <v>1209</v>
      </c>
    </row>
    <row r="28" spans="1:1" x14ac:dyDescent="0.25">
      <c r="A28" t="s">
        <v>1210</v>
      </c>
    </row>
    <row r="29" spans="1:1" x14ac:dyDescent="0.25">
      <c r="A29" t="s">
        <v>1211</v>
      </c>
    </row>
    <row r="30" spans="1:1" x14ac:dyDescent="0.25">
      <c r="A30" t="s">
        <v>1212</v>
      </c>
    </row>
    <row r="31" spans="1:1" x14ac:dyDescent="0.25">
      <c r="A31" t="s">
        <v>1213</v>
      </c>
    </row>
    <row r="32" spans="1:1" x14ac:dyDescent="0.25">
      <c r="A32" t="s">
        <v>1214</v>
      </c>
    </row>
    <row r="33" spans="1:1" x14ac:dyDescent="0.25">
      <c r="A33" t="s">
        <v>1215</v>
      </c>
    </row>
    <row r="34" spans="1:1" x14ac:dyDescent="0.25">
      <c r="A34" t="s">
        <v>1216</v>
      </c>
    </row>
    <row r="36" spans="1:1" x14ac:dyDescent="0.25">
      <c r="A36" t="s">
        <v>1217</v>
      </c>
    </row>
    <row r="37" spans="1:1" x14ac:dyDescent="0.25">
      <c r="A37" t="s">
        <v>1218</v>
      </c>
    </row>
    <row r="39" spans="1:1" x14ac:dyDescent="0.25">
      <c r="A39" t="s">
        <v>1219</v>
      </c>
    </row>
    <row r="40" spans="1:1" x14ac:dyDescent="0.25">
      <c r="A40" t="s">
        <v>1220</v>
      </c>
    </row>
    <row r="42" spans="1:1" x14ac:dyDescent="0.25">
      <c r="A42" t="s">
        <v>1221</v>
      </c>
    </row>
    <row r="43" spans="1:1" x14ac:dyDescent="0.25">
      <c r="A43" t="s">
        <v>1222</v>
      </c>
    </row>
    <row r="45" spans="1:1" x14ac:dyDescent="0.25">
      <c r="A45" t="s">
        <v>1223</v>
      </c>
    </row>
    <row r="46" spans="1:1" x14ac:dyDescent="0.25">
      <c r="A46" t="s">
        <v>1224</v>
      </c>
    </row>
    <row r="48" spans="1:1" x14ac:dyDescent="0.25">
      <c r="A48" t="s">
        <v>1225</v>
      </c>
    </row>
    <row r="49" spans="1:1" x14ac:dyDescent="0.25">
      <c r="A49" t="s">
        <v>1226</v>
      </c>
    </row>
    <row r="51" spans="1:1" x14ac:dyDescent="0.25">
      <c r="A51" t="s">
        <v>1227</v>
      </c>
    </row>
    <row r="52" spans="1:1" x14ac:dyDescent="0.25">
      <c r="A52" t="s">
        <v>1228</v>
      </c>
    </row>
    <row r="53" spans="1:1" x14ac:dyDescent="0.25">
      <c r="A53" t="s">
        <v>1229</v>
      </c>
    </row>
    <row r="55" spans="1:1" x14ac:dyDescent="0.25">
      <c r="A55" t="s">
        <v>1230</v>
      </c>
    </row>
    <row r="56" spans="1:1" x14ac:dyDescent="0.25">
      <c r="A56" t="s">
        <v>1231</v>
      </c>
    </row>
    <row r="57" spans="1:1" x14ac:dyDescent="0.25">
      <c r="A57" t="s">
        <v>1232</v>
      </c>
    </row>
    <row r="59" spans="1:1" x14ac:dyDescent="0.25">
      <c r="A59" t="s">
        <v>1233</v>
      </c>
    </row>
    <row r="60" spans="1:1" x14ac:dyDescent="0.25">
      <c r="A60" t="s">
        <v>1234</v>
      </c>
    </row>
    <row r="61" spans="1:1" x14ac:dyDescent="0.25">
      <c r="A61" t="s">
        <v>1235</v>
      </c>
    </row>
    <row r="63" spans="1:1" x14ac:dyDescent="0.25">
      <c r="A63" t="s">
        <v>1236</v>
      </c>
    </row>
    <row r="64" spans="1:1" x14ac:dyDescent="0.25">
      <c r="A64" t="s">
        <v>1237</v>
      </c>
    </row>
    <row r="66" spans="1:1" x14ac:dyDescent="0.25">
      <c r="A66" t="s">
        <v>1238</v>
      </c>
    </row>
    <row r="67" spans="1:1" x14ac:dyDescent="0.25">
      <c r="A67" t="s">
        <v>1239</v>
      </c>
    </row>
    <row r="68" spans="1:1" x14ac:dyDescent="0.25">
      <c r="A68" t="s">
        <v>1240</v>
      </c>
    </row>
    <row r="70" spans="1:1" x14ac:dyDescent="0.25">
      <c r="A70" t="s">
        <v>1241</v>
      </c>
    </row>
    <row r="71" spans="1:1" x14ac:dyDescent="0.25">
      <c r="A71" t="s">
        <v>1242</v>
      </c>
    </row>
    <row r="72" spans="1:1" x14ac:dyDescent="0.25">
      <c r="A72" t="s">
        <v>1243</v>
      </c>
    </row>
    <row r="74" spans="1:1" x14ac:dyDescent="0.25">
      <c r="A74" t="s">
        <v>1244</v>
      </c>
    </row>
    <row r="75" spans="1:1" x14ac:dyDescent="0.25">
      <c r="A75" t="s">
        <v>1245</v>
      </c>
    </row>
    <row r="76" spans="1:1" x14ac:dyDescent="0.25">
      <c r="A76" t="s">
        <v>1246</v>
      </c>
    </row>
    <row r="82" spans="1:1" x14ac:dyDescent="0.25">
      <c r="A82" t="s">
        <v>1247</v>
      </c>
    </row>
    <row r="83" spans="1:1" x14ac:dyDescent="0.25">
      <c r="A83" t="s">
        <v>1248</v>
      </c>
    </row>
    <row r="86" spans="1:1" x14ac:dyDescent="0.25">
      <c r="A86" t="s">
        <v>1249</v>
      </c>
    </row>
    <row r="87" spans="1:1" x14ac:dyDescent="0.25">
      <c r="A87" t="s">
        <v>1190</v>
      </c>
    </row>
    <row r="88" spans="1:1" x14ac:dyDescent="0.25">
      <c r="A88" t="s">
        <v>1250</v>
      </c>
    </row>
    <row r="89" spans="1:1" x14ac:dyDescent="0.25">
      <c r="A89" t="s">
        <v>1251</v>
      </c>
    </row>
    <row r="90" spans="1:1" x14ac:dyDescent="0.25">
      <c r="A90" t="s">
        <v>1252</v>
      </c>
    </row>
    <row r="92" spans="1:1" x14ac:dyDescent="0.25">
      <c r="A92" t="s">
        <v>1253</v>
      </c>
    </row>
    <row r="93" spans="1:1" x14ac:dyDescent="0.25">
      <c r="A93" t="s">
        <v>1254</v>
      </c>
    </row>
    <row r="94" spans="1:1" x14ac:dyDescent="0.25">
      <c r="A94" t="s">
        <v>1255</v>
      </c>
    </row>
    <row r="96" spans="1:1" x14ac:dyDescent="0.25">
      <c r="A96" t="s">
        <v>1256</v>
      </c>
    </row>
    <row r="97" spans="1:1" x14ac:dyDescent="0.25">
      <c r="A97" t="s">
        <v>1257</v>
      </c>
    </row>
    <row r="98" spans="1:1" x14ac:dyDescent="0.25">
      <c r="A98" t="s">
        <v>1258</v>
      </c>
    </row>
    <row r="100" spans="1:1" x14ac:dyDescent="0.25">
      <c r="A100" t="s">
        <v>1259</v>
      </c>
    </row>
    <row r="101" spans="1:1" x14ac:dyDescent="0.25">
      <c r="A101" t="s">
        <v>1260</v>
      </c>
    </row>
    <row r="102" spans="1:1" x14ac:dyDescent="0.25">
      <c r="A102" t="s">
        <v>1261</v>
      </c>
    </row>
    <row r="104" spans="1:1" x14ac:dyDescent="0.25">
      <c r="A104" t="s">
        <v>1262</v>
      </c>
    </row>
    <row r="105" spans="1:1" x14ac:dyDescent="0.25">
      <c r="A105" t="s">
        <v>1263</v>
      </c>
    </row>
    <row r="106" spans="1:1" x14ac:dyDescent="0.25">
      <c r="A106" t="s">
        <v>1264</v>
      </c>
    </row>
    <row r="108" spans="1:1" x14ac:dyDescent="0.25">
      <c r="A108" t="s">
        <v>1265</v>
      </c>
    </row>
    <row r="109" spans="1:1" x14ac:dyDescent="0.25">
      <c r="A109" t="s">
        <v>1266</v>
      </c>
    </row>
    <row r="110" spans="1:1" x14ac:dyDescent="0.25">
      <c r="A110" t="s">
        <v>1267</v>
      </c>
    </row>
    <row r="112" spans="1:1" x14ac:dyDescent="0.25">
      <c r="A112" t="s">
        <v>1268</v>
      </c>
    </row>
    <row r="113" spans="1:1" x14ac:dyDescent="0.25">
      <c r="A113" t="s">
        <v>1269</v>
      </c>
    </row>
    <row r="114" spans="1:1" x14ac:dyDescent="0.25">
      <c r="A114" t="s">
        <v>1270</v>
      </c>
    </row>
    <row r="116" spans="1:1" x14ac:dyDescent="0.25">
      <c r="A116" t="s">
        <v>1271</v>
      </c>
    </row>
    <row r="117" spans="1:1" x14ac:dyDescent="0.25">
      <c r="A117" t="s">
        <v>1272</v>
      </c>
    </row>
    <row r="118" spans="1:1" x14ac:dyDescent="0.25">
      <c r="A118" t="s">
        <v>1273</v>
      </c>
    </row>
    <row r="120" spans="1:1" x14ac:dyDescent="0.25">
      <c r="A120" t="s">
        <v>1274</v>
      </c>
    </row>
    <row r="121" spans="1:1" x14ac:dyDescent="0.25">
      <c r="A121" t="s">
        <v>1275</v>
      </c>
    </row>
    <row r="122" spans="1:1" x14ac:dyDescent="0.25">
      <c r="A122" t="s">
        <v>1276</v>
      </c>
    </row>
    <row r="124" spans="1:1" x14ac:dyDescent="0.25">
      <c r="A124" t="s">
        <v>1277</v>
      </c>
    </row>
    <row r="125" spans="1:1" x14ac:dyDescent="0.25">
      <c r="A125" t="s">
        <v>1278</v>
      </c>
    </row>
    <row r="126" spans="1:1" x14ac:dyDescent="0.25">
      <c r="A126" t="s">
        <v>1279</v>
      </c>
    </row>
    <row r="128" spans="1:1" x14ac:dyDescent="0.25">
      <c r="A128" t="s">
        <v>1280</v>
      </c>
    </row>
    <row r="129" spans="1:1" x14ac:dyDescent="0.25">
      <c r="A129" t="s">
        <v>1281</v>
      </c>
    </row>
    <row r="130" spans="1:1" x14ac:dyDescent="0.25">
      <c r="A130" t="s">
        <v>1282</v>
      </c>
    </row>
    <row r="132" spans="1:1" x14ac:dyDescent="0.25">
      <c r="A132" t="s">
        <v>1283</v>
      </c>
    </row>
    <row r="133" spans="1:1" x14ac:dyDescent="0.25">
      <c r="A133" t="s">
        <v>1284</v>
      </c>
    </row>
    <row r="134" spans="1:1" x14ac:dyDescent="0.25">
      <c r="A134" t="s">
        <v>1285</v>
      </c>
    </row>
    <row r="136" spans="1:1" x14ac:dyDescent="0.25">
      <c r="A136" t="s">
        <v>1286</v>
      </c>
    </row>
    <row r="137" spans="1:1" x14ac:dyDescent="0.25">
      <c r="A137" t="s">
        <v>1287</v>
      </c>
    </row>
    <row r="138" spans="1:1" x14ac:dyDescent="0.25">
      <c r="A138" t="s">
        <v>1288</v>
      </c>
    </row>
    <row r="140" spans="1:1" x14ac:dyDescent="0.25">
      <c r="A140" t="s">
        <v>1289</v>
      </c>
    </row>
    <row r="141" spans="1:1" x14ac:dyDescent="0.25">
      <c r="A141" t="s">
        <v>1290</v>
      </c>
    </row>
    <row r="142" spans="1:1" x14ac:dyDescent="0.25">
      <c r="A142" t="s">
        <v>1291</v>
      </c>
    </row>
    <row r="144" spans="1:1" x14ac:dyDescent="0.25">
      <c r="A144" t="s">
        <v>1292</v>
      </c>
    </row>
    <row r="145" spans="1:1" x14ac:dyDescent="0.25">
      <c r="A145" t="s">
        <v>1293</v>
      </c>
    </row>
    <row r="146" spans="1:1" x14ac:dyDescent="0.25">
      <c r="A146" t="s">
        <v>1294</v>
      </c>
    </row>
    <row r="148" spans="1:1" x14ac:dyDescent="0.25">
      <c r="A148" t="s">
        <v>1295</v>
      </c>
    </row>
    <row r="149" spans="1:1" x14ac:dyDescent="0.25">
      <c r="A149" t="s">
        <v>1296</v>
      </c>
    </row>
    <row r="150" spans="1:1" x14ac:dyDescent="0.25">
      <c r="A150" t="s">
        <v>1297</v>
      </c>
    </row>
    <row r="152" spans="1:1" x14ac:dyDescent="0.25">
      <c r="A152" t="s">
        <v>1298</v>
      </c>
    </row>
    <row r="153" spans="1:1" x14ac:dyDescent="0.25">
      <c r="A153" t="s">
        <v>1299</v>
      </c>
    </row>
    <row r="154" spans="1:1" x14ac:dyDescent="0.25">
      <c r="A154" t="s">
        <v>1300</v>
      </c>
    </row>
    <row r="156" spans="1:1" x14ac:dyDescent="0.25">
      <c r="A156" t="s">
        <v>1301</v>
      </c>
    </row>
    <row r="157" spans="1:1" x14ac:dyDescent="0.25">
      <c r="A157" t="s">
        <v>1302</v>
      </c>
    </row>
    <row r="158" spans="1:1" x14ac:dyDescent="0.25">
      <c r="A158" t="s">
        <v>1303</v>
      </c>
    </row>
    <row r="160" spans="1:1" x14ac:dyDescent="0.25">
      <c r="A160" t="s">
        <v>1304</v>
      </c>
    </row>
    <row r="161" spans="1:1" x14ac:dyDescent="0.25">
      <c r="A161" t="s">
        <v>1305</v>
      </c>
    </row>
    <row r="162" spans="1:1" x14ac:dyDescent="0.25">
      <c r="A162" t="s">
        <v>1306</v>
      </c>
    </row>
    <row r="164" spans="1:1" x14ac:dyDescent="0.25">
      <c r="A164" t="s">
        <v>1307</v>
      </c>
    </row>
    <row r="165" spans="1:1" x14ac:dyDescent="0.25">
      <c r="A165" t="s">
        <v>1308</v>
      </c>
    </row>
    <row r="166" spans="1:1" x14ac:dyDescent="0.25">
      <c r="A166" t="s">
        <v>1309</v>
      </c>
    </row>
    <row r="168" spans="1:1" x14ac:dyDescent="0.25">
      <c r="A168" t="s">
        <v>1310</v>
      </c>
    </row>
    <row r="169" spans="1:1" x14ac:dyDescent="0.25">
      <c r="A169" t="s">
        <v>1311</v>
      </c>
    </row>
    <row r="170" spans="1:1" x14ac:dyDescent="0.25">
      <c r="A170" t="s">
        <v>1312</v>
      </c>
    </row>
    <row r="172" spans="1:1" x14ac:dyDescent="0.25">
      <c r="A172" t="s">
        <v>1313</v>
      </c>
    </row>
    <row r="173" spans="1:1" x14ac:dyDescent="0.25">
      <c r="A173" t="s">
        <v>1314</v>
      </c>
    </row>
    <row r="174" spans="1:1" x14ac:dyDescent="0.25">
      <c r="A174" t="s">
        <v>1315</v>
      </c>
    </row>
    <row r="176" spans="1:1" x14ac:dyDescent="0.25">
      <c r="A176" t="s">
        <v>1316</v>
      </c>
    </row>
    <row r="177" spans="1:1" x14ac:dyDescent="0.25">
      <c r="A177" t="s">
        <v>1317</v>
      </c>
    </row>
    <row r="178" spans="1:1" x14ac:dyDescent="0.25">
      <c r="A178" t="s">
        <v>1318</v>
      </c>
    </row>
    <row r="180" spans="1:1" x14ac:dyDescent="0.25">
      <c r="A180" t="s">
        <v>1319</v>
      </c>
    </row>
    <row r="181" spans="1:1" x14ac:dyDescent="0.25">
      <c r="A181" t="s">
        <v>1320</v>
      </c>
    </row>
    <row r="182" spans="1:1" x14ac:dyDescent="0.25">
      <c r="A182" t="s">
        <v>1321</v>
      </c>
    </row>
    <row r="184" spans="1:1" x14ac:dyDescent="0.25">
      <c r="A184" t="s">
        <v>1322</v>
      </c>
    </row>
    <row r="185" spans="1:1" x14ac:dyDescent="0.25">
      <c r="A185" t="s">
        <v>1323</v>
      </c>
    </row>
    <row r="186" spans="1:1" x14ac:dyDescent="0.25">
      <c r="A186" t="s">
        <v>1324</v>
      </c>
    </row>
    <row r="188" spans="1:1" x14ac:dyDescent="0.25">
      <c r="A188" t="s">
        <v>1325</v>
      </c>
    </row>
    <row r="189" spans="1:1" x14ac:dyDescent="0.25">
      <c r="A189" t="s">
        <v>1326</v>
      </c>
    </row>
    <row r="190" spans="1:1" x14ac:dyDescent="0.25">
      <c r="A190" t="s">
        <v>1327</v>
      </c>
    </row>
    <row r="192" spans="1:1" x14ac:dyDescent="0.25">
      <c r="A192" t="s">
        <v>1328</v>
      </c>
    </row>
    <row r="193" spans="1:1" x14ac:dyDescent="0.25">
      <c r="A193" t="s">
        <v>1329</v>
      </c>
    </row>
    <row r="194" spans="1:1" x14ac:dyDescent="0.25">
      <c r="A194" t="s">
        <v>1330</v>
      </c>
    </row>
    <row r="196" spans="1:1" x14ac:dyDescent="0.25">
      <c r="A196" t="s">
        <v>1331</v>
      </c>
    </row>
    <row r="197" spans="1:1" x14ac:dyDescent="0.25">
      <c r="A197" t="s">
        <v>1332</v>
      </c>
    </row>
    <row r="198" spans="1:1" x14ac:dyDescent="0.25">
      <c r="A198" t="s">
        <v>1333</v>
      </c>
    </row>
    <row r="200" spans="1:1" x14ac:dyDescent="0.25">
      <c r="A200" t="s">
        <v>1334</v>
      </c>
    </row>
    <row r="201" spans="1:1" x14ac:dyDescent="0.25">
      <c r="A201" t="s">
        <v>1335</v>
      </c>
    </row>
    <row r="202" spans="1:1" x14ac:dyDescent="0.25">
      <c r="A202" t="s">
        <v>1336</v>
      </c>
    </row>
    <row r="204" spans="1:1" x14ac:dyDescent="0.25">
      <c r="A204" t="s">
        <v>1337</v>
      </c>
    </row>
    <row r="205" spans="1:1" x14ac:dyDescent="0.25">
      <c r="A205" t="s">
        <v>1338</v>
      </c>
    </row>
    <row r="206" spans="1:1" x14ac:dyDescent="0.25">
      <c r="A206" t="s">
        <v>1339</v>
      </c>
    </row>
    <row r="208" spans="1:1" x14ac:dyDescent="0.25">
      <c r="A208" t="s">
        <v>1340</v>
      </c>
    </row>
    <row r="209" spans="1:1" x14ac:dyDescent="0.25">
      <c r="A209" t="s">
        <v>1341</v>
      </c>
    </row>
    <row r="210" spans="1:1" x14ac:dyDescent="0.25">
      <c r="A210" t="s">
        <v>1342</v>
      </c>
    </row>
    <row r="212" spans="1:1" x14ac:dyDescent="0.25">
      <c r="A212" t="s">
        <v>1343</v>
      </c>
    </row>
    <row r="213" spans="1:1" x14ac:dyDescent="0.25">
      <c r="A213" t="s">
        <v>1344</v>
      </c>
    </row>
    <row r="214" spans="1:1" x14ac:dyDescent="0.25">
      <c r="A214" t="s">
        <v>1345</v>
      </c>
    </row>
    <row r="216" spans="1:1" x14ac:dyDescent="0.25">
      <c r="A216" t="s">
        <v>1346</v>
      </c>
    </row>
    <row r="217" spans="1:1" x14ac:dyDescent="0.25">
      <c r="A217" t="s">
        <v>1347</v>
      </c>
    </row>
    <row r="218" spans="1:1" x14ac:dyDescent="0.25">
      <c r="A218" t="s">
        <v>1348</v>
      </c>
    </row>
    <row r="220" spans="1:1" x14ac:dyDescent="0.25">
      <c r="A220" t="s">
        <v>1349</v>
      </c>
    </row>
    <row r="221" spans="1:1" x14ac:dyDescent="0.25">
      <c r="A221" t="s">
        <v>1350</v>
      </c>
    </row>
    <row r="222" spans="1:1" x14ac:dyDescent="0.25">
      <c r="A222" t="s">
        <v>1351</v>
      </c>
    </row>
    <row r="224" spans="1:1" x14ac:dyDescent="0.25">
      <c r="A224" t="s">
        <v>1352</v>
      </c>
    </row>
    <row r="225" spans="1:1" x14ac:dyDescent="0.25">
      <c r="A225" t="s">
        <v>1353</v>
      </c>
    </row>
    <row r="226" spans="1:1" x14ac:dyDescent="0.25">
      <c r="A226" t="s">
        <v>1354</v>
      </c>
    </row>
    <row r="228" spans="1:1" x14ac:dyDescent="0.25">
      <c r="A228" t="s">
        <v>1355</v>
      </c>
    </row>
    <row r="229" spans="1:1" x14ac:dyDescent="0.25">
      <c r="A229" t="s">
        <v>1356</v>
      </c>
    </row>
    <row r="230" spans="1:1" x14ac:dyDescent="0.25">
      <c r="A230" t="s">
        <v>1357</v>
      </c>
    </row>
    <row r="232" spans="1:1" x14ac:dyDescent="0.25">
      <c r="A232" t="s">
        <v>1358</v>
      </c>
    </row>
    <row r="233" spans="1:1" x14ac:dyDescent="0.25">
      <c r="A233" t="s">
        <v>1359</v>
      </c>
    </row>
    <row r="234" spans="1:1" x14ac:dyDescent="0.25">
      <c r="A234" t="s">
        <v>1360</v>
      </c>
    </row>
    <row r="236" spans="1:1" x14ac:dyDescent="0.25">
      <c r="A236" t="s">
        <v>1361</v>
      </c>
    </row>
    <row r="237" spans="1:1" x14ac:dyDescent="0.25">
      <c r="A237" t="s">
        <v>1362</v>
      </c>
    </row>
    <row r="238" spans="1:1" x14ac:dyDescent="0.25">
      <c r="A238" t="s">
        <v>1363</v>
      </c>
    </row>
    <row r="240" spans="1:1" x14ac:dyDescent="0.25">
      <c r="A240" t="s">
        <v>1364</v>
      </c>
    </row>
    <row r="241" spans="1:1" x14ac:dyDescent="0.25">
      <c r="A241" t="s">
        <v>1365</v>
      </c>
    </row>
    <row r="242" spans="1:1" x14ac:dyDescent="0.25">
      <c r="A242" t="s">
        <v>1366</v>
      </c>
    </row>
    <row r="244" spans="1:1" x14ac:dyDescent="0.25">
      <c r="A244" t="s">
        <v>1367</v>
      </c>
    </row>
    <row r="245" spans="1:1" x14ac:dyDescent="0.25">
      <c r="A245" t="s">
        <v>1368</v>
      </c>
    </row>
    <row r="246" spans="1:1" x14ac:dyDescent="0.25">
      <c r="A246" t="s">
        <v>1369</v>
      </c>
    </row>
    <row r="248" spans="1:1" x14ac:dyDescent="0.25">
      <c r="A248" t="s">
        <v>1370</v>
      </c>
    </row>
    <row r="249" spans="1:1" x14ac:dyDescent="0.25">
      <c r="A249" t="s">
        <v>1371</v>
      </c>
    </row>
    <row r="250" spans="1:1" x14ac:dyDescent="0.25">
      <c r="A250" t="s">
        <v>1372</v>
      </c>
    </row>
    <row r="252" spans="1:1" x14ac:dyDescent="0.25">
      <c r="A252" t="s">
        <v>1373</v>
      </c>
    </row>
    <row r="253" spans="1:1" x14ac:dyDescent="0.25">
      <c r="A253" t="s">
        <v>1374</v>
      </c>
    </row>
    <row r="254" spans="1:1" x14ac:dyDescent="0.25">
      <c r="A254" t="s">
        <v>1375</v>
      </c>
    </row>
    <row r="256" spans="1:1" x14ac:dyDescent="0.25">
      <c r="A256" t="s">
        <v>1376</v>
      </c>
    </row>
    <row r="257" spans="1:1" x14ac:dyDescent="0.25">
      <c r="A257" t="s">
        <v>1377</v>
      </c>
    </row>
    <row r="258" spans="1:1" x14ac:dyDescent="0.25">
      <c r="A258" t="s">
        <v>1378</v>
      </c>
    </row>
    <row r="260" spans="1:1" x14ac:dyDescent="0.25">
      <c r="A260" t="s">
        <v>1379</v>
      </c>
    </row>
    <row r="261" spans="1:1" x14ac:dyDescent="0.25">
      <c r="A261" t="s">
        <v>1380</v>
      </c>
    </row>
    <row r="262" spans="1:1" x14ac:dyDescent="0.25">
      <c r="A262" t="s">
        <v>1381</v>
      </c>
    </row>
    <row r="264" spans="1:1" x14ac:dyDescent="0.25">
      <c r="A264" t="s">
        <v>1382</v>
      </c>
    </row>
    <row r="265" spans="1:1" x14ac:dyDescent="0.25">
      <c r="A265" t="s">
        <v>1383</v>
      </c>
    </row>
    <row r="266" spans="1:1" x14ac:dyDescent="0.25">
      <c r="A266" t="s">
        <v>1384</v>
      </c>
    </row>
    <row r="268" spans="1:1" x14ac:dyDescent="0.25">
      <c r="A268" t="s">
        <v>1385</v>
      </c>
    </row>
    <row r="269" spans="1:1" x14ac:dyDescent="0.25">
      <c r="A269" t="s">
        <v>1386</v>
      </c>
    </row>
    <row r="270" spans="1:1" x14ac:dyDescent="0.25">
      <c r="A270" t="s">
        <v>1387</v>
      </c>
    </row>
    <row r="272" spans="1:1" x14ac:dyDescent="0.25">
      <c r="A272" t="s">
        <v>1388</v>
      </c>
    </row>
    <row r="273" spans="1:1" x14ac:dyDescent="0.25">
      <c r="A273" t="s">
        <v>1389</v>
      </c>
    </row>
    <row r="274" spans="1:1" x14ac:dyDescent="0.25">
      <c r="A274" t="s">
        <v>1390</v>
      </c>
    </row>
    <row r="276" spans="1:1" x14ac:dyDescent="0.25">
      <c r="A276" t="s">
        <v>1391</v>
      </c>
    </row>
    <row r="277" spans="1:1" x14ac:dyDescent="0.25">
      <c r="A277" t="s">
        <v>1392</v>
      </c>
    </row>
    <row r="278" spans="1:1" x14ac:dyDescent="0.25">
      <c r="A278" t="s">
        <v>1393</v>
      </c>
    </row>
    <row r="280" spans="1:1" x14ac:dyDescent="0.25">
      <c r="A280" t="s">
        <v>1394</v>
      </c>
    </row>
    <row r="281" spans="1:1" x14ac:dyDescent="0.25">
      <c r="A281" t="s">
        <v>1395</v>
      </c>
    </row>
    <row r="282" spans="1:1" x14ac:dyDescent="0.25">
      <c r="A282" t="s">
        <v>1396</v>
      </c>
    </row>
    <row r="284" spans="1:1" x14ac:dyDescent="0.25">
      <c r="A284" t="s">
        <v>1397</v>
      </c>
    </row>
    <row r="285" spans="1:1" x14ac:dyDescent="0.25">
      <c r="A285" t="s">
        <v>1398</v>
      </c>
    </row>
    <row r="286" spans="1:1" x14ac:dyDescent="0.25">
      <c r="A286" t="s">
        <v>1399</v>
      </c>
    </row>
    <row r="288" spans="1:1" x14ac:dyDescent="0.25">
      <c r="A288" t="s">
        <v>1400</v>
      </c>
    </row>
    <row r="289" spans="1:1" x14ac:dyDescent="0.25">
      <c r="A289" t="s">
        <v>1398</v>
      </c>
    </row>
    <row r="290" spans="1:1" x14ac:dyDescent="0.25">
      <c r="A290" t="s">
        <v>1399</v>
      </c>
    </row>
    <row r="292" spans="1:1" x14ac:dyDescent="0.25">
      <c r="A292" t="s">
        <v>1401</v>
      </c>
    </row>
    <row r="293" spans="1:1" x14ac:dyDescent="0.25">
      <c r="A293" t="s">
        <v>1402</v>
      </c>
    </row>
    <row r="294" spans="1:1" x14ac:dyDescent="0.25">
      <c r="A294" t="s">
        <v>1403</v>
      </c>
    </row>
    <row r="296" spans="1:1" x14ac:dyDescent="0.25">
      <c r="A296" t="s">
        <v>1404</v>
      </c>
    </row>
    <row r="297" spans="1:1" x14ac:dyDescent="0.25">
      <c r="A297" t="s">
        <v>1405</v>
      </c>
    </row>
    <row r="298" spans="1:1" x14ac:dyDescent="0.25">
      <c r="A298" t="s">
        <v>1406</v>
      </c>
    </row>
    <row r="300" spans="1:1" x14ac:dyDescent="0.25">
      <c r="A300" t="s">
        <v>1407</v>
      </c>
    </row>
    <row r="301" spans="1:1" x14ac:dyDescent="0.25">
      <c r="A301" t="s">
        <v>1408</v>
      </c>
    </row>
    <row r="302" spans="1:1" x14ac:dyDescent="0.25">
      <c r="A302" t="s">
        <v>1409</v>
      </c>
    </row>
    <row r="304" spans="1:1" x14ac:dyDescent="0.25">
      <c r="A304" t="s">
        <v>1410</v>
      </c>
    </row>
    <row r="305" spans="1:1" x14ac:dyDescent="0.25">
      <c r="A305" t="s">
        <v>1411</v>
      </c>
    </row>
    <row r="306" spans="1:1" x14ac:dyDescent="0.25">
      <c r="A306" t="s">
        <v>1412</v>
      </c>
    </row>
    <row r="308" spans="1:1" x14ac:dyDescent="0.25">
      <c r="A308" t="s">
        <v>1413</v>
      </c>
    </row>
    <row r="309" spans="1:1" x14ac:dyDescent="0.25">
      <c r="A309" t="s">
        <v>1414</v>
      </c>
    </row>
    <row r="310" spans="1:1" x14ac:dyDescent="0.25">
      <c r="A310" t="s">
        <v>1415</v>
      </c>
    </row>
    <row r="312" spans="1:1" x14ac:dyDescent="0.25">
      <c r="A312" t="s">
        <v>1416</v>
      </c>
    </row>
    <row r="313" spans="1:1" x14ac:dyDescent="0.25">
      <c r="A313" t="s">
        <v>1417</v>
      </c>
    </row>
    <row r="314" spans="1:1" x14ac:dyDescent="0.25">
      <c r="A314" t="s">
        <v>1418</v>
      </c>
    </row>
    <row r="316" spans="1:1" x14ac:dyDescent="0.25">
      <c r="A316" t="s">
        <v>1419</v>
      </c>
    </row>
    <row r="317" spans="1:1" x14ac:dyDescent="0.25">
      <c r="A317" t="s">
        <v>1420</v>
      </c>
    </row>
    <row r="318" spans="1:1" x14ac:dyDescent="0.25">
      <c r="A318" t="s">
        <v>1421</v>
      </c>
    </row>
    <row r="320" spans="1:1" x14ac:dyDescent="0.25">
      <c r="A320" t="s">
        <v>1422</v>
      </c>
    </row>
    <row r="321" spans="1:1" x14ac:dyDescent="0.25">
      <c r="A321" t="s">
        <v>1420</v>
      </c>
    </row>
    <row r="322" spans="1:1" x14ac:dyDescent="0.25">
      <c r="A322" t="s">
        <v>1421</v>
      </c>
    </row>
    <row r="324" spans="1:1" x14ac:dyDescent="0.25">
      <c r="A324" t="s">
        <v>1423</v>
      </c>
    </row>
    <row r="325" spans="1:1" x14ac:dyDescent="0.25">
      <c r="A325" t="s">
        <v>1424</v>
      </c>
    </row>
    <row r="326" spans="1:1" x14ac:dyDescent="0.25">
      <c r="A326" t="s">
        <v>1425</v>
      </c>
    </row>
    <row r="328" spans="1:1" x14ac:dyDescent="0.25">
      <c r="A328" t="s">
        <v>1426</v>
      </c>
    </row>
    <row r="329" spans="1:1" x14ac:dyDescent="0.25">
      <c r="A329" t="s">
        <v>1427</v>
      </c>
    </row>
    <row r="330" spans="1:1" x14ac:dyDescent="0.25">
      <c r="A330" t="s">
        <v>1428</v>
      </c>
    </row>
    <row r="332" spans="1:1" x14ac:dyDescent="0.25">
      <c r="A332" t="s">
        <v>1429</v>
      </c>
    </row>
    <row r="333" spans="1:1" x14ac:dyDescent="0.25">
      <c r="A333" t="s">
        <v>1430</v>
      </c>
    </row>
    <row r="334" spans="1:1" x14ac:dyDescent="0.25">
      <c r="A334" t="s">
        <v>1431</v>
      </c>
    </row>
    <row r="336" spans="1:1" x14ac:dyDescent="0.25">
      <c r="A336" t="s">
        <v>1432</v>
      </c>
    </row>
    <row r="337" spans="1:1" x14ac:dyDescent="0.25">
      <c r="A337" t="s">
        <v>1433</v>
      </c>
    </row>
    <row r="338" spans="1:1" x14ac:dyDescent="0.25">
      <c r="A338" t="s">
        <v>1434</v>
      </c>
    </row>
    <row r="340" spans="1:1" x14ac:dyDescent="0.25">
      <c r="A340" t="s">
        <v>1435</v>
      </c>
    </row>
    <row r="341" spans="1:1" x14ac:dyDescent="0.25">
      <c r="A341" t="s">
        <v>1436</v>
      </c>
    </row>
    <row r="342" spans="1:1" x14ac:dyDescent="0.25">
      <c r="A342" t="s">
        <v>1437</v>
      </c>
    </row>
    <row r="344" spans="1:1" x14ac:dyDescent="0.25">
      <c r="A344" t="s">
        <v>1438</v>
      </c>
    </row>
    <row r="345" spans="1:1" x14ac:dyDescent="0.25">
      <c r="A345" t="s">
        <v>1439</v>
      </c>
    </row>
    <row r="346" spans="1:1" x14ac:dyDescent="0.25">
      <c r="A346" t="s">
        <v>1440</v>
      </c>
    </row>
    <row r="348" spans="1:1" x14ac:dyDescent="0.25">
      <c r="A348" t="s">
        <v>1441</v>
      </c>
    </row>
    <row r="349" spans="1:1" x14ac:dyDescent="0.25">
      <c r="A349" t="s">
        <v>1442</v>
      </c>
    </row>
    <row r="350" spans="1:1" x14ac:dyDescent="0.25">
      <c r="A350" t="s">
        <v>1443</v>
      </c>
    </row>
    <row r="352" spans="1:1" x14ac:dyDescent="0.25">
      <c r="A352" t="s">
        <v>1444</v>
      </c>
    </row>
    <row r="353" spans="1:1" x14ac:dyDescent="0.25">
      <c r="A353" t="s">
        <v>1445</v>
      </c>
    </row>
    <row r="354" spans="1:1" x14ac:dyDescent="0.25">
      <c r="A354" t="s">
        <v>1446</v>
      </c>
    </row>
    <row r="356" spans="1:1" x14ac:dyDescent="0.25">
      <c r="A356" t="s">
        <v>1447</v>
      </c>
    </row>
    <row r="357" spans="1:1" x14ac:dyDescent="0.25">
      <c r="A357" t="s">
        <v>1448</v>
      </c>
    </row>
    <row r="358" spans="1:1" x14ac:dyDescent="0.25">
      <c r="A358" t="s">
        <v>1449</v>
      </c>
    </row>
    <row r="360" spans="1:1" x14ac:dyDescent="0.25">
      <c r="A360" t="s">
        <v>1450</v>
      </c>
    </row>
    <row r="361" spans="1:1" x14ac:dyDescent="0.25">
      <c r="A361" t="s">
        <v>1451</v>
      </c>
    </row>
    <row r="362" spans="1:1" x14ac:dyDescent="0.25">
      <c r="A362" t="s">
        <v>1452</v>
      </c>
    </row>
    <row r="364" spans="1:1" x14ac:dyDescent="0.25">
      <c r="A364" t="s">
        <v>1453</v>
      </c>
    </row>
    <row r="365" spans="1:1" x14ac:dyDescent="0.25">
      <c r="A365" t="s">
        <v>1454</v>
      </c>
    </row>
    <row r="366" spans="1:1" x14ac:dyDescent="0.25">
      <c r="A366" t="s">
        <v>1455</v>
      </c>
    </row>
    <row r="368" spans="1:1" x14ac:dyDescent="0.25">
      <c r="A368" t="s">
        <v>1456</v>
      </c>
    </row>
    <row r="369" spans="1:1" x14ac:dyDescent="0.25">
      <c r="A369" t="s">
        <v>1457</v>
      </c>
    </row>
    <row r="370" spans="1:1" x14ac:dyDescent="0.25">
      <c r="A370" t="s">
        <v>1458</v>
      </c>
    </row>
    <row r="372" spans="1:1" x14ac:dyDescent="0.25">
      <c r="A372" t="s">
        <v>1459</v>
      </c>
    </row>
    <row r="373" spans="1:1" x14ac:dyDescent="0.25">
      <c r="A373" t="s">
        <v>1460</v>
      </c>
    </row>
    <row r="374" spans="1:1" x14ac:dyDescent="0.25">
      <c r="A374" t="s">
        <v>1461</v>
      </c>
    </row>
    <row r="376" spans="1:1" x14ac:dyDescent="0.25">
      <c r="A376" t="s">
        <v>1462</v>
      </c>
    </row>
    <row r="377" spans="1:1" x14ac:dyDescent="0.25">
      <c r="A377" t="s">
        <v>1463</v>
      </c>
    </row>
    <row r="378" spans="1:1" x14ac:dyDescent="0.25">
      <c r="A378" t="s">
        <v>1464</v>
      </c>
    </row>
    <row r="380" spans="1:1" x14ac:dyDescent="0.25">
      <c r="A380" t="s">
        <v>1465</v>
      </c>
    </row>
    <row r="381" spans="1:1" x14ac:dyDescent="0.25">
      <c r="A381" t="s">
        <v>1466</v>
      </c>
    </row>
    <row r="382" spans="1:1" x14ac:dyDescent="0.25">
      <c r="A382" t="s">
        <v>1467</v>
      </c>
    </row>
    <row r="384" spans="1:1" x14ac:dyDescent="0.25">
      <c r="A384" t="s">
        <v>1468</v>
      </c>
    </row>
    <row r="385" spans="1:1" x14ac:dyDescent="0.25">
      <c r="A385" t="s">
        <v>1469</v>
      </c>
    </row>
    <row r="386" spans="1:1" x14ac:dyDescent="0.25">
      <c r="A386" t="s">
        <v>1470</v>
      </c>
    </row>
    <row r="388" spans="1:1" x14ac:dyDescent="0.25">
      <c r="A388" t="s">
        <v>1471</v>
      </c>
    </row>
    <row r="389" spans="1:1" x14ac:dyDescent="0.25">
      <c r="A389" t="s">
        <v>1472</v>
      </c>
    </row>
    <row r="390" spans="1:1" x14ac:dyDescent="0.25">
      <c r="A390" t="s">
        <v>1473</v>
      </c>
    </row>
    <row r="392" spans="1:1" x14ac:dyDescent="0.25">
      <c r="A392" t="s">
        <v>1474</v>
      </c>
    </row>
    <row r="393" spans="1:1" x14ac:dyDescent="0.25">
      <c r="A393" t="s">
        <v>1475</v>
      </c>
    </row>
    <row r="394" spans="1:1" x14ac:dyDescent="0.25">
      <c r="A394" t="s">
        <v>1476</v>
      </c>
    </row>
    <row r="396" spans="1:1" x14ac:dyDescent="0.25">
      <c r="A396" t="s">
        <v>1477</v>
      </c>
    </row>
    <row r="397" spans="1:1" x14ac:dyDescent="0.25">
      <c r="A397" t="s">
        <v>1478</v>
      </c>
    </row>
    <row r="398" spans="1:1" x14ac:dyDescent="0.25">
      <c r="A398" t="s">
        <v>1479</v>
      </c>
    </row>
    <row r="400" spans="1:1" x14ac:dyDescent="0.25">
      <c r="A400" t="s">
        <v>1480</v>
      </c>
    </row>
    <row r="401" spans="1:1" x14ac:dyDescent="0.25">
      <c r="A401" t="s">
        <v>1481</v>
      </c>
    </row>
    <row r="402" spans="1:1" x14ac:dyDescent="0.25">
      <c r="A402" t="s">
        <v>1482</v>
      </c>
    </row>
    <row r="404" spans="1:1" x14ac:dyDescent="0.25">
      <c r="A404" t="s">
        <v>1483</v>
      </c>
    </row>
    <row r="405" spans="1:1" x14ac:dyDescent="0.25">
      <c r="A405" t="s">
        <v>1484</v>
      </c>
    </row>
    <row r="406" spans="1:1" x14ac:dyDescent="0.25">
      <c r="A406" t="s">
        <v>1485</v>
      </c>
    </row>
    <row r="408" spans="1:1" x14ac:dyDescent="0.25">
      <c r="A408" t="s">
        <v>1486</v>
      </c>
    </row>
    <row r="409" spans="1:1" x14ac:dyDescent="0.25">
      <c r="A409" t="s">
        <v>1487</v>
      </c>
    </row>
    <row r="410" spans="1:1" x14ac:dyDescent="0.25">
      <c r="A410" t="s">
        <v>1488</v>
      </c>
    </row>
    <row r="412" spans="1:1" x14ac:dyDescent="0.25">
      <c r="A412" t="s">
        <v>1489</v>
      </c>
    </row>
    <row r="413" spans="1:1" x14ac:dyDescent="0.25">
      <c r="A413" t="s">
        <v>1490</v>
      </c>
    </row>
    <row r="414" spans="1:1" x14ac:dyDescent="0.25">
      <c r="A414" t="s">
        <v>1491</v>
      </c>
    </row>
    <row r="416" spans="1:1" x14ac:dyDescent="0.25">
      <c r="A416" t="s">
        <v>1492</v>
      </c>
    </row>
    <row r="417" spans="1:1" x14ac:dyDescent="0.25">
      <c r="A417" t="s">
        <v>1493</v>
      </c>
    </row>
    <row r="418" spans="1:1" x14ac:dyDescent="0.25">
      <c r="A418" t="s">
        <v>1494</v>
      </c>
    </row>
    <row r="420" spans="1:1" x14ac:dyDescent="0.25">
      <c r="A420" t="s">
        <v>1495</v>
      </c>
    </row>
    <row r="421" spans="1:1" x14ac:dyDescent="0.25">
      <c r="A421" t="s">
        <v>1496</v>
      </c>
    </row>
    <row r="422" spans="1:1" x14ac:dyDescent="0.25">
      <c r="A422" t="s">
        <v>1497</v>
      </c>
    </row>
    <row r="424" spans="1:1" x14ac:dyDescent="0.25">
      <c r="A424" t="s">
        <v>1498</v>
      </c>
    </row>
    <row r="425" spans="1:1" x14ac:dyDescent="0.25">
      <c r="A425" t="s">
        <v>1499</v>
      </c>
    </row>
    <row r="426" spans="1:1" x14ac:dyDescent="0.25">
      <c r="A426" t="s">
        <v>1500</v>
      </c>
    </row>
    <row r="428" spans="1:1" x14ac:dyDescent="0.25">
      <c r="A428" t="s">
        <v>1501</v>
      </c>
    </row>
    <row r="429" spans="1:1" x14ac:dyDescent="0.25">
      <c r="A429" t="s">
        <v>1502</v>
      </c>
    </row>
    <row r="430" spans="1:1" x14ac:dyDescent="0.25">
      <c r="A430" t="s">
        <v>1503</v>
      </c>
    </row>
    <row r="432" spans="1:1" x14ac:dyDescent="0.25">
      <c r="A432" t="s">
        <v>1504</v>
      </c>
    </row>
    <row r="433" spans="1:1" x14ac:dyDescent="0.25">
      <c r="A433" t="s">
        <v>1505</v>
      </c>
    </row>
    <row r="434" spans="1:1" x14ac:dyDescent="0.25">
      <c r="A434" t="s">
        <v>1506</v>
      </c>
    </row>
    <row r="436" spans="1:1" x14ac:dyDescent="0.25">
      <c r="A436" t="s">
        <v>1507</v>
      </c>
    </row>
    <row r="437" spans="1:1" x14ac:dyDescent="0.25">
      <c r="A437" t="s">
        <v>1508</v>
      </c>
    </row>
    <row r="438" spans="1:1" x14ac:dyDescent="0.25">
      <c r="A438" t="s">
        <v>1509</v>
      </c>
    </row>
    <row r="440" spans="1:1" x14ac:dyDescent="0.25">
      <c r="A440" t="s">
        <v>1510</v>
      </c>
    </row>
    <row r="441" spans="1:1" x14ac:dyDescent="0.25">
      <c r="A441" t="s">
        <v>1511</v>
      </c>
    </row>
    <row r="442" spans="1:1" x14ac:dyDescent="0.25">
      <c r="A442" t="s">
        <v>1512</v>
      </c>
    </row>
    <row r="444" spans="1:1" x14ac:dyDescent="0.25">
      <c r="A444" t="s">
        <v>1513</v>
      </c>
    </row>
    <row r="445" spans="1:1" x14ac:dyDescent="0.25">
      <c r="A445" t="s">
        <v>1514</v>
      </c>
    </row>
    <row r="446" spans="1:1" x14ac:dyDescent="0.25">
      <c r="A446" t="s">
        <v>1515</v>
      </c>
    </row>
    <row r="448" spans="1:1" x14ac:dyDescent="0.25">
      <c r="A448" t="s">
        <v>1516</v>
      </c>
    </row>
    <row r="449" spans="1:1" x14ac:dyDescent="0.25">
      <c r="A449" t="s">
        <v>1517</v>
      </c>
    </row>
    <row r="450" spans="1:1" x14ac:dyDescent="0.25">
      <c r="A450" t="s">
        <v>1518</v>
      </c>
    </row>
    <row r="452" spans="1:1" x14ac:dyDescent="0.25">
      <c r="A452" t="s">
        <v>1519</v>
      </c>
    </row>
    <row r="453" spans="1:1" x14ac:dyDescent="0.25">
      <c r="A453" t="s">
        <v>1520</v>
      </c>
    </row>
    <row r="454" spans="1:1" x14ac:dyDescent="0.25">
      <c r="A454" t="s">
        <v>1521</v>
      </c>
    </row>
    <row r="456" spans="1:1" x14ac:dyDescent="0.25">
      <c r="A456" t="s">
        <v>1522</v>
      </c>
    </row>
    <row r="457" spans="1:1" x14ac:dyDescent="0.25">
      <c r="A457" t="s">
        <v>1523</v>
      </c>
    </row>
    <row r="458" spans="1:1" x14ac:dyDescent="0.25">
      <c r="A458" t="s">
        <v>1524</v>
      </c>
    </row>
    <row r="460" spans="1:1" x14ac:dyDescent="0.25">
      <c r="A460" t="s">
        <v>1525</v>
      </c>
    </row>
    <row r="461" spans="1:1" x14ac:dyDescent="0.25">
      <c r="A461" t="s">
        <v>1526</v>
      </c>
    </row>
    <row r="462" spans="1:1" x14ac:dyDescent="0.25">
      <c r="A462" t="s">
        <v>1527</v>
      </c>
    </row>
    <row r="464" spans="1:1" x14ac:dyDescent="0.25">
      <c r="A464" t="s">
        <v>1528</v>
      </c>
    </row>
    <row r="465" spans="1:1" x14ac:dyDescent="0.25">
      <c r="A465" t="s">
        <v>1529</v>
      </c>
    </row>
    <row r="466" spans="1:1" x14ac:dyDescent="0.25">
      <c r="A466" t="s">
        <v>1530</v>
      </c>
    </row>
    <row r="468" spans="1:1" x14ac:dyDescent="0.25">
      <c r="A468" t="s">
        <v>1531</v>
      </c>
    </row>
    <row r="469" spans="1:1" x14ac:dyDescent="0.25">
      <c r="A469" t="s">
        <v>1532</v>
      </c>
    </row>
    <row r="470" spans="1:1" x14ac:dyDescent="0.25">
      <c r="A470" t="s">
        <v>1533</v>
      </c>
    </row>
    <row r="472" spans="1:1" x14ac:dyDescent="0.25">
      <c r="A472" t="s">
        <v>1534</v>
      </c>
    </row>
    <row r="473" spans="1:1" x14ac:dyDescent="0.25">
      <c r="A473" t="s">
        <v>1535</v>
      </c>
    </row>
    <row r="474" spans="1:1" x14ac:dyDescent="0.25">
      <c r="A474" t="s">
        <v>1536</v>
      </c>
    </row>
    <row r="476" spans="1:1" x14ac:dyDescent="0.25">
      <c r="A476" t="s">
        <v>1537</v>
      </c>
    </row>
    <row r="477" spans="1:1" x14ac:dyDescent="0.25">
      <c r="A477" t="s">
        <v>1538</v>
      </c>
    </row>
    <row r="478" spans="1:1" x14ac:dyDescent="0.25">
      <c r="A478" t="s">
        <v>1539</v>
      </c>
    </row>
    <row r="480" spans="1:1" x14ac:dyDescent="0.25">
      <c r="A480" t="s">
        <v>1540</v>
      </c>
    </row>
    <row r="481" spans="1:1" x14ac:dyDescent="0.25">
      <c r="A481" t="s">
        <v>1541</v>
      </c>
    </row>
    <row r="482" spans="1:1" x14ac:dyDescent="0.25">
      <c r="A482" t="s">
        <v>1542</v>
      </c>
    </row>
    <row r="484" spans="1:1" x14ac:dyDescent="0.25">
      <c r="A484" t="s">
        <v>1543</v>
      </c>
    </row>
    <row r="485" spans="1:1" x14ac:dyDescent="0.25">
      <c r="A485" t="s">
        <v>1544</v>
      </c>
    </row>
    <row r="486" spans="1:1" x14ac:dyDescent="0.25">
      <c r="A486" t="s">
        <v>1545</v>
      </c>
    </row>
    <row r="488" spans="1:1" x14ac:dyDescent="0.25">
      <c r="A488" t="s">
        <v>1546</v>
      </c>
    </row>
    <row r="489" spans="1:1" x14ac:dyDescent="0.25">
      <c r="A489" t="s">
        <v>1544</v>
      </c>
    </row>
    <row r="490" spans="1:1" x14ac:dyDescent="0.25">
      <c r="A490" t="s">
        <v>1545</v>
      </c>
    </row>
    <row r="492" spans="1:1" x14ac:dyDescent="0.25">
      <c r="A492" t="s">
        <v>1547</v>
      </c>
    </row>
    <row r="493" spans="1:1" x14ac:dyDescent="0.25">
      <c r="A493" t="s">
        <v>1548</v>
      </c>
    </row>
    <row r="494" spans="1:1" x14ac:dyDescent="0.25">
      <c r="A494" t="s">
        <v>1549</v>
      </c>
    </row>
    <row r="496" spans="1:1" x14ac:dyDescent="0.25">
      <c r="A496" t="s">
        <v>1550</v>
      </c>
    </row>
    <row r="497" spans="1:1" x14ac:dyDescent="0.25">
      <c r="A497" t="s">
        <v>1551</v>
      </c>
    </row>
    <row r="498" spans="1:1" x14ac:dyDescent="0.25">
      <c r="A498" t="s">
        <v>1552</v>
      </c>
    </row>
    <row r="500" spans="1:1" x14ac:dyDescent="0.25">
      <c r="A500" t="s">
        <v>1553</v>
      </c>
    </row>
    <row r="501" spans="1:1" x14ac:dyDescent="0.25">
      <c r="A501" t="s">
        <v>1554</v>
      </c>
    </row>
    <row r="502" spans="1:1" x14ac:dyDescent="0.25">
      <c r="A502" t="s">
        <v>1555</v>
      </c>
    </row>
    <row r="504" spans="1:1" x14ac:dyDescent="0.25">
      <c r="A504" t="s">
        <v>1556</v>
      </c>
    </row>
    <row r="505" spans="1:1" x14ac:dyDescent="0.25">
      <c r="A505" t="s">
        <v>1557</v>
      </c>
    </row>
    <row r="506" spans="1:1" x14ac:dyDescent="0.25">
      <c r="A506" t="s">
        <v>1558</v>
      </c>
    </row>
    <row r="508" spans="1:1" x14ac:dyDescent="0.25">
      <c r="A508" t="s">
        <v>1559</v>
      </c>
    </row>
    <row r="509" spans="1:1" x14ac:dyDescent="0.25">
      <c r="A509" t="s">
        <v>1560</v>
      </c>
    </row>
    <row r="510" spans="1:1" x14ac:dyDescent="0.25">
      <c r="A510" t="s">
        <v>1561</v>
      </c>
    </row>
    <row r="512" spans="1:1" x14ac:dyDescent="0.25">
      <c r="A512" t="s">
        <v>1562</v>
      </c>
    </row>
    <row r="513" spans="1:1" x14ac:dyDescent="0.25">
      <c r="A513" t="s">
        <v>1560</v>
      </c>
    </row>
    <row r="514" spans="1:1" x14ac:dyDescent="0.25">
      <c r="A514" t="s">
        <v>1561</v>
      </c>
    </row>
    <row r="516" spans="1:1" x14ac:dyDescent="0.25">
      <c r="A516" t="s">
        <v>1563</v>
      </c>
    </row>
    <row r="517" spans="1:1" x14ac:dyDescent="0.25">
      <c r="A517" t="s">
        <v>1564</v>
      </c>
    </row>
    <row r="518" spans="1:1" x14ac:dyDescent="0.25">
      <c r="A518" t="s">
        <v>1565</v>
      </c>
    </row>
    <row r="520" spans="1:1" x14ac:dyDescent="0.25">
      <c r="A520" t="s">
        <v>1566</v>
      </c>
    </row>
    <row r="521" spans="1:1" x14ac:dyDescent="0.25">
      <c r="A521" t="s">
        <v>1567</v>
      </c>
    </row>
    <row r="522" spans="1:1" x14ac:dyDescent="0.25">
      <c r="A522" t="s">
        <v>1568</v>
      </c>
    </row>
    <row r="524" spans="1:1" x14ac:dyDescent="0.25">
      <c r="A524" t="s">
        <v>1569</v>
      </c>
    </row>
    <row r="525" spans="1:1" x14ac:dyDescent="0.25">
      <c r="A525" t="s">
        <v>1570</v>
      </c>
    </row>
    <row r="526" spans="1:1" x14ac:dyDescent="0.25">
      <c r="A526" t="s">
        <v>1571</v>
      </c>
    </row>
    <row r="528" spans="1:1" x14ac:dyDescent="0.25">
      <c r="A528" t="s">
        <v>1572</v>
      </c>
    </row>
    <row r="529" spans="1:1" x14ac:dyDescent="0.25">
      <c r="A529" t="s">
        <v>1573</v>
      </c>
    </row>
    <row r="530" spans="1:1" x14ac:dyDescent="0.25">
      <c r="A530" t="s">
        <v>1574</v>
      </c>
    </row>
    <row r="532" spans="1:1" x14ac:dyDescent="0.25">
      <c r="A532" t="s">
        <v>1575</v>
      </c>
    </row>
    <row r="533" spans="1:1" x14ac:dyDescent="0.25">
      <c r="A533" t="s">
        <v>1573</v>
      </c>
    </row>
    <row r="534" spans="1:1" x14ac:dyDescent="0.25">
      <c r="A534" t="s">
        <v>1574</v>
      </c>
    </row>
    <row r="536" spans="1:1" x14ac:dyDescent="0.25">
      <c r="A536" t="s">
        <v>1576</v>
      </c>
    </row>
    <row r="537" spans="1:1" x14ac:dyDescent="0.25">
      <c r="A537" t="s">
        <v>1577</v>
      </c>
    </row>
    <row r="538" spans="1:1" x14ac:dyDescent="0.25">
      <c r="A538" t="s">
        <v>1561</v>
      </c>
    </row>
    <row r="540" spans="1:1" x14ac:dyDescent="0.25">
      <c r="A540" t="s">
        <v>1578</v>
      </c>
    </row>
    <row r="541" spans="1:1" x14ac:dyDescent="0.25">
      <c r="A541" t="s">
        <v>1577</v>
      </c>
    </row>
    <row r="542" spans="1:1" x14ac:dyDescent="0.25">
      <c r="A542" t="s">
        <v>1561</v>
      </c>
    </row>
    <row r="544" spans="1:1" x14ac:dyDescent="0.25">
      <c r="A544" t="s">
        <v>1579</v>
      </c>
    </row>
    <row r="545" spans="1:1" x14ac:dyDescent="0.25">
      <c r="A545" t="s">
        <v>1580</v>
      </c>
    </row>
    <row r="546" spans="1:1" x14ac:dyDescent="0.25">
      <c r="A546" t="s">
        <v>1581</v>
      </c>
    </row>
    <row r="548" spans="1:1" x14ac:dyDescent="0.25">
      <c r="A548" t="s">
        <v>1582</v>
      </c>
    </row>
    <row r="549" spans="1:1" x14ac:dyDescent="0.25">
      <c r="A549" t="s">
        <v>1583</v>
      </c>
    </row>
    <row r="550" spans="1:1" x14ac:dyDescent="0.25">
      <c r="A550" t="s">
        <v>1584</v>
      </c>
    </row>
    <row r="552" spans="1:1" x14ac:dyDescent="0.25">
      <c r="A552" t="s">
        <v>1585</v>
      </c>
    </row>
    <row r="553" spans="1:1" x14ac:dyDescent="0.25">
      <c r="A553" t="s">
        <v>1586</v>
      </c>
    </row>
    <row r="554" spans="1:1" x14ac:dyDescent="0.25">
      <c r="A554" t="s">
        <v>1587</v>
      </c>
    </row>
    <row r="556" spans="1:1" x14ac:dyDescent="0.25">
      <c r="A556" t="s">
        <v>1588</v>
      </c>
    </row>
    <row r="557" spans="1:1" x14ac:dyDescent="0.25">
      <c r="A557" t="s">
        <v>1589</v>
      </c>
    </row>
    <row r="558" spans="1:1" x14ac:dyDescent="0.25">
      <c r="A558" t="s">
        <v>1590</v>
      </c>
    </row>
    <row r="560" spans="1:1" x14ac:dyDescent="0.25">
      <c r="A560" t="s">
        <v>1591</v>
      </c>
    </row>
    <row r="561" spans="1:1" x14ac:dyDescent="0.25">
      <c r="A561" t="s">
        <v>1592</v>
      </c>
    </row>
    <row r="562" spans="1:1" x14ac:dyDescent="0.25">
      <c r="A562" t="s">
        <v>1593</v>
      </c>
    </row>
    <row r="564" spans="1:1" x14ac:dyDescent="0.25">
      <c r="A564" t="s">
        <v>1594</v>
      </c>
    </row>
    <row r="565" spans="1:1" x14ac:dyDescent="0.25">
      <c r="A565" t="s">
        <v>1595</v>
      </c>
    </row>
    <row r="566" spans="1:1" x14ac:dyDescent="0.25">
      <c r="A566" t="s">
        <v>1596</v>
      </c>
    </row>
    <row r="568" spans="1:1" x14ac:dyDescent="0.25">
      <c r="A568" t="s">
        <v>1597</v>
      </c>
    </row>
    <row r="569" spans="1:1" x14ac:dyDescent="0.25">
      <c r="A569" t="s">
        <v>1598</v>
      </c>
    </row>
    <row r="570" spans="1:1" x14ac:dyDescent="0.25">
      <c r="A570" t="s">
        <v>1599</v>
      </c>
    </row>
    <row r="572" spans="1:1" x14ac:dyDescent="0.25">
      <c r="A572" t="s">
        <v>1600</v>
      </c>
    </row>
    <row r="573" spans="1:1" x14ac:dyDescent="0.25">
      <c r="A573" t="s">
        <v>1601</v>
      </c>
    </row>
    <row r="574" spans="1:1" x14ac:dyDescent="0.25">
      <c r="A574" t="s">
        <v>1602</v>
      </c>
    </row>
    <row r="576" spans="1:1" x14ac:dyDescent="0.25">
      <c r="A576" t="s">
        <v>1603</v>
      </c>
    </row>
    <row r="577" spans="1:1" x14ac:dyDescent="0.25">
      <c r="A577" t="s">
        <v>1604</v>
      </c>
    </row>
    <row r="578" spans="1:1" x14ac:dyDescent="0.25">
      <c r="A578" t="s">
        <v>1605</v>
      </c>
    </row>
    <row r="580" spans="1:1" x14ac:dyDescent="0.25">
      <c r="A580" t="s">
        <v>1606</v>
      </c>
    </row>
    <row r="581" spans="1:1" x14ac:dyDescent="0.25">
      <c r="A581" t="s">
        <v>1607</v>
      </c>
    </row>
    <row r="582" spans="1:1" x14ac:dyDescent="0.25">
      <c r="A582" t="s">
        <v>1608</v>
      </c>
    </row>
    <row r="584" spans="1:1" x14ac:dyDescent="0.25">
      <c r="A584" t="s">
        <v>1609</v>
      </c>
    </row>
    <row r="585" spans="1:1" x14ac:dyDescent="0.25">
      <c r="A585" t="s">
        <v>1610</v>
      </c>
    </row>
    <row r="586" spans="1:1" x14ac:dyDescent="0.25">
      <c r="A586" t="s">
        <v>1611</v>
      </c>
    </row>
    <row r="588" spans="1:1" x14ac:dyDescent="0.25">
      <c r="A588" t="s">
        <v>1612</v>
      </c>
    </row>
    <row r="589" spans="1:1" x14ac:dyDescent="0.25">
      <c r="A589" t="s">
        <v>1613</v>
      </c>
    </row>
    <row r="590" spans="1:1" x14ac:dyDescent="0.25">
      <c r="A590" t="s">
        <v>1614</v>
      </c>
    </row>
    <row r="592" spans="1:1" x14ac:dyDescent="0.25">
      <c r="A592" t="s">
        <v>1615</v>
      </c>
    </row>
    <row r="593" spans="1:1" x14ac:dyDescent="0.25">
      <c r="A593" t="s">
        <v>1616</v>
      </c>
    </row>
    <row r="594" spans="1:1" x14ac:dyDescent="0.25">
      <c r="A594" t="s">
        <v>1617</v>
      </c>
    </row>
    <row r="596" spans="1:1" x14ac:dyDescent="0.25">
      <c r="A596" t="s">
        <v>1618</v>
      </c>
    </row>
    <row r="597" spans="1:1" x14ac:dyDescent="0.25">
      <c r="A597" t="s">
        <v>1619</v>
      </c>
    </row>
    <row r="598" spans="1:1" x14ac:dyDescent="0.25">
      <c r="A598" t="s">
        <v>1620</v>
      </c>
    </row>
    <row r="600" spans="1:1" x14ac:dyDescent="0.25">
      <c r="A600" t="s">
        <v>1621</v>
      </c>
    </row>
    <row r="601" spans="1:1" x14ac:dyDescent="0.25">
      <c r="A601" t="s">
        <v>1622</v>
      </c>
    </row>
    <row r="602" spans="1:1" x14ac:dyDescent="0.25">
      <c r="A602" t="s">
        <v>1623</v>
      </c>
    </row>
    <row r="604" spans="1:1" x14ac:dyDescent="0.25">
      <c r="A604" t="s">
        <v>1624</v>
      </c>
    </row>
    <row r="605" spans="1:1" x14ac:dyDescent="0.25">
      <c r="A605" t="s">
        <v>1625</v>
      </c>
    </row>
    <row r="606" spans="1:1" x14ac:dyDescent="0.25">
      <c r="A606" t="s">
        <v>1626</v>
      </c>
    </row>
    <row r="608" spans="1:1" x14ac:dyDescent="0.25">
      <c r="A608" t="s">
        <v>1627</v>
      </c>
    </row>
    <row r="609" spans="1:1" x14ac:dyDescent="0.25">
      <c r="A609" t="s">
        <v>1628</v>
      </c>
    </row>
    <row r="610" spans="1:1" x14ac:dyDescent="0.25">
      <c r="A610" t="s">
        <v>1629</v>
      </c>
    </row>
    <row r="612" spans="1:1" x14ac:dyDescent="0.25">
      <c r="A612" t="s">
        <v>1630</v>
      </c>
    </row>
    <row r="613" spans="1:1" x14ac:dyDescent="0.25">
      <c r="A613" t="s">
        <v>1631</v>
      </c>
    </row>
    <row r="614" spans="1:1" x14ac:dyDescent="0.25">
      <c r="A614" t="s">
        <v>1632</v>
      </c>
    </row>
    <row r="616" spans="1:1" x14ac:dyDescent="0.25">
      <c r="A616" t="s">
        <v>1633</v>
      </c>
    </row>
    <row r="617" spans="1:1" x14ac:dyDescent="0.25">
      <c r="A617" t="s">
        <v>1634</v>
      </c>
    </row>
    <row r="618" spans="1:1" x14ac:dyDescent="0.25">
      <c r="A618" t="s">
        <v>1635</v>
      </c>
    </row>
    <row r="620" spans="1:1" x14ac:dyDescent="0.25">
      <c r="A620" t="s">
        <v>1636</v>
      </c>
    </row>
    <row r="621" spans="1:1" x14ac:dyDescent="0.25">
      <c r="A621" t="s">
        <v>1637</v>
      </c>
    </row>
    <row r="622" spans="1:1" x14ac:dyDescent="0.25">
      <c r="A622" t="s">
        <v>1638</v>
      </c>
    </row>
    <row r="624" spans="1:1" x14ac:dyDescent="0.25">
      <c r="A624" t="s">
        <v>1639</v>
      </c>
    </row>
    <row r="625" spans="1:1" x14ac:dyDescent="0.25">
      <c r="A625" t="s">
        <v>1640</v>
      </c>
    </row>
    <row r="626" spans="1:1" x14ac:dyDescent="0.25">
      <c r="A626" t="s">
        <v>1641</v>
      </c>
    </row>
    <row r="628" spans="1:1" x14ac:dyDescent="0.25">
      <c r="A628" t="s">
        <v>1642</v>
      </c>
    </row>
    <row r="629" spans="1:1" x14ac:dyDescent="0.25">
      <c r="A629" t="s">
        <v>1643</v>
      </c>
    </row>
    <row r="630" spans="1:1" x14ac:dyDescent="0.25">
      <c r="A630" t="s">
        <v>1644</v>
      </c>
    </row>
    <row r="632" spans="1:1" x14ac:dyDescent="0.25">
      <c r="A632" t="s">
        <v>1645</v>
      </c>
    </row>
    <row r="633" spans="1:1" x14ac:dyDescent="0.25">
      <c r="A633" t="s">
        <v>1646</v>
      </c>
    </row>
    <row r="634" spans="1:1" x14ac:dyDescent="0.25">
      <c r="A634" t="s">
        <v>1647</v>
      </c>
    </row>
    <row r="636" spans="1:1" x14ac:dyDescent="0.25">
      <c r="A636" t="s">
        <v>1648</v>
      </c>
    </row>
    <row r="637" spans="1:1" x14ac:dyDescent="0.25">
      <c r="A637" t="s">
        <v>1649</v>
      </c>
    </row>
    <row r="638" spans="1:1" x14ac:dyDescent="0.25">
      <c r="A638" t="s">
        <v>1650</v>
      </c>
    </row>
    <row r="640" spans="1:1" x14ac:dyDescent="0.25">
      <c r="A640" t="s">
        <v>1651</v>
      </c>
    </row>
    <row r="641" spans="1:1" x14ac:dyDescent="0.25">
      <c r="A641" t="s">
        <v>1652</v>
      </c>
    </row>
    <row r="642" spans="1:1" x14ac:dyDescent="0.25">
      <c r="A642" t="s">
        <v>1653</v>
      </c>
    </row>
    <row r="644" spans="1:1" x14ac:dyDescent="0.25">
      <c r="A644" t="s">
        <v>1654</v>
      </c>
    </row>
    <row r="645" spans="1:1" x14ac:dyDescent="0.25">
      <c r="A645" t="s">
        <v>1655</v>
      </c>
    </row>
    <row r="646" spans="1:1" x14ac:dyDescent="0.25">
      <c r="A646" t="s">
        <v>1656</v>
      </c>
    </row>
    <row r="649" spans="1:1" x14ac:dyDescent="0.25">
      <c r="A649" t="s">
        <v>1657</v>
      </c>
    </row>
    <row r="650" spans="1:1" x14ac:dyDescent="0.25">
      <c r="A650" t="s">
        <v>1658</v>
      </c>
    </row>
    <row r="651" spans="1:1" x14ac:dyDescent="0.25">
      <c r="A651" t="s">
        <v>1190</v>
      </c>
    </row>
    <row r="652" spans="1:1" x14ac:dyDescent="0.25">
      <c r="A652" t="s">
        <v>1659</v>
      </c>
    </row>
    <row r="653" spans="1:1" x14ac:dyDescent="0.25">
      <c r="A653" t="s">
        <v>1660</v>
      </c>
    </row>
    <row r="655" spans="1:1" x14ac:dyDescent="0.25">
      <c r="A655" t="s">
        <v>1661</v>
      </c>
    </row>
    <row r="656" spans="1:1" x14ac:dyDescent="0.25">
      <c r="A656" t="s">
        <v>1662</v>
      </c>
    </row>
    <row r="658" spans="1:1" x14ac:dyDescent="0.25">
      <c r="A658" t="s">
        <v>1663</v>
      </c>
    </row>
    <row r="659" spans="1:1" x14ac:dyDescent="0.25">
      <c r="A659" t="s">
        <v>1664</v>
      </c>
    </row>
    <row r="661" spans="1:1" x14ac:dyDescent="0.25">
      <c r="A661" t="s">
        <v>1665</v>
      </c>
    </row>
    <row r="662" spans="1:1" x14ac:dyDescent="0.25">
      <c r="A662" t="s">
        <v>1666</v>
      </c>
    </row>
    <row r="664" spans="1:1" x14ac:dyDescent="0.25">
      <c r="A664" t="s">
        <v>1667</v>
      </c>
    </row>
    <row r="665" spans="1:1" x14ac:dyDescent="0.25">
      <c r="A665" t="s">
        <v>1668</v>
      </c>
    </row>
    <row r="667" spans="1:1" x14ac:dyDescent="0.25">
      <c r="A667" t="s">
        <v>1669</v>
      </c>
    </row>
    <row r="668" spans="1:1" x14ac:dyDescent="0.25">
      <c r="A668" t="s">
        <v>1670</v>
      </c>
    </row>
    <row r="670" spans="1:1" x14ac:dyDescent="0.25">
      <c r="A670" t="s">
        <v>1671</v>
      </c>
    </row>
    <row r="671" spans="1:1" x14ac:dyDescent="0.25">
      <c r="A671" t="s">
        <v>1672</v>
      </c>
    </row>
    <row r="673" spans="1:1" x14ac:dyDescent="0.25">
      <c r="A673" t="s">
        <v>1673</v>
      </c>
    </row>
    <row r="674" spans="1:1" x14ac:dyDescent="0.25">
      <c r="A674" t="s">
        <v>1674</v>
      </c>
    </row>
    <row r="676" spans="1:1" x14ac:dyDescent="0.25">
      <c r="A676" t="s">
        <v>1675</v>
      </c>
    </row>
    <row r="677" spans="1:1" x14ac:dyDescent="0.25">
      <c r="A677" t="s">
        <v>1676</v>
      </c>
    </row>
    <row r="679" spans="1:1" x14ac:dyDescent="0.25">
      <c r="A679" t="s">
        <v>1677</v>
      </c>
    </row>
    <row r="680" spans="1:1" x14ac:dyDescent="0.25">
      <c r="A680" t="s">
        <v>1678</v>
      </c>
    </row>
    <row r="682" spans="1:1" x14ac:dyDescent="0.25">
      <c r="A682" t="s">
        <v>1679</v>
      </c>
    </row>
    <row r="683" spans="1:1" x14ac:dyDescent="0.25">
      <c r="A683" t="s">
        <v>1680</v>
      </c>
    </row>
    <row r="685" spans="1:1" x14ac:dyDescent="0.25">
      <c r="A685" t="s">
        <v>1681</v>
      </c>
    </row>
    <row r="686" spans="1:1" x14ac:dyDescent="0.25">
      <c r="A686" t="s">
        <v>1682</v>
      </c>
    </row>
    <row r="688" spans="1:1" x14ac:dyDescent="0.25">
      <c r="A688" t="s">
        <v>1683</v>
      </c>
    </row>
    <row r="689" spans="1:1" x14ac:dyDescent="0.25">
      <c r="A689" t="s">
        <v>1684</v>
      </c>
    </row>
    <row r="691" spans="1:1" x14ac:dyDescent="0.25">
      <c r="A691" t="s">
        <v>1685</v>
      </c>
    </row>
    <row r="692" spans="1:1" x14ac:dyDescent="0.25">
      <c r="A692" t="s">
        <v>1686</v>
      </c>
    </row>
    <row r="694" spans="1:1" x14ac:dyDescent="0.25">
      <c r="A694" t="s">
        <v>1687</v>
      </c>
    </row>
    <row r="695" spans="1:1" x14ac:dyDescent="0.25">
      <c r="A695" t="s">
        <v>1688</v>
      </c>
    </row>
    <row r="697" spans="1:1" x14ac:dyDescent="0.25">
      <c r="A697" t="s">
        <v>1689</v>
      </c>
    </row>
    <row r="698" spans="1:1" x14ac:dyDescent="0.25">
      <c r="A698" t="s">
        <v>1690</v>
      </c>
    </row>
    <row r="700" spans="1:1" x14ac:dyDescent="0.25">
      <c r="A700" t="s">
        <v>1691</v>
      </c>
    </row>
    <row r="701" spans="1:1" x14ac:dyDescent="0.25">
      <c r="A701" t="s">
        <v>1692</v>
      </c>
    </row>
    <row r="703" spans="1:1" x14ac:dyDescent="0.25">
      <c r="A703" t="s">
        <v>1693</v>
      </c>
    </row>
    <row r="704" spans="1:1" x14ac:dyDescent="0.25">
      <c r="A704" t="s">
        <v>1694</v>
      </c>
    </row>
    <row r="706" spans="1:1" x14ac:dyDescent="0.25">
      <c r="A706" t="s">
        <v>1695</v>
      </c>
    </row>
    <row r="707" spans="1:1" x14ac:dyDescent="0.25">
      <c r="A707" t="s">
        <v>1696</v>
      </c>
    </row>
    <row r="709" spans="1:1" x14ac:dyDescent="0.25">
      <c r="A709" t="s">
        <v>1697</v>
      </c>
    </row>
    <row r="710" spans="1:1" x14ac:dyDescent="0.25">
      <c r="A710" t="s">
        <v>1698</v>
      </c>
    </row>
    <row r="712" spans="1:1" x14ac:dyDescent="0.25">
      <c r="A712" t="s">
        <v>1699</v>
      </c>
    </row>
    <row r="713" spans="1:1" x14ac:dyDescent="0.25">
      <c r="A713" t="s">
        <v>1700</v>
      </c>
    </row>
    <row r="715" spans="1:1" x14ac:dyDescent="0.25">
      <c r="A715" t="s">
        <v>1701</v>
      </c>
    </row>
    <row r="716" spans="1:1" x14ac:dyDescent="0.25">
      <c r="A716" t="s">
        <v>1702</v>
      </c>
    </row>
    <row r="718" spans="1:1" x14ac:dyDescent="0.25">
      <c r="A718" t="s">
        <v>1703</v>
      </c>
    </row>
    <row r="719" spans="1:1" x14ac:dyDescent="0.25">
      <c r="A719" t="s">
        <v>1704</v>
      </c>
    </row>
    <row r="721" spans="1:1" x14ac:dyDescent="0.25">
      <c r="A721" t="s">
        <v>1705</v>
      </c>
    </row>
    <row r="722" spans="1:1" x14ac:dyDescent="0.25">
      <c r="A722" t="s">
        <v>1694</v>
      </c>
    </row>
    <row r="724" spans="1:1" x14ac:dyDescent="0.25">
      <c r="A724" t="s">
        <v>1706</v>
      </c>
    </row>
    <row r="725" spans="1:1" x14ac:dyDescent="0.25">
      <c r="A725" t="s">
        <v>1694</v>
      </c>
    </row>
    <row r="727" spans="1:1" x14ac:dyDescent="0.25">
      <c r="A727" t="s">
        <v>1707</v>
      </c>
    </row>
    <row r="728" spans="1:1" x14ac:dyDescent="0.25">
      <c r="A728" t="s">
        <v>1708</v>
      </c>
    </row>
    <row r="730" spans="1:1" x14ac:dyDescent="0.25">
      <c r="A730" t="s">
        <v>1709</v>
      </c>
    </row>
    <row r="731" spans="1:1" x14ac:dyDescent="0.25">
      <c r="A731" t="s">
        <v>1710</v>
      </c>
    </row>
    <row r="733" spans="1:1" x14ac:dyDescent="0.25">
      <c r="A733" t="s">
        <v>1711</v>
      </c>
    </row>
    <row r="734" spans="1:1" x14ac:dyDescent="0.25">
      <c r="A734" t="s">
        <v>1694</v>
      </c>
    </row>
    <row r="736" spans="1:1" x14ac:dyDescent="0.25">
      <c r="A736" t="s">
        <v>1712</v>
      </c>
    </row>
    <row r="737" spans="1:1" x14ac:dyDescent="0.25">
      <c r="A737" t="s">
        <v>1713</v>
      </c>
    </row>
    <row r="739" spans="1:1" x14ac:dyDescent="0.25">
      <c r="A739" t="s">
        <v>1714</v>
      </c>
    </row>
    <row r="740" spans="1:1" x14ac:dyDescent="0.25">
      <c r="A740" t="s">
        <v>1715</v>
      </c>
    </row>
    <row r="742" spans="1:1" x14ac:dyDescent="0.25">
      <c r="A742" t="s">
        <v>1716</v>
      </c>
    </row>
    <row r="743" spans="1:1" x14ac:dyDescent="0.25">
      <c r="A743" t="s">
        <v>1717</v>
      </c>
    </row>
    <row r="745" spans="1:1" x14ac:dyDescent="0.25">
      <c r="A745" t="s">
        <v>1718</v>
      </c>
    </row>
    <row r="746" spans="1:1" x14ac:dyDescent="0.25">
      <c r="A746" t="s">
        <v>1719</v>
      </c>
    </row>
    <row r="748" spans="1:1" x14ac:dyDescent="0.25">
      <c r="A748" t="s">
        <v>1720</v>
      </c>
    </row>
    <row r="749" spans="1:1" x14ac:dyDescent="0.25">
      <c r="A749" t="s">
        <v>1721</v>
      </c>
    </row>
    <row r="751" spans="1:1" x14ac:dyDescent="0.25">
      <c r="A751" t="s">
        <v>1722</v>
      </c>
    </row>
    <row r="752" spans="1:1" x14ac:dyDescent="0.25">
      <c r="A752" t="s">
        <v>1723</v>
      </c>
    </row>
    <row r="754" spans="1:1" x14ac:dyDescent="0.25">
      <c r="A754" t="s">
        <v>1724</v>
      </c>
    </row>
    <row r="755" spans="1:1" x14ac:dyDescent="0.25">
      <c r="A755" t="s">
        <v>1725</v>
      </c>
    </row>
    <row r="757" spans="1:1" x14ac:dyDescent="0.25">
      <c r="A757" t="s">
        <v>1726</v>
      </c>
    </row>
    <row r="758" spans="1:1" x14ac:dyDescent="0.25">
      <c r="A758" t="s">
        <v>1727</v>
      </c>
    </row>
    <row r="760" spans="1:1" x14ac:dyDescent="0.25">
      <c r="A760" t="s">
        <v>1728</v>
      </c>
    </row>
    <row r="761" spans="1:1" x14ac:dyDescent="0.25">
      <c r="A761" t="s">
        <v>1729</v>
      </c>
    </row>
    <row r="763" spans="1:1" x14ac:dyDescent="0.25">
      <c r="A763" t="s">
        <v>1730</v>
      </c>
    </row>
    <row r="764" spans="1:1" x14ac:dyDescent="0.25">
      <c r="A764" t="s">
        <v>1731</v>
      </c>
    </row>
    <row r="766" spans="1:1" x14ac:dyDescent="0.25">
      <c r="A766" t="s">
        <v>1732</v>
      </c>
    </row>
    <row r="767" spans="1:1" x14ac:dyDescent="0.25">
      <c r="A767" t="s">
        <v>1694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F3522-28BD-41FA-88E9-62F73F9493C6}">
  <dimension ref="A1:BR174"/>
  <sheetViews>
    <sheetView topLeftCell="J1" workbookViewId="0">
      <selection activeCell="K36" sqref="K36"/>
    </sheetView>
  </sheetViews>
  <sheetFormatPr defaultRowHeight="15" customHeight="1" x14ac:dyDescent="0.25"/>
  <cols>
    <col min="1" max="1" width="8.85546875" hidden="1" customWidth="1"/>
    <col min="2" max="2" width="4.28515625" hidden="1" customWidth="1"/>
    <col min="3" max="3" width="5.28515625" hidden="1" customWidth="1"/>
    <col min="4" max="4" width="5.7109375" hidden="1" customWidth="1"/>
    <col min="5" max="5" width="10.85546875" hidden="1" customWidth="1"/>
    <col min="6" max="6" width="8.42578125" hidden="1" customWidth="1"/>
    <col min="7" max="7" width="4.5703125" hidden="1" customWidth="1"/>
    <col min="8" max="8" width="27.42578125" hidden="1" customWidth="1"/>
    <col min="9" max="9" width="38.7109375" hidden="1" customWidth="1"/>
    <col min="10" max="10" width="6.5703125" bestFit="1" customWidth="1"/>
    <col min="11" max="11" width="70.7109375" customWidth="1"/>
    <col min="12" max="12" width="75.7109375" customWidth="1"/>
    <col min="13" max="13" width="7.5703125" bestFit="1" customWidth="1"/>
    <col min="14" max="14" width="85.7109375" customWidth="1"/>
    <col min="15" max="16" width="8.28515625" hidden="1" customWidth="1"/>
    <col min="17" max="17" width="13.140625" hidden="1" customWidth="1"/>
    <col min="18" max="18" width="36.5703125" hidden="1" customWidth="1"/>
    <col min="19" max="19" width="17" hidden="1" customWidth="1"/>
    <col min="20" max="20" width="10.7109375" hidden="1" customWidth="1"/>
    <col min="21" max="21" width="23.7109375" hidden="1" customWidth="1"/>
    <col min="22" max="22" width="7.85546875" hidden="1" customWidth="1"/>
    <col min="23" max="23" width="41" hidden="1" customWidth="1"/>
    <col min="24" max="24" width="12.42578125" hidden="1" customWidth="1"/>
    <col min="25" max="25" width="17.5703125" hidden="1" customWidth="1"/>
    <col min="26" max="26" width="15.42578125" hidden="1" customWidth="1"/>
    <col min="27" max="27" width="19.7109375" hidden="1" customWidth="1"/>
    <col min="28" max="28" width="20.42578125" hidden="1" customWidth="1"/>
    <col min="29" max="29" width="11.28515625" hidden="1" customWidth="1"/>
    <col min="30" max="30" width="16.42578125" hidden="1" customWidth="1"/>
    <col min="31" max="31" width="20.7109375" hidden="1" customWidth="1"/>
    <col min="32" max="32" width="21.5703125" hidden="1" customWidth="1"/>
    <col min="33" max="33" width="12.28515625" hidden="1" customWidth="1"/>
    <col min="34" max="34" width="15.7109375" hidden="1" customWidth="1"/>
    <col min="35" max="36" width="23.5703125" hidden="1" customWidth="1"/>
    <col min="37" max="37" width="30.85546875" hidden="1" customWidth="1"/>
    <col min="38" max="38" width="10.85546875" hidden="1" customWidth="1"/>
    <col min="39" max="39" width="10.5703125" hidden="1" customWidth="1"/>
    <col min="40" max="40" width="61.5703125" hidden="1" customWidth="1"/>
    <col min="41" max="41" width="36.42578125" hidden="1" customWidth="1"/>
    <col min="42" max="42" width="23.5703125" hidden="1" customWidth="1"/>
    <col min="43" max="43" width="29" hidden="1" customWidth="1"/>
    <col min="44" max="44" width="31.5703125" hidden="1" customWidth="1"/>
    <col min="45" max="45" width="8" hidden="1" customWidth="1"/>
    <col min="46" max="46" width="10.7109375" hidden="1" customWidth="1"/>
    <col min="47" max="47" width="7.5703125" hidden="1" customWidth="1"/>
    <col min="48" max="48" width="15.28515625" hidden="1" customWidth="1"/>
    <col min="49" max="49" width="12.140625" hidden="1" customWidth="1"/>
    <col min="50" max="50" width="15.28515625" hidden="1" customWidth="1"/>
    <col min="51" max="51" width="11" hidden="1" customWidth="1"/>
    <col min="52" max="52" width="16.5703125" hidden="1" customWidth="1"/>
    <col min="53" max="53" width="7.140625" hidden="1" customWidth="1"/>
    <col min="54" max="54" width="23" hidden="1" customWidth="1"/>
    <col min="55" max="55" width="22" hidden="1" customWidth="1"/>
    <col min="56" max="56" width="18.42578125" hidden="1" customWidth="1"/>
    <col min="57" max="57" width="15.5703125" hidden="1" customWidth="1"/>
    <col min="58" max="58" width="19.7109375" hidden="1" customWidth="1"/>
    <col min="59" max="59" width="18.7109375" hidden="1" customWidth="1"/>
    <col min="60" max="60" width="8" hidden="1" customWidth="1"/>
    <col min="61" max="61" width="8.140625" hidden="1" customWidth="1"/>
    <col min="62" max="62" width="10.28515625" hidden="1" customWidth="1"/>
    <col min="63" max="63" width="12.28515625" hidden="1" customWidth="1"/>
    <col min="64" max="64" width="10.42578125" hidden="1" customWidth="1"/>
    <col min="65" max="65" width="15" hidden="1" customWidth="1"/>
    <col min="66" max="66" width="14.7109375" hidden="1" customWidth="1"/>
    <col min="67" max="67" width="11.5703125" hidden="1" customWidth="1"/>
    <col min="68" max="68" width="22" hidden="1" customWidth="1"/>
    <col min="69" max="69" width="9.5703125" hidden="1" customWidth="1"/>
    <col min="70" max="70" width="6.5703125" bestFit="1" customWidth="1"/>
  </cols>
  <sheetData>
    <row r="1" spans="1:70" ht="15" customHeight="1" x14ac:dyDescent="0.25">
      <c r="A1" t="s">
        <v>0</v>
      </c>
      <c r="B1" t="s">
        <v>1</v>
      </c>
      <c r="C1" t="s">
        <v>2</v>
      </c>
      <c r="D1" t="s">
        <v>3</v>
      </c>
      <c r="E1" t="s">
        <v>4</v>
      </c>
      <c r="F1" t="s">
        <v>5</v>
      </c>
      <c r="G1" t="s">
        <v>6</v>
      </c>
      <c r="H1" t="s">
        <v>7</v>
      </c>
      <c r="I1" t="s">
        <v>8</v>
      </c>
      <c r="J1" t="s">
        <v>821</v>
      </c>
      <c r="K1" t="s">
        <v>824</v>
      </c>
      <c r="L1" t="s">
        <v>822</v>
      </c>
      <c r="M1" t="s">
        <v>823</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row>
    <row r="2" spans="1:70" ht="15" customHeight="1" x14ac:dyDescent="0.25">
      <c r="A2">
        <v>21156</v>
      </c>
      <c r="C2">
        <v>0</v>
      </c>
      <c r="D2" t="s">
        <v>65</v>
      </c>
      <c r="E2" t="s">
        <v>66</v>
      </c>
      <c r="F2" t="s">
        <v>84</v>
      </c>
      <c r="G2">
        <v>0</v>
      </c>
      <c r="H2" t="s">
        <v>85</v>
      </c>
      <c r="I2" t="s">
        <v>86</v>
      </c>
      <c r="J2" t="str">
        <f>MID($N2,FIND("1.",$N2),FIND("-",$N2)-FIND("1.",$N2)-1)</f>
        <v>1.0001</v>
      </c>
      <c r="K2" t="str">
        <f>MID($N2,FIND("MSWRK - ",$N2)+8,FIND(":",$N2)-FIND("MSWRK - ",$N2)-8)</f>
        <v>Ensure Enforce password history is set to 24 or more password(s)</v>
      </c>
      <c r="L2" t="str">
        <f t="shared" ref="L2:L50" si="0">MID($N2,FIND("1.",$N2),FIND("[",$N2)-1-FIND("1.",$N2)-1)</f>
        <v>1.0001 - MSWRK - Ensure Enforce password history is set to 24 or more password(s)</v>
      </c>
      <c r="M2" t="str">
        <f>MID($N2,FIND("[",$N2)+1,FIND("]",$N2)-FIND("[",$N2)-1)</f>
        <v>PASSED</v>
      </c>
      <c r="N2" s="1" t="s">
        <v>206</v>
      </c>
      <c r="O2" t="s">
        <v>67</v>
      </c>
      <c r="R2" t="s">
        <v>68</v>
      </c>
      <c r="T2" t="s">
        <v>69</v>
      </c>
      <c r="U2" t="s">
        <v>70</v>
      </c>
      <c r="W2" t="s">
        <v>71</v>
      </c>
      <c r="X2" s="1" t="s">
        <v>72</v>
      </c>
      <c r="Y2" t="s">
        <v>88</v>
      </c>
      <c r="Z2">
        <v>0</v>
      </c>
      <c r="AA2">
        <v>0</v>
      </c>
      <c r="AD2">
        <v>0</v>
      </c>
      <c r="AE2">
        <v>0</v>
      </c>
      <c r="AH2" t="s">
        <v>73</v>
      </c>
      <c r="AI2" t="s">
        <v>74</v>
      </c>
      <c r="AJ2" t="s">
        <v>75</v>
      </c>
      <c r="AK2" t="s">
        <v>76</v>
      </c>
      <c r="AN2" t="s">
        <v>77</v>
      </c>
      <c r="AO2" t="s">
        <v>78</v>
      </c>
      <c r="AP2" t="s">
        <v>204</v>
      </c>
      <c r="AQ2" t="s">
        <v>80</v>
      </c>
      <c r="AS2" t="b">
        <v>1</v>
      </c>
      <c r="AT2" t="s">
        <v>65</v>
      </c>
      <c r="AU2">
        <v>0</v>
      </c>
      <c r="AV2">
        <v>0</v>
      </c>
      <c r="AX2">
        <v>39</v>
      </c>
      <c r="AY2" t="s">
        <v>81</v>
      </c>
      <c r="AZ2" t="s">
        <v>90</v>
      </c>
      <c r="BB2" t="s">
        <v>91</v>
      </c>
      <c r="BC2" t="s">
        <v>92</v>
      </c>
      <c r="BD2" t="b">
        <v>0</v>
      </c>
      <c r="BE2" t="b">
        <v>0</v>
      </c>
      <c r="BF2" t="b">
        <v>0</v>
      </c>
      <c r="BG2" t="b">
        <v>0</v>
      </c>
      <c r="BH2" t="b">
        <v>0</v>
      </c>
      <c r="BI2" t="b">
        <v>0</v>
      </c>
      <c r="BJ2" t="b">
        <v>0</v>
      </c>
      <c r="BK2" t="b">
        <v>0</v>
      </c>
      <c r="BL2" t="b">
        <v>0</v>
      </c>
      <c r="BM2" t="b">
        <v>0</v>
      </c>
      <c r="BN2" t="b">
        <v>0</v>
      </c>
      <c r="BO2" t="b">
        <v>0</v>
      </c>
      <c r="BP2" t="b">
        <v>0</v>
      </c>
      <c r="BR2" t="str">
        <f>IF(M2="PASSED",VLOOKUP(J2,All_Potential!$J$1:$N$500,1,FALSE))</f>
        <v>1.0001</v>
      </c>
    </row>
    <row r="3" spans="1:70" ht="15" customHeight="1" x14ac:dyDescent="0.25">
      <c r="A3">
        <v>21156</v>
      </c>
      <c r="C3">
        <v>0</v>
      </c>
      <c r="D3" t="s">
        <v>65</v>
      </c>
      <c r="E3" t="s">
        <v>66</v>
      </c>
      <c r="F3" t="s">
        <v>84</v>
      </c>
      <c r="G3">
        <v>0</v>
      </c>
      <c r="H3" t="s">
        <v>85</v>
      </c>
      <c r="I3" t="s">
        <v>86</v>
      </c>
      <c r="J3" t="str">
        <f>MID($N3,FIND("1.",$N3),FIND("-",$N3)-FIND("1.",$N3)-1)</f>
        <v>1.0002</v>
      </c>
      <c r="K3" t="str">
        <f>MID($N3,FIND("MSWRK - ",$N3)+8,FIND(":",$N3)-FIND("MSWRK - ",$N3)-8)</f>
        <v>Ensure Maximum password age is set to 365 or fewer days, but not 0</v>
      </c>
      <c r="L3" t="str">
        <f t="shared" si="0"/>
        <v>1.0002 - MSWRK - Ensure Maximum password age is set to 365 or fewer days, but not 0</v>
      </c>
      <c r="M3" t="str">
        <f>MID($N3,FIND("[",$N3)+1,FIND("]",$N3)-FIND("[",$N3)-1)</f>
        <v>PASSED</v>
      </c>
      <c r="N3" s="1" t="s">
        <v>315</v>
      </c>
      <c r="O3" t="s">
        <v>67</v>
      </c>
      <c r="R3" t="s">
        <v>68</v>
      </c>
      <c r="T3" t="s">
        <v>69</v>
      </c>
      <c r="U3" t="s">
        <v>70</v>
      </c>
      <c r="W3" t="s">
        <v>71</v>
      </c>
      <c r="X3" s="1" t="s">
        <v>72</v>
      </c>
      <c r="Y3" t="s">
        <v>88</v>
      </c>
      <c r="Z3">
        <v>0</v>
      </c>
      <c r="AA3">
        <v>0</v>
      </c>
      <c r="AD3">
        <v>0</v>
      </c>
      <c r="AE3">
        <v>0</v>
      </c>
      <c r="AH3" t="s">
        <v>73</v>
      </c>
      <c r="AI3" t="s">
        <v>74</v>
      </c>
      <c r="AJ3" t="s">
        <v>75</v>
      </c>
      <c r="AK3" t="s">
        <v>76</v>
      </c>
      <c r="AN3" t="s">
        <v>77</v>
      </c>
      <c r="AO3" t="s">
        <v>78</v>
      </c>
      <c r="AP3" t="s">
        <v>314</v>
      </c>
      <c r="AQ3" t="s">
        <v>80</v>
      </c>
      <c r="AS3" t="b">
        <v>1</v>
      </c>
      <c r="AT3" t="s">
        <v>65</v>
      </c>
      <c r="AU3">
        <v>0</v>
      </c>
      <c r="AV3">
        <v>0</v>
      </c>
      <c r="AX3">
        <v>39</v>
      </c>
      <c r="AY3" t="s">
        <v>81</v>
      </c>
      <c r="AZ3" t="s">
        <v>90</v>
      </c>
      <c r="BB3" t="s">
        <v>91</v>
      </c>
      <c r="BC3" t="s">
        <v>92</v>
      </c>
      <c r="BD3" t="b">
        <v>0</v>
      </c>
      <c r="BE3" t="b">
        <v>0</v>
      </c>
      <c r="BF3" t="b">
        <v>0</v>
      </c>
      <c r="BG3" t="b">
        <v>0</v>
      </c>
      <c r="BH3" t="b">
        <v>0</v>
      </c>
      <c r="BI3" t="b">
        <v>0</v>
      </c>
      <c r="BJ3" t="b">
        <v>0</v>
      </c>
      <c r="BK3" t="b">
        <v>0</v>
      </c>
      <c r="BL3" t="b">
        <v>0</v>
      </c>
      <c r="BM3" t="b">
        <v>0</v>
      </c>
      <c r="BN3" t="b">
        <v>0</v>
      </c>
      <c r="BO3" t="b">
        <v>0</v>
      </c>
      <c r="BP3" t="b">
        <v>0</v>
      </c>
      <c r="BR3" t="str">
        <f>IF(M3="PASSED",VLOOKUP(J3,All_Potential!$J$1:$N$500,1,FALSE))</f>
        <v>1.0002</v>
      </c>
    </row>
    <row r="4" spans="1:70" ht="15" customHeight="1" x14ac:dyDescent="0.25">
      <c r="A4">
        <v>21156</v>
      </c>
      <c r="C4">
        <v>0</v>
      </c>
      <c r="D4" t="s">
        <v>65</v>
      </c>
      <c r="E4" t="s">
        <v>66</v>
      </c>
      <c r="F4" t="s">
        <v>84</v>
      </c>
      <c r="G4">
        <v>0</v>
      </c>
      <c r="H4" t="s">
        <v>85</v>
      </c>
      <c r="I4" t="s">
        <v>86</v>
      </c>
      <c r="J4" t="str">
        <f>MID($N4,FIND("1.",$N4),FIND("-",$N4)-FIND("1.",$N4)-1)</f>
        <v>1.0003</v>
      </c>
      <c r="K4" t="str">
        <f>MID($N4,FIND("MSWRK - ",$N4)+8,FIND(":",$N4)-FIND("MSWRK - ",$N4)-8)</f>
        <v>Ensure Minimum password age is set to 1 or more day(s)</v>
      </c>
      <c r="L4" t="str">
        <f t="shared" si="0"/>
        <v>1.0003 - MSWRK - Ensure Minimum password age is set to 1 or more day(s)</v>
      </c>
      <c r="M4" t="str">
        <f>MID($N4,FIND("[",$N4)+1,FIND("]",$N4)-FIND("[",$N4)-1)</f>
        <v>PASSED</v>
      </c>
      <c r="N4" s="1" t="s">
        <v>117</v>
      </c>
      <c r="O4" t="s">
        <v>67</v>
      </c>
      <c r="R4" t="s">
        <v>68</v>
      </c>
      <c r="T4" t="s">
        <v>69</v>
      </c>
      <c r="U4" t="s">
        <v>70</v>
      </c>
      <c r="W4" t="s">
        <v>71</v>
      </c>
      <c r="X4" s="1" t="s">
        <v>72</v>
      </c>
      <c r="Y4" t="s">
        <v>88</v>
      </c>
      <c r="Z4">
        <v>0</v>
      </c>
      <c r="AA4">
        <v>0</v>
      </c>
      <c r="AD4">
        <v>0</v>
      </c>
      <c r="AE4">
        <v>0</v>
      </c>
      <c r="AH4" t="s">
        <v>73</v>
      </c>
      <c r="AI4" t="s">
        <v>74</v>
      </c>
      <c r="AJ4" t="s">
        <v>75</v>
      </c>
      <c r="AK4" t="s">
        <v>76</v>
      </c>
      <c r="AN4" t="s">
        <v>77</v>
      </c>
      <c r="AO4" t="s">
        <v>78</v>
      </c>
      <c r="AP4" t="s">
        <v>118</v>
      </c>
      <c r="AQ4" t="s">
        <v>80</v>
      </c>
      <c r="AS4" t="b">
        <v>1</v>
      </c>
      <c r="AT4" t="s">
        <v>65</v>
      </c>
      <c r="AU4">
        <v>0</v>
      </c>
      <c r="AV4">
        <v>0</v>
      </c>
      <c r="AX4">
        <v>39</v>
      </c>
      <c r="AY4" t="s">
        <v>81</v>
      </c>
      <c r="AZ4" t="s">
        <v>90</v>
      </c>
      <c r="BB4" t="s">
        <v>91</v>
      </c>
      <c r="BC4" t="s">
        <v>92</v>
      </c>
      <c r="BD4" t="b">
        <v>0</v>
      </c>
      <c r="BE4" t="b">
        <v>0</v>
      </c>
      <c r="BF4" t="b">
        <v>0</v>
      </c>
      <c r="BG4" t="b">
        <v>0</v>
      </c>
      <c r="BH4" t="b">
        <v>0</v>
      </c>
      <c r="BI4" t="b">
        <v>0</v>
      </c>
      <c r="BJ4" t="b">
        <v>0</v>
      </c>
      <c r="BK4" t="b">
        <v>0</v>
      </c>
      <c r="BL4" t="b">
        <v>0</v>
      </c>
      <c r="BM4" t="b">
        <v>0</v>
      </c>
      <c r="BN4" t="b">
        <v>0</v>
      </c>
      <c r="BO4" t="b">
        <v>0</v>
      </c>
      <c r="BP4" t="b">
        <v>0</v>
      </c>
      <c r="BR4" t="str">
        <f>IF(M4="PASSED",VLOOKUP(J4,All_Potential!$J$1:$N$500,1,FALSE))</f>
        <v>1.0003</v>
      </c>
    </row>
    <row r="5" spans="1:70" ht="15" customHeight="1" x14ac:dyDescent="0.25">
      <c r="A5">
        <v>21156</v>
      </c>
      <c r="C5">
        <v>0</v>
      </c>
      <c r="D5" t="s">
        <v>65</v>
      </c>
      <c r="E5" t="s">
        <v>66</v>
      </c>
      <c r="F5" t="s">
        <v>84</v>
      </c>
      <c r="G5">
        <v>0</v>
      </c>
      <c r="H5" t="s">
        <v>85</v>
      </c>
      <c r="I5" t="s">
        <v>86</v>
      </c>
      <c r="J5" t="str">
        <f>MID($N5,FIND("1.",$N5),FIND("-",$N5)-FIND("1.",$N5)-1)</f>
        <v>1.0004</v>
      </c>
      <c r="K5" t="str">
        <f>MID($N5,FIND("MSWRK - ",$N5)+8,FIND(":",$N5)-FIND("MSWRK - ",$N5)-8)</f>
        <v>Ensure Minimum password length is set to 14 or more character(s)</v>
      </c>
      <c r="L5" t="str">
        <f t="shared" si="0"/>
        <v>1.0004 - MSWRK - Ensure Minimum password length is set to 14 or more character(s)</v>
      </c>
      <c r="M5" t="str">
        <f>MID($N5,FIND("[",$N5)+1,FIND("]",$N5)-FIND("[",$N5)-1)</f>
        <v>PASSED</v>
      </c>
      <c r="N5" s="1" t="s">
        <v>203</v>
      </c>
      <c r="O5" t="s">
        <v>67</v>
      </c>
      <c r="R5" t="s">
        <v>68</v>
      </c>
      <c r="T5" t="s">
        <v>69</v>
      </c>
      <c r="U5" t="s">
        <v>70</v>
      </c>
      <c r="W5" t="s">
        <v>71</v>
      </c>
      <c r="X5" s="1" t="s">
        <v>72</v>
      </c>
      <c r="Y5" t="s">
        <v>88</v>
      </c>
      <c r="Z5">
        <v>0</v>
      </c>
      <c r="AA5">
        <v>0</v>
      </c>
      <c r="AD5">
        <v>0</v>
      </c>
      <c r="AE5">
        <v>0</v>
      </c>
      <c r="AH5" t="s">
        <v>73</v>
      </c>
      <c r="AI5" t="s">
        <v>74</v>
      </c>
      <c r="AJ5" t="s">
        <v>75</v>
      </c>
      <c r="AK5" t="s">
        <v>76</v>
      </c>
      <c r="AN5" t="s">
        <v>77</v>
      </c>
      <c r="AO5" t="s">
        <v>78</v>
      </c>
      <c r="AP5" t="s">
        <v>204</v>
      </c>
      <c r="AQ5" t="s">
        <v>80</v>
      </c>
      <c r="AS5" t="b">
        <v>1</v>
      </c>
      <c r="AT5" t="s">
        <v>65</v>
      </c>
      <c r="AU5">
        <v>0</v>
      </c>
      <c r="AV5">
        <v>0</v>
      </c>
      <c r="AX5">
        <v>39</v>
      </c>
      <c r="AY5" t="s">
        <v>81</v>
      </c>
      <c r="AZ5" t="s">
        <v>90</v>
      </c>
      <c r="BB5" t="s">
        <v>91</v>
      </c>
      <c r="BC5" t="s">
        <v>92</v>
      </c>
      <c r="BD5" t="b">
        <v>0</v>
      </c>
      <c r="BE5" t="b">
        <v>0</v>
      </c>
      <c r="BF5" t="b">
        <v>0</v>
      </c>
      <c r="BG5" t="b">
        <v>0</v>
      </c>
      <c r="BH5" t="b">
        <v>0</v>
      </c>
      <c r="BI5" t="b">
        <v>0</v>
      </c>
      <c r="BJ5" t="b">
        <v>0</v>
      </c>
      <c r="BK5" t="b">
        <v>0</v>
      </c>
      <c r="BL5" t="b">
        <v>0</v>
      </c>
      <c r="BM5" t="b">
        <v>0</v>
      </c>
      <c r="BN5" t="b">
        <v>0</v>
      </c>
      <c r="BO5" t="b">
        <v>0</v>
      </c>
      <c r="BP5" t="b">
        <v>0</v>
      </c>
      <c r="BR5" t="str">
        <f>IF(M5="PASSED",VLOOKUP(J5,All_Potential!$J$1:$N$500,1,FALSE))</f>
        <v>1.0004</v>
      </c>
    </row>
    <row r="6" spans="1:70" ht="15" customHeight="1" x14ac:dyDescent="0.25">
      <c r="A6">
        <v>21156</v>
      </c>
      <c r="C6">
        <v>0</v>
      </c>
      <c r="D6" t="s">
        <v>65</v>
      </c>
      <c r="E6" t="s">
        <v>66</v>
      </c>
      <c r="F6" t="s">
        <v>84</v>
      </c>
      <c r="G6">
        <v>0</v>
      </c>
      <c r="H6" t="s">
        <v>85</v>
      </c>
      <c r="I6" t="s">
        <v>86</v>
      </c>
      <c r="J6" t="str">
        <f>MID($N6,FIND("1.",$N6),FIND("-",$N6)-FIND("1.",$N6)-1)</f>
        <v>1.0005</v>
      </c>
      <c r="K6" t="str">
        <f>MID($N6,FIND("MSWRK - ",$N6)+8,FIND(":",$N6)-FIND("MSWRK - ",$N6)-8)</f>
        <v>Ensure Password must meet complexity requirements is set to Enabled</v>
      </c>
      <c r="L6" t="str">
        <f t="shared" si="0"/>
        <v>1.0005 - MSWRK - Ensure Password must meet complexity requirements is set to Enabled</v>
      </c>
      <c r="M6" t="str">
        <f>MID($N6,FIND("[",$N6)+1,FIND("]",$N6)-FIND("[",$N6)-1)</f>
        <v>PASSED</v>
      </c>
      <c r="N6" s="1" t="s">
        <v>249</v>
      </c>
      <c r="O6" t="s">
        <v>67</v>
      </c>
      <c r="R6" t="s">
        <v>68</v>
      </c>
      <c r="T6" t="s">
        <v>69</v>
      </c>
      <c r="U6" t="s">
        <v>70</v>
      </c>
      <c r="W6" t="s">
        <v>71</v>
      </c>
      <c r="X6" s="1" t="s">
        <v>72</v>
      </c>
      <c r="Y6" t="s">
        <v>88</v>
      </c>
      <c r="Z6">
        <v>0</v>
      </c>
      <c r="AA6">
        <v>0</v>
      </c>
      <c r="AD6">
        <v>0</v>
      </c>
      <c r="AE6">
        <v>0</v>
      </c>
      <c r="AH6" t="s">
        <v>73</v>
      </c>
      <c r="AI6" t="s">
        <v>74</v>
      </c>
      <c r="AJ6" t="s">
        <v>75</v>
      </c>
      <c r="AK6" t="s">
        <v>76</v>
      </c>
      <c r="AN6" t="s">
        <v>77</v>
      </c>
      <c r="AO6" t="s">
        <v>78</v>
      </c>
      <c r="AP6" t="s">
        <v>250</v>
      </c>
      <c r="AQ6" t="s">
        <v>80</v>
      </c>
      <c r="AS6" t="b">
        <v>1</v>
      </c>
      <c r="AT6" t="s">
        <v>65</v>
      </c>
      <c r="AU6">
        <v>0</v>
      </c>
      <c r="AV6">
        <v>0</v>
      </c>
      <c r="AX6">
        <v>39</v>
      </c>
      <c r="AY6" t="s">
        <v>81</v>
      </c>
      <c r="AZ6" t="s">
        <v>90</v>
      </c>
      <c r="BB6" t="s">
        <v>91</v>
      </c>
      <c r="BC6" t="s">
        <v>92</v>
      </c>
      <c r="BD6" t="b">
        <v>0</v>
      </c>
      <c r="BE6" t="b">
        <v>0</v>
      </c>
      <c r="BF6" t="b">
        <v>0</v>
      </c>
      <c r="BG6" t="b">
        <v>0</v>
      </c>
      <c r="BH6" t="b">
        <v>0</v>
      </c>
      <c r="BI6" t="b">
        <v>0</v>
      </c>
      <c r="BJ6" t="b">
        <v>0</v>
      </c>
      <c r="BK6" t="b">
        <v>0</v>
      </c>
      <c r="BL6" t="b">
        <v>0</v>
      </c>
      <c r="BM6" t="b">
        <v>0</v>
      </c>
      <c r="BN6" t="b">
        <v>0</v>
      </c>
      <c r="BO6" t="b">
        <v>0</v>
      </c>
      <c r="BP6" t="b">
        <v>0</v>
      </c>
      <c r="BR6" t="str">
        <f>IF(M6="PASSED",VLOOKUP(J6,All_Potential!$J$1:$N$500,1,FALSE))</f>
        <v>1.0005</v>
      </c>
    </row>
    <row r="7" spans="1:70" ht="15" customHeight="1" x14ac:dyDescent="0.25">
      <c r="A7">
        <v>21156</v>
      </c>
      <c r="C7">
        <v>0</v>
      </c>
      <c r="D7" t="s">
        <v>65</v>
      </c>
      <c r="E7" t="s">
        <v>66</v>
      </c>
      <c r="F7" t="s">
        <v>84</v>
      </c>
      <c r="G7">
        <v>0</v>
      </c>
      <c r="H7" t="s">
        <v>85</v>
      </c>
      <c r="I7" t="s">
        <v>86</v>
      </c>
      <c r="J7" t="str">
        <f>MID($N7,FIND("1.",$N7),FIND("-",$N7)-FIND("1.",$N7)-1)</f>
        <v>1.0007</v>
      </c>
      <c r="K7" t="str">
        <f>MID($N7,FIND("MSWRK - ",$N7)+8,FIND(":",$N7)-FIND("MSWRK - ",$N7)-8)</f>
        <v>Ensure Store passwords using reversible encryption is set to Disabled</v>
      </c>
      <c r="L7" t="str">
        <f t="shared" si="0"/>
        <v>1.0007 - MSWRK - Ensure Store passwords using reversible encryption is set to Disabled</v>
      </c>
      <c r="M7" t="str">
        <f>MID($N7,FIND("[",$N7)+1,FIND("]",$N7)-FIND("[",$N7)-1)</f>
        <v>PASSED</v>
      </c>
      <c r="N7" s="1" t="s">
        <v>290</v>
      </c>
      <c r="O7" t="s">
        <v>67</v>
      </c>
      <c r="R7" t="s">
        <v>68</v>
      </c>
      <c r="T7" t="s">
        <v>69</v>
      </c>
      <c r="U7" t="s">
        <v>70</v>
      </c>
      <c r="W7" t="s">
        <v>71</v>
      </c>
      <c r="X7" s="1" t="s">
        <v>72</v>
      </c>
      <c r="Y7" t="s">
        <v>88</v>
      </c>
      <c r="Z7">
        <v>0</v>
      </c>
      <c r="AA7">
        <v>0</v>
      </c>
      <c r="AD7">
        <v>0</v>
      </c>
      <c r="AE7">
        <v>0</v>
      </c>
      <c r="AH7" t="s">
        <v>73</v>
      </c>
      <c r="AI7" t="s">
        <v>74</v>
      </c>
      <c r="AJ7" t="s">
        <v>75</v>
      </c>
      <c r="AK7" t="s">
        <v>76</v>
      </c>
      <c r="AN7" t="s">
        <v>77</v>
      </c>
      <c r="AO7" t="s">
        <v>78</v>
      </c>
      <c r="AP7" t="s">
        <v>288</v>
      </c>
      <c r="AQ7" t="s">
        <v>80</v>
      </c>
      <c r="AS7" t="b">
        <v>1</v>
      </c>
      <c r="AT7" t="s">
        <v>65</v>
      </c>
      <c r="AU7">
        <v>0</v>
      </c>
      <c r="AV7">
        <v>0</v>
      </c>
      <c r="AX7">
        <v>39</v>
      </c>
      <c r="AY7" t="s">
        <v>81</v>
      </c>
      <c r="AZ7" t="s">
        <v>90</v>
      </c>
      <c r="BB7" t="s">
        <v>91</v>
      </c>
      <c r="BC7" t="s">
        <v>92</v>
      </c>
      <c r="BD7" t="b">
        <v>0</v>
      </c>
      <c r="BE7" t="b">
        <v>0</v>
      </c>
      <c r="BF7" t="b">
        <v>0</v>
      </c>
      <c r="BG7" t="b">
        <v>0</v>
      </c>
      <c r="BH7" t="b">
        <v>0</v>
      </c>
      <c r="BI7" t="b">
        <v>0</v>
      </c>
      <c r="BJ7" t="b">
        <v>0</v>
      </c>
      <c r="BK7" t="b">
        <v>0</v>
      </c>
      <c r="BL7" t="b">
        <v>0</v>
      </c>
      <c r="BM7" t="b">
        <v>0</v>
      </c>
      <c r="BN7" t="b">
        <v>0</v>
      </c>
      <c r="BO7" t="b">
        <v>0</v>
      </c>
      <c r="BP7" t="b">
        <v>0</v>
      </c>
      <c r="BR7" t="str">
        <f>IF(M7="PASSED",VLOOKUP(J7,All_Potential!$J$1:$N$500,1,FALSE))</f>
        <v>1.0007</v>
      </c>
    </row>
    <row r="8" spans="1:70" ht="15" customHeight="1" x14ac:dyDescent="0.25">
      <c r="A8">
        <v>21156</v>
      </c>
      <c r="C8">
        <v>0</v>
      </c>
      <c r="D8" t="s">
        <v>65</v>
      </c>
      <c r="E8" t="s">
        <v>66</v>
      </c>
      <c r="F8" t="s">
        <v>84</v>
      </c>
      <c r="G8">
        <v>0</v>
      </c>
      <c r="H8" t="s">
        <v>85</v>
      </c>
      <c r="I8" t="s">
        <v>86</v>
      </c>
      <c r="J8" t="str">
        <f>MID($N8,FIND("1.",$N8),FIND("-",$N8)-FIND("1.",$N8)-1)</f>
        <v>1.0008</v>
      </c>
      <c r="K8" t="str">
        <f>MID($N8,FIND("MSWRK - ",$N8)+8,FIND(":",$N8)-FIND("MSWRK - ",$N8)-8)</f>
        <v>Ensure Account lockout duration is set to 15 or more minute(s)</v>
      </c>
      <c r="L8" t="str">
        <f t="shared" si="0"/>
        <v>1.0008 - MSWRK - Ensure Account lockout duration is set to 15 or more minute(s)</v>
      </c>
      <c r="M8" t="str">
        <f>MID($N8,FIND("[",$N8)+1,FIND("]",$N8)-FIND("[",$N8)-1)</f>
        <v>PASSED</v>
      </c>
      <c r="N8" s="1" t="s">
        <v>257</v>
      </c>
      <c r="O8" t="s">
        <v>67</v>
      </c>
      <c r="R8" t="s">
        <v>68</v>
      </c>
      <c r="T8" t="s">
        <v>69</v>
      </c>
      <c r="U8" t="s">
        <v>70</v>
      </c>
      <c r="W8" t="s">
        <v>71</v>
      </c>
      <c r="X8" s="1" t="s">
        <v>72</v>
      </c>
      <c r="Y8" t="s">
        <v>88</v>
      </c>
      <c r="Z8">
        <v>0</v>
      </c>
      <c r="AA8">
        <v>0</v>
      </c>
      <c r="AD8">
        <v>0</v>
      </c>
      <c r="AE8">
        <v>0</v>
      </c>
      <c r="AH8" t="s">
        <v>73</v>
      </c>
      <c r="AI8" t="s">
        <v>74</v>
      </c>
      <c r="AJ8" t="s">
        <v>75</v>
      </c>
      <c r="AK8" t="s">
        <v>76</v>
      </c>
      <c r="AN8" t="s">
        <v>77</v>
      </c>
      <c r="AO8" t="s">
        <v>78</v>
      </c>
      <c r="AP8" t="s">
        <v>258</v>
      </c>
      <c r="AQ8" t="s">
        <v>80</v>
      </c>
      <c r="AS8" t="b">
        <v>1</v>
      </c>
      <c r="AT8" t="s">
        <v>65</v>
      </c>
      <c r="AU8">
        <v>0</v>
      </c>
      <c r="AV8">
        <v>0</v>
      </c>
      <c r="AX8">
        <v>39</v>
      </c>
      <c r="AY8" t="s">
        <v>81</v>
      </c>
      <c r="AZ8" t="s">
        <v>90</v>
      </c>
      <c r="BB8" t="s">
        <v>91</v>
      </c>
      <c r="BC8" t="s">
        <v>92</v>
      </c>
      <c r="BD8" t="b">
        <v>0</v>
      </c>
      <c r="BE8" t="b">
        <v>0</v>
      </c>
      <c r="BF8" t="b">
        <v>0</v>
      </c>
      <c r="BG8" t="b">
        <v>0</v>
      </c>
      <c r="BH8" t="b">
        <v>0</v>
      </c>
      <c r="BI8" t="b">
        <v>0</v>
      </c>
      <c r="BJ8" t="b">
        <v>0</v>
      </c>
      <c r="BK8" t="b">
        <v>0</v>
      </c>
      <c r="BL8" t="b">
        <v>0</v>
      </c>
      <c r="BM8" t="b">
        <v>0</v>
      </c>
      <c r="BN8" t="b">
        <v>0</v>
      </c>
      <c r="BO8" t="b">
        <v>0</v>
      </c>
      <c r="BP8" t="b">
        <v>0</v>
      </c>
      <c r="BR8" t="str">
        <f>IF(M8="PASSED",VLOOKUP(J8,All_Potential!$J$1:$N$500,1,FALSE))</f>
        <v>1.0008</v>
      </c>
    </row>
    <row r="9" spans="1:70" ht="15" customHeight="1" x14ac:dyDescent="0.25">
      <c r="A9">
        <v>21156</v>
      </c>
      <c r="C9">
        <v>0</v>
      </c>
      <c r="D9" t="s">
        <v>65</v>
      </c>
      <c r="E9" t="s">
        <v>66</v>
      </c>
      <c r="F9" t="s">
        <v>84</v>
      </c>
      <c r="G9">
        <v>0</v>
      </c>
      <c r="H9" t="s">
        <v>85</v>
      </c>
      <c r="I9" t="s">
        <v>86</v>
      </c>
      <c r="J9" t="str">
        <f>MID($N9,FIND("1.",$N9),FIND("-",$N9)-FIND("1.",$N9)-1)</f>
        <v>1.0009</v>
      </c>
      <c r="K9" t="str">
        <f>MID($N9,FIND("MSWRK - ",$N9)+8,FIND(":",$N9)-FIND("MSWRK - ",$N9)-8)</f>
        <v>Ensure Account lockout threshold is set to 5 or fewer invalid logon attempt(s), but not 0</v>
      </c>
      <c r="L9" t="str">
        <f t="shared" si="0"/>
        <v>1.0009 - MSWRK - Ensure Account lockout threshold is set to 5 or fewer invalid logon attempt(s), but not 0</v>
      </c>
      <c r="M9" t="str">
        <f>MID($N9,FIND("[",$N9)+1,FIND("]",$N9)-FIND("[",$N9)-1)</f>
        <v>PASSED</v>
      </c>
      <c r="N9" s="1" t="s">
        <v>248</v>
      </c>
      <c r="O9" t="s">
        <v>67</v>
      </c>
      <c r="R9" t="s">
        <v>68</v>
      </c>
      <c r="T9" t="s">
        <v>69</v>
      </c>
      <c r="U9" t="s">
        <v>70</v>
      </c>
      <c r="W9" t="s">
        <v>71</v>
      </c>
      <c r="X9" s="1" t="s">
        <v>72</v>
      </c>
      <c r="Y9" t="s">
        <v>88</v>
      </c>
      <c r="Z9">
        <v>0</v>
      </c>
      <c r="AA9">
        <v>0</v>
      </c>
      <c r="AD9">
        <v>0</v>
      </c>
      <c r="AE9">
        <v>0</v>
      </c>
      <c r="AH9" t="s">
        <v>73</v>
      </c>
      <c r="AI9" t="s">
        <v>74</v>
      </c>
      <c r="AJ9" t="s">
        <v>75</v>
      </c>
      <c r="AK9" t="s">
        <v>76</v>
      </c>
      <c r="AN9" t="s">
        <v>77</v>
      </c>
      <c r="AO9" t="s">
        <v>78</v>
      </c>
      <c r="AP9" t="s">
        <v>246</v>
      </c>
      <c r="AQ9" t="s">
        <v>80</v>
      </c>
      <c r="AS9" t="b">
        <v>1</v>
      </c>
      <c r="AT9" t="s">
        <v>65</v>
      </c>
      <c r="AU9">
        <v>0</v>
      </c>
      <c r="AV9">
        <v>0</v>
      </c>
      <c r="AX9">
        <v>39</v>
      </c>
      <c r="AY9" t="s">
        <v>81</v>
      </c>
      <c r="AZ9" t="s">
        <v>90</v>
      </c>
      <c r="BB9" t="s">
        <v>91</v>
      </c>
      <c r="BC9" t="s">
        <v>92</v>
      </c>
      <c r="BD9" t="b">
        <v>0</v>
      </c>
      <c r="BE9" t="b">
        <v>0</v>
      </c>
      <c r="BF9" t="b">
        <v>0</v>
      </c>
      <c r="BG9" t="b">
        <v>0</v>
      </c>
      <c r="BH9" t="b">
        <v>0</v>
      </c>
      <c r="BI9" t="b">
        <v>0</v>
      </c>
      <c r="BJ9" t="b">
        <v>0</v>
      </c>
      <c r="BK9" t="b">
        <v>0</v>
      </c>
      <c r="BL9" t="b">
        <v>0</v>
      </c>
      <c r="BM9" t="b">
        <v>0</v>
      </c>
      <c r="BN9" t="b">
        <v>0</v>
      </c>
      <c r="BO9" t="b">
        <v>0</v>
      </c>
      <c r="BP9" t="b">
        <v>0</v>
      </c>
      <c r="BR9" t="str">
        <f>IF(M9="PASSED",VLOOKUP(J9,All_Potential!$J$1:$N$500,1,FALSE))</f>
        <v>1.0009</v>
      </c>
    </row>
    <row r="10" spans="1:70" ht="15" customHeight="1" x14ac:dyDescent="0.25">
      <c r="A10">
        <v>21156</v>
      </c>
      <c r="C10">
        <v>0</v>
      </c>
      <c r="D10" t="s">
        <v>65</v>
      </c>
      <c r="E10" t="s">
        <v>66</v>
      </c>
      <c r="F10" t="s">
        <v>84</v>
      </c>
      <c r="G10">
        <v>0</v>
      </c>
      <c r="H10" t="s">
        <v>85</v>
      </c>
      <c r="I10" t="s">
        <v>86</v>
      </c>
      <c r="J10" t="str">
        <f>MID($N10,FIND("1.",$N10),FIND("-",$N10)-FIND("1.",$N10)-1)</f>
        <v>1.0010</v>
      </c>
      <c r="K10" t="str">
        <f>MID($N10,FIND("MSWRK - ",$N10)+8,FIND(":",$N10)-FIND("MSWRK - ",$N10)-8)</f>
        <v>Ensure Allow Administrator account lockout is set to Enabled</v>
      </c>
      <c r="L10" t="str">
        <f t="shared" si="0"/>
        <v>1.0010 - MSWRK - Ensure Allow Administrator account lockout is set to Enabled</v>
      </c>
      <c r="M10" t="str">
        <f>MID($N10,FIND("[",$N10)+1,FIND("]",$N10)-FIND("[",$N10)-1)</f>
        <v>PASSED</v>
      </c>
      <c r="N10" s="1" t="s">
        <v>102</v>
      </c>
      <c r="O10" t="s">
        <v>67</v>
      </c>
      <c r="R10" t="s">
        <v>68</v>
      </c>
      <c r="T10" t="s">
        <v>69</v>
      </c>
      <c r="U10" t="s">
        <v>70</v>
      </c>
      <c r="W10" t="s">
        <v>71</v>
      </c>
      <c r="X10" s="1" t="s">
        <v>72</v>
      </c>
      <c r="Y10" t="s">
        <v>88</v>
      </c>
      <c r="Z10">
        <v>0</v>
      </c>
      <c r="AA10">
        <v>0</v>
      </c>
      <c r="AD10">
        <v>0</v>
      </c>
      <c r="AE10">
        <v>0</v>
      </c>
      <c r="AH10" t="s">
        <v>73</v>
      </c>
      <c r="AI10" t="s">
        <v>74</v>
      </c>
      <c r="AJ10" t="s">
        <v>75</v>
      </c>
      <c r="AK10" t="s">
        <v>76</v>
      </c>
      <c r="AN10" t="s">
        <v>77</v>
      </c>
      <c r="AO10" t="s">
        <v>78</v>
      </c>
      <c r="AP10" t="s">
        <v>101</v>
      </c>
      <c r="AQ10" t="s">
        <v>80</v>
      </c>
      <c r="AS10" t="b">
        <v>1</v>
      </c>
      <c r="AT10" t="s">
        <v>65</v>
      </c>
      <c r="AU10">
        <v>0</v>
      </c>
      <c r="AV10">
        <v>0</v>
      </c>
      <c r="AX10">
        <v>39</v>
      </c>
      <c r="AY10" t="s">
        <v>81</v>
      </c>
      <c r="AZ10" t="s">
        <v>90</v>
      </c>
      <c r="BB10" t="s">
        <v>91</v>
      </c>
      <c r="BC10" t="s">
        <v>92</v>
      </c>
      <c r="BD10" t="b">
        <v>0</v>
      </c>
      <c r="BE10" t="b">
        <v>0</v>
      </c>
      <c r="BF10" t="b">
        <v>0</v>
      </c>
      <c r="BG10" t="b">
        <v>0</v>
      </c>
      <c r="BH10" t="b">
        <v>0</v>
      </c>
      <c r="BI10" t="b">
        <v>0</v>
      </c>
      <c r="BJ10" t="b">
        <v>0</v>
      </c>
      <c r="BK10" t="b">
        <v>0</v>
      </c>
      <c r="BL10" t="b">
        <v>0</v>
      </c>
      <c r="BM10" t="b">
        <v>0</v>
      </c>
      <c r="BN10" t="b">
        <v>0</v>
      </c>
      <c r="BO10" t="b">
        <v>0</v>
      </c>
      <c r="BP10" t="b">
        <v>0</v>
      </c>
      <c r="BR10" t="str">
        <f>IF(M10="PASSED",VLOOKUP(J10,All_Potential!$J$1:$N$500,1,FALSE))</f>
        <v>1.0010</v>
      </c>
    </row>
    <row r="11" spans="1:70" ht="15" customHeight="1" x14ac:dyDescent="0.25">
      <c r="A11">
        <v>21156</v>
      </c>
      <c r="C11">
        <v>0</v>
      </c>
      <c r="D11" t="s">
        <v>65</v>
      </c>
      <c r="E11" t="s">
        <v>66</v>
      </c>
      <c r="F11" t="s">
        <v>84</v>
      </c>
      <c r="G11">
        <v>0</v>
      </c>
      <c r="H11" t="s">
        <v>85</v>
      </c>
      <c r="I11" t="s">
        <v>86</v>
      </c>
      <c r="J11" t="str">
        <f>MID($N11,FIND("1.",$N11),FIND("-",$N11)-FIND("1.",$N11)-1)</f>
        <v>1.0011</v>
      </c>
      <c r="K11" t="str">
        <f>MID($N11,FIND("MSWRK - ",$N11)+8,FIND(":",$N11)-FIND("MSWRK - ",$N11)-8)</f>
        <v>Ensure Reset account lockout counter after is set to 15 or more minute(s)</v>
      </c>
      <c r="L11" t="str">
        <f t="shared" si="0"/>
        <v>1.0011 - MSWRK - Ensure Reset account lockout counter after is set to 15 or more minute(s)</v>
      </c>
      <c r="M11" t="str">
        <f>MID($N11,FIND("[",$N11)+1,FIND("]",$N11)-FIND("[",$N11)-1)</f>
        <v>PASSED</v>
      </c>
      <c r="N11" s="1" t="s">
        <v>145</v>
      </c>
      <c r="O11" t="s">
        <v>67</v>
      </c>
      <c r="R11" t="s">
        <v>68</v>
      </c>
      <c r="T11" t="s">
        <v>69</v>
      </c>
      <c r="U11" t="s">
        <v>70</v>
      </c>
      <c r="W11" t="s">
        <v>71</v>
      </c>
      <c r="X11" s="1" t="s">
        <v>72</v>
      </c>
      <c r="Y11" t="s">
        <v>88</v>
      </c>
      <c r="Z11">
        <v>0</v>
      </c>
      <c r="AA11">
        <v>0</v>
      </c>
      <c r="AD11">
        <v>0</v>
      </c>
      <c r="AE11">
        <v>0</v>
      </c>
      <c r="AH11" t="s">
        <v>73</v>
      </c>
      <c r="AI11" t="s">
        <v>74</v>
      </c>
      <c r="AJ11" t="s">
        <v>75</v>
      </c>
      <c r="AK11" t="s">
        <v>76</v>
      </c>
      <c r="AN11" t="s">
        <v>77</v>
      </c>
      <c r="AO11" t="s">
        <v>78</v>
      </c>
      <c r="AP11" t="s">
        <v>143</v>
      </c>
      <c r="AQ11" t="s">
        <v>80</v>
      </c>
      <c r="AS11" t="b">
        <v>1</v>
      </c>
      <c r="AT11" t="s">
        <v>65</v>
      </c>
      <c r="AU11">
        <v>0</v>
      </c>
      <c r="AV11">
        <v>0</v>
      </c>
      <c r="AX11">
        <v>39</v>
      </c>
      <c r="AY11" t="s">
        <v>81</v>
      </c>
      <c r="AZ11" t="s">
        <v>90</v>
      </c>
      <c r="BB11" t="s">
        <v>91</v>
      </c>
      <c r="BC11" t="s">
        <v>92</v>
      </c>
      <c r="BD11" t="b">
        <v>0</v>
      </c>
      <c r="BE11" t="b">
        <v>0</v>
      </c>
      <c r="BF11" t="b">
        <v>0</v>
      </c>
      <c r="BG11" t="b">
        <v>0</v>
      </c>
      <c r="BH11" t="b">
        <v>0</v>
      </c>
      <c r="BI11" t="b">
        <v>0</v>
      </c>
      <c r="BJ11" t="b">
        <v>0</v>
      </c>
      <c r="BK11" t="b">
        <v>0</v>
      </c>
      <c r="BL11" t="b">
        <v>0</v>
      </c>
      <c r="BM11" t="b">
        <v>0</v>
      </c>
      <c r="BN11" t="b">
        <v>0</v>
      </c>
      <c r="BO11" t="b">
        <v>0</v>
      </c>
      <c r="BP11" t="b">
        <v>0</v>
      </c>
      <c r="BR11" t="str">
        <f>IF(M11="PASSED",VLOOKUP(J11,All_Potential!$J$1:$N$500,1,FALSE))</f>
        <v>1.0011</v>
      </c>
    </row>
    <row r="12" spans="1:70" ht="15" customHeight="1" x14ac:dyDescent="0.25">
      <c r="A12">
        <v>21156</v>
      </c>
      <c r="C12">
        <v>0</v>
      </c>
      <c r="D12" t="s">
        <v>65</v>
      </c>
      <c r="E12" t="s">
        <v>66</v>
      </c>
      <c r="F12" t="s">
        <v>84</v>
      </c>
      <c r="G12">
        <v>0</v>
      </c>
      <c r="H12" t="s">
        <v>85</v>
      </c>
      <c r="I12" t="s">
        <v>86</v>
      </c>
      <c r="J12" t="str">
        <f>MID($N12,FIND("1.",$N12),FIND("-",$N12)-FIND("1.",$N12)-1)</f>
        <v>1.0018</v>
      </c>
      <c r="K12" t="str">
        <f>MID($N12,FIND("MSWRK - ",$N12)+8,FIND(":",$N12)-FIND("MSWRK - ",$N12)-8)</f>
        <v>Ensure Audit Account Lockout is set to include Failure</v>
      </c>
      <c r="L12" t="str">
        <f t="shared" si="0"/>
        <v>1.0018 - MSWRK - Ensure Audit Account Lockout is set to include Failure</v>
      </c>
      <c r="M12" t="str">
        <f>MID($N12,FIND("[",$N12)+1,FIND("]",$N12)-FIND("[",$N12)-1)</f>
        <v>PASSED</v>
      </c>
      <c r="N12" s="1" t="s">
        <v>159</v>
      </c>
      <c r="O12" t="s">
        <v>67</v>
      </c>
      <c r="R12" t="s">
        <v>68</v>
      </c>
      <c r="T12" t="s">
        <v>69</v>
      </c>
      <c r="U12" t="s">
        <v>70</v>
      </c>
      <c r="W12" t="s">
        <v>71</v>
      </c>
      <c r="X12" s="1" t="s">
        <v>72</v>
      </c>
      <c r="Y12" t="s">
        <v>88</v>
      </c>
      <c r="Z12">
        <v>0</v>
      </c>
      <c r="AA12">
        <v>0</v>
      </c>
      <c r="AD12">
        <v>0</v>
      </c>
      <c r="AE12">
        <v>0</v>
      </c>
      <c r="AH12" t="s">
        <v>73</v>
      </c>
      <c r="AI12" t="s">
        <v>74</v>
      </c>
      <c r="AJ12" t="s">
        <v>75</v>
      </c>
      <c r="AK12" t="s">
        <v>76</v>
      </c>
      <c r="AN12" t="s">
        <v>77</v>
      </c>
      <c r="AO12" t="s">
        <v>78</v>
      </c>
      <c r="AP12" t="s">
        <v>157</v>
      </c>
      <c r="AQ12" t="s">
        <v>80</v>
      </c>
      <c r="AS12" t="b">
        <v>1</v>
      </c>
      <c r="AT12" t="s">
        <v>65</v>
      </c>
      <c r="AU12">
        <v>0</v>
      </c>
      <c r="AV12">
        <v>0</v>
      </c>
      <c r="AX12">
        <v>39</v>
      </c>
      <c r="AY12" t="s">
        <v>81</v>
      </c>
      <c r="AZ12" t="s">
        <v>90</v>
      </c>
      <c r="BB12" t="s">
        <v>91</v>
      </c>
      <c r="BC12" t="s">
        <v>92</v>
      </c>
      <c r="BD12" t="b">
        <v>0</v>
      </c>
      <c r="BE12" t="b">
        <v>0</v>
      </c>
      <c r="BF12" t="b">
        <v>0</v>
      </c>
      <c r="BG12" t="b">
        <v>0</v>
      </c>
      <c r="BH12" t="b">
        <v>0</v>
      </c>
      <c r="BI12" t="b">
        <v>0</v>
      </c>
      <c r="BJ12" t="b">
        <v>0</v>
      </c>
      <c r="BK12" t="b">
        <v>0</v>
      </c>
      <c r="BL12" t="b">
        <v>0</v>
      </c>
      <c r="BM12" t="b">
        <v>0</v>
      </c>
      <c r="BN12" t="b">
        <v>0</v>
      </c>
      <c r="BO12" t="b">
        <v>0</v>
      </c>
      <c r="BP12" t="b">
        <v>0</v>
      </c>
      <c r="BR12" t="str">
        <f>IF(M12="PASSED",VLOOKUP(J12,All_Potential!$J$1:$N$500,1,FALSE))</f>
        <v>1.0018</v>
      </c>
    </row>
    <row r="13" spans="1:70" ht="15" customHeight="1" x14ac:dyDescent="0.25">
      <c r="A13">
        <v>21156</v>
      </c>
      <c r="C13">
        <v>0</v>
      </c>
      <c r="D13" t="s">
        <v>65</v>
      </c>
      <c r="E13" t="s">
        <v>66</v>
      </c>
      <c r="F13" t="s">
        <v>84</v>
      </c>
      <c r="G13">
        <v>0</v>
      </c>
      <c r="H13" t="s">
        <v>85</v>
      </c>
      <c r="I13" t="s">
        <v>86</v>
      </c>
      <c r="J13" t="str">
        <f>MID($N13,FIND("1.",$N13),FIND("-",$N13)-FIND("1.",$N13)-1)</f>
        <v>1.0020</v>
      </c>
      <c r="K13" t="str">
        <f>MID($N13,FIND("MSWRK - ",$N13)+8,FIND(":",$N13)-FIND("MSWRK - ",$N13)-8)</f>
        <v>Ensure Audit Logoff is set to include Success</v>
      </c>
      <c r="L13" t="str">
        <f t="shared" si="0"/>
        <v>1.0020 - MSWRK - Ensure Audit Logoff is set to include Success</v>
      </c>
      <c r="M13" t="str">
        <f>MID($N13,FIND("[",$N13)+1,FIND("]",$N13)-FIND("[",$N13)-1)</f>
        <v>PASSED</v>
      </c>
      <c r="N13" s="1" t="s">
        <v>176</v>
      </c>
      <c r="O13" t="s">
        <v>67</v>
      </c>
      <c r="R13" t="s">
        <v>68</v>
      </c>
      <c r="T13" t="s">
        <v>69</v>
      </c>
      <c r="U13" t="s">
        <v>70</v>
      </c>
      <c r="W13" t="s">
        <v>71</v>
      </c>
      <c r="X13" s="1" t="s">
        <v>72</v>
      </c>
      <c r="Y13" t="s">
        <v>88</v>
      </c>
      <c r="Z13">
        <v>0</v>
      </c>
      <c r="AA13">
        <v>0</v>
      </c>
      <c r="AD13">
        <v>0</v>
      </c>
      <c r="AE13">
        <v>0</v>
      </c>
      <c r="AH13" t="s">
        <v>73</v>
      </c>
      <c r="AI13" t="s">
        <v>74</v>
      </c>
      <c r="AJ13" t="s">
        <v>75</v>
      </c>
      <c r="AK13" t="s">
        <v>76</v>
      </c>
      <c r="AN13" t="s">
        <v>77</v>
      </c>
      <c r="AO13" t="s">
        <v>78</v>
      </c>
      <c r="AP13" t="s">
        <v>174</v>
      </c>
      <c r="AQ13" t="s">
        <v>80</v>
      </c>
      <c r="AS13" t="b">
        <v>1</v>
      </c>
      <c r="AT13" t="s">
        <v>65</v>
      </c>
      <c r="AU13">
        <v>0</v>
      </c>
      <c r="AV13">
        <v>0</v>
      </c>
      <c r="AX13">
        <v>39</v>
      </c>
      <c r="AY13" t="s">
        <v>81</v>
      </c>
      <c r="AZ13" t="s">
        <v>90</v>
      </c>
      <c r="BB13" t="s">
        <v>91</v>
      </c>
      <c r="BC13" t="s">
        <v>92</v>
      </c>
      <c r="BD13" t="b">
        <v>0</v>
      </c>
      <c r="BE13" t="b">
        <v>0</v>
      </c>
      <c r="BF13" t="b">
        <v>0</v>
      </c>
      <c r="BG13" t="b">
        <v>0</v>
      </c>
      <c r="BH13" t="b">
        <v>0</v>
      </c>
      <c r="BI13" t="b">
        <v>0</v>
      </c>
      <c r="BJ13" t="b">
        <v>0</v>
      </c>
      <c r="BK13" t="b">
        <v>0</v>
      </c>
      <c r="BL13" t="b">
        <v>0</v>
      </c>
      <c r="BM13" t="b">
        <v>0</v>
      </c>
      <c r="BN13" t="b">
        <v>0</v>
      </c>
      <c r="BO13" t="b">
        <v>0</v>
      </c>
      <c r="BP13" t="b">
        <v>0</v>
      </c>
      <c r="BR13" t="str">
        <f>IF(M13="PASSED",VLOOKUP(J13,All_Potential!$J$1:$N$500,1,FALSE))</f>
        <v>1.0020</v>
      </c>
    </row>
    <row r="14" spans="1:70" ht="15" customHeight="1" x14ac:dyDescent="0.25">
      <c r="A14">
        <v>21156</v>
      </c>
      <c r="C14">
        <v>0</v>
      </c>
      <c r="D14" t="s">
        <v>65</v>
      </c>
      <c r="E14" t="s">
        <v>66</v>
      </c>
      <c r="F14" t="s">
        <v>84</v>
      </c>
      <c r="G14">
        <v>0</v>
      </c>
      <c r="H14" t="s">
        <v>85</v>
      </c>
      <c r="I14" t="s">
        <v>86</v>
      </c>
      <c r="J14" t="str">
        <f>MID($N14,FIND("1.",$N14),FIND("-",$N14)-FIND("1.",$N14)-1)</f>
        <v>1.0021</v>
      </c>
      <c r="K14" t="str">
        <f>MID($N14,FIND("MSWRK - ",$N14)+8,FIND(":",$N14)-FIND("MSWRK - ",$N14)-8)</f>
        <v>Ensure Audit Logon is set to Success and Failure</v>
      </c>
      <c r="L14" t="str">
        <f t="shared" si="0"/>
        <v>1.0021 - MSWRK - Ensure Audit Logon is set to Success and Failure</v>
      </c>
      <c r="M14" t="str">
        <f>MID($N14,FIND("[",$N14)+1,FIND("]",$N14)-FIND("[",$N14)-1)</f>
        <v>PASSED</v>
      </c>
      <c r="N14" s="1" t="s">
        <v>126</v>
      </c>
      <c r="O14" t="s">
        <v>67</v>
      </c>
      <c r="R14" t="s">
        <v>68</v>
      </c>
      <c r="T14" t="s">
        <v>69</v>
      </c>
      <c r="U14" t="s">
        <v>70</v>
      </c>
      <c r="W14" t="s">
        <v>71</v>
      </c>
      <c r="X14" s="1" t="s">
        <v>72</v>
      </c>
      <c r="Y14" t="s">
        <v>88</v>
      </c>
      <c r="Z14">
        <v>0</v>
      </c>
      <c r="AA14">
        <v>0</v>
      </c>
      <c r="AD14">
        <v>0</v>
      </c>
      <c r="AE14">
        <v>0</v>
      </c>
      <c r="AH14" t="s">
        <v>73</v>
      </c>
      <c r="AI14" t="s">
        <v>74</v>
      </c>
      <c r="AJ14" t="s">
        <v>75</v>
      </c>
      <c r="AK14" t="s">
        <v>76</v>
      </c>
      <c r="AN14" t="s">
        <v>77</v>
      </c>
      <c r="AO14" t="s">
        <v>78</v>
      </c>
      <c r="AP14" t="s">
        <v>127</v>
      </c>
      <c r="AQ14" t="s">
        <v>80</v>
      </c>
      <c r="AS14" t="b">
        <v>1</v>
      </c>
      <c r="AT14" t="s">
        <v>65</v>
      </c>
      <c r="AU14">
        <v>0</v>
      </c>
      <c r="AV14">
        <v>0</v>
      </c>
      <c r="AX14">
        <v>39</v>
      </c>
      <c r="AY14" t="s">
        <v>81</v>
      </c>
      <c r="AZ14" t="s">
        <v>90</v>
      </c>
      <c r="BB14" t="s">
        <v>91</v>
      </c>
      <c r="BC14" t="s">
        <v>92</v>
      </c>
      <c r="BD14" t="b">
        <v>0</v>
      </c>
      <c r="BE14" t="b">
        <v>0</v>
      </c>
      <c r="BF14" t="b">
        <v>0</v>
      </c>
      <c r="BG14" t="b">
        <v>0</v>
      </c>
      <c r="BH14" t="b">
        <v>0</v>
      </c>
      <c r="BI14" t="b">
        <v>0</v>
      </c>
      <c r="BJ14" t="b">
        <v>0</v>
      </c>
      <c r="BK14" t="b">
        <v>0</v>
      </c>
      <c r="BL14" t="b">
        <v>0</v>
      </c>
      <c r="BM14" t="b">
        <v>0</v>
      </c>
      <c r="BN14" t="b">
        <v>0</v>
      </c>
      <c r="BO14" t="b">
        <v>0</v>
      </c>
      <c r="BP14" t="b">
        <v>0</v>
      </c>
      <c r="BR14" t="str">
        <f>IF(M14="PASSED",VLOOKUP(J14,All_Potential!$J$1:$N$500,1,FALSE))</f>
        <v>1.0021</v>
      </c>
    </row>
    <row r="15" spans="1:70" ht="15" customHeight="1" x14ac:dyDescent="0.25">
      <c r="A15">
        <v>21156</v>
      </c>
      <c r="C15">
        <v>0</v>
      </c>
      <c r="D15" t="s">
        <v>65</v>
      </c>
      <c r="E15" t="s">
        <v>66</v>
      </c>
      <c r="F15" t="s">
        <v>84</v>
      </c>
      <c r="G15">
        <v>0</v>
      </c>
      <c r="H15" t="s">
        <v>85</v>
      </c>
      <c r="I15" t="s">
        <v>86</v>
      </c>
      <c r="J15" t="str">
        <f>MID($N15,FIND("1.",$N15),FIND("-",$N15)-FIND("1.",$N15)-1)</f>
        <v>1.0022</v>
      </c>
      <c r="K15" t="str">
        <f>MID($N15,FIND("MSWRK - ",$N15)+8,FIND(":",$N15)-FIND("MSWRK - ",$N15)-8)</f>
        <v>Ensure Audit Other Logon/Logoff Events is set to Success and Failure</v>
      </c>
      <c r="L15" t="str">
        <f t="shared" si="0"/>
        <v>1.0022 - MSWRK - Ensure Audit Other Logon/Logoff Events is set to Success and Failure</v>
      </c>
      <c r="M15" t="str">
        <f>MID($N15,FIND("[",$N15)+1,FIND("]",$N15)-FIND("[",$N15)-1)</f>
        <v>PASSED</v>
      </c>
      <c r="N15" s="1" t="s">
        <v>149</v>
      </c>
      <c r="O15" t="s">
        <v>67</v>
      </c>
      <c r="R15" t="s">
        <v>68</v>
      </c>
      <c r="T15" t="s">
        <v>69</v>
      </c>
      <c r="U15" t="s">
        <v>70</v>
      </c>
      <c r="W15" t="s">
        <v>71</v>
      </c>
      <c r="X15" s="1" t="s">
        <v>72</v>
      </c>
      <c r="Y15" t="s">
        <v>88</v>
      </c>
      <c r="Z15">
        <v>0</v>
      </c>
      <c r="AA15">
        <v>0</v>
      </c>
      <c r="AD15">
        <v>0</v>
      </c>
      <c r="AE15">
        <v>0</v>
      </c>
      <c r="AH15" t="s">
        <v>73</v>
      </c>
      <c r="AI15" t="s">
        <v>74</v>
      </c>
      <c r="AJ15" t="s">
        <v>75</v>
      </c>
      <c r="AK15" t="s">
        <v>76</v>
      </c>
      <c r="AN15" t="s">
        <v>77</v>
      </c>
      <c r="AO15" t="s">
        <v>78</v>
      </c>
      <c r="AP15" t="s">
        <v>148</v>
      </c>
      <c r="AQ15" t="s">
        <v>80</v>
      </c>
      <c r="AS15" t="b">
        <v>1</v>
      </c>
      <c r="AT15" t="s">
        <v>65</v>
      </c>
      <c r="AU15">
        <v>0</v>
      </c>
      <c r="AV15">
        <v>0</v>
      </c>
      <c r="AX15">
        <v>39</v>
      </c>
      <c r="AY15" t="s">
        <v>81</v>
      </c>
      <c r="AZ15" t="s">
        <v>90</v>
      </c>
      <c r="BB15" t="s">
        <v>91</v>
      </c>
      <c r="BC15" t="s">
        <v>92</v>
      </c>
      <c r="BD15" t="b">
        <v>0</v>
      </c>
      <c r="BE15" t="b">
        <v>0</v>
      </c>
      <c r="BF15" t="b">
        <v>0</v>
      </c>
      <c r="BG15" t="b">
        <v>0</v>
      </c>
      <c r="BH15" t="b">
        <v>0</v>
      </c>
      <c r="BI15" t="b">
        <v>0</v>
      </c>
      <c r="BJ15" t="b">
        <v>0</v>
      </c>
      <c r="BK15" t="b">
        <v>0</v>
      </c>
      <c r="BL15" t="b">
        <v>0</v>
      </c>
      <c r="BM15" t="b">
        <v>0</v>
      </c>
      <c r="BN15" t="b">
        <v>0</v>
      </c>
      <c r="BO15" t="b">
        <v>0</v>
      </c>
      <c r="BP15" t="b">
        <v>0</v>
      </c>
      <c r="BR15" t="str">
        <f>IF(M15="PASSED",VLOOKUP(J15,All_Potential!$J$1:$N$500,1,FALSE))</f>
        <v>1.0022</v>
      </c>
    </row>
    <row r="16" spans="1:70" ht="15" customHeight="1" x14ac:dyDescent="0.25">
      <c r="A16">
        <v>21156</v>
      </c>
      <c r="C16">
        <v>0</v>
      </c>
      <c r="D16" t="s">
        <v>65</v>
      </c>
      <c r="E16" t="s">
        <v>66</v>
      </c>
      <c r="F16" t="s">
        <v>84</v>
      </c>
      <c r="G16">
        <v>0</v>
      </c>
      <c r="H16" t="s">
        <v>85</v>
      </c>
      <c r="I16" t="s">
        <v>86</v>
      </c>
      <c r="J16" t="str">
        <f>MID($N16,FIND("1.",$N16),FIND("-",$N16)-FIND("1.",$N16)-1)</f>
        <v>1.0023</v>
      </c>
      <c r="K16" t="str">
        <f>MID($N16,FIND("MSWRK - ",$N16)+8,FIND(":",$N16)-FIND("MSWRK - ",$N16)-8)</f>
        <v>Ensure Audit Special Logon is set to include Success</v>
      </c>
      <c r="L16" t="str">
        <f t="shared" si="0"/>
        <v>1.0023 - MSWRK - Ensure Audit Special Logon is set to include Success</v>
      </c>
      <c r="M16" t="str">
        <f>MID($N16,FIND("[",$N16)+1,FIND("]",$N16)-FIND("[",$N16)-1)</f>
        <v>PASSED</v>
      </c>
      <c r="N16" s="1" t="s">
        <v>163</v>
      </c>
      <c r="O16" t="s">
        <v>67</v>
      </c>
      <c r="R16" t="s">
        <v>68</v>
      </c>
      <c r="T16" t="s">
        <v>69</v>
      </c>
      <c r="U16" t="s">
        <v>70</v>
      </c>
      <c r="W16" t="s">
        <v>71</v>
      </c>
      <c r="X16" s="1" t="s">
        <v>72</v>
      </c>
      <c r="Y16" t="s">
        <v>88</v>
      </c>
      <c r="Z16">
        <v>0</v>
      </c>
      <c r="AA16">
        <v>0</v>
      </c>
      <c r="AD16">
        <v>0</v>
      </c>
      <c r="AE16">
        <v>0</v>
      </c>
      <c r="AH16" t="s">
        <v>73</v>
      </c>
      <c r="AI16" t="s">
        <v>74</v>
      </c>
      <c r="AJ16" t="s">
        <v>75</v>
      </c>
      <c r="AK16" t="s">
        <v>76</v>
      </c>
      <c r="AN16" t="s">
        <v>77</v>
      </c>
      <c r="AO16" t="s">
        <v>78</v>
      </c>
      <c r="AP16" t="s">
        <v>161</v>
      </c>
      <c r="AQ16" t="s">
        <v>80</v>
      </c>
      <c r="AS16" t="b">
        <v>1</v>
      </c>
      <c r="AT16" t="s">
        <v>65</v>
      </c>
      <c r="AU16">
        <v>0</v>
      </c>
      <c r="AV16">
        <v>0</v>
      </c>
      <c r="AX16">
        <v>39</v>
      </c>
      <c r="AY16" t="s">
        <v>81</v>
      </c>
      <c r="AZ16" t="s">
        <v>90</v>
      </c>
      <c r="BB16" t="s">
        <v>91</v>
      </c>
      <c r="BC16" t="s">
        <v>92</v>
      </c>
      <c r="BD16" t="b">
        <v>0</v>
      </c>
      <c r="BE16" t="b">
        <v>0</v>
      </c>
      <c r="BF16" t="b">
        <v>0</v>
      </c>
      <c r="BG16" t="b">
        <v>0</v>
      </c>
      <c r="BH16" t="b">
        <v>0</v>
      </c>
      <c r="BI16" t="b">
        <v>0</v>
      </c>
      <c r="BJ16" t="b">
        <v>0</v>
      </c>
      <c r="BK16" t="b">
        <v>0</v>
      </c>
      <c r="BL16" t="b">
        <v>0</v>
      </c>
      <c r="BM16" t="b">
        <v>0</v>
      </c>
      <c r="BN16" t="b">
        <v>0</v>
      </c>
      <c r="BO16" t="b">
        <v>0</v>
      </c>
      <c r="BP16" t="b">
        <v>0</v>
      </c>
      <c r="BR16" t="str">
        <f>IF(M16="PASSED",VLOOKUP(J16,All_Potential!$J$1:$N$500,1,FALSE))</f>
        <v>1.0023</v>
      </c>
    </row>
    <row r="17" spans="1:70" ht="15" customHeight="1" x14ac:dyDescent="0.25">
      <c r="A17">
        <v>21156</v>
      </c>
      <c r="C17">
        <v>0</v>
      </c>
      <c r="D17" t="s">
        <v>65</v>
      </c>
      <c r="E17" t="s">
        <v>66</v>
      </c>
      <c r="F17" t="s">
        <v>84</v>
      </c>
      <c r="G17">
        <v>0</v>
      </c>
      <c r="H17" t="s">
        <v>85</v>
      </c>
      <c r="I17" t="s">
        <v>86</v>
      </c>
      <c r="J17" t="str">
        <f>MID($N17,FIND("1.",$N17),FIND("-",$N17)-FIND("1.",$N17)-1)</f>
        <v>1.0028</v>
      </c>
      <c r="K17" t="str">
        <f>MID($N17,FIND("MSWRK - ",$N17)+8,FIND(":",$N17)-FIND("MSWRK - ",$N17)-8)</f>
        <v>Ensure Audit Audit Policy Change is set to include Success</v>
      </c>
      <c r="L17" t="str">
        <f t="shared" si="0"/>
        <v>1.0028 - MSWRK - Ensure Audit Audit Policy Change is set to include Success</v>
      </c>
      <c r="M17" t="str">
        <f>MID($N17,FIND("[",$N17)+1,FIND("]",$N17)-FIND("[",$N17)-1)</f>
        <v>PASSED</v>
      </c>
      <c r="N17" s="1" t="s">
        <v>217</v>
      </c>
      <c r="O17" t="s">
        <v>67</v>
      </c>
      <c r="R17" t="s">
        <v>68</v>
      </c>
      <c r="T17" t="s">
        <v>69</v>
      </c>
      <c r="U17" t="s">
        <v>70</v>
      </c>
      <c r="W17" t="s">
        <v>71</v>
      </c>
      <c r="X17" s="1" t="s">
        <v>72</v>
      </c>
      <c r="Y17" t="s">
        <v>88</v>
      </c>
      <c r="Z17">
        <v>0</v>
      </c>
      <c r="AA17">
        <v>0</v>
      </c>
      <c r="AD17">
        <v>0</v>
      </c>
      <c r="AE17">
        <v>0</v>
      </c>
      <c r="AH17" t="s">
        <v>73</v>
      </c>
      <c r="AI17" t="s">
        <v>74</v>
      </c>
      <c r="AJ17" t="s">
        <v>75</v>
      </c>
      <c r="AK17" t="s">
        <v>76</v>
      </c>
      <c r="AN17" t="s">
        <v>77</v>
      </c>
      <c r="AO17" t="s">
        <v>78</v>
      </c>
      <c r="AP17" t="s">
        <v>216</v>
      </c>
      <c r="AQ17" t="s">
        <v>80</v>
      </c>
      <c r="AS17" t="b">
        <v>1</v>
      </c>
      <c r="AT17" t="s">
        <v>65</v>
      </c>
      <c r="AU17">
        <v>0</v>
      </c>
      <c r="AV17">
        <v>0</v>
      </c>
      <c r="AX17">
        <v>39</v>
      </c>
      <c r="AY17" t="s">
        <v>81</v>
      </c>
      <c r="AZ17" t="s">
        <v>90</v>
      </c>
      <c r="BB17" t="s">
        <v>91</v>
      </c>
      <c r="BC17" t="s">
        <v>92</v>
      </c>
      <c r="BD17" t="b">
        <v>0</v>
      </c>
      <c r="BE17" t="b">
        <v>0</v>
      </c>
      <c r="BF17" t="b">
        <v>0</v>
      </c>
      <c r="BG17" t="b">
        <v>0</v>
      </c>
      <c r="BH17" t="b">
        <v>0</v>
      </c>
      <c r="BI17" t="b">
        <v>0</v>
      </c>
      <c r="BJ17" t="b">
        <v>0</v>
      </c>
      <c r="BK17" t="b">
        <v>0</v>
      </c>
      <c r="BL17" t="b">
        <v>0</v>
      </c>
      <c r="BM17" t="b">
        <v>0</v>
      </c>
      <c r="BN17" t="b">
        <v>0</v>
      </c>
      <c r="BO17" t="b">
        <v>0</v>
      </c>
      <c r="BP17" t="b">
        <v>0</v>
      </c>
      <c r="BR17" t="str">
        <f>IF(M17="PASSED",VLOOKUP(J17,All_Potential!$J$1:$N$500,1,FALSE))</f>
        <v>1.0028</v>
      </c>
    </row>
    <row r="18" spans="1:70" ht="15" customHeight="1" x14ac:dyDescent="0.25">
      <c r="A18">
        <v>21156</v>
      </c>
      <c r="C18">
        <v>0</v>
      </c>
      <c r="D18" t="s">
        <v>65</v>
      </c>
      <c r="E18" t="s">
        <v>66</v>
      </c>
      <c r="F18" t="s">
        <v>84</v>
      </c>
      <c r="G18">
        <v>0</v>
      </c>
      <c r="H18" t="s">
        <v>85</v>
      </c>
      <c r="I18" t="s">
        <v>86</v>
      </c>
      <c r="J18" t="str">
        <f>MID($N18,FIND("1.",$N18),FIND("-",$N18)-FIND("1.",$N18)-1)</f>
        <v>1.0029</v>
      </c>
      <c r="K18" t="str">
        <f>MID($N18,FIND("MSWRK - ",$N18)+8,FIND(":",$N18)-FIND("MSWRK - ",$N18)-8)</f>
        <v>Ensure Audit Authentication Policy Change is set to include Success</v>
      </c>
      <c r="L18" t="str">
        <f t="shared" si="0"/>
        <v>1.0029 - MSWRK - Ensure Audit Authentication Policy Change is set to include Success</v>
      </c>
      <c r="M18" t="str">
        <f>MID($N18,FIND("[",$N18)+1,FIND("]",$N18)-FIND("[",$N18)-1)</f>
        <v>PASSED</v>
      </c>
      <c r="N18" s="1" t="s">
        <v>263</v>
      </c>
      <c r="O18" t="s">
        <v>67</v>
      </c>
      <c r="R18" t="s">
        <v>68</v>
      </c>
      <c r="T18" t="s">
        <v>69</v>
      </c>
      <c r="U18" t="s">
        <v>70</v>
      </c>
      <c r="W18" t="s">
        <v>71</v>
      </c>
      <c r="X18" s="1" t="s">
        <v>72</v>
      </c>
      <c r="Y18" t="s">
        <v>88</v>
      </c>
      <c r="Z18">
        <v>0</v>
      </c>
      <c r="AA18">
        <v>0</v>
      </c>
      <c r="AD18">
        <v>0</v>
      </c>
      <c r="AE18">
        <v>0</v>
      </c>
      <c r="AH18" t="s">
        <v>73</v>
      </c>
      <c r="AI18" t="s">
        <v>74</v>
      </c>
      <c r="AJ18" t="s">
        <v>75</v>
      </c>
      <c r="AK18" t="s">
        <v>76</v>
      </c>
      <c r="AN18" t="s">
        <v>77</v>
      </c>
      <c r="AO18" t="s">
        <v>78</v>
      </c>
      <c r="AP18" t="s">
        <v>262</v>
      </c>
      <c r="AQ18" t="s">
        <v>80</v>
      </c>
      <c r="AS18" t="b">
        <v>1</v>
      </c>
      <c r="AT18" t="s">
        <v>65</v>
      </c>
      <c r="AU18">
        <v>0</v>
      </c>
      <c r="AV18">
        <v>0</v>
      </c>
      <c r="AX18">
        <v>39</v>
      </c>
      <c r="AY18" t="s">
        <v>81</v>
      </c>
      <c r="AZ18" t="s">
        <v>90</v>
      </c>
      <c r="BB18" t="s">
        <v>91</v>
      </c>
      <c r="BC18" t="s">
        <v>92</v>
      </c>
      <c r="BD18" t="b">
        <v>0</v>
      </c>
      <c r="BE18" t="b">
        <v>0</v>
      </c>
      <c r="BF18" t="b">
        <v>0</v>
      </c>
      <c r="BG18" t="b">
        <v>0</v>
      </c>
      <c r="BH18" t="b">
        <v>0</v>
      </c>
      <c r="BI18" t="b">
        <v>0</v>
      </c>
      <c r="BJ18" t="b">
        <v>0</v>
      </c>
      <c r="BK18" t="b">
        <v>0</v>
      </c>
      <c r="BL18" t="b">
        <v>0</v>
      </c>
      <c r="BM18" t="b">
        <v>0</v>
      </c>
      <c r="BN18" t="b">
        <v>0</v>
      </c>
      <c r="BO18" t="b">
        <v>0</v>
      </c>
      <c r="BP18" t="b">
        <v>0</v>
      </c>
      <c r="BR18" t="str">
        <f>IF(M18="PASSED",VLOOKUP(J18,All_Potential!$J$1:$N$500,1,FALSE))</f>
        <v>1.0029</v>
      </c>
    </row>
    <row r="19" spans="1:70" ht="15" customHeight="1" x14ac:dyDescent="0.25">
      <c r="A19">
        <v>21156</v>
      </c>
      <c r="C19">
        <v>0</v>
      </c>
      <c r="D19" t="s">
        <v>65</v>
      </c>
      <c r="E19" t="s">
        <v>66</v>
      </c>
      <c r="F19" t="s">
        <v>84</v>
      </c>
      <c r="G19">
        <v>0</v>
      </c>
      <c r="H19" t="s">
        <v>85</v>
      </c>
      <c r="I19" t="s">
        <v>86</v>
      </c>
      <c r="J19" t="str">
        <f>MID($N19,FIND("1.",$N19),FIND("-",$N19)-FIND("1.",$N19)-1)</f>
        <v>1.0035</v>
      </c>
      <c r="K19" t="str">
        <f>MID($N19,FIND("MSWRK - ",$N19)+8,FIND(":",$N19)-FIND("MSWRK - ",$N19)-8)</f>
        <v>Ensure Audit Other System Events is set to Success and Failure</v>
      </c>
      <c r="L19" t="str">
        <f t="shared" si="0"/>
        <v>1.0035 - MSWRK - Ensure Audit Other System Events is set to Success and Failure</v>
      </c>
      <c r="M19" t="str">
        <f>MID($N19,FIND("[",$N19)+1,FIND("]",$N19)-FIND("[",$N19)-1)</f>
        <v>PASSED</v>
      </c>
      <c r="N19" s="1" t="s">
        <v>285</v>
      </c>
      <c r="O19" t="s">
        <v>67</v>
      </c>
      <c r="R19" t="s">
        <v>68</v>
      </c>
      <c r="T19" t="s">
        <v>69</v>
      </c>
      <c r="U19" t="s">
        <v>70</v>
      </c>
      <c r="W19" t="s">
        <v>71</v>
      </c>
      <c r="X19" s="1" t="s">
        <v>72</v>
      </c>
      <c r="Y19" t="s">
        <v>88</v>
      </c>
      <c r="Z19">
        <v>0</v>
      </c>
      <c r="AA19">
        <v>0</v>
      </c>
      <c r="AD19">
        <v>0</v>
      </c>
      <c r="AE19">
        <v>0</v>
      </c>
      <c r="AH19" t="s">
        <v>73</v>
      </c>
      <c r="AI19" t="s">
        <v>74</v>
      </c>
      <c r="AJ19" t="s">
        <v>75</v>
      </c>
      <c r="AK19" t="s">
        <v>76</v>
      </c>
      <c r="AN19" t="s">
        <v>77</v>
      </c>
      <c r="AO19" t="s">
        <v>78</v>
      </c>
      <c r="AP19" t="s">
        <v>283</v>
      </c>
      <c r="AQ19" t="s">
        <v>80</v>
      </c>
      <c r="AS19" t="b">
        <v>1</v>
      </c>
      <c r="AT19" t="s">
        <v>65</v>
      </c>
      <c r="AU19">
        <v>0</v>
      </c>
      <c r="AV19">
        <v>0</v>
      </c>
      <c r="AX19">
        <v>39</v>
      </c>
      <c r="AY19" t="s">
        <v>81</v>
      </c>
      <c r="AZ19" t="s">
        <v>90</v>
      </c>
      <c r="BB19" t="s">
        <v>91</v>
      </c>
      <c r="BC19" t="s">
        <v>92</v>
      </c>
      <c r="BD19" t="b">
        <v>0</v>
      </c>
      <c r="BE19" t="b">
        <v>0</v>
      </c>
      <c r="BF19" t="b">
        <v>0</v>
      </c>
      <c r="BG19" t="b">
        <v>0</v>
      </c>
      <c r="BH19" t="b">
        <v>0</v>
      </c>
      <c r="BI19" t="b">
        <v>0</v>
      </c>
      <c r="BJ19" t="b">
        <v>0</v>
      </c>
      <c r="BK19" t="b">
        <v>0</v>
      </c>
      <c r="BL19" t="b">
        <v>0</v>
      </c>
      <c r="BM19" t="b">
        <v>0</v>
      </c>
      <c r="BN19" t="b">
        <v>0</v>
      </c>
      <c r="BO19" t="b">
        <v>0</v>
      </c>
      <c r="BP19" t="b">
        <v>0</v>
      </c>
      <c r="BR19" t="str">
        <f>IF(M19="PASSED",VLOOKUP(J19,All_Potential!$J$1:$N$500,1,FALSE))</f>
        <v>1.0035</v>
      </c>
    </row>
    <row r="20" spans="1:70" ht="15" customHeight="1" x14ac:dyDescent="0.25">
      <c r="A20">
        <v>21156</v>
      </c>
      <c r="C20">
        <v>0</v>
      </c>
      <c r="D20" t="s">
        <v>65</v>
      </c>
      <c r="E20" t="s">
        <v>66</v>
      </c>
      <c r="F20" t="s">
        <v>84</v>
      </c>
      <c r="G20">
        <v>0</v>
      </c>
      <c r="H20" t="s">
        <v>85</v>
      </c>
      <c r="I20" t="s">
        <v>86</v>
      </c>
      <c r="J20" t="str">
        <f>MID($N20,FIND("1.",$N20),FIND("-",$N20)-FIND("1.",$N20)-1)</f>
        <v>1.0036</v>
      </c>
      <c r="K20" t="str">
        <f>MID($N20,FIND("MSWRK - ",$N20)+8,FIND(":",$N20)-FIND("MSWRK - ",$N20)-8)</f>
        <v>Ensure Audit Security State Change is set to include Success</v>
      </c>
      <c r="L20" t="str">
        <f t="shared" si="0"/>
        <v>1.0036 - MSWRK - Ensure Audit Security State Change is set to include Success</v>
      </c>
      <c r="M20" t="str">
        <f>MID($N20,FIND("[",$N20)+1,FIND("]",$N20)-FIND("[",$N20)-1)</f>
        <v>PASSED</v>
      </c>
      <c r="N20" s="1" t="s">
        <v>132</v>
      </c>
      <c r="O20" t="s">
        <v>67</v>
      </c>
      <c r="R20" t="s">
        <v>68</v>
      </c>
      <c r="T20" t="s">
        <v>69</v>
      </c>
      <c r="U20" t="s">
        <v>70</v>
      </c>
      <c r="W20" t="s">
        <v>71</v>
      </c>
      <c r="X20" s="1" t="s">
        <v>72</v>
      </c>
      <c r="Y20" t="s">
        <v>88</v>
      </c>
      <c r="Z20">
        <v>0</v>
      </c>
      <c r="AA20">
        <v>0</v>
      </c>
      <c r="AD20">
        <v>0</v>
      </c>
      <c r="AE20">
        <v>0</v>
      </c>
      <c r="AH20" t="s">
        <v>73</v>
      </c>
      <c r="AI20" t="s">
        <v>74</v>
      </c>
      <c r="AJ20" t="s">
        <v>75</v>
      </c>
      <c r="AK20" t="s">
        <v>76</v>
      </c>
      <c r="AN20" t="s">
        <v>77</v>
      </c>
      <c r="AO20" t="s">
        <v>78</v>
      </c>
      <c r="AP20" t="s">
        <v>131</v>
      </c>
      <c r="AQ20" t="s">
        <v>80</v>
      </c>
      <c r="AS20" t="b">
        <v>1</v>
      </c>
      <c r="AT20" t="s">
        <v>65</v>
      </c>
      <c r="AU20">
        <v>0</v>
      </c>
      <c r="AV20">
        <v>0</v>
      </c>
      <c r="AX20">
        <v>39</v>
      </c>
      <c r="AY20" t="s">
        <v>81</v>
      </c>
      <c r="AZ20" t="s">
        <v>90</v>
      </c>
      <c r="BB20" t="s">
        <v>91</v>
      </c>
      <c r="BC20" t="s">
        <v>92</v>
      </c>
      <c r="BD20" t="b">
        <v>0</v>
      </c>
      <c r="BE20" t="b">
        <v>0</v>
      </c>
      <c r="BF20" t="b">
        <v>0</v>
      </c>
      <c r="BG20" t="b">
        <v>0</v>
      </c>
      <c r="BH20" t="b">
        <v>0</v>
      </c>
      <c r="BI20" t="b">
        <v>0</v>
      </c>
      <c r="BJ20" t="b">
        <v>0</v>
      </c>
      <c r="BK20" t="b">
        <v>0</v>
      </c>
      <c r="BL20" t="b">
        <v>0</v>
      </c>
      <c r="BM20" t="b">
        <v>0</v>
      </c>
      <c r="BN20" t="b">
        <v>0</v>
      </c>
      <c r="BO20" t="b">
        <v>0</v>
      </c>
      <c r="BP20" t="b">
        <v>0</v>
      </c>
      <c r="BR20" t="str">
        <f>IF(M20="PASSED",VLOOKUP(J20,All_Potential!$J$1:$N$500,1,FALSE))</f>
        <v>1.0036</v>
      </c>
    </row>
    <row r="21" spans="1:70" ht="15" customHeight="1" x14ac:dyDescent="0.25">
      <c r="A21">
        <v>21156</v>
      </c>
      <c r="C21">
        <v>0</v>
      </c>
      <c r="D21" t="s">
        <v>65</v>
      </c>
      <c r="E21" t="s">
        <v>66</v>
      </c>
      <c r="F21" t="s">
        <v>84</v>
      </c>
      <c r="G21">
        <v>0</v>
      </c>
      <c r="H21" t="s">
        <v>85</v>
      </c>
      <c r="I21" t="s">
        <v>86</v>
      </c>
      <c r="J21" t="str">
        <f>MID($N21,FIND("1.",$N21),FIND("-",$N21)-FIND("1.",$N21)-1)</f>
        <v>1.0037</v>
      </c>
      <c r="K21" t="str">
        <f>MID($N21,FIND("MSWRK - ",$N21)+8,FIND(":",$N21)-FIND("MSWRK - ",$N21)-8)</f>
        <v>Ensure Audit Security System Extension is set to include Success</v>
      </c>
      <c r="L21" t="str">
        <f t="shared" si="0"/>
        <v>1.0037 - MSWRK - Ensure Audit Security System Extension is set to include Success</v>
      </c>
      <c r="M21" t="str">
        <f>MID($N21,FIND("[",$N21)+1,FIND("]",$N21)-FIND("[",$N21)-1)</f>
        <v>PASSED</v>
      </c>
      <c r="N21" s="1" t="s">
        <v>311</v>
      </c>
      <c r="O21" t="s">
        <v>67</v>
      </c>
      <c r="R21" t="s">
        <v>68</v>
      </c>
      <c r="T21" t="s">
        <v>69</v>
      </c>
      <c r="U21" t="s">
        <v>70</v>
      </c>
      <c r="W21" t="s">
        <v>71</v>
      </c>
      <c r="X21" s="1" t="s">
        <v>72</v>
      </c>
      <c r="Y21" t="s">
        <v>88</v>
      </c>
      <c r="Z21">
        <v>0</v>
      </c>
      <c r="AA21">
        <v>0</v>
      </c>
      <c r="AD21">
        <v>0</v>
      </c>
      <c r="AE21">
        <v>0</v>
      </c>
      <c r="AH21" t="s">
        <v>73</v>
      </c>
      <c r="AI21" t="s">
        <v>74</v>
      </c>
      <c r="AJ21" t="s">
        <v>75</v>
      </c>
      <c r="AK21" t="s">
        <v>76</v>
      </c>
      <c r="AN21" t="s">
        <v>77</v>
      </c>
      <c r="AO21" t="s">
        <v>78</v>
      </c>
      <c r="AP21" t="s">
        <v>310</v>
      </c>
      <c r="AQ21" t="s">
        <v>80</v>
      </c>
      <c r="AS21" t="b">
        <v>1</v>
      </c>
      <c r="AT21" t="s">
        <v>65</v>
      </c>
      <c r="AU21">
        <v>0</v>
      </c>
      <c r="AV21">
        <v>0</v>
      </c>
      <c r="AX21">
        <v>39</v>
      </c>
      <c r="AY21" t="s">
        <v>81</v>
      </c>
      <c r="AZ21" t="s">
        <v>90</v>
      </c>
      <c r="BB21" t="s">
        <v>91</v>
      </c>
      <c r="BC21" t="s">
        <v>92</v>
      </c>
      <c r="BD21" t="b">
        <v>0</v>
      </c>
      <c r="BE21" t="b">
        <v>0</v>
      </c>
      <c r="BF21" t="b">
        <v>0</v>
      </c>
      <c r="BG21" t="b">
        <v>0</v>
      </c>
      <c r="BH21" t="b">
        <v>0</v>
      </c>
      <c r="BI21" t="b">
        <v>0</v>
      </c>
      <c r="BJ21" t="b">
        <v>0</v>
      </c>
      <c r="BK21" t="b">
        <v>0</v>
      </c>
      <c r="BL21" t="b">
        <v>0</v>
      </c>
      <c r="BM21" t="b">
        <v>0</v>
      </c>
      <c r="BN21" t="b">
        <v>0</v>
      </c>
      <c r="BO21" t="b">
        <v>0</v>
      </c>
      <c r="BP21" t="b">
        <v>0</v>
      </c>
      <c r="BR21" t="str">
        <f>IF(M21="PASSED",VLOOKUP(J21,All_Potential!$J$1:$N$500,1,FALSE))</f>
        <v>1.0037</v>
      </c>
    </row>
    <row r="22" spans="1:70" ht="15" customHeight="1" x14ac:dyDescent="0.25">
      <c r="A22">
        <v>21156</v>
      </c>
      <c r="C22">
        <v>0</v>
      </c>
      <c r="D22" t="s">
        <v>65</v>
      </c>
      <c r="E22" t="s">
        <v>66</v>
      </c>
      <c r="F22" t="s">
        <v>84</v>
      </c>
      <c r="G22">
        <v>0</v>
      </c>
      <c r="H22" t="s">
        <v>85</v>
      </c>
      <c r="I22" t="s">
        <v>86</v>
      </c>
      <c r="J22" t="str">
        <f>MID($N22,FIND("1.",$N22),FIND("-",$N22)-FIND("1.",$N22)-1)</f>
        <v>1.0038</v>
      </c>
      <c r="K22" t="str">
        <f>MID($N22,FIND("MSWRK - ",$N22)+8,FIND(":",$N22)-FIND("MSWRK - ",$N22)-8)</f>
        <v>Ensure Audit System Integrity is set to Success and Failure</v>
      </c>
      <c r="L22" t="str">
        <f t="shared" si="0"/>
        <v>1.0038 - MSWRK - Ensure Audit System Integrity is set to Success and Failure</v>
      </c>
      <c r="M22" t="str">
        <f>MID($N22,FIND("[",$N22)+1,FIND("]",$N22)-FIND("[",$N22)-1)</f>
        <v>PASSED</v>
      </c>
      <c r="N22" s="1" t="s">
        <v>205</v>
      </c>
      <c r="O22" t="s">
        <v>67</v>
      </c>
      <c r="R22" t="s">
        <v>68</v>
      </c>
      <c r="T22" t="s">
        <v>69</v>
      </c>
      <c r="U22" t="s">
        <v>70</v>
      </c>
      <c r="W22" t="s">
        <v>71</v>
      </c>
      <c r="X22" s="1" t="s">
        <v>72</v>
      </c>
      <c r="Y22" t="s">
        <v>88</v>
      </c>
      <c r="Z22">
        <v>0</v>
      </c>
      <c r="AA22">
        <v>0</v>
      </c>
      <c r="AD22">
        <v>0</v>
      </c>
      <c r="AE22">
        <v>0</v>
      </c>
      <c r="AH22" t="s">
        <v>73</v>
      </c>
      <c r="AI22" t="s">
        <v>74</v>
      </c>
      <c r="AJ22" t="s">
        <v>75</v>
      </c>
      <c r="AK22" t="s">
        <v>76</v>
      </c>
      <c r="AN22" t="s">
        <v>77</v>
      </c>
      <c r="AO22" t="s">
        <v>78</v>
      </c>
      <c r="AP22" t="s">
        <v>204</v>
      </c>
      <c r="AQ22" t="s">
        <v>80</v>
      </c>
      <c r="AS22" t="b">
        <v>1</v>
      </c>
      <c r="AT22" t="s">
        <v>65</v>
      </c>
      <c r="AU22">
        <v>0</v>
      </c>
      <c r="AV22">
        <v>0</v>
      </c>
      <c r="AX22">
        <v>39</v>
      </c>
      <c r="AY22" t="s">
        <v>81</v>
      </c>
      <c r="AZ22" t="s">
        <v>90</v>
      </c>
      <c r="BB22" t="s">
        <v>91</v>
      </c>
      <c r="BC22" t="s">
        <v>92</v>
      </c>
      <c r="BD22" t="b">
        <v>0</v>
      </c>
      <c r="BE22" t="b">
        <v>0</v>
      </c>
      <c r="BF22" t="b">
        <v>0</v>
      </c>
      <c r="BG22" t="b">
        <v>0</v>
      </c>
      <c r="BH22" t="b">
        <v>0</v>
      </c>
      <c r="BI22" t="b">
        <v>0</v>
      </c>
      <c r="BJ22" t="b">
        <v>0</v>
      </c>
      <c r="BK22" t="b">
        <v>0</v>
      </c>
      <c r="BL22" t="b">
        <v>0</v>
      </c>
      <c r="BM22" t="b">
        <v>0</v>
      </c>
      <c r="BN22" t="b">
        <v>0</v>
      </c>
      <c r="BO22" t="b">
        <v>0</v>
      </c>
      <c r="BP22" t="b">
        <v>0</v>
      </c>
      <c r="BR22" t="str">
        <f>IF(M22="PASSED",VLOOKUP(J22,All_Potential!$J$1:$N$500,1,FALSE))</f>
        <v>1.0038</v>
      </c>
    </row>
    <row r="23" spans="1:70" ht="15" customHeight="1" x14ac:dyDescent="0.25">
      <c r="A23">
        <v>21156</v>
      </c>
      <c r="C23">
        <v>0</v>
      </c>
      <c r="D23" t="s">
        <v>65</v>
      </c>
      <c r="E23" t="s">
        <v>66</v>
      </c>
      <c r="F23" t="s">
        <v>84</v>
      </c>
      <c r="G23">
        <v>0</v>
      </c>
      <c r="H23" t="s">
        <v>85</v>
      </c>
      <c r="I23" t="s">
        <v>86</v>
      </c>
      <c r="J23" t="str">
        <f>MID($N23,FIND("1.",$N23),FIND("-",$N23)-FIND("1.",$N23)-1)</f>
        <v>1.0082</v>
      </c>
      <c r="K23" t="str">
        <f>MID($N23,FIND("MSWRK - ",$N23)+8,FIND(":",$N23)-FIND("MSWRK - ",$N23)-8)</f>
        <v>Ensure Enumerate administrator accounts on elevation is set to Disabled</v>
      </c>
      <c r="L23" t="str">
        <f t="shared" si="0"/>
        <v>1.0082 - MSWRK - Ensure Enumerate administrator accounts on elevation is set to Disabled</v>
      </c>
      <c r="M23" t="str">
        <f>MID($N23,FIND("[",$N23)+1,FIND("]",$N23)-FIND("[",$N23)-1)</f>
        <v>PASSED</v>
      </c>
      <c r="N23" s="1" t="s">
        <v>313</v>
      </c>
      <c r="O23" t="s">
        <v>67</v>
      </c>
      <c r="R23" t="s">
        <v>68</v>
      </c>
      <c r="T23" t="s">
        <v>69</v>
      </c>
      <c r="U23" t="s">
        <v>70</v>
      </c>
      <c r="W23" t="s">
        <v>71</v>
      </c>
      <c r="X23" s="1" t="s">
        <v>72</v>
      </c>
      <c r="Y23" t="s">
        <v>88</v>
      </c>
      <c r="Z23">
        <v>0</v>
      </c>
      <c r="AA23">
        <v>0</v>
      </c>
      <c r="AD23">
        <v>0</v>
      </c>
      <c r="AE23">
        <v>0</v>
      </c>
      <c r="AH23" t="s">
        <v>73</v>
      </c>
      <c r="AI23" t="s">
        <v>74</v>
      </c>
      <c r="AJ23" t="s">
        <v>75</v>
      </c>
      <c r="AK23" t="s">
        <v>76</v>
      </c>
      <c r="AN23" t="s">
        <v>77</v>
      </c>
      <c r="AO23" t="s">
        <v>78</v>
      </c>
      <c r="AP23" t="s">
        <v>314</v>
      </c>
      <c r="AQ23" t="s">
        <v>80</v>
      </c>
      <c r="AS23" t="b">
        <v>1</v>
      </c>
      <c r="AT23" t="s">
        <v>65</v>
      </c>
      <c r="AU23">
        <v>0</v>
      </c>
      <c r="AV23">
        <v>0</v>
      </c>
      <c r="AX23">
        <v>39</v>
      </c>
      <c r="AY23" t="s">
        <v>81</v>
      </c>
      <c r="AZ23" t="s">
        <v>90</v>
      </c>
      <c r="BB23" t="s">
        <v>91</v>
      </c>
      <c r="BC23" t="s">
        <v>92</v>
      </c>
      <c r="BD23" t="b">
        <v>0</v>
      </c>
      <c r="BE23" t="b">
        <v>0</v>
      </c>
      <c r="BF23" t="b">
        <v>0</v>
      </c>
      <c r="BG23" t="b">
        <v>0</v>
      </c>
      <c r="BH23" t="b">
        <v>0</v>
      </c>
      <c r="BI23" t="b">
        <v>0</v>
      </c>
      <c r="BJ23" t="b">
        <v>0</v>
      </c>
      <c r="BK23" t="b">
        <v>0</v>
      </c>
      <c r="BL23" t="b">
        <v>0</v>
      </c>
      <c r="BM23" t="b">
        <v>0</v>
      </c>
      <c r="BN23" t="b">
        <v>0</v>
      </c>
      <c r="BO23" t="b">
        <v>0</v>
      </c>
      <c r="BP23" t="b">
        <v>0</v>
      </c>
      <c r="BR23" t="str">
        <f>IF(M23="PASSED",VLOOKUP(J23,All_Potential!$J$1:$N$500,1,FALSE))</f>
        <v>1.0082</v>
      </c>
    </row>
    <row r="24" spans="1:70" ht="15" customHeight="1" x14ac:dyDescent="0.25">
      <c r="A24">
        <v>21156</v>
      </c>
      <c r="C24">
        <v>0</v>
      </c>
      <c r="D24" t="s">
        <v>65</v>
      </c>
      <c r="E24" t="s">
        <v>66</v>
      </c>
      <c r="F24" t="s">
        <v>84</v>
      </c>
      <c r="G24">
        <v>0</v>
      </c>
      <c r="H24" t="s">
        <v>85</v>
      </c>
      <c r="I24" t="s">
        <v>86</v>
      </c>
      <c r="J24" t="str">
        <f>MID($N24,FIND("1.",$N24),FIND("-",$N24)-FIND("1.",$N24)-1)</f>
        <v>1.0083</v>
      </c>
      <c r="K24" t="str">
        <f>MID($N24,FIND("MSWRK - ",$N24)+8,FIND(":",$N24)-FIND("MSWRK - ",$N24)-8)</f>
        <v>Ensure Prevent the use of security questions for local accounts is set to Enabled</v>
      </c>
      <c r="L24" t="str">
        <f t="shared" si="0"/>
        <v>1.0083 - MSWRK - Ensure Prevent the use of security questions for local accounts is set to Enabled</v>
      </c>
      <c r="M24" t="str">
        <f>MID($N24,FIND("[",$N24)+1,FIND("]",$N24)-FIND("[",$N24)-1)</f>
        <v>PASSED</v>
      </c>
      <c r="N24" s="1" t="s">
        <v>227</v>
      </c>
      <c r="O24" t="s">
        <v>67</v>
      </c>
      <c r="R24" t="s">
        <v>68</v>
      </c>
      <c r="T24" t="s">
        <v>69</v>
      </c>
      <c r="U24" t="s">
        <v>70</v>
      </c>
      <c r="W24" t="s">
        <v>71</v>
      </c>
      <c r="X24" s="1" t="s">
        <v>72</v>
      </c>
      <c r="Y24" t="s">
        <v>88</v>
      </c>
      <c r="Z24">
        <v>0</v>
      </c>
      <c r="AA24">
        <v>0</v>
      </c>
      <c r="AD24">
        <v>0</v>
      </c>
      <c r="AE24">
        <v>0</v>
      </c>
      <c r="AH24" t="s">
        <v>73</v>
      </c>
      <c r="AI24" t="s">
        <v>74</v>
      </c>
      <c r="AJ24" t="s">
        <v>75</v>
      </c>
      <c r="AK24" t="s">
        <v>76</v>
      </c>
      <c r="AN24" t="s">
        <v>77</v>
      </c>
      <c r="AO24" t="s">
        <v>78</v>
      </c>
      <c r="AP24" t="s">
        <v>225</v>
      </c>
      <c r="AQ24" t="s">
        <v>80</v>
      </c>
      <c r="AS24" t="b">
        <v>1</v>
      </c>
      <c r="AT24" t="s">
        <v>65</v>
      </c>
      <c r="AU24">
        <v>0</v>
      </c>
      <c r="AV24">
        <v>0</v>
      </c>
      <c r="AX24">
        <v>39</v>
      </c>
      <c r="AY24" t="s">
        <v>81</v>
      </c>
      <c r="AZ24" t="s">
        <v>90</v>
      </c>
      <c r="BB24" t="s">
        <v>91</v>
      </c>
      <c r="BC24" t="s">
        <v>92</v>
      </c>
      <c r="BD24" t="b">
        <v>0</v>
      </c>
      <c r="BE24" t="b">
        <v>0</v>
      </c>
      <c r="BF24" t="b">
        <v>0</v>
      </c>
      <c r="BG24" t="b">
        <v>0</v>
      </c>
      <c r="BH24" t="b">
        <v>0</v>
      </c>
      <c r="BI24" t="b">
        <v>0</v>
      </c>
      <c r="BJ24" t="b">
        <v>0</v>
      </c>
      <c r="BK24" t="b">
        <v>0</v>
      </c>
      <c r="BL24" t="b">
        <v>0</v>
      </c>
      <c r="BM24" t="b">
        <v>0</v>
      </c>
      <c r="BN24" t="b">
        <v>0</v>
      </c>
      <c r="BO24" t="b">
        <v>0</v>
      </c>
      <c r="BP24" t="b">
        <v>0</v>
      </c>
      <c r="BR24" t="str">
        <f>IF(M24="PASSED",VLOOKUP(J24,All_Potential!$J$1:$N$500,1,FALSE))</f>
        <v>1.0083</v>
      </c>
    </row>
    <row r="25" spans="1:70" ht="15" customHeight="1" x14ac:dyDescent="0.25">
      <c r="A25">
        <v>21156</v>
      </c>
      <c r="C25">
        <v>0</v>
      </c>
      <c r="D25" t="s">
        <v>65</v>
      </c>
      <c r="E25" t="s">
        <v>66</v>
      </c>
      <c r="F25" t="s">
        <v>84</v>
      </c>
      <c r="G25">
        <v>0</v>
      </c>
      <c r="H25" t="s">
        <v>85</v>
      </c>
      <c r="I25" t="s">
        <v>86</v>
      </c>
      <c r="J25" t="str">
        <f>MID($N25,FIND("1.",$N25),FIND("-",$N25)-FIND("1.",$N25)-1)</f>
        <v>1.0093</v>
      </c>
      <c r="K25" t="str">
        <f>MID($N25,FIND("MSWRK - ",$N25)+8,FIND(":",$N25)-FIND("MSWRK - ",$N25)-8)</f>
        <v>Ensure Application</v>
      </c>
      <c r="L25" t="str">
        <f t="shared" si="0"/>
        <v>1.0093 - MSWRK - Ensure Application: Control Event Log behavior when the log file reaches its maximum size is set to Disabled</v>
      </c>
      <c r="M25" t="str">
        <f>MID($N25,FIND("[",$N25)+1,FIND("]",$N25)-FIND("[",$N25)-1)</f>
        <v>PASSED</v>
      </c>
      <c r="N25" s="1" t="s">
        <v>184</v>
      </c>
      <c r="O25" t="s">
        <v>67</v>
      </c>
      <c r="R25" t="s">
        <v>68</v>
      </c>
      <c r="T25" t="s">
        <v>69</v>
      </c>
      <c r="U25" t="s">
        <v>70</v>
      </c>
      <c r="W25" t="s">
        <v>71</v>
      </c>
      <c r="X25" s="1" t="s">
        <v>72</v>
      </c>
      <c r="Y25" t="s">
        <v>88</v>
      </c>
      <c r="Z25">
        <v>0</v>
      </c>
      <c r="AA25">
        <v>0</v>
      </c>
      <c r="AD25">
        <v>0</v>
      </c>
      <c r="AE25">
        <v>0</v>
      </c>
      <c r="AH25" t="s">
        <v>73</v>
      </c>
      <c r="AI25" t="s">
        <v>74</v>
      </c>
      <c r="AJ25" t="s">
        <v>75</v>
      </c>
      <c r="AK25" t="s">
        <v>76</v>
      </c>
      <c r="AN25" t="s">
        <v>77</v>
      </c>
      <c r="AO25" t="s">
        <v>78</v>
      </c>
      <c r="AP25" t="s">
        <v>182</v>
      </c>
      <c r="AQ25" t="s">
        <v>80</v>
      </c>
      <c r="AS25" t="b">
        <v>1</v>
      </c>
      <c r="AT25" t="s">
        <v>65</v>
      </c>
      <c r="AU25">
        <v>0</v>
      </c>
      <c r="AV25">
        <v>0</v>
      </c>
      <c r="AX25">
        <v>39</v>
      </c>
      <c r="AY25" t="s">
        <v>81</v>
      </c>
      <c r="AZ25" t="s">
        <v>90</v>
      </c>
      <c r="BB25" t="s">
        <v>91</v>
      </c>
      <c r="BC25" t="s">
        <v>92</v>
      </c>
      <c r="BD25" t="b">
        <v>0</v>
      </c>
      <c r="BE25" t="b">
        <v>0</v>
      </c>
      <c r="BF25" t="b">
        <v>0</v>
      </c>
      <c r="BG25" t="b">
        <v>0</v>
      </c>
      <c r="BH25" t="b">
        <v>0</v>
      </c>
      <c r="BI25" t="b">
        <v>0</v>
      </c>
      <c r="BJ25" t="b">
        <v>0</v>
      </c>
      <c r="BK25" t="b">
        <v>0</v>
      </c>
      <c r="BL25" t="b">
        <v>0</v>
      </c>
      <c r="BM25" t="b">
        <v>0</v>
      </c>
      <c r="BN25" t="b">
        <v>0</v>
      </c>
      <c r="BO25" t="b">
        <v>0</v>
      </c>
      <c r="BP25" t="b">
        <v>0</v>
      </c>
      <c r="BR25" t="str">
        <f>IF(M25="PASSED",VLOOKUP(J25,All_Potential!$J$1:$N$500,1,FALSE))</f>
        <v>1.0093</v>
      </c>
    </row>
    <row r="26" spans="1:70" ht="15" customHeight="1" x14ac:dyDescent="0.25">
      <c r="A26">
        <v>21156</v>
      </c>
      <c r="C26">
        <v>0</v>
      </c>
      <c r="D26" t="s">
        <v>65</v>
      </c>
      <c r="E26" t="s">
        <v>66</v>
      </c>
      <c r="F26" t="s">
        <v>84</v>
      </c>
      <c r="G26">
        <v>0</v>
      </c>
      <c r="H26" t="s">
        <v>85</v>
      </c>
      <c r="I26" t="s">
        <v>86</v>
      </c>
      <c r="J26" t="str">
        <f>MID($N26,FIND("1.",$N26),FIND("-",$N26)-FIND("1.",$N26)-1)</f>
        <v>1.0094</v>
      </c>
      <c r="K26" t="str">
        <f>MID($N26,FIND("MSWRK - ",$N26)+8,FIND(":",$N26)-FIND("MSWRK - ",$N26)-8)</f>
        <v>Ensure Application</v>
      </c>
      <c r="L26" t="str">
        <f t="shared" si="0"/>
        <v>1.0094 - MSWRK - Ensure Application: Specify the maximum log file size (KB) is set to Enabled: 32,768 or greater</v>
      </c>
      <c r="M26" t="str">
        <f>MID($N26,FIND("[",$N26)+1,FIND("]",$N26)-FIND("[",$N26)-1)</f>
        <v>PASSED</v>
      </c>
      <c r="N26" s="1" t="s">
        <v>296</v>
      </c>
      <c r="O26" t="s">
        <v>67</v>
      </c>
      <c r="R26" t="s">
        <v>68</v>
      </c>
      <c r="T26" t="s">
        <v>69</v>
      </c>
      <c r="U26" t="s">
        <v>70</v>
      </c>
      <c r="W26" t="s">
        <v>71</v>
      </c>
      <c r="X26" s="1" t="s">
        <v>72</v>
      </c>
      <c r="Y26" t="s">
        <v>88</v>
      </c>
      <c r="Z26">
        <v>0</v>
      </c>
      <c r="AA26">
        <v>0</v>
      </c>
      <c r="AD26">
        <v>0</v>
      </c>
      <c r="AE26">
        <v>0</v>
      </c>
      <c r="AH26" t="s">
        <v>73</v>
      </c>
      <c r="AI26" t="s">
        <v>74</v>
      </c>
      <c r="AJ26" t="s">
        <v>75</v>
      </c>
      <c r="AK26" t="s">
        <v>76</v>
      </c>
      <c r="AN26" t="s">
        <v>77</v>
      </c>
      <c r="AO26" t="s">
        <v>78</v>
      </c>
      <c r="AP26" t="s">
        <v>297</v>
      </c>
      <c r="AQ26" t="s">
        <v>80</v>
      </c>
      <c r="AS26" t="b">
        <v>1</v>
      </c>
      <c r="AT26" t="s">
        <v>65</v>
      </c>
      <c r="AU26">
        <v>0</v>
      </c>
      <c r="AV26">
        <v>0</v>
      </c>
      <c r="AX26">
        <v>39</v>
      </c>
      <c r="AY26" t="s">
        <v>81</v>
      </c>
      <c r="AZ26" t="s">
        <v>90</v>
      </c>
      <c r="BB26" t="s">
        <v>91</v>
      </c>
      <c r="BC26" t="s">
        <v>92</v>
      </c>
      <c r="BD26" t="b">
        <v>0</v>
      </c>
      <c r="BE26" t="b">
        <v>0</v>
      </c>
      <c r="BF26" t="b">
        <v>0</v>
      </c>
      <c r="BG26" t="b">
        <v>0</v>
      </c>
      <c r="BH26" t="b">
        <v>0</v>
      </c>
      <c r="BI26" t="b">
        <v>0</v>
      </c>
      <c r="BJ26" t="b">
        <v>0</v>
      </c>
      <c r="BK26" t="b">
        <v>0</v>
      </c>
      <c r="BL26" t="b">
        <v>0</v>
      </c>
      <c r="BM26" t="b">
        <v>0</v>
      </c>
      <c r="BN26" t="b">
        <v>0</v>
      </c>
      <c r="BO26" t="b">
        <v>0</v>
      </c>
      <c r="BP26" t="b">
        <v>0</v>
      </c>
      <c r="BR26" t="str">
        <f>IF(M26="PASSED",VLOOKUP(J26,All_Potential!$J$1:$N$500,1,FALSE))</f>
        <v>1.0094</v>
      </c>
    </row>
    <row r="27" spans="1:70" ht="15" customHeight="1" x14ac:dyDescent="0.25">
      <c r="A27">
        <v>21156</v>
      </c>
      <c r="C27">
        <v>0</v>
      </c>
      <c r="D27" t="s">
        <v>65</v>
      </c>
      <c r="E27" t="s">
        <v>66</v>
      </c>
      <c r="F27" t="s">
        <v>84</v>
      </c>
      <c r="G27">
        <v>0</v>
      </c>
      <c r="H27" t="s">
        <v>85</v>
      </c>
      <c r="I27" t="s">
        <v>86</v>
      </c>
      <c r="J27" t="str">
        <f>MID($N27,FIND("1.",$N27),FIND("-",$N27)-FIND("1.",$N27)-1)</f>
        <v>1.0095</v>
      </c>
      <c r="K27" t="str">
        <f>MID($N27,FIND("MSWRK - ",$N27)+8,FIND(":",$N27)-FIND("MSWRK - ",$N27)-8)</f>
        <v>Ensure Security</v>
      </c>
      <c r="L27" t="str">
        <f t="shared" si="0"/>
        <v>1.0095 - MSWRK - Ensure Security: Control Event Log behavior when the log file reaches its maximum size is set to Disabled</v>
      </c>
      <c r="M27" t="str">
        <f>MID($N27,FIND("[",$N27)+1,FIND("]",$N27)-FIND("[",$N27)-1)</f>
        <v>PASSED</v>
      </c>
      <c r="N27" s="1" t="s">
        <v>130</v>
      </c>
      <c r="O27" t="s">
        <v>67</v>
      </c>
      <c r="R27" t="s">
        <v>68</v>
      </c>
      <c r="T27" t="s">
        <v>69</v>
      </c>
      <c r="U27" t="s">
        <v>70</v>
      </c>
      <c r="W27" t="s">
        <v>71</v>
      </c>
      <c r="X27" s="1" t="s">
        <v>72</v>
      </c>
      <c r="Y27" t="s">
        <v>88</v>
      </c>
      <c r="Z27">
        <v>0</v>
      </c>
      <c r="AA27">
        <v>0</v>
      </c>
      <c r="AD27">
        <v>0</v>
      </c>
      <c r="AE27">
        <v>0</v>
      </c>
      <c r="AH27" t="s">
        <v>73</v>
      </c>
      <c r="AI27" t="s">
        <v>74</v>
      </c>
      <c r="AJ27" t="s">
        <v>75</v>
      </c>
      <c r="AK27" t="s">
        <v>76</v>
      </c>
      <c r="AN27" t="s">
        <v>77</v>
      </c>
      <c r="AO27" t="s">
        <v>78</v>
      </c>
      <c r="AP27" t="s">
        <v>131</v>
      </c>
      <c r="AQ27" t="s">
        <v>80</v>
      </c>
      <c r="AS27" t="b">
        <v>1</v>
      </c>
      <c r="AT27" t="s">
        <v>65</v>
      </c>
      <c r="AU27">
        <v>0</v>
      </c>
      <c r="AV27">
        <v>0</v>
      </c>
      <c r="AX27">
        <v>39</v>
      </c>
      <c r="AY27" t="s">
        <v>81</v>
      </c>
      <c r="AZ27" t="s">
        <v>90</v>
      </c>
      <c r="BB27" t="s">
        <v>91</v>
      </c>
      <c r="BC27" t="s">
        <v>92</v>
      </c>
      <c r="BD27" t="b">
        <v>0</v>
      </c>
      <c r="BE27" t="b">
        <v>0</v>
      </c>
      <c r="BF27" t="b">
        <v>0</v>
      </c>
      <c r="BG27" t="b">
        <v>0</v>
      </c>
      <c r="BH27" t="b">
        <v>0</v>
      </c>
      <c r="BI27" t="b">
        <v>0</v>
      </c>
      <c r="BJ27" t="b">
        <v>0</v>
      </c>
      <c r="BK27" t="b">
        <v>0</v>
      </c>
      <c r="BL27" t="b">
        <v>0</v>
      </c>
      <c r="BM27" t="b">
        <v>0</v>
      </c>
      <c r="BN27" t="b">
        <v>0</v>
      </c>
      <c r="BO27" t="b">
        <v>0</v>
      </c>
      <c r="BP27" t="b">
        <v>0</v>
      </c>
      <c r="BR27" t="str">
        <f>IF(M27="PASSED",VLOOKUP(J27,All_Potential!$J$1:$N$500,1,FALSE))</f>
        <v>1.0095</v>
      </c>
    </row>
    <row r="28" spans="1:70" ht="15" customHeight="1" x14ac:dyDescent="0.25">
      <c r="A28">
        <v>21156</v>
      </c>
      <c r="C28">
        <v>0</v>
      </c>
      <c r="D28" t="s">
        <v>65</v>
      </c>
      <c r="E28" t="s">
        <v>66</v>
      </c>
      <c r="F28" t="s">
        <v>84</v>
      </c>
      <c r="G28">
        <v>0</v>
      </c>
      <c r="H28" t="s">
        <v>85</v>
      </c>
      <c r="I28" t="s">
        <v>86</v>
      </c>
      <c r="J28" t="str">
        <f>MID($N28,FIND("1.",$N28),FIND("-",$N28)-FIND("1.",$N28)-1)</f>
        <v>1.0096</v>
      </c>
      <c r="K28" t="str">
        <f>MID($N28,FIND("MSWRK - ",$N28)+8,FIND(":",$N28)-FIND("MSWRK - ",$N28)-8)</f>
        <v>Ensure Security</v>
      </c>
      <c r="L28" t="str">
        <f t="shared" si="0"/>
        <v>1.0096 - MSWRK - Ensure Security: Specify the maximum log file size (KB) is set to Enabled: 196,608 or greater</v>
      </c>
      <c r="M28" t="str">
        <f>MID($N28,FIND("[",$N28)+1,FIND("]",$N28)-FIND("[",$N28)-1)</f>
        <v>PASSED</v>
      </c>
      <c r="N28" s="1" t="s">
        <v>167</v>
      </c>
      <c r="O28" t="s">
        <v>67</v>
      </c>
      <c r="R28" t="s">
        <v>68</v>
      </c>
      <c r="T28" t="s">
        <v>69</v>
      </c>
      <c r="U28" t="s">
        <v>70</v>
      </c>
      <c r="W28" t="s">
        <v>71</v>
      </c>
      <c r="X28" s="1" t="s">
        <v>72</v>
      </c>
      <c r="Y28" t="s">
        <v>88</v>
      </c>
      <c r="Z28">
        <v>0</v>
      </c>
      <c r="AA28">
        <v>0</v>
      </c>
      <c r="AD28">
        <v>0</v>
      </c>
      <c r="AE28">
        <v>0</v>
      </c>
      <c r="AH28" t="s">
        <v>73</v>
      </c>
      <c r="AI28" t="s">
        <v>74</v>
      </c>
      <c r="AJ28" t="s">
        <v>75</v>
      </c>
      <c r="AK28" t="s">
        <v>76</v>
      </c>
      <c r="AN28" t="s">
        <v>77</v>
      </c>
      <c r="AO28" t="s">
        <v>78</v>
      </c>
      <c r="AP28" t="s">
        <v>165</v>
      </c>
      <c r="AQ28" t="s">
        <v>80</v>
      </c>
      <c r="AS28" t="b">
        <v>1</v>
      </c>
      <c r="AT28" t="s">
        <v>65</v>
      </c>
      <c r="AU28">
        <v>0</v>
      </c>
      <c r="AV28">
        <v>0</v>
      </c>
      <c r="AX28">
        <v>39</v>
      </c>
      <c r="AY28" t="s">
        <v>81</v>
      </c>
      <c r="AZ28" t="s">
        <v>90</v>
      </c>
      <c r="BB28" t="s">
        <v>91</v>
      </c>
      <c r="BC28" t="s">
        <v>92</v>
      </c>
      <c r="BD28" t="b">
        <v>0</v>
      </c>
      <c r="BE28" t="b">
        <v>0</v>
      </c>
      <c r="BF28" t="b">
        <v>0</v>
      </c>
      <c r="BG28" t="b">
        <v>0</v>
      </c>
      <c r="BH28" t="b">
        <v>0</v>
      </c>
      <c r="BI28" t="b">
        <v>0</v>
      </c>
      <c r="BJ28" t="b">
        <v>0</v>
      </c>
      <c r="BK28" t="b">
        <v>0</v>
      </c>
      <c r="BL28" t="b">
        <v>0</v>
      </c>
      <c r="BM28" t="b">
        <v>0</v>
      </c>
      <c r="BN28" t="b">
        <v>0</v>
      </c>
      <c r="BO28" t="b">
        <v>0</v>
      </c>
      <c r="BP28" t="b">
        <v>0</v>
      </c>
      <c r="BR28" t="str">
        <f>IF(M28="PASSED",VLOOKUP(J28,All_Potential!$J$1:$N$500,1,FALSE))</f>
        <v>1.0096</v>
      </c>
    </row>
    <row r="29" spans="1:70" ht="15" customHeight="1" x14ac:dyDescent="0.25">
      <c r="A29">
        <v>21156</v>
      </c>
      <c r="C29">
        <v>0</v>
      </c>
      <c r="D29" t="s">
        <v>65</v>
      </c>
      <c r="E29" t="s">
        <v>66</v>
      </c>
      <c r="F29" t="s">
        <v>84</v>
      </c>
      <c r="G29">
        <v>0</v>
      </c>
      <c r="H29" t="s">
        <v>85</v>
      </c>
      <c r="I29" t="s">
        <v>86</v>
      </c>
      <c r="J29" t="str">
        <f>MID($N29,FIND("1.",$N29),FIND("-",$N29)-FIND("1.",$N29)-1)</f>
        <v>1.0097</v>
      </c>
      <c r="K29" t="str">
        <f>MID($N29,FIND("MSWRK - ",$N29)+8,FIND(":",$N29)-FIND("MSWRK - ",$N29)-8)</f>
        <v>Ensure Setup</v>
      </c>
      <c r="L29" t="str">
        <f t="shared" si="0"/>
        <v>1.0097 - MSWRK - Ensure Setup: Control Event Log behavior when the log file reaches its maximum size is set to Disabled</v>
      </c>
      <c r="M29" t="str">
        <f>MID($N29,FIND("[",$N29)+1,FIND("]",$N29)-FIND("[",$N29)-1)</f>
        <v>PASSED</v>
      </c>
      <c r="N29" s="1" t="s">
        <v>164</v>
      </c>
      <c r="O29" t="s">
        <v>67</v>
      </c>
      <c r="R29" t="s">
        <v>68</v>
      </c>
      <c r="T29" t="s">
        <v>69</v>
      </c>
      <c r="U29" t="s">
        <v>70</v>
      </c>
      <c r="W29" t="s">
        <v>71</v>
      </c>
      <c r="X29" s="1" t="s">
        <v>72</v>
      </c>
      <c r="Y29" t="s">
        <v>88</v>
      </c>
      <c r="Z29">
        <v>0</v>
      </c>
      <c r="AA29">
        <v>0</v>
      </c>
      <c r="AD29">
        <v>0</v>
      </c>
      <c r="AE29">
        <v>0</v>
      </c>
      <c r="AH29" t="s">
        <v>73</v>
      </c>
      <c r="AI29" t="s">
        <v>74</v>
      </c>
      <c r="AJ29" t="s">
        <v>75</v>
      </c>
      <c r="AK29" t="s">
        <v>76</v>
      </c>
      <c r="AN29" t="s">
        <v>77</v>
      </c>
      <c r="AO29" t="s">
        <v>78</v>
      </c>
      <c r="AP29" t="s">
        <v>165</v>
      </c>
      <c r="AQ29" t="s">
        <v>80</v>
      </c>
      <c r="AS29" t="b">
        <v>1</v>
      </c>
      <c r="AT29" t="s">
        <v>65</v>
      </c>
      <c r="AU29">
        <v>0</v>
      </c>
      <c r="AV29">
        <v>0</v>
      </c>
      <c r="AX29">
        <v>39</v>
      </c>
      <c r="AY29" t="s">
        <v>81</v>
      </c>
      <c r="AZ29" t="s">
        <v>90</v>
      </c>
      <c r="BB29" t="s">
        <v>91</v>
      </c>
      <c r="BC29" t="s">
        <v>92</v>
      </c>
      <c r="BD29" t="b">
        <v>0</v>
      </c>
      <c r="BE29" t="b">
        <v>0</v>
      </c>
      <c r="BF29" t="b">
        <v>0</v>
      </c>
      <c r="BG29" t="b">
        <v>0</v>
      </c>
      <c r="BH29" t="b">
        <v>0</v>
      </c>
      <c r="BI29" t="b">
        <v>0</v>
      </c>
      <c r="BJ29" t="b">
        <v>0</v>
      </c>
      <c r="BK29" t="b">
        <v>0</v>
      </c>
      <c r="BL29" t="b">
        <v>0</v>
      </c>
      <c r="BM29" t="b">
        <v>0</v>
      </c>
      <c r="BN29" t="b">
        <v>0</v>
      </c>
      <c r="BO29" t="b">
        <v>0</v>
      </c>
      <c r="BP29" t="b">
        <v>0</v>
      </c>
      <c r="BR29" t="str">
        <f>IF(M29="PASSED",VLOOKUP(J29,All_Potential!$J$1:$N$500,1,FALSE))</f>
        <v>1.0097</v>
      </c>
    </row>
    <row r="30" spans="1:70" ht="15" customHeight="1" x14ac:dyDescent="0.25">
      <c r="A30">
        <v>21156</v>
      </c>
      <c r="C30">
        <v>0</v>
      </c>
      <c r="D30" t="s">
        <v>65</v>
      </c>
      <c r="E30" t="s">
        <v>66</v>
      </c>
      <c r="F30" t="s">
        <v>84</v>
      </c>
      <c r="G30">
        <v>0</v>
      </c>
      <c r="H30" t="s">
        <v>85</v>
      </c>
      <c r="I30" t="s">
        <v>86</v>
      </c>
      <c r="J30" t="str">
        <f>MID($N30,FIND("1.",$N30),FIND("-",$N30)-FIND("1.",$N30)-1)</f>
        <v>1.0098</v>
      </c>
      <c r="K30" t="str">
        <f>MID($N30,FIND("MSWRK - ",$N30)+8,FIND(":",$N30)-FIND("MSWRK - ",$N30)-8)</f>
        <v>Ensure Setup</v>
      </c>
      <c r="L30" t="str">
        <f t="shared" si="0"/>
        <v>1.0098 - MSWRK - Ensure Setup: Specify the maximum log file size (KB) is set to Enabled: 32,768 or greater</v>
      </c>
      <c r="M30" t="str">
        <f>MID($N30,FIND("[",$N30)+1,FIND("]",$N30)-FIND("[",$N30)-1)</f>
        <v>PASSED</v>
      </c>
      <c r="N30" s="1" t="s">
        <v>142</v>
      </c>
      <c r="O30" t="s">
        <v>67</v>
      </c>
      <c r="R30" t="s">
        <v>68</v>
      </c>
      <c r="T30" t="s">
        <v>69</v>
      </c>
      <c r="U30" t="s">
        <v>70</v>
      </c>
      <c r="W30" t="s">
        <v>71</v>
      </c>
      <c r="X30" s="1" t="s">
        <v>72</v>
      </c>
      <c r="Y30" t="s">
        <v>88</v>
      </c>
      <c r="Z30">
        <v>0</v>
      </c>
      <c r="AA30">
        <v>0</v>
      </c>
      <c r="AD30">
        <v>0</v>
      </c>
      <c r="AE30">
        <v>0</v>
      </c>
      <c r="AH30" t="s">
        <v>73</v>
      </c>
      <c r="AI30" t="s">
        <v>74</v>
      </c>
      <c r="AJ30" t="s">
        <v>75</v>
      </c>
      <c r="AK30" t="s">
        <v>76</v>
      </c>
      <c r="AN30" t="s">
        <v>77</v>
      </c>
      <c r="AO30" t="s">
        <v>78</v>
      </c>
      <c r="AP30" t="s">
        <v>143</v>
      </c>
      <c r="AQ30" t="s">
        <v>80</v>
      </c>
      <c r="AS30" t="b">
        <v>1</v>
      </c>
      <c r="AT30" t="s">
        <v>65</v>
      </c>
      <c r="AU30">
        <v>0</v>
      </c>
      <c r="AV30">
        <v>0</v>
      </c>
      <c r="AX30">
        <v>39</v>
      </c>
      <c r="AY30" t="s">
        <v>81</v>
      </c>
      <c r="AZ30" t="s">
        <v>90</v>
      </c>
      <c r="BB30" t="s">
        <v>91</v>
      </c>
      <c r="BC30" t="s">
        <v>92</v>
      </c>
      <c r="BD30" t="b">
        <v>0</v>
      </c>
      <c r="BE30" t="b">
        <v>0</v>
      </c>
      <c r="BF30" t="b">
        <v>0</v>
      </c>
      <c r="BG30" t="b">
        <v>0</v>
      </c>
      <c r="BH30" t="b">
        <v>0</v>
      </c>
      <c r="BI30" t="b">
        <v>0</v>
      </c>
      <c r="BJ30" t="b">
        <v>0</v>
      </c>
      <c r="BK30" t="b">
        <v>0</v>
      </c>
      <c r="BL30" t="b">
        <v>0</v>
      </c>
      <c r="BM30" t="b">
        <v>0</v>
      </c>
      <c r="BN30" t="b">
        <v>0</v>
      </c>
      <c r="BO30" t="b">
        <v>0</v>
      </c>
      <c r="BP30" t="b">
        <v>0</v>
      </c>
      <c r="BR30" t="str">
        <f>IF(M30="PASSED",VLOOKUP(J30,All_Potential!$J$1:$N$500,1,FALSE))</f>
        <v>1.0098</v>
      </c>
    </row>
    <row r="31" spans="1:70" ht="15" customHeight="1" x14ac:dyDescent="0.25">
      <c r="A31">
        <v>21156</v>
      </c>
      <c r="C31">
        <v>0</v>
      </c>
      <c r="D31" t="s">
        <v>65</v>
      </c>
      <c r="E31" t="s">
        <v>66</v>
      </c>
      <c r="F31" t="s">
        <v>84</v>
      </c>
      <c r="G31">
        <v>0</v>
      </c>
      <c r="H31" t="s">
        <v>85</v>
      </c>
      <c r="I31" t="s">
        <v>86</v>
      </c>
      <c r="J31" t="str">
        <f>MID($N31,FIND("1.",$N31),FIND("-",$N31)-FIND("1.",$N31)-1)</f>
        <v>1.0099</v>
      </c>
      <c r="K31" t="str">
        <f>MID($N31,FIND("MSWRK - ",$N31)+8,FIND(":",$N31)-FIND("MSWRK - ",$N31)-8)</f>
        <v>Ensure System</v>
      </c>
      <c r="L31" t="str">
        <f t="shared" si="0"/>
        <v>1.0099 - MSWRK - Ensure System: Control Event Log behavior when the log file reaches its maximum size is set to Disabled</v>
      </c>
      <c r="M31" t="str">
        <f>MID($N31,FIND("[",$N31)+1,FIND("]",$N31)-FIND("[",$N31)-1)</f>
        <v>PASSED</v>
      </c>
      <c r="N31" s="1" t="s">
        <v>170</v>
      </c>
      <c r="O31" t="s">
        <v>67</v>
      </c>
      <c r="R31" t="s">
        <v>68</v>
      </c>
      <c r="T31" t="s">
        <v>69</v>
      </c>
      <c r="U31" t="s">
        <v>70</v>
      </c>
      <c r="W31" t="s">
        <v>71</v>
      </c>
      <c r="X31" s="1" t="s">
        <v>72</v>
      </c>
      <c r="Y31" t="s">
        <v>88</v>
      </c>
      <c r="Z31">
        <v>0</v>
      </c>
      <c r="AA31">
        <v>0</v>
      </c>
      <c r="AD31">
        <v>0</v>
      </c>
      <c r="AE31">
        <v>0</v>
      </c>
      <c r="AH31" t="s">
        <v>73</v>
      </c>
      <c r="AI31" t="s">
        <v>74</v>
      </c>
      <c r="AJ31" t="s">
        <v>75</v>
      </c>
      <c r="AK31" t="s">
        <v>76</v>
      </c>
      <c r="AN31" t="s">
        <v>77</v>
      </c>
      <c r="AO31" t="s">
        <v>78</v>
      </c>
      <c r="AP31" t="s">
        <v>169</v>
      </c>
      <c r="AQ31" t="s">
        <v>80</v>
      </c>
      <c r="AS31" t="b">
        <v>1</v>
      </c>
      <c r="AT31" t="s">
        <v>65</v>
      </c>
      <c r="AU31">
        <v>0</v>
      </c>
      <c r="AV31">
        <v>0</v>
      </c>
      <c r="AX31">
        <v>39</v>
      </c>
      <c r="AY31" t="s">
        <v>81</v>
      </c>
      <c r="AZ31" t="s">
        <v>90</v>
      </c>
      <c r="BB31" t="s">
        <v>91</v>
      </c>
      <c r="BC31" t="s">
        <v>92</v>
      </c>
      <c r="BD31" t="b">
        <v>0</v>
      </c>
      <c r="BE31" t="b">
        <v>0</v>
      </c>
      <c r="BF31" t="b">
        <v>0</v>
      </c>
      <c r="BG31" t="b">
        <v>0</v>
      </c>
      <c r="BH31" t="b">
        <v>0</v>
      </c>
      <c r="BI31" t="b">
        <v>0</v>
      </c>
      <c r="BJ31" t="b">
        <v>0</v>
      </c>
      <c r="BK31" t="b">
        <v>0</v>
      </c>
      <c r="BL31" t="b">
        <v>0</v>
      </c>
      <c r="BM31" t="b">
        <v>0</v>
      </c>
      <c r="BN31" t="b">
        <v>0</v>
      </c>
      <c r="BO31" t="b">
        <v>0</v>
      </c>
      <c r="BP31" t="b">
        <v>0</v>
      </c>
      <c r="BR31" t="str">
        <f>IF(M31="PASSED",VLOOKUP(J31,All_Potential!$J$1:$N$500,1,FALSE))</f>
        <v>1.0099</v>
      </c>
    </row>
    <row r="32" spans="1:70" ht="15" customHeight="1" x14ac:dyDescent="0.25">
      <c r="A32">
        <v>21156</v>
      </c>
      <c r="C32">
        <v>0</v>
      </c>
      <c r="D32" t="s">
        <v>65</v>
      </c>
      <c r="E32" t="s">
        <v>66</v>
      </c>
      <c r="F32" t="s">
        <v>84</v>
      </c>
      <c r="G32">
        <v>0</v>
      </c>
      <c r="H32" t="s">
        <v>85</v>
      </c>
      <c r="I32" t="s">
        <v>86</v>
      </c>
      <c r="J32" t="str">
        <f>MID($N32,FIND("1.",$N32),FIND("-",$N32)-FIND("1.",$N32)-1)</f>
        <v>1.0100</v>
      </c>
      <c r="K32" t="str">
        <f>MID($N32,FIND("MSWRK - ",$N32)+8,FIND(":",$N32)-FIND("MSWRK - ",$N32)-8)</f>
        <v>Ensure System</v>
      </c>
      <c r="L32" t="str">
        <f t="shared" si="0"/>
        <v>1.0100 - MSWRK - Ensure System: Specify the maximum log file size (KB) is set to Enabled: 32,768 or greater</v>
      </c>
      <c r="M32" t="str">
        <f>MID($N32,FIND("[",$N32)+1,FIND("]",$N32)-FIND("[",$N32)-1)</f>
        <v>PASSED</v>
      </c>
      <c r="N32" s="1" t="s">
        <v>289</v>
      </c>
      <c r="O32" t="s">
        <v>67</v>
      </c>
      <c r="R32" t="s">
        <v>68</v>
      </c>
      <c r="T32" t="s">
        <v>69</v>
      </c>
      <c r="U32" t="s">
        <v>70</v>
      </c>
      <c r="W32" t="s">
        <v>71</v>
      </c>
      <c r="X32" s="1" t="s">
        <v>72</v>
      </c>
      <c r="Y32" t="s">
        <v>88</v>
      </c>
      <c r="Z32">
        <v>0</v>
      </c>
      <c r="AA32">
        <v>0</v>
      </c>
      <c r="AD32">
        <v>0</v>
      </c>
      <c r="AE32">
        <v>0</v>
      </c>
      <c r="AH32" t="s">
        <v>73</v>
      </c>
      <c r="AI32" t="s">
        <v>74</v>
      </c>
      <c r="AJ32" t="s">
        <v>75</v>
      </c>
      <c r="AK32" t="s">
        <v>76</v>
      </c>
      <c r="AN32" t="s">
        <v>77</v>
      </c>
      <c r="AO32" t="s">
        <v>78</v>
      </c>
      <c r="AP32" t="s">
        <v>288</v>
      </c>
      <c r="AQ32" t="s">
        <v>80</v>
      </c>
      <c r="AS32" t="b">
        <v>1</v>
      </c>
      <c r="AT32" t="s">
        <v>65</v>
      </c>
      <c r="AU32">
        <v>0</v>
      </c>
      <c r="AV32">
        <v>0</v>
      </c>
      <c r="AX32">
        <v>39</v>
      </c>
      <c r="AY32" t="s">
        <v>81</v>
      </c>
      <c r="AZ32" t="s">
        <v>90</v>
      </c>
      <c r="BB32" t="s">
        <v>91</v>
      </c>
      <c r="BC32" t="s">
        <v>92</v>
      </c>
      <c r="BD32" t="b">
        <v>0</v>
      </c>
      <c r="BE32" t="b">
        <v>0</v>
      </c>
      <c r="BF32" t="b">
        <v>0</v>
      </c>
      <c r="BG32" t="b">
        <v>0</v>
      </c>
      <c r="BH32" t="b">
        <v>0</v>
      </c>
      <c r="BI32" t="b">
        <v>0</v>
      </c>
      <c r="BJ32" t="b">
        <v>0</v>
      </c>
      <c r="BK32" t="b">
        <v>0</v>
      </c>
      <c r="BL32" t="b">
        <v>0</v>
      </c>
      <c r="BM32" t="b">
        <v>0</v>
      </c>
      <c r="BN32" t="b">
        <v>0</v>
      </c>
      <c r="BO32" t="b">
        <v>0</v>
      </c>
      <c r="BP32" t="b">
        <v>0</v>
      </c>
      <c r="BR32" t="str">
        <f>IF(M32="PASSED",VLOOKUP(J32,All_Potential!$J$1:$N$500,1,FALSE))</f>
        <v>1.0100</v>
      </c>
    </row>
    <row r="33" spans="1:70" ht="15" customHeight="1" x14ac:dyDescent="0.25">
      <c r="A33">
        <v>21156</v>
      </c>
      <c r="C33">
        <v>0</v>
      </c>
      <c r="D33" t="s">
        <v>83</v>
      </c>
      <c r="E33" t="s">
        <v>66</v>
      </c>
      <c r="F33" t="s">
        <v>84</v>
      </c>
      <c r="G33">
        <v>0</v>
      </c>
      <c r="H33" t="s">
        <v>85</v>
      </c>
      <c r="I33" t="s">
        <v>86</v>
      </c>
      <c r="J33" t="str">
        <f>MID($N33,FIND("1.",$N33),FIND("-",$N33)-FIND("1.",$N33)-1)</f>
        <v>1.0108</v>
      </c>
      <c r="K33" t="str">
        <f>MID($N33,FIND("MSWRK - ",$N33)+8,FIND(":",$N33)-FIND("MSWRK - ",$N33)-8)</f>
        <v>Ensure Scan all downloaded files and attachments is set to Enabled</v>
      </c>
      <c r="L33" t="str">
        <f t="shared" si="0"/>
        <v>1.0108 - MSWRK - Ensure Scan all downloaded files and attachments is set to Enabled</v>
      </c>
      <c r="M33" t="str">
        <f>MID($N33,FIND("[",$N33)+1,FIND("]",$N33)-FIND("[",$N33)-1)</f>
        <v>FAILED</v>
      </c>
      <c r="N33" s="1" t="s">
        <v>103</v>
      </c>
      <c r="O33" t="s">
        <v>67</v>
      </c>
      <c r="R33" t="s">
        <v>68</v>
      </c>
      <c r="T33" t="s">
        <v>69</v>
      </c>
      <c r="U33" t="s">
        <v>70</v>
      </c>
      <c r="W33" t="s">
        <v>71</v>
      </c>
      <c r="X33" s="1" t="s">
        <v>72</v>
      </c>
      <c r="Y33" t="s">
        <v>88</v>
      </c>
      <c r="Z33">
        <v>0</v>
      </c>
      <c r="AA33">
        <v>0</v>
      </c>
      <c r="AD33">
        <v>0</v>
      </c>
      <c r="AE33">
        <v>0</v>
      </c>
      <c r="AH33" t="s">
        <v>73</v>
      </c>
      <c r="AI33" t="s">
        <v>74</v>
      </c>
      <c r="AJ33" t="s">
        <v>75</v>
      </c>
      <c r="AK33" t="s">
        <v>76</v>
      </c>
      <c r="AN33" t="s">
        <v>77</v>
      </c>
      <c r="AO33" t="s">
        <v>78</v>
      </c>
      <c r="AP33" t="s">
        <v>101</v>
      </c>
      <c r="AQ33" t="s">
        <v>80</v>
      </c>
      <c r="AS33" t="b">
        <v>1</v>
      </c>
      <c r="AT33" t="s">
        <v>65</v>
      </c>
      <c r="AU33">
        <v>0</v>
      </c>
      <c r="AV33">
        <v>0</v>
      </c>
      <c r="AX33">
        <v>39</v>
      </c>
      <c r="AY33" t="s">
        <v>81</v>
      </c>
      <c r="AZ33" t="s">
        <v>90</v>
      </c>
      <c r="BB33" t="s">
        <v>91</v>
      </c>
      <c r="BC33" t="s">
        <v>92</v>
      </c>
      <c r="BD33" t="b">
        <v>0</v>
      </c>
      <c r="BE33" t="b">
        <v>0</v>
      </c>
      <c r="BF33" t="b">
        <v>0</v>
      </c>
      <c r="BG33" t="b">
        <v>0</v>
      </c>
      <c r="BH33" t="b">
        <v>0</v>
      </c>
      <c r="BI33" t="b">
        <v>0</v>
      </c>
      <c r="BJ33" t="b">
        <v>0</v>
      </c>
      <c r="BK33" t="b">
        <v>0</v>
      </c>
      <c r="BL33" t="b">
        <v>0</v>
      </c>
      <c r="BM33" t="b">
        <v>0</v>
      </c>
      <c r="BN33" t="b">
        <v>0</v>
      </c>
      <c r="BO33" t="b">
        <v>0</v>
      </c>
      <c r="BP33" t="b">
        <v>0</v>
      </c>
      <c r="BR33" t="b">
        <f>IF(M33="PASSED",VLOOKUP(J33,All_Potential!$J$1:$N$500,1,FALSE))</f>
        <v>0</v>
      </c>
    </row>
    <row r="34" spans="1:70" ht="15" customHeight="1" x14ac:dyDescent="0.25">
      <c r="A34">
        <v>21156</v>
      </c>
      <c r="C34">
        <v>0</v>
      </c>
      <c r="D34" t="s">
        <v>83</v>
      </c>
      <c r="E34" t="s">
        <v>66</v>
      </c>
      <c r="F34" t="s">
        <v>84</v>
      </c>
      <c r="G34">
        <v>0</v>
      </c>
      <c r="H34" t="s">
        <v>85</v>
      </c>
      <c r="I34" t="s">
        <v>86</v>
      </c>
      <c r="J34" t="str">
        <f>MID($N34,FIND("1.",$N34),FIND("-",$N34)-FIND("1.",$N34)-1)</f>
        <v>1.0109</v>
      </c>
      <c r="K34" t="str">
        <f>MID($N34,FIND("MSWRK - ",$N34)+8,FIND(":",$N34)-FIND("MSWRK - ",$N34)-8)</f>
        <v>Ensure Turn off real-time protection is set to Disabled</v>
      </c>
      <c r="L34" t="str">
        <f t="shared" si="0"/>
        <v>1.0109 - MSWRK - Ensure Turn off real-time protection is set to Disabled</v>
      </c>
      <c r="M34" t="str">
        <f>MID($N34,FIND("[",$N34)+1,FIND("]",$N34)-FIND("[",$N34)-1)</f>
        <v>FAILED</v>
      </c>
      <c r="N34" s="1" t="s">
        <v>240</v>
      </c>
      <c r="O34" t="s">
        <v>67</v>
      </c>
      <c r="R34" t="s">
        <v>68</v>
      </c>
      <c r="T34" t="s">
        <v>69</v>
      </c>
      <c r="U34" t="s">
        <v>70</v>
      </c>
      <c r="W34" t="s">
        <v>71</v>
      </c>
      <c r="X34" s="1" t="s">
        <v>72</v>
      </c>
      <c r="Y34" t="s">
        <v>88</v>
      </c>
      <c r="Z34">
        <v>0</v>
      </c>
      <c r="AA34">
        <v>0</v>
      </c>
      <c r="AD34">
        <v>0</v>
      </c>
      <c r="AE34">
        <v>0</v>
      </c>
      <c r="AH34" t="s">
        <v>73</v>
      </c>
      <c r="AI34" t="s">
        <v>74</v>
      </c>
      <c r="AJ34" t="s">
        <v>75</v>
      </c>
      <c r="AK34" t="s">
        <v>76</v>
      </c>
      <c r="AN34" t="s">
        <v>77</v>
      </c>
      <c r="AO34" t="s">
        <v>78</v>
      </c>
      <c r="AP34" t="s">
        <v>237</v>
      </c>
      <c r="AQ34" t="s">
        <v>80</v>
      </c>
      <c r="AS34" t="b">
        <v>1</v>
      </c>
      <c r="AT34" t="s">
        <v>65</v>
      </c>
      <c r="AU34">
        <v>0</v>
      </c>
      <c r="AV34">
        <v>0</v>
      </c>
      <c r="AX34">
        <v>39</v>
      </c>
      <c r="AY34" t="s">
        <v>81</v>
      </c>
      <c r="AZ34" t="s">
        <v>90</v>
      </c>
      <c r="BB34" t="s">
        <v>91</v>
      </c>
      <c r="BC34" t="s">
        <v>92</v>
      </c>
      <c r="BD34" t="b">
        <v>0</v>
      </c>
      <c r="BE34" t="b">
        <v>0</v>
      </c>
      <c r="BF34" t="b">
        <v>0</v>
      </c>
      <c r="BG34" t="b">
        <v>0</v>
      </c>
      <c r="BH34" t="b">
        <v>0</v>
      </c>
      <c r="BI34" t="b">
        <v>0</v>
      </c>
      <c r="BJ34" t="b">
        <v>0</v>
      </c>
      <c r="BK34" t="b">
        <v>0</v>
      </c>
      <c r="BL34" t="b">
        <v>0</v>
      </c>
      <c r="BM34" t="b">
        <v>0</v>
      </c>
      <c r="BN34" t="b">
        <v>0</v>
      </c>
      <c r="BO34" t="b">
        <v>0</v>
      </c>
      <c r="BP34" t="b">
        <v>0</v>
      </c>
      <c r="BR34" t="b">
        <f>IF(M34="PASSED",VLOOKUP(J34,All_Potential!$J$1:$N$500,1,FALSE))</f>
        <v>0</v>
      </c>
    </row>
    <row r="35" spans="1:70" ht="15" customHeight="1" x14ac:dyDescent="0.25">
      <c r="A35">
        <v>21156</v>
      </c>
      <c r="C35">
        <v>0</v>
      </c>
      <c r="D35" t="s">
        <v>83</v>
      </c>
      <c r="E35" t="s">
        <v>66</v>
      </c>
      <c r="F35" t="s">
        <v>84</v>
      </c>
      <c r="G35">
        <v>0</v>
      </c>
      <c r="H35" t="s">
        <v>85</v>
      </c>
      <c r="I35" t="s">
        <v>86</v>
      </c>
      <c r="J35" t="str">
        <f>MID($N35,FIND("1.",$N35),FIND("-",$N35)-FIND("1.",$N35)-1)</f>
        <v>1.0110</v>
      </c>
      <c r="K35" t="str">
        <f>MID($N35,FIND("MSWRK - ",$N35)+8,FIND(":",$N35)-FIND("MSWRK - ",$N35)-8)</f>
        <v>Ensure Turn on behavior monitoring is set to Enabled</v>
      </c>
      <c r="L35" t="str">
        <f t="shared" si="0"/>
        <v>1.0110 - MSWRK - Ensure Turn on behavior monitoring is set to Enabled</v>
      </c>
      <c r="M35" t="str">
        <f>MID($N35,FIND("[",$N35)+1,FIND("]",$N35)-FIND("[",$N35)-1)</f>
        <v>FAILED</v>
      </c>
      <c r="N35" s="1" t="s">
        <v>228</v>
      </c>
      <c r="O35" t="s">
        <v>67</v>
      </c>
      <c r="R35" t="s">
        <v>68</v>
      </c>
      <c r="T35" t="s">
        <v>69</v>
      </c>
      <c r="U35" t="s">
        <v>70</v>
      </c>
      <c r="W35" t="s">
        <v>71</v>
      </c>
      <c r="X35" s="1" t="s">
        <v>72</v>
      </c>
      <c r="Y35" t="s">
        <v>88</v>
      </c>
      <c r="Z35">
        <v>0</v>
      </c>
      <c r="AA35">
        <v>0</v>
      </c>
      <c r="AD35">
        <v>0</v>
      </c>
      <c r="AE35">
        <v>0</v>
      </c>
      <c r="AH35" t="s">
        <v>73</v>
      </c>
      <c r="AI35" t="s">
        <v>74</v>
      </c>
      <c r="AJ35" t="s">
        <v>75</v>
      </c>
      <c r="AK35" t="s">
        <v>76</v>
      </c>
      <c r="AN35" t="s">
        <v>77</v>
      </c>
      <c r="AO35" t="s">
        <v>78</v>
      </c>
      <c r="AP35" t="s">
        <v>229</v>
      </c>
      <c r="AQ35" t="s">
        <v>80</v>
      </c>
      <c r="AS35" t="b">
        <v>1</v>
      </c>
      <c r="AT35" t="s">
        <v>65</v>
      </c>
      <c r="AU35">
        <v>0</v>
      </c>
      <c r="AV35">
        <v>0</v>
      </c>
      <c r="AX35">
        <v>39</v>
      </c>
      <c r="AY35" t="s">
        <v>81</v>
      </c>
      <c r="AZ35" t="s">
        <v>90</v>
      </c>
      <c r="BB35" t="s">
        <v>91</v>
      </c>
      <c r="BC35" t="s">
        <v>92</v>
      </c>
      <c r="BD35" t="b">
        <v>0</v>
      </c>
      <c r="BE35" t="b">
        <v>0</v>
      </c>
      <c r="BF35" t="b">
        <v>0</v>
      </c>
      <c r="BG35" t="b">
        <v>0</v>
      </c>
      <c r="BH35" t="b">
        <v>0</v>
      </c>
      <c r="BI35" t="b">
        <v>0</v>
      </c>
      <c r="BJ35" t="b">
        <v>0</v>
      </c>
      <c r="BK35" t="b">
        <v>0</v>
      </c>
      <c r="BL35" t="b">
        <v>0</v>
      </c>
      <c r="BM35" t="b">
        <v>0</v>
      </c>
      <c r="BN35" t="b">
        <v>0</v>
      </c>
      <c r="BO35" t="b">
        <v>0</v>
      </c>
      <c r="BP35" t="b">
        <v>0</v>
      </c>
      <c r="BR35" t="b">
        <f>IF(M35="PASSED",VLOOKUP(J35,All_Potential!$J$1:$N$500,1,FALSE))</f>
        <v>0</v>
      </c>
    </row>
    <row r="36" spans="1:70" ht="15" customHeight="1" x14ac:dyDescent="0.25">
      <c r="A36">
        <v>21156</v>
      </c>
      <c r="C36">
        <v>0</v>
      </c>
      <c r="D36" t="s">
        <v>83</v>
      </c>
      <c r="E36" t="s">
        <v>66</v>
      </c>
      <c r="F36" t="s">
        <v>84</v>
      </c>
      <c r="G36">
        <v>0</v>
      </c>
      <c r="H36" t="s">
        <v>85</v>
      </c>
      <c r="I36" t="s">
        <v>86</v>
      </c>
      <c r="J36" t="str">
        <f>MID($N36,FIND("1.",$N36),FIND("-",$N36)-FIND("1.",$N36)-1)</f>
        <v>1.0118</v>
      </c>
      <c r="K36" t="str">
        <f>MID($N36,FIND("MSWRK - ",$N36)+8,FIND(":",$N36)-FIND("MSWRK - ",$N36)-8)</f>
        <v>Ensure Configure detection for potentially unwanted applications is set to Enabled</v>
      </c>
      <c r="L36" t="str">
        <f t="shared" si="0"/>
        <v>1.0118 - MSWRK - Ensure Configure detection for potentially unwanted applications is set to Enabled: Block</v>
      </c>
      <c r="M36" t="str">
        <f>MID($N36,FIND("[",$N36)+1,FIND("]",$N36)-FIND("[",$N36)-1)</f>
        <v>FAILED</v>
      </c>
      <c r="N36" s="1" t="s">
        <v>213</v>
      </c>
      <c r="O36" t="s">
        <v>67</v>
      </c>
      <c r="R36" t="s">
        <v>68</v>
      </c>
      <c r="T36" t="s">
        <v>69</v>
      </c>
      <c r="U36" t="s">
        <v>70</v>
      </c>
      <c r="W36" t="s">
        <v>71</v>
      </c>
      <c r="X36" s="1" t="s">
        <v>72</v>
      </c>
      <c r="Y36" t="s">
        <v>88</v>
      </c>
      <c r="Z36">
        <v>0</v>
      </c>
      <c r="AA36">
        <v>0</v>
      </c>
      <c r="AD36">
        <v>0</v>
      </c>
      <c r="AE36">
        <v>0</v>
      </c>
      <c r="AH36" t="s">
        <v>73</v>
      </c>
      <c r="AI36" t="s">
        <v>74</v>
      </c>
      <c r="AJ36" t="s">
        <v>75</v>
      </c>
      <c r="AK36" t="s">
        <v>76</v>
      </c>
      <c r="AN36" t="s">
        <v>77</v>
      </c>
      <c r="AO36" t="s">
        <v>78</v>
      </c>
      <c r="AP36" t="s">
        <v>212</v>
      </c>
      <c r="AQ36" t="s">
        <v>80</v>
      </c>
      <c r="AS36" t="b">
        <v>1</v>
      </c>
      <c r="AT36" t="s">
        <v>65</v>
      </c>
      <c r="AU36">
        <v>0</v>
      </c>
      <c r="AV36">
        <v>0</v>
      </c>
      <c r="AX36">
        <v>39</v>
      </c>
      <c r="AY36" t="s">
        <v>81</v>
      </c>
      <c r="AZ36" t="s">
        <v>90</v>
      </c>
      <c r="BB36" t="s">
        <v>91</v>
      </c>
      <c r="BC36" t="s">
        <v>92</v>
      </c>
      <c r="BD36" t="b">
        <v>0</v>
      </c>
      <c r="BE36" t="b">
        <v>0</v>
      </c>
      <c r="BF36" t="b">
        <v>0</v>
      </c>
      <c r="BG36" t="b">
        <v>0</v>
      </c>
      <c r="BH36" t="b">
        <v>0</v>
      </c>
      <c r="BI36" t="b">
        <v>0</v>
      </c>
      <c r="BJ36" t="b">
        <v>0</v>
      </c>
      <c r="BK36" t="b">
        <v>0</v>
      </c>
      <c r="BL36" t="b">
        <v>0</v>
      </c>
      <c r="BM36" t="b">
        <v>0</v>
      </c>
      <c r="BN36" t="b">
        <v>0</v>
      </c>
      <c r="BO36" t="b">
        <v>0</v>
      </c>
      <c r="BP36" t="b">
        <v>0</v>
      </c>
      <c r="BR36" t="b">
        <f>IF(M36="PASSED",VLOOKUP(J36,All_Potential!$J$1:$N$500,1,FALSE))</f>
        <v>0</v>
      </c>
    </row>
    <row r="37" spans="1:70" ht="15" customHeight="1" x14ac:dyDescent="0.25">
      <c r="A37">
        <v>21156</v>
      </c>
      <c r="C37">
        <v>0</v>
      </c>
      <c r="D37" t="s">
        <v>65</v>
      </c>
      <c r="E37" t="s">
        <v>66</v>
      </c>
      <c r="F37" t="s">
        <v>84</v>
      </c>
      <c r="G37">
        <v>0</v>
      </c>
      <c r="H37" t="s">
        <v>85</v>
      </c>
      <c r="I37" t="s">
        <v>86</v>
      </c>
      <c r="J37" t="str">
        <f>MID($N37,FIND("1.",$N37),FIND("-",$N37)-FIND("1.",$N37)-1)</f>
        <v>1.0150</v>
      </c>
      <c r="K37" t="str">
        <f>MID($N37,FIND("MSWRK - ",$N37)+8,FIND(":",$N37)-FIND("MSWRK - ",$N37)-8)</f>
        <v>Ensure Always prompt for password upon connection is set to Enabled</v>
      </c>
      <c r="L37" t="str">
        <f t="shared" si="0"/>
        <v>1.0150 - MSWRK - Ensure Always prompt for password upon connection is set to Enabled</v>
      </c>
      <c r="M37" t="str">
        <f>MID($N37,FIND("[",$N37)+1,FIND("]",$N37)-FIND("[",$N37)-1)</f>
        <v>PASSED</v>
      </c>
      <c r="N37" s="1" t="s">
        <v>119</v>
      </c>
      <c r="O37" t="s">
        <v>67</v>
      </c>
      <c r="R37" t="s">
        <v>68</v>
      </c>
      <c r="T37" t="s">
        <v>69</v>
      </c>
      <c r="U37" t="s">
        <v>70</v>
      </c>
      <c r="W37" t="s">
        <v>71</v>
      </c>
      <c r="X37" s="1" t="s">
        <v>72</v>
      </c>
      <c r="Y37" t="s">
        <v>88</v>
      </c>
      <c r="Z37">
        <v>0</v>
      </c>
      <c r="AA37">
        <v>0</v>
      </c>
      <c r="AD37">
        <v>0</v>
      </c>
      <c r="AE37">
        <v>0</v>
      </c>
      <c r="AH37" t="s">
        <v>73</v>
      </c>
      <c r="AI37" t="s">
        <v>74</v>
      </c>
      <c r="AJ37" t="s">
        <v>75</v>
      </c>
      <c r="AK37" t="s">
        <v>76</v>
      </c>
      <c r="AN37" t="s">
        <v>77</v>
      </c>
      <c r="AO37" t="s">
        <v>78</v>
      </c>
      <c r="AP37" t="s">
        <v>118</v>
      </c>
      <c r="AQ37" t="s">
        <v>80</v>
      </c>
      <c r="AS37" t="b">
        <v>1</v>
      </c>
      <c r="AT37" t="s">
        <v>65</v>
      </c>
      <c r="AU37">
        <v>0</v>
      </c>
      <c r="AV37">
        <v>0</v>
      </c>
      <c r="AX37">
        <v>39</v>
      </c>
      <c r="AY37" t="s">
        <v>81</v>
      </c>
      <c r="AZ37" t="s">
        <v>90</v>
      </c>
      <c r="BB37" t="s">
        <v>91</v>
      </c>
      <c r="BC37" t="s">
        <v>92</v>
      </c>
      <c r="BD37" t="b">
        <v>0</v>
      </c>
      <c r="BE37" t="b">
        <v>0</v>
      </c>
      <c r="BF37" t="b">
        <v>0</v>
      </c>
      <c r="BG37" t="b">
        <v>0</v>
      </c>
      <c r="BH37" t="b">
        <v>0</v>
      </c>
      <c r="BI37" t="b">
        <v>0</v>
      </c>
      <c r="BJ37" t="b">
        <v>0</v>
      </c>
      <c r="BK37" t="b">
        <v>0</v>
      </c>
      <c r="BL37" t="b">
        <v>0</v>
      </c>
      <c r="BM37" t="b">
        <v>0</v>
      </c>
      <c r="BN37" t="b">
        <v>0</v>
      </c>
      <c r="BO37" t="b">
        <v>0</v>
      </c>
      <c r="BP37" t="b">
        <v>0</v>
      </c>
      <c r="BR37" t="str">
        <f>IF(M37="PASSED",VLOOKUP(J37,All_Potential!$J$1:$N$500,1,FALSE))</f>
        <v>1.0150</v>
      </c>
    </row>
    <row r="38" spans="1:70" ht="15" customHeight="1" x14ac:dyDescent="0.25">
      <c r="A38">
        <v>21156</v>
      </c>
      <c r="C38">
        <v>0</v>
      </c>
      <c r="D38" t="s">
        <v>65</v>
      </c>
      <c r="E38" t="s">
        <v>66</v>
      </c>
      <c r="F38" t="s">
        <v>84</v>
      </c>
      <c r="G38">
        <v>0</v>
      </c>
      <c r="H38" t="s">
        <v>85</v>
      </c>
      <c r="I38" t="s">
        <v>86</v>
      </c>
      <c r="J38" t="str">
        <f>MID($N38,FIND("1.",$N38),FIND("-",$N38)-FIND("1.",$N38)-1)</f>
        <v>1.0153</v>
      </c>
      <c r="K38" t="str">
        <f>MID($N38,FIND("MSWRK - ",$N38)+8,FIND(":",$N38)-FIND("MSWRK - ",$N38)-8)</f>
        <v>Ensure Require user authentication for remote connections by using Network Level Authentication is set to Enabled</v>
      </c>
      <c r="L38" t="str">
        <f t="shared" si="0"/>
        <v>1.0153 - MSWRK - Ensure Require user authentication for remote connections by using Network Level Authentication is set to Enabled</v>
      </c>
      <c r="M38" t="str">
        <f>MID($N38,FIND("[",$N38)+1,FIND("]",$N38)-FIND("[",$N38)-1)</f>
        <v>PASSED</v>
      </c>
      <c r="N38" s="1" t="s">
        <v>121</v>
      </c>
      <c r="O38" t="s">
        <v>67</v>
      </c>
      <c r="R38" t="s">
        <v>68</v>
      </c>
      <c r="T38" t="s">
        <v>69</v>
      </c>
      <c r="U38" t="s">
        <v>70</v>
      </c>
      <c r="W38" t="s">
        <v>71</v>
      </c>
      <c r="X38" s="1" t="s">
        <v>72</v>
      </c>
      <c r="Y38" t="s">
        <v>88</v>
      </c>
      <c r="Z38">
        <v>0</v>
      </c>
      <c r="AA38">
        <v>0</v>
      </c>
      <c r="AD38">
        <v>0</v>
      </c>
      <c r="AE38">
        <v>0</v>
      </c>
      <c r="AH38" t="s">
        <v>73</v>
      </c>
      <c r="AI38" t="s">
        <v>74</v>
      </c>
      <c r="AJ38" t="s">
        <v>75</v>
      </c>
      <c r="AK38" t="s">
        <v>76</v>
      </c>
      <c r="AN38" t="s">
        <v>77</v>
      </c>
      <c r="AO38" t="s">
        <v>78</v>
      </c>
      <c r="AP38" t="s">
        <v>118</v>
      </c>
      <c r="AQ38" t="s">
        <v>80</v>
      </c>
      <c r="AS38" t="b">
        <v>1</v>
      </c>
      <c r="AT38" t="s">
        <v>65</v>
      </c>
      <c r="AU38">
        <v>0</v>
      </c>
      <c r="AV38">
        <v>0</v>
      </c>
      <c r="AX38">
        <v>39</v>
      </c>
      <c r="AY38" t="s">
        <v>81</v>
      </c>
      <c r="AZ38" t="s">
        <v>90</v>
      </c>
      <c r="BB38" t="s">
        <v>91</v>
      </c>
      <c r="BC38" t="s">
        <v>92</v>
      </c>
      <c r="BD38" t="b">
        <v>0</v>
      </c>
      <c r="BE38" t="b">
        <v>0</v>
      </c>
      <c r="BF38" t="b">
        <v>0</v>
      </c>
      <c r="BG38" t="b">
        <v>0</v>
      </c>
      <c r="BH38" t="b">
        <v>0</v>
      </c>
      <c r="BI38" t="b">
        <v>0</v>
      </c>
      <c r="BJ38" t="b">
        <v>0</v>
      </c>
      <c r="BK38" t="b">
        <v>0</v>
      </c>
      <c r="BL38" t="b">
        <v>0</v>
      </c>
      <c r="BM38" t="b">
        <v>0</v>
      </c>
      <c r="BN38" t="b">
        <v>0</v>
      </c>
      <c r="BO38" t="b">
        <v>0</v>
      </c>
      <c r="BP38" t="b">
        <v>0</v>
      </c>
      <c r="BR38" t="str">
        <f>IF(M38="PASSED",VLOOKUP(J38,All_Potential!$J$1:$N$500,1,FALSE))</f>
        <v>1.0153</v>
      </c>
    </row>
    <row r="39" spans="1:70" ht="15" customHeight="1" x14ac:dyDescent="0.25">
      <c r="A39">
        <v>21156</v>
      </c>
      <c r="C39">
        <v>0</v>
      </c>
      <c r="D39" t="s">
        <v>65</v>
      </c>
      <c r="E39" t="s">
        <v>66</v>
      </c>
      <c r="F39" t="s">
        <v>84</v>
      </c>
      <c r="G39">
        <v>0</v>
      </c>
      <c r="H39" t="s">
        <v>85</v>
      </c>
      <c r="I39" t="s">
        <v>86</v>
      </c>
      <c r="J39" t="str">
        <f>MID($N39,FIND("1.",$N39),FIND("-",$N39)-FIND("1.",$N39)-1)</f>
        <v>1.0154</v>
      </c>
      <c r="K39" t="str">
        <f>MID($N39,FIND("MSWRK - ",$N39)+8,FIND(":",$N39)-FIND("MSWRK - ",$N39)-8)</f>
        <v>Ensure Set client connection encryption level is set to Enabled</v>
      </c>
      <c r="L39" t="str">
        <f t="shared" si="0"/>
        <v>1.0154 - MSWRK - Ensure Set client connection encryption level is set to Enabled: High Level</v>
      </c>
      <c r="M39" t="str">
        <f>MID($N39,FIND("[",$N39)+1,FIND("]",$N39)-FIND("[",$N39)-1)</f>
        <v>PASSED</v>
      </c>
      <c r="N39" s="1" t="s">
        <v>128</v>
      </c>
      <c r="O39" t="s">
        <v>67</v>
      </c>
      <c r="R39" t="s">
        <v>68</v>
      </c>
      <c r="T39" t="s">
        <v>69</v>
      </c>
      <c r="U39" t="s">
        <v>70</v>
      </c>
      <c r="W39" t="s">
        <v>71</v>
      </c>
      <c r="X39" s="1" t="s">
        <v>72</v>
      </c>
      <c r="Y39" t="s">
        <v>88</v>
      </c>
      <c r="Z39">
        <v>0</v>
      </c>
      <c r="AA39">
        <v>0</v>
      </c>
      <c r="AD39">
        <v>0</v>
      </c>
      <c r="AE39">
        <v>0</v>
      </c>
      <c r="AH39" t="s">
        <v>73</v>
      </c>
      <c r="AI39" t="s">
        <v>74</v>
      </c>
      <c r="AJ39" t="s">
        <v>75</v>
      </c>
      <c r="AK39" t="s">
        <v>76</v>
      </c>
      <c r="AN39" t="s">
        <v>77</v>
      </c>
      <c r="AO39" t="s">
        <v>78</v>
      </c>
      <c r="AP39" t="s">
        <v>127</v>
      </c>
      <c r="AQ39" t="s">
        <v>80</v>
      </c>
      <c r="AS39" t="b">
        <v>1</v>
      </c>
      <c r="AT39" t="s">
        <v>65</v>
      </c>
      <c r="AU39">
        <v>0</v>
      </c>
      <c r="AV39">
        <v>0</v>
      </c>
      <c r="AX39">
        <v>39</v>
      </c>
      <c r="AY39" t="s">
        <v>81</v>
      </c>
      <c r="AZ39" t="s">
        <v>90</v>
      </c>
      <c r="BB39" t="s">
        <v>91</v>
      </c>
      <c r="BC39" t="s">
        <v>92</v>
      </c>
      <c r="BD39" t="b">
        <v>0</v>
      </c>
      <c r="BE39" t="b">
        <v>0</v>
      </c>
      <c r="BF39" t="b">
        <v>0</v>
      </c>
      <c r="BG39" t="b">
        <v>0</v>
      </c>
      <c r="BH39" t="b">
        <v>0</v>
      </c>
      <c r="BI39" t="b">
        <v>0</v>
      </c>
      <c r="BJ39" t="b">
        <v>0</v>
      </c>
      <c r="BK39" t="b">
        <v>0</v>
      </c>
      <c r="BL39" t="b">
        <v>0</v>
      </c>
      <c r="BM39" t="b">
        <v>0</v>
      </c>
      <c r="BN39" t="b">
        <v>0</v>
      </c>
      <c r="BO39" t="b">
        <v>0</v>
      </c>
      <c r="BP39" t="b">
        <v>0</v>
      </c>
      <c r="BR39" t="str">
        <f>IF(M39="PASSED",VLOOKUP(J39,All_Potential!$J$1:$N$500,1,FALSE))</f>
        <v>1.0154</v>
      </c>
    </row>
    <row r="40" spans="1:70" ht="15" customHeight="1" x14ac:dyDescent="0.25">
      <c r="A40">
        <v>21156</v>
      </c>
      <c r="C40">
        <v>0</v>
      </c>
      <c r="D40" t="s">
        <v>65</v>
      </c>
      <c r="E40" t="s">
        <v>66</v>
      </c>
      <c r="F40" t="s">
        <v>84</v>
      </c>
      <c r="G40">
        <v>0</v>
      </c>
      <c r="H40" t="s">
        <v>85</v>
      </c>
      <c r="I40" t="s">
        <v>86</v>
      </c>
      <c r="J40" t="str">
        <f>MID($N40,FIND("1.",$N40),FIND("-",$N40)-FIND("1.",$N40)-1)</f>
        <v>1.0156</v>
      </c>
      <c r="K40" t="str">
        <f>MID($N40,FIND("MSWRK - ",$N40)+8,FIND(":",$N40)-FIND("MSWRK - ",$N40)-8)</f>
        <v>Ensure Allow Cortana is set to Disabled</v>
      </c>
      <c r="L40" t="str">
        <f t="shared" si="0"/>
        <v>1.0156 - MSWRK - Ensure Allow Cortana is set to Disabled</v>
      </c>
      <c r="M40" t="str">
        <f>MID($N40,FIND("[",$N40)+1,FIND("]",$N40)-FIND("[",$N40)-1)</f>
        <v>PASSED</v>
      </c>
      <c r="N40" s="1" t="s">
        <v>222</v>
      </c>
      <c r="O40" t="s">
        <v>67</v>
      </c>
      <c r="R40" t="s">
        <v>68</v>
      </c>
      <c r="T40" t="s">
        <v>69</v>
      </c>
      <c r="U40" t="s">
        <v>70</v>
      </c>
      <c r="W40" t="s">
        <v>71</v>
      </c>
      <c r="X40" s="1" t="s">
        <v>72</v>
      </c>
      <c r="Y40" t="s">
        <v>88</v>
      </c>
      <c r="Z40">
        <v>0</v>
      </c>
      <c r="AA40">
        <v>0</v>
      </c>
      <c r="AD40">
        <v>0</v>
      </c>
      <c r="AE40">
        <v>0</v>
      </c>
      <c r="AH40" t="s">
        <v>73</v>
      </c>
      <c r="AI40" t="s">
        <v>74</v>
      </c>
      <c r="AJ40" t="s">
        <v>75</v>
      </c>
      <c r="AK40" t="s">
        <v>76</v>
      </c>
      <c r="AN40" t="s">
        <v>77</v>
      </c>
      <c r="AO40" t="s">
        <v>78</v>
      </c>
      <c r="AP40" t="s">
        <v>220</v>
      </c>
      <c r="AQ40" t="s">
        <v>80</v>
      </c>
      <c r="AS40" t="b">
        <v>1</v>
      </c>
      <c r="AT40" t="s">
        <v>65</v>
      </c>
      <c r="AU40">
        <v>0</v>
      </c>
      <c r="AV40">
        <v>0</v>
      </c>
      <c r="AX40">
        <v>39</v>
      </c>
      <c r="AY40" t="s">
        <v>81</v>
      </c>
      <c r="AZ40" t="s">
        <v>90</v>
      </c>
      <c r="BB40" t="s">
        <v>91</v>
      </c>
      <c r="BC40" t="s">
        <v>92</v>
      </c>
      <c r="BD40" t="b">
        <v>0</v>
      </c>
      <c r="BE40" t="b">
        <v>0</v>
      </c>
      <c r="BF40" t="b">
        <v>0</v>
      </c>
      <c r="BG40" t="b">
        <v>0</v>
      </c>
      <c r="BH40" t="b">
        <v>0</v>
      </c>
      <c r="BI40" t="b">
        <v>0</v>
      </c>
      <c r="BJ40" t="b">
        <v>0</v>
      </c>
      <c r="BK40" t="b">
        <v>0</v>
      </c>
      <c r="BL40" t="b">
        <v>0</v>
      </c>
      <c r="BM40" t="b">
        <v>0</v>
      </c>
      <c r="BN40" t="b">
        <v>0</v>
      </c>
      <c r="BO40" t="b">
        <v>0</v>
      </c>
      <c r="BP40" t="b">
        <v>0</v>
      </c>
      <c r="BR40" t="str">
        <f>IF(M40="PASSED",VLOOKUP(J40,All_Potential!$J$1:$N$500,1,FALSE))</f>
        <v>1.0156</v>
      </c>
    </row>
    <row r="41" spans="1:70" ht="15" customHeight="1" x14ac:dyDescent="0.25">
      <c r="A41">
        <v>21156</v>
      </c>
      <c r="C41">
        <v>0</v>
      </c>
      <c r="D41" t="s">
        <v>65</v>
      </c>
      <c r="E41" t="s">
        <v>66</v>
      </c>
      <c r="F41" t="s">
        <v>84</v>
      </c>
      <c r="G41">
        <v>0</v>
      </c>
      <c r="H41" t="s">
        <v>85</v>
      </c>
      <c r="I41" t="s">
        <v>86</v>
      </c>
      <c r="J41" t="str">
        <f>MID($N41,FIND("1.",$N41),FIND("-",$N41)-FIND("1.",$N41)-1)</f>
        <v>1.0161</v>
      </c>
      <c r="K41" t="str">
        <f>MID($N41,FIND("MSWRK - ",$N41)+8,FIND(":",$N41)-FIND("MSWRK - ",$N41)-8)</f>
        <v>Ensure Turn off Automatic Download and Install of updates is set to Disabled</v>
      </c>
      <c r="L41" t="str">
        <f t="shared" si="0"/>
        <v>1.0161 - MSWRK - Ensure Turn off Automatic Download and Install of updates is set to Disabled</v>
      </c>
      <c r="M41" t="str">
        <f>MID($N41,FIND("[",$N41)+1,FIND("]",$N41)-FIND("[",$N41)-1)</f>
        <v>PASSED</v>
      </c>
      <c r="N41" s="1" t="s">
        <v>291</v>
      </c>
      <c r="O41" t="s">
        <v>67</v>
      </c>
      <c r="R41" t="s">
        <v>68</v>
      </c>
      <c r="T41" t="s">
        <v>69</v>
      </c>
      <c r="U41" t="s">
        <v>70</v>
      </c>
      <c r="W41" t="s">
        <v>71</v>
      </c>
      <c r="X41" s="1" t="s">
        <v>72</v>
      </c>
      <c r="Y41" t="s">
        <v>88</v>
      </c>
      <c r="Z41">
        <v>0</v>
      </c>
      <c r="AA41">
        <v>0</v>
      </c>
      <c r="AD41">
        <v>0</v>
      </c>
      <c r="AE41">
        <v>0</v>
      </c>
      <c r="AH41" t="s">
        <v>73</v>
      </c>
      <c r="AI41" t="s">
        <v>74</v>
      </c>
      <c r="AJ41" t="s">
        <v>75</v>
      </c>
      <c r="AK41" t="s">
        <v>76</v>
      </c>
      <c r="AN41" t="s">
        <v>77</v>
      </c>
      <c r="AO41" t="s">
        <v>78</v>
      </c>
      <c r="AP41" t="s">
        <v>292</v>
      </c>
      <c r="AQ41" t="s">
        <v>80</v>
      </c>
      <c r="AS41" t="b">
        <v>1</v>
      </c>
      <c r="AT41" t="s">
        <v>65</v>
      </c>
      <c r="AU41">
        <v>0</v>
      </c>
      <c r="AV41">
        <v>0</v>
      </c>
      <c r="AX41">
        <v>39</v>
      </c>
      <c r="AY41" t="s">
        <v>81</v>
      </c>
      <c r="AZ41" t="s">
        <v>90</v>
      </c>
      <c r="BB41" t="s">
        <v>91</v>
      </c>
      <c r="BC41" t="s">
        <v>92</v>
      </c>
      <c r="BD41" t="b">
        <v>0</v>
      </c>
      <c r="BE41" t="b">
        <v>0</v>
      </c>
      <c r="BF41" t="b">
        <v>0</v>
      </c>
      <c r="BG41" t="b">
        <v>0</v>
      </c>
      <c r="BH41" t="b">
        <v>0</v>
      </c>
      <c r="BI41" t="b">
        <v>0</v>
      </c>
      <c r="BJ41" t="b">
        <v>0</v>
      </c>
      <c r="BK41" t="b">
        <v>0</v>
      </c>
      <c r="BL41" t="b">
        <v>0</v>
      </c>
      <c r="BM41" t="b">
        <v>0</v>
      </c>
      <c r="BN41" t="b">
        <v>0</v>
      </c>
      <c r="BO41" t="b">
        <v>0</v>
      </c>
      <c r="BP41" t="b">
        <v>0</v>
      </c>
      <c r="BR41" t="str">
        <f>IF(M41="PASSED",VLOOKUP(J41,All_Potential!$J$1:$N$500,1,FALSE))</f>
        <v>1.0161</v>
      </c>
    </row>
    <row r="42" spans="1:70" ht="15" customHeight="1" x14ac:dyDescent="0.25">
      <c r="A42">
        <v>21156</v>
      </c>
      <c r="C42">
        <v>0</v>
      </c>
      <c r="D42" t="s">
        <v>65</v>
      </c>
      <c r="E42" t="s">
        <v>66</v>
      </c>
      <c r="F42" t="s">
        <v>84</v>
      </c>
      <c r="G42">
        <v>0</v>
      </c>
      <c r="H42" t="s">
        <v>85</v>
      </c>
      <c r="I42" t="s">
        <v>86</v>
      </c>
      <c r="J42" t="str">
        <f>MID($N42,FIND("1.",$N42),FIND("-",$N42)-FIND("1.",$N42)-1)</f>
        <v>1.0171</v>
      </c>
      <c r="K42" t="str">
        <f>MID($N42,FIND("MSWRK - ",$N42)+8,FIND(":",$N42)-FIND("MSWRK - ",$N42)-8)</f>
        <v>Ensure Enables or disables Windows Game Recording and Broadcasting is set to Disabled</v>
      </c>
      <c r="L42" t="str">
        <f t="shared" si="0"/>
        <v>1.0171 - MSWRK - Ensure Enables or disables Windows Game Recording and Broadcasting is set to Disabled</v>
      </c>
      <c r="M42" t="str">
        <f>MID($N42,FIND("[",$N42)+1,FIND("]",$N42)-FIND("[",$N42)-1)</f>
        <v>PASSED</v>
      </c>
      <c r="N42" s="1" t="s">
        <v>129</v>
      </c>
      <c r="O42" t="s">
        <v>67</v>
      </c>
      <c r="R42" t="s">
        <v>68</v>
      </c>
      <c r="T42" t="s">
        <v>69</v>
      </c>
      <c r="U42" t="s">
        <v>70</v>
      </c>
      <c r="W42" t="s">
        <v>71</v>
      </c>
      <c r="X42" s="1" t="s">
        <v>72</v>
      </c>
      <c r="Y42" t="s">
        <v>88</v>
      </c>
      <c r="Z42">
        <v>0</v>
      </c>
      <c r="AA42">
        <v>0</v>
      </c>
      <c r="AD42">
        <v>0</v>
      </c>
      <c r="AE42">
        <v>0</v>
      </c>
      <c r="AH42" t="s">
        <v>73</v>
      </c>
      <c r="AI42" t="s">
        <v>74</v>
      </c>
      <c r="AJ42" t="s">
        <v>75</v>
      </c>
      <c r="AK42" t="s">
        <v>76</v>
      </c>
      <c r="AN42" t="s">
        <v>77</v>
      </c>
      <c r="AO42" t="s">
        <v>78</v>
      </c>
      <c r="AP42" t="s">
        <v>127</v>
      </c>
      <c r="AQ42" t="s">
        <v>80</v>
      </c>
      <c r="AS42" t="b">
        <v>1</v>
      </c>
      <c r="AT42" t="s">
        <v>65</v>
      </c>
      <c r="AU42">
        <v>0</v>
      </c>
      <c r="AV42">
        <v>0</v>
      </c>
      <c r="AX42">
        <v>39</v>
      </c>
      <c r="AY42" t="s">
        <v>81</v>
      </c>
      <c r="AZ42" t="s">
        <v>90</v>
      </c>
      <c r="BB42" t="s">
        <v>91</v>
      </c>
      <c r="BC42" t="s">
        <v>92</v>
      </c>
      <c r="BD42" t="b">
        <v>0</v>
      </c>
      <c r="BE42" t="b">
        <v>0</v>
      </c>
      <c r="BF42" t="b">
        <v>0</v>
      </c>
      <c r="BG42" t="b">
        <v>0</v>
      </c>
      <c r="BH42" t="b">
        <v>0</v>
      </c>
      <c r="BI42" t="b">
        <v>0</v>
      </c>
      <c r="BJ42" t="b">
        <v>0</v>
      </c>
      <c r="BK42" t="b">
        <v>0</v>
      </c>
      <c r="BL42" t="b">
        <v>0</v>
      </c>
      <c r="BM42" t="b">
        <v>0</v>
      </c>
      <c r="BN42" t="b">
        <v>0</v>
      </c>
      <c r="BO42" t="b">
        <v>0</v>
      </c>
      <c r="BP42" t="b">
        <v>0</v>
      </c>
      <c r="BR42" t="str">
        <f>IF(M42="PASSED",VLOOKUP(J42,All_Potential!$J$1:$N$500,1,FALSE))</f>
        <v>1.0171</v>
      </c>
    </row>
    <row r="43" spans="1:70" ht="15" customHeight="1" x14ac:dyDescent="0.25">
      <c r="A43">
        <v>21156</v>
      </c>
      <c r="C43">
        <v>0</v>
      </c>
      <c r="D43" t="s">
        <v>65</v>
      </c>
      <c r="E43" t="s">
        <v>66</v>
      </c>
      <c r="F43" t="s">
        <v>84</v>
      </c>
      <c r="G43">
        <v>0</v>
      </c>
      <c r="H43" t="s">
        <v>85</v>
      </c>
      <c r="I43" t="s">
        <v>86</v>
      </c>
      <c r="J43" t="str">
        <f>MID($N43,FIND("1.",$N43),FIND("-",$N43)-FIND("1.",$N43)-1)</f>
        <v>1.0180</v>
      </c>
      <c r="K43" t="str">
        <f>MID($N43,FIND("MSWRK - ",$N43)+8,FIND(":",$N43)-FIND("MSWRK - ",$N43)-8)</f>
        <v>Ensure Sign-in and lock last interactive user automatically after a restart is set to Disabled</v>
      </c>
      <c r="L43" t="str">
        <f t="shared" si="0"/>
        <v>1.0180 - MSWRK - Ensure Sign-in and lock last interactive user automatically after a restart is set to Disabled</v>
      </c>
      <c r="M43" t="str">
        <f>MID($N43,FIND("[",$N43)+1,FIND("]",$N43)-FIND("[",$N43)-1)</f>
        <v>PASSED</v>
      </c>
      <c r="N43" s="1" t="s">
        <v>181</v>
      </c>
      <c r="O43" t="s">
        <v>67</v>
      </c>
      <c r="R43" t="s">
        <v>68</v>
      </c>
      <c r="T43" t="s">
        <v>69</v>
      </c>
      <c r="U43" t="s">
        <v>70</v>
      </c>
      <c r="W43" t="s">
        <v>71</v>
      </c>
      <c r="X43" s="1" t="s">
        <v>72</v>
      </c>
      <c r="Y43" t="s">
        <v>88</v>
      </c>
      <c r="Z43">
        <v>0</v>
      </c>
      <c r="AA43">
        <v>0</v>
      </c>
      <c r="AD43">
        <v>0</v>
      </c>
      <c r="AE43">
        <v>0</v>
      </c>
      <c r="AH43" t="s">
        <v>73</v>
      </c>
      <c r="AI43" t="s">
        <v>74</v>
      </c>
      <c r="AJ43" t="s">
        <v>75</v>
      </c>
      <c r="AK43" t="s">
        <v>76</v>
      </c>
      <c r="AN43" t="s">
        <v>77</v>
      </c>
      <c r="AO43" t="s">
        <v>78</v>
      </c>
      <c r="AP43" t="s">
        <v>182</v>
      </c>
      <c r="AQ43" t="s">
        <v>80</v>
      </c>
      <c r="AS43" t="b">
        <v>1</v>
      </c>
      <c r="AT43" t="s">
        <v>65</v>
      </c>
      <c r="AU43">
        <v>0</v>
      </c>
      <c r="AV43">
        <v>0</v>
      </c>
      <c r="AX43">
        <v>39</v>
      </c>
      <c r="AY43" t="s">
        <v>81</v>
      </c>
      <c r="AZ43" t="s">
        <v>90</v>
      </c>
      <c r="BB43" t="s">
        <v>91</v>
      </c>
      <c r="BC43" t="s">
        <v>92</v>
      </c>
      <c r="BD43" t="b">
        <v>0</v>
      </c>
      <c r="BE43" t="b">
        <v>0</v>
      </c>
      <c r="BF43" t="b">
        <v>0</v>
      </c>
      <c r="BG43" t="b">
        <v>0</v>
      </c>
      <c r="BH43" t="b">
        <v>0</v>
      </c>
      <c r="BI43" t="b">
        <v>0</v>
      </c>
      <c r="BJ43" t="b">
        <v>0</v>
      </c>
      <c r="BK43" t="b">
        <v>0</v>
      </c>
      <c r="BL43" t="b">
        <v>0</v>
      </c>
      <c r="BM43" t="b">
        <v>0</v>
      </c>
      <c r="BN43" t="b">
        <v>0</v>
      </c>
      <c r="BO43" t="b">
        <v>0</v>
      </c>
      <c r="BP43" t="b">
        <v>0</v>
      </c>
      <c r="BR43" t="str">
        <f>IF(M43="PASSED",VLOOKUP(J43,All_Potential!$J$1:$N$500,1,FALSE))</f>
        <v>1.0180</v>
      </c>
    </row>
    <row r="44" spans="1:70" ht="15" customHeight="1" x14ac:dyDescent="0.25">
      <c r="A44">
        <v>21156</v>
      </c>
      <c r="C44">
        <v>0</v>
      </c>
      <c r="D44" t="s">
        <v>83</v>
      </c>
      <c r="E44" t="s">
        <v>66</v>
      </c>
      <c r="F44" t="s">
        <v>84</v>
      </c>
      <c r="G44">
        <v>0</v>
      </c>
      <c r="H44" t="s">
        <v>85</v>
      </c>
      <c r="I44" t="s">
        <v>86</v>
      </c>
      <c r="J44" t="str">
        <f>MID($N44,FIND("1.",$N44),FIND("-",$N44)-FIND("1.",$N44)-1)</f>
        <v>1.0184</v>
      </c>
      <c r="K44" t="str">
        <f>MID($N44,FIND("MSWRK - ",$N44)+8,FIND(":",$N44)-FIND("MSWRK - ",$N44)-8)</f>
        <v>Ensure Allow Basic authentication is set to Disabled - Service</v>
      </c>
      <c r="L44" t="str">
        <f t="shared" si="0"/>
        <v>1.0184 - MSWRK - Ensure Allow Basic authentication is set to Disabled - Service</v>
      </c>
      <c r="M44" t="str">
        <f>MID($N44,FIND("[",$N44)+1,FIND("]",$N44)-FIND("[",$N44)-1)</f>
        <v>FAILED</v>
      </c>
      <c r="N44" s="1" t="s">
        <v>210</v>
      </c>
      <c r="O44" t="s">
        <v>67</v>
      </c>
      <c r="R44" t="s">
        <v>68</v>
      </c>
      <c r="T44" t="s">
        <v>69</v>
      </c>
      <c r="U44" t="s">
        <v>70</v>
      </c>
      <c r="W44" t="s">
        <v>71</v>
      </c>
      <c r="X44" s="1" t="s">
        <v>72</v>
      </c>
      <c r="Y44" t="s">
        <v>88</v>
      </c>
      <c r="Z44">
        <v>0</v>
      </c>
      <c r="AA44">
        <v>0</v>
      </c>
      <c r="AD44">
        <v>0</v>
      </c>
      <c r="AE44">
        <v>0</v>
      </c>
      <c r="AH44" t="s">
        <v>73</v>
      </c>
      <c r="AI44" t="s">
        <v>74</v>
      </c>
      <c r="AJ44" t="s">
        <v>75</v>
      </c>
      <c r="AK44" t="s">
        <v>76</v>
      </c>
      <c r="AN44" t="s">
        <v>77</v>
      </c>
      <c r="AO44" t="s">
        <v>78</v>
      </c>
      <c r="AP44" t="s">
        <v>208</v>
      </c>
      <c r="AQ44" t="s">
        <v>80</v>
      </c>
      <c r="AS44" t="b">
        <v>1</v>
      </c>
      <c r="AT44" t="s">
        <v>65</v>
      </c>
      <c r="AU44">
        <v>0</v>
      </c>
      <c r="AV44">
        <v>0</v>
      </c>
      <c r="AX44">
        <v>39</v>
      </c>
      <c r="AY44" t="s">
        <v>81</v>
      </c>
      <c r="AZ44" t="s">
        <v>90</v>
      </c>
      <c r="BB44" t="s">
        <v>91</v>
      </c>
      <c r="BC44" t="s">
        <v>92</v>
      </c>
      <c r="BD44" t="b">
        <v>0</v>
      </c>
      <c r="BE44" t="b">
        <v>0</v>
      </c>
      <c r="BF44" t="b">
        <v>0</v>
      </c>
      <c r="BG44" t="b">
        <v>0</v>
      </c>
      <c r="BH44" t="b">
        <v>0</v>
      </c>
      <c r="BI44" t="b">
        <v>0</v>
      </c>
      <c r="BJ44" t="b">
        <v>0</v>
      </c>
      <c r="BK44" t="b">
        <v>0</v>
      </c>
      <c r="BL44" t="b">
        <v>0</v>
      </c>
      <c r="BM44" t="b">
        <v>0</v>
      </c>
      <c r="BN44" t="b">
        <v>0</v>
      </c>
      <c r="BO44" t="b">
        <v>0</v>
      </c>
      <c r="BP44" t="b">
        <v>0</v>
      </c>
      <c r="BR44" t="b">
        <f>IF(M44="PASSED",VLOOKUP(J44,All_Potential!$J$1:$N$500,1,FALSE))</f>
        <v>0</v>
      </c>
    </row>
    <row r="45" spans="1:70" ht="15" customHeight="1" x14ac:dyDescent="0.25">
      <c r="A45">
        <v>21156</v>
      </c>
      <c r="C45">
        <v>0</v>
      </c>
      <c r="D45" t="s">
        <v>65</v>
      </c>
      <c r="E45" t="s">
        <v>66</v>
      </c>
      <c r="F45" t="s">
        <v>84</v>
      </c>
      <c r="G45">
        <v>0</v>
      </c>
      <c r="H45" t="s">
        <v>85</v>
      </c>
      <c r="I45" t="s">
        <v>86</v>
      </c>
      <c r="J45" t="str">
        <f>MID($N45,FIND("1.",$N45),FIND("-",$N45)-FIND("1.",$N45)-1)</f>
        <v>1.0185</v>
      </c>
      <c r="K45" t="str">
        <f>MID($N45,FIND("MSWRK - ",$N45)+8,FIND(":",$N45)-FIND("MSWRK - ",$N45)-8)</f>
        <v>Ensure Allow unencrypted traffic is set to Disabled - Service</v>
      </c>
      <c r="L45" t="str">
        <f t="shared" si="0"/>
        <v>1.0185 - MSWRK - Ensure Allow unencrypted traffic is set to Disabled - Service</v>
      </c>
      <c r="M45" t="str">
        <f>MID($N45,FIND("[",$N45)+1,FIND("]",$N45)-FIND("[",$N45)-1)</f>
        <v>PASSED</v>
      </c>
      <c r="N45" s="1" t="s">
        <v>235</v>
      </c>
      <c r="O45" t="s">
        <v>67</v>
      </c>
      <c r="R45" t="s">
        <v>68</v>
      </c>
      <c r="T45" t="s">
        <v>69</v>
      </c>
      <c r="U45" t="s">
        <v>70</v>
      </c>
      <c r="W45" t="s">
        <v>71</v>
      </c>
      <c r="X45" s="1" t="s">
        <v>72</v>
      </c>
      <c r="Y45" t="s">
        <v>88</v>
      </c>
      <c r="Z45">
        <v>0</v>
      </c>
      <c r="AA45">
        <v>0</v>
      </c>
      <c r="AD45">
        <v>0</v>
      </c>
      <c r="AE45">
        <v>0</v>
      </c>
      <c r="AH45" t="s">
        <v>73</v>
      </c>
      <c r="AI45" t="s">
        <v>74</v>
      </c>
      <c r="AJ45" t="s">
        <v>75</v>
      </c>
      <c r="AK45" t="s">
        <v>76</v>
      </c>
      <c r="AN45" t="s">
        <v>77</v>
      </c>
      <c r="AO45" t="s">
        <v>78</v>
      </c>
      <c r="AP45" t="s">
        <v>233</v>
      </c>
      <c r="AQ45" t="s">
        <v>80</v>
      </c>
      <c r="AS45" t="b">
        <v>1</v>
      </c>
      <c r="AT45" t="s">
        <v>65</v>
      </c>
      <c r="AU45">
        <v>0</v>
      </c>
      <c r="AV45">
        <v>0</v>
      </c>
      <c r="AX45">
        <v>39</v>
      </c>
      <c r="AY45" t="s">
        <v>81</v>
      </c>
      <c r="AZ45" t="s">
        <v>90</v>
      </c>
      <c r="BB45" t="s">
        <v>91</v>
      </c>
      <c r="BC45" t="s">
        <v>92</v>
      </c>
      <c r="BD45" t="b">
        <v>0</v>
      </c>
      <c r="BE45" t="b">
        <v>0</v>
      </c>
      <c r="BF45" t="b">
        <v>0</v>
      </c>
      <c r="BG45" t="b">
        <v>0</v>
      </c>
      <c r="BH45" t="b">
        <v>0</v>
      </c>
      <c r="BI45" t="b">
        <v>0</v>
      </c>
      <c r="BJ45" t="b">
        <v>0</v>
      </c>
      <c r="BK45" t="b">
        <v>0</v>
      </c>
      <c r="BL45" t="b">
        <v>0</v>
      </c>
      <c r="BM45" t="b">
        <v>0</v>
      </c>
      <c r="BN45" t="b">
        <v>0</v>
      </c>
      <c r="BO45" t="b">
        <v>0</v>
      </c>
      <c r="BP45" t="b">
        <v>0</v>
      </c>
      <c r="BR45" t="str">
        <f>IF(M45="PASSED",VLOOKUP(J45,All_Potential!$J$1:$N$500,1,FALSE))</f>
        <v>1.0185</v>
      </c>
    </row>
    <row r="46" spans="1:70" ht="15" customHeight="1" x14ac:dyDescent="0.25">
      <c r="A46">
        <v>21156</v>
      </c>
      <c r="C46">
        <v>0</v>
      </c>
      <c r="D46" t="s">
        <v>65</v>
      </c>
      <c r="E46" t="s">
        <v>66</v>
      </c>
      <c r="F46" t="s">
        <v>84</v>
      </c>
      <c r="G46">
        <v>0</v>
      </c>
      <c r="H46" t="s">
        <v>85</v>
      </c>
      <c r="I46" t="s">
        <v>86</v>
      </c>
      <c r="J46" t="str">
        <f>MID($N46,FIND("1.",$N46),FIND("-",$N46)-FIND("1.",$N46)-1)</f>
        <v>1.0188</v>
      </c>
      <c r="K46" t="str">
        <f>MID($N46,FIND("MSWRK - ",$N46)+8,FIND(":",$N46)-FIND("MSWRK - ",$N46)-8)</f>
        <v>Ensure Allow clipboard sharing with Windows Sandbox is set to Disabled</v>
      </c>
      <c r="L46" t="str">
        <f t="shared" si="0"/>
        <v>1.0188 - MSWRK - Ensure Allow clipboard sharing with Windows Sandbox is set to Disabled</v>
      </c>
      <c r="M46" t="str">
        <f>MID($N46,FIND("[",$N46)+1,FIND("]",$N46)-FIND("[",$N46)-1)</f>
        <v>PASSED</v>
      </c>
      <c r="N46" s="1" t="s">
        <v>294</v>
      </c>
      <c r="O46" t="s">
        <v>67</v>
      </c>
      <c r="R46" t="s">
        <v>68</v>
      </c>
      <c r="T46" t="s">
        <v>69</v>
      </c>
      <c r="U46" t="s">
        <v>70</v>
      </c>
      <c r="W46" t="s">
        <v>71</v>
      </c>
      <c r="X46" s="1" t="s">
        <v>72</v>
      </c>
      <c r="Y46" t="s">
        <v>88</v>
      </c>
      <c r="Z46">
        <v>0</v>
      </c>
      <c r="AA46">
        <v>0</v>
      </c>
      <c r="AD46">
        <v>0</v>
      </c>
      <c r="AE46">
        <v>0</v>
      </c>
      <c r="AH46" t="s">
        <v>73</v>
      </c>
      <c r="AI46" t="s">
        <v>74</v>
      </c>
      <c r="AJ46" t="s">
        <v>75</v>
      </c>
      <c r="AK46" t="s">
        <v>76</v>
      </c>
      <c r="AN46" t="s">
        <v>77</v>
      </c>
      <c r="AO46" t="s">
        <v>78</v>
      </c>
      <c r="AP46" t="s">
        <v>82</v>
      </c>
      <c r="AQ46" t="s">
        <v>80</v>
      </c>
      <c r="AS46" t="b">
        <v>1</v>
      </c>
      <c r="AT46" t="s">
        <v>65</v>
      </c>
      <c r="AU46">
        <v>0</v>
      </c>
      <c r="AV46">
        <v>0</v>
      </c>
      <c r="AX46">
        <v>39</v>
      </c>
      <c r="AY46" t="s">
        <v>81</v>
      </c>
      <c r="AZ46" t="s">
        <v>90</v>
      </c>
      <c r="BB46" t="s">
        <v>91</v>
      </c>
      <c r="BC46" t="s">
        <v>92</v>
      </c>
      <c r="BD46" t="b">
        <v>0</v>
      </c>
      <c r="BE46" t="b">
        <v>0</v>
      </c>
      <c r="BF46" t="b">
        <v>0</v>
      </c>
      <c r="BG46" t="b">
        <v>0</v>
      </c>
      <c r="BH46" t="b">
        <v>0</v>
      </c>
      <c r="BI46" t="b">
        <v>0</v>
      </c>
      <c r="BJ46" t="b">
        <v>0</v>
      </c>
      <c r="BK46" t="b">
        <v>0</v>
      </c>
      <c r="BL46" t="b">
        <v>0</v>
      </c>
      <c r="BM46" t="b">
        <v>0</v>
      </c>
      <c r="BN46" t="b">
        <v>0</v>
      </c>
      <c r="BO46" t="b">
        <v>0</v>
      </c>
      <c r="BP46" t="b">
        <v>0</v>
      </c>
      <c r="BR46" t="str">
        <f>IF(M46="PASSED",VLOOKUP(J46,All_Potential!$J$1:$N$500,1,FALSE))</f>
        <v>1.0188</v>
      </c>
    </row>
    <row r="47" spans="1:70" ht="15" customHeight="1" x14ac:dyDescent="0.25">
      <c r="A47">
        <v>21156</v>
      </c>
      <c r="C47">
        <v>0</v>
      </c>
      <c r="D47" t="s">
        <v>65</v>
      </c>
      <c r="E47" t="s">
        <v>66</v>
      </c>
      <c r="F47" t="s">
        <v>84</v>
      </c>
      <c r="G47">
        <v>0</v>
      </c>
      <c r="H47" t="s">
        <v>85</v>
      </c>
      <c r="I47" t="s">
        <v>86</v>
      </c>
      <c r="J47" t="str">
        <f>MID($N47,FIND("1.",$N47),FIND("-",$N47)-FIND("1.",$N47)-1)</f>
        <v>1.0189</v>
      </c>
      <c r="K47" t="str">
        <f>MID($N47,FIND("MSWRK - ",$N47)+8,FIND(":",$N47)-FIND("MSWRK - ",$N47)-8)</f>
        <v>Ensure Allow networking in Windows Sandbox is set to Disabled</v>
      </c>
      <c r="L47" t="str">
        <f t="shared" si="0"/>
        <v>1.0189 - MSWRK - Ensure Allow networking in Windows Sandbox is set to Disabled</v>
      </c>
      <c r="M47" t="str">
        <f>MID($N47,FIND("[",$N47)+1,FIND("]",$N47)-FIND("[",$N47)-1)</f>
        <v>PASSED</v>
      </c>
      <c r="N47" s="1" t="s">
        <v>276</v>
      </c>
      <c r="O47" t="s">
        <v>67</v>
      </c>
      <c r="R47" t="s">
        <v>68</v>
      </c>
      <c r="T47" t="s">
        <v>69</v>
      </c>
      <c r="U47" t="s">
        <v>70</v>
      </c>
      <c r="W47" t="s">
        <v>71</v>
      </c>
      <c r="X47" s="1" t="s">
        <v>72</v>
      </c>
      <c r="Y47" t="s">
        <v>88</v>
      </c>
      <c r="Z47">
        <v>0</v>
      </c>
      <c r="AA47">
        <v>0</v>
      </c>
      <c r="AD47">
        <v>0</v>
      </c>
      <c r="AE47">
        <v>0</v>
      </c>
      <c r="AH47" t="s">
        <v>73</v>
      </c>
      <c r="AI47" t="s">
        <v>74</v>
      </c>
      <c r="AJ47" t="s">
        <v>75</v>
      </c>
      <c r="AK47" t="s">
        <v>76</v>
      </c>
      <c r="AN47" t="s">
        <v>77</v>
      </c>
      <c r="AO47" t="s">
        <v>78</v>
      </c>
      <c r="AP47" t="s">
        <v>275</v>
      </c>
      <c r="AQ47" t="s">
        <v>80</v>
      </c>
      <c r="AS47" t="b">
        <v>1</v>
      </c>
      <c r="AT47" t="s">
        <v>65</v>
      </c>
      <c r="AU47">
        <v>0</v>
      </c>
      <c r="AV47">
        <v>0</v>
      </c>
      <c r="AX47">
        <v>39</v>
      </c>
      <c r="AY47" t="s">
        <v>81</v>
      </c>
      <c r="AZ47" t="s">
        <v>90</v>
      </c>
      <c r="BB47" t="s">
        <v>91</v>
      </c>
      <c r="BC47" t="s">
        <v>92</v>
      </c>
      <c r="BD47" t="b">
        <v>0</v>
      </c>
      <c r="BE47" t="b">
        <v>0</v>
      </c>
      <c r="BF47" t="b">
        <v>0</v>
      </c>
      <c r="BG47" t="b">
        <v>0</v>
      </c>
      <c r="BH47" t="b">
        <v>0</v>
      </c>
      <c r="BI47" t="b">
        <v>0</v>
      </c>
      <c r="BJ47" t="b">
        <v>0</v>
      </c>
      <c r="BK47" t="b">
        <v>0</v>
      </c>
      <c r="BL47" t="b">
        <v>0</v>
      </c>
      <c r="BM47" t="b">
        <v>0</v>
      </c>
      <c r="BN47" t="b">
        <v>0</v>
      </c>
      <c r="BO47" t="b">
        <v>0</v>
      </c>
      <c r="BP47" t="b">
        <v>0</v>
      </c>
      <c r="BR47" t="str">
        <f>IF(M47="PASSED",VLOOKUP(J47,All_Potential!$J$1:$N$500,1,FALSE))</f>
        <v>1.0189</v>
      </c>
    </row>
    <row r="48" spans="1:70" ht="15" customHeight="1" x14ac:dyDescent="0.25">
      <c r="A48">
        <v>21156</v>
      </c>
      <c r="C48">
        <v>0</v>
      </c>
      <c r="D48" t="s">
        <v>83</v>
      </c>
      <c r="E48" t="s">
        <v>66</v>
      </c>
      <c r="F48" t="s">
        <v>84</v>
      </c>
      <c r="G48">
        <v>0</v>
      </c>
      <c r="H48" t="s">
        <v>85</v>
      </c>
      <c r="I48" t="s">
        <v>86</v>
      </c>
      <c r="J48" t="str">
        <f>MID($N48,FIND("1.",$N48),FIND("-",$N48)-FIND("1.",$N48)-1)</f>
        <v>1.0192</v>
      </c>
      <c r="K48" t="str">
        <f>MID($N48,FIND("MSWRK - ",$N48)+8,FIND(":",$N48)-FIND("MSWRK - ",$N48)-8)</f>
        <v>Ensure Configure Automatic Updates is set to Enabled</v>
      </c>
      <c r="L48" t="str">
        <f t="shared" si="0"/>
        <v>1.0192 - MSWRK - Ensure Configure Automatic Updates is set to Enabled</v>
      </c>
      <c r="M48" t="str">
        <f>MID($N48,FIND("[",$N48)+1,FIND("]",$N48)-FIND("[",$N48)-1)</f>
        <v>FAILED</v>
      </c>
      <c r="N48" s="1" t="s">
        <v>153</v>
      </c>
      <c r="O48" t="s">
        <v>67</v>
      </c>
      <c r="R48" t="s">
        <v>68</v>
      </c>
      <c r="T48" t="s">
        <v>69</v>
      </c>
      <c r="U48" t="s">
        <v>70</v>
      </c>
      <c r="W48" t="s">
        <v>71</v>
      </c>
      <c r="X48" s="1" t="s">
        <v>72</v>
      </c>
      <c r="Y48" t="s">
        <v>88</v>
      </c>
      <c r="Z48">
        <v>0</v>
      </c>
      <c r="AA48">
        <v>0</v>
      </c>
      <c r="AD48">
        <v>0</v>
      </c>
      <c r="AE48">
        <v>0</v>
      </c>
      <c r="AH48" t="s">
        <v>73</v>
      </c>
      <c r="AI48" t="s">
        <v>74</v>
      </c>
      <c r="AJ48" t="s">
        <v>75</v>
      </c>
      <c r="AK48" t="s">
        <v>76</v>
      </c>
      <c r="AN48" t="s">
        <v>77</v>
      </c>
      <c r="AO48" t="s">
        <v>78</v>
      </c>
      <c r="AP48" t="s">
        <v>152</v>
      </c>
      <c r="AQ48" t="s">
        <v>80</v>
      </c>
      <c r="AS48" t="b">
        <v>1</v>
      </c>
      <c r="AT48" t="s">
        <v>65</v>
      </c>
      <c r="AU48">
        <v>0</v>
      </c>
      <c r="AV48">
        <v>0</v>
      </c>
      <c r="AX48">
        <v>39</v>
      </c>
      <c r="AY48" t="s">
        <v>81</v>
      </c>
      <c r="AZ48" t="s">
        <v>90</v>
      </c>
      <c r="BB48" t="s">
        <v>91</v>
      </c>
      <c r="BC48" t="s">
        <v>92</v>
      </c>
      <c r="BD48" t="b">
        <v>0</v>
      </c>
      <c r="BE48" t="b">
        <v>0</v>
      </c>
      <c r="BF48" t="b">
        <v>0</v>
      </c>
      <c r="BG48" t="b">
        <v>0</v>
      </c>
      <c r="BH48" t="b">
        <v>0</v>
      </c>
      <c r="BI48" t="b">
        <v>0</v>
      </c>
      <c r="BJ48" t="b">
        <v>0</v>
      </c>
      <c r="BK48" t="b">
        <v>0</v>
      </c>
      <c r="BL48" t="b">
        <v>0</v>
      </c>
      <c r="BM48" t="b">
        <v>0</v>
      </c>
      <c r="BN48" t="b">
        <v>0</v>
      </c>
      <c r="BO48" t="b">
        <v>0</v>
      </c>
      <c r="BP48" t="b">
        <v>0</v>
      </c>
      <c r="BR48" t="b">
        <f>IF(M48="PASSED",VLOOKUP(J48,All_Potential!$J$1:$N$500,1,FALSE))</f>
        <v>0</v>
      </c>
    </row>
    <row r="49" spans="1:70" ht="15" customHeight="1" x14ac:dyDescent="0.25">
      <c r="A49">
        <v>21156</v>
      </c>
      <c r="C49">
        <v>0</v>
      </c>
      <c r="D49" t="s">
        <v>65</v>
      </c>
      <c r="E49" t="s">
        <v>66</v>
      </c>
      <c r="F49" t="s">
        <v>84</v>
      </c>
      <c r="G49">
        <v>0</v>
      </c>
      <c r="H49" t="s">
        <v>85</v>
      </c>
      <c r="I49" t="s">
        <v>86</v>
      </c>
      <c r="J49" t="str">
        <f>MID($N49,FIND("1.",$N49),FIND("-",$N49)-FIND("1.",$N49)-1)</f>
        <v>1.0202</v>
      </c>
      <c r="K49" t="str">
        <f>MID($N49,FIND("MSWRK - ",$N49)+8,FIND(":",$N49)-FIND("MSWRK - ",$N49)-8)</f>
        <v>Ensure Prevent enabling lock screen slide show is set to Enabled</v>
      </c>
      <c r="L49" t="str">
        <f t="shared" si="0"/>
        <v>1.0202 - MSWRK - Ensure Prevent enabling lock screen slide show is set to Enabled</v>
      </c>
      <c r="M49" t="str">
        <f>MID($N49,FIND("[",$N49)+1,FIND("]",$N49)-FIND("[",$N49)-1)</f>
        <v>PASSED</v>
      </c>
      <c r="N49" s="1" t="s">
        <v>223</v>
      </c>
      <c r="O49" t="s">
        <v>67</v>
      </c>
      <c r="R49" t="s">
        <v>68</v>
      </c>
      <c r="T49" t="s">
        <v>69</v>
      </c>
      <c r="U49" t="s">
        <v>70</v>
      </c>
      <c r="W49" t="s">
        <v>71</v>
      </c>
      <c r="X49" s="1" t="s">
        <v>72</v>
      </c>
      <c r="Y49" t="s">
        <v>88</v>
      </c>
      <c r="Z49">
        <v>0</v>
      </c>
      <c r="AA49">
        <v>0</v>
      </c>
      <c r="AD49">
        <v>0</v>
      </c>
      <c r="AE49">
        <v>0</v>
      </c>
      <c r="AH49" t="s">
        <v>73</v>
      </c>
      <c r="AI49" t="s">
        <v>74</v>
      </c>
      <c r="AJ49" t="s">
        <v>75</v>
      </c>
      <c r="AK49" t="s">
        <v>76</v>
      </c>
      <c r="AN49" t="s">
        <v>77</v>
      </c>
      <c r="AO49" t="s">
        <v>78</v>
      </c>
      <c r="AP49" t="s">
        <v>220</v>
      </c>
      <c r="AQ49" t="s">
        <v>80</v>
      </c>
      <c r="AS49" t="b">
        <v>1</v>
      </c>
      <c r="AT49" t="s">
        <v>65</v>
      </c>
      <c r="AU49">
        <v>0</v>
      </c>
      <c r="AV49">
        <v>0</v>
      </c>
      <c r="AX49">
        <v>39</v>
      </c>
      <c r="AY49" t="s">
        <v>81</v>
      </c>
      <c r="AZ49" t="s">
        <v>90</v>
      </c>
      <c r="BB49" t="s">
        <v>91</v>
      </c>
      <c r="BC49" t="s">
        <v>92</v>
      </c>
      <c r="BD49" t="b">
        <v>0</v>
      </c>
      <c r="BE49" t="b">
        <v>0</v>
      </c>
      <c r="BF49" t="b">
        <v>0</v>
      </c>
      <c r="BG49" t="b">
        <v>0</v>
      </c>
      <c r="BH49" t="b">
        <v>0</v>
      </c>
      <c r="BI49" t="b">
        <v>0</v>
      </c>
      <c r="BJ49" t="b">
        <v>0</v>
      </c>
      <c r="BK49" t="b">
        <v>0</v>
      </c>
      <c r="BL49" t="b">
        <v>0</v>
      </c>
      <c r="BM49" t="b">
        <v>0</v>
      </c>
      <c r="BN49" t="b">
        <v>0</v>
      </c>
      <c r="BO49" t="b">
        <v>0</v>
      </c>
      <c r="BP49" t="b">
        <v>0</v>
      </c>
      <c r="BR49" t="str">
        <f>IF(M49="PASSED",VLOOKUP(J49,All_Potential!$J$1:$N$500,1,FALSE))</f>
        <v>1.0202</v>
      </c>
    </row>
    <row r="50" spans="1:70" ht="15" customHeight="1" x14ac:dyDescent="0.25">
      <c r="A50">
        <v>21156</v>
      </c>
      <c r="C50">
        <v>0</v>
      </c>
      <c r="D50" t="s">
        <v>83</v>
      </c>
      <c r="E50" t="s">
        <v>66</v>
      </c>
      <c r="F50" t="s">
        <v>84</v>
      </c>
      <c r="G50">
        <v>0</v>
      </c>
      <c r="H50" t="s">
        <v>85</v>
      </c>
      <c r="I50" t="s">
        <v>86</v>
      </c>
      <c r="J50" t="str">
        <f>MID($N50,FIND("1.",$N50),FIND("-",$N50)-FIND("1.",$N50)-1)</f>
        <v>1.0204</v>
      </c>
      <c r="K50" t="str">
        <f>MID($N50,FIND("MSWRK - ",$N50)+8,FIND(":",$N50)-FIND("MSWRK - ",$N50)-8)</f>
        <v>Ensure Allow users to enable online speech recognition services is set to Disabled</v>
      </c>
      <c r="L50" t="str">
        <f t="shared" si="0"/>
        <v>1.0204 - MSWRK - Ensure Allow users to enable online speech recognition services is set to Disabled</v>
      </c>
      <c r="M50" t="str">
        <f>MID($N50,FIND("[",$N50)+1,FIND("]",$N50)-FIND("[",$N50)-1)</f>
        <v>FAILED</v>
      </c>
      <c r="N50" s="1" t="s">
        <v>295</v>
      </c>
      <c r="O50" t="s">
        <v>67</v>
      </c>
      <c r="R50" t="s">
        <v>68</v>
      </c>
      <c r="T50" t="s">
        <v>69</v>
      </c>
      <c r="U50" t="s">
        <v>70</v>
      </c>
      <c r="W50" t="s">
        <v>71</v>
      </c>
      <c r="X50" s="1" t="s">
        <v>72</v>
      </c>
      <c r="Y50" t="s">
        <v>88</v>
      </c>
      <c r="Z50">
        <v>0</v>
      </c>
      <c r="AA50">
        <v>0</v>
      </c>
      <c r="AD50">
        <v>0</v>
      </c>
      <c r="AE50">
        <v>0</v>
      </c>
      <c r="AH50" t="s">
        <v>73</v>
      </c>
      <c r="AI50" t="s">
        <v>74</v>
      </c>
      <c r="AJ50" t="s">
        <v>75</v>
      </c>
      <c r="AK50" t="s">
        <v>76</v>
      </c>
      <c r="AN50" t="s">
        <v>77</v>
      </c>
      <c r="AO50" t="s">
        <v>78</v>
      </c>
      <c r="AP50" t="s">
        <v>82</v>
      </c>
      <c r="AQ50" t="s">
        <v>80</v>
      </c>
      <c r="AS50" t="b">
        <v>1</v>
      </c>
      <c r="AT50" t="s">
        <v>65</v>
      </c>
      <c r="AU50">
        <v>0</v>
      </c>
      <c r="AV50">
        <v>0</v>
      </c>
      <c r="AX50">
        <v>39</v>
      </c>
      <c r="AY50" t="s">
        <v>81</v>
      </c>
      <c r="AZ50" t="s">
        <v>90</v>
      </c>
      <c r="BB50" t="s">
        <v>91</v>
      </c>
      <c r="BC50" t="s">
        <v>92</v>
      </c>
      <c r="BD50" t="b">
        <v>0</v>
      </c>
      <c r="BE50" t="b">
        <v>0</v>
      </c>
      <c r="BF50" t="b">
        <v>0</v>
      </c>
      <c r="BG50" t="b">
        <v>0</v>
      </c>
      <c r="BH50" t="b">
        <v>0</v>
      </c>
      <c r="BI50" t="b">
        <v>0</v>
      </c>
      <c r="BJ50" t="b">
        <v>0</v>
      </c>
      <c r="BK50" t="b">
        <v>0</v>
      </c>
      <c r="BL50" t="b">
        <v>0</v>
      </c>
      <c r="BM50" t="b">
        <v>0</v>
      </c>
      <c r="BN50" t="b">
        <v>0</v>
      </c>
      <c r="BO50" t="b">
        <v>0</v>
      </c>
      <c r="BP50" t="b">
        <v>0</v>
      </c>
      <c r="BR50" t="b">
        <f>IF(M50="PASSED",VLOOKUP(J50,All_Potential!$J$1:$N$500,1,FALSE))</f>
        <v>0</v>
      </c>
    </row>
    <row r="51" spans="1:70" ht="15" customHeight="1" x14ac:dyDescent="0.25">
      <c r="A51">
        <v>21156</v>
      </c>
      <c r="C51">
        <v>0</v>
      </c>
      <c r="D51" t="s">
        <v>65</v>
      </c>
      <c r="E51" t="s">
        <v>66</v>
      </c>
      <c r="F51" t="s">
        <v>84</v>
      </c>
      <c r="G51">
        <v>0</v>
      </c>
      <c r="H51" t="s">
        <v>85</v>
      </c>
      <c r="I51" t="s">
        <v>86</v>
      </c>
      <c r="J51" t="str">
        <f>MID($N51,FIND("1.",$N51),FIND("-",$N51)-FIND("1.",$N51)-1)</f>
        <v>1.0206</v>
      </c>
      <c r="K51" t="str">
        <f>MID($N51,FIND("MSWRK - ",$N51)+8,FIND(":",$N51)-FIND("MSWRK - ",$N51)-8)</f>
        <v>Ensure Configure SMB v1 client driver is set to Enabled</v>
      </c>
      <c r="L51" t="str">
        <f>MID($N51,FIND("1.",$N51),FIND("[",$N51)-1-FIND("1.",$N51)-1)</f>
        <v>1.0206 - MSWRK - Ensure Configure SMB v1 client driver is set to Enabled: Disable driver (recommended) - Mrxsmb10</v>
      </c>
      <c r="M51" t="str">
        <f>MID($N51,FIND("[",$N51)+1,FIND("]",$N51)-FIND("[",$N51)-1)</f>
        <v>PASSED</v>
      </c>
      <c r="N51" s="1" t="s">
        <v>304</v>
      </c>
      <c r="O51" t="s">
        <v>67</v>
      </c>
      <c r="R51" t="s">
        <v>68</v>
      </c>
      <c r="T51" t="s">
        <v>69</v>
      </c>
      <c r="U51" t="s">
        <v>70</v>
      </c>
      <c r="W51" t="s">
        <v>71</v>
      </c>
      <c r="X51" s="1" t="s">
        <v>72</v>
      </c>
      <c r="Y51" t="s">
        <v>88</v>
      </c>
      <c r="Z51">
        <v>0</v>
      </c>
      <c r="AA51">
        <v>0</v>
      </c>
      <c r="AD51">
        <v>0</v>
      </c>
      <c r="AE51">
        <v>0</v>
      </c>
      <c r="AH51" t="s">
        <v>73</v>
      </c>
      <c r="AI51" t="s">
        <v>74</v>
      </c>
      <c r="AJ51" t="s">
        <v>75</v>
      </c>
      <c r="AK51" t="s">
        <v>76</v>
      </c>
      <c r="AN51" t="s">
        <v>77</v>
      </c>
      <c r="AO51" t="s">
        <v>78</v>
      </c>
      <c r="AP51" t="s">
        <v>301</v>
      </c>
      <c r="AQ51" t="s">
        <v>80</v>
      </c>
      <c r="AS51" t="b">
        <v>1</v>
      </c>
      <c r="AT51" t="s">
        <v>65</v>
      </c>
      <c r="AU51">
        <v>0</v>
      </c>
      <c r="AV51">
        <v>0</v>
      </c>
      <c r="AX51">
        <v>39</v>
      </c>
      <c r="AY51" t="s">
        <v>81</v>
      </c>
      <c r="AZ51" t="s">
        <v>90</v>
      </c>
      <c r="BB51" t="s">
        <v>91</v>
      </c>
      <c r="BC51" t="s">
        <v>92</v>
      </c>
      <c r="BD51" t="b">
        <v>0</v>
      </c>
      <c r="BE51" t="b">
        <v>0</v>
      </c>
      <c r="BF51" t="b">
        <v>0</v>
      </c>
      <c r="BG51" t="b">
        <v>0</v>
      </c>
      <c r="BH51" t="b">
        <v>0</v>
      </c>
      <c r="BI51" t="b">
        <v>0</v>
      </c>
      <c r="BJ51" t="b">
        <v>0</v>
      </c>
      <c r="BK51" t="b">
        <v>0</v>
      </c>
      <c r="BL51" t="b">
        <v>0</v>
      </c>
      <c r="BM51" t="b">
        <v>0</v>
      </c>
      <c r="BN51" t="b">
        <v>0</v>
      </c>
      <c r="BO51" t="b">
        <v>0</v>
      </c>
      <c r="BP51" t="b">
        <v>0</v>
      </c>
      <c r="BR51" t="str">
        <f>IF(M51="PASSED",VLOOKUP(J51,All_Potential!$J$1:$N$500,1,FALSE))</f>
        <v>1.0206</v>
      </c>
    </row>
    <row r="52" spans="1:70" ht="15" customHeight="1" x14ac:dyDescent="0.25">
      <c r="A52">
        <v>21156</v>
      </c>
      <c r="C52">
        <v>0</v>
      </c>
      <c r="D52" t="s">
        <v>65</v>
      </c>
      <c r="E52" t="s">
        <v>66</v>
      </c>
      <c r="F52" t="s">
        <v>84</v>
      </c>
      <c r="G52">
        <v>0</v>
      </c>
      <c r="H52" t="s">
        <v>85</v>
      </c>
      <c r="I52" t="s">
        <v>86</v>
      </c>
      <c r="J52" t="str">
        <f>MID($N52,FIND("1.",$N52),FIND("-",$N52)-FIND("1.",$N52)-1)</f>
        <v>1.0208</v>
      </c>
      <c r="K52" t="str">
        <f>MID($N52,FIND("MSWRK - ",$N52)+8,FIND(":",$N52)-FIND("MSWRK - ",$N52)-8)</f>
        <v>default - Config</v>
      </c>
      <c r="L52" t="str">
        <f t="shared" ref="L52:L115" si="1">MID($N52,FIND("1.",$N52),FIND("[",$N52)-1-FIND("1.",$N52)-1)</f>
        <v>1.0208 - MSWRK - default - Config</v>
      </c>
      <c r="M52" t="str">
        <f>MID($N52,FIND("[",$N52)+1,FIND("]",$N52)-FIND("[",$N52)-1)</f>
        <v>PASSED</v>
      </c>
      <c r="N52" s="1" t="s">
        <v>98</v>
      </c>
      <c r="O52" t="s">
        <v>67</v>
      </c>
      <c r="R52" t="s">
        <v>68</v>
      </c>
      <c r="T52" t="s">
        <v>69</v>
      </c>
      <c r="U52" t="s">
        <v>70</v>
      </c>
      <c r="W52" t="s">
        <v>71</v>
      </c>
      <c r="X52" s="1" t="s">
        <v>72</v>
      </c>
      <c r="Y52" t="s">
        <v>88</v>
      </c>
      <c r="Z52">
        <v>0</v>
      </c>
      <c r="AA52">
        <v>0</v>
      </c>
      <c r="AD52">
        <v>0</v>
      </c>
      <c r="AE52">
        <v>0</v>
      </c>
      <c r="AH52" t="s">
        <v>73</v>
      </c>
      <c r="AI52" t="s">
        <v>74</v>
      </c>
      <c r="AJ52" t="s">
        <v>75</v>
      </c>
      <c r="AK52" t="s">
        <v>76</v>
      </c>
      <c r="AN52" t="s">
        <v>77</v>
      </c>
      <c r="AO52" t="s">
        <v>78</v>
      </c>
      <c r="AP52" t="s">
        <v>97</v>
      </c>
      <c r="AQ52" t="s">
        <v>80</v>
      </c>
      <c r="AS52" t="b">
        <v>1</v>
      </c>
      <c r="AT52" t="s">
        <v>65</v>
      </c>
      <c r="AU52">
        <v>0</v>
      </c>
      <c r="AV52">
        <v>0</v>
      </c>
      <c r="AX52">
        <v>39</v>
      </c>
      <c r="AY52" t="s">
        <v>81</v>
      </c>
      <c r="AZ52" t="s">
        <v>90</v>
      </c>
      <c r="BB52" t="s">
        <v>91</v>
      </c>
      <c r="BC52" t="s">
        <v>92</v>
      </c>
      <c r="BD52" t="b">
        <v>0</v>
      </c>
      <c r="BE52" t="b">
        <v>0</v>
      </c>
      <c r="BF52" t="b">
        <v>0</v>
      </c>
      <c r="BG52" t="b">
        <v>0</v>
      </c>
      <c r="BH52" t="b">
        <v>0</v>
      </c>
      <c r="BI52" t="b">
        <v>0</v>
      </c>
      <c r="BJ52" t="b">
        <v>0</v>
      </c>
      <c r="BK52" t="b">
        <v>0</v>
      </c>
      <c r="BL52" t="b">
        <v>0</v>
      </c>
      <c r="BM52" t="b">
        <v>0</v>
      </c>
      <c r="BN52" t="b">
        <v>0</v>
      </c>
      <c r="BO52" t="b">
        <v>0</v>
      </c>
      <c r="BP52" t="b">
        <v>0</v>
      </c>
      <c r="BR52" t="str">
        <f>IF(M52="PASSED",VLOOKUP(J52,All_Potential!$J$1:$N$500,1,FALSE))</f>
        <v>1.0208</v>
      </c>
    </row>
    <row r="53" spans="1:70" ht="15" customHeight="1" x14ac:dyDescent="0.25">
      <c r="A53">
        <v>21156</v>
      </c>
      <c r="C53">
        <v>0</v>
      </c>
      <c r="D53" t="s">
        <v>65</v>
      </c>
      <c r="E53" t="s">
        <v>66</v>
      </c>
      <c r="F53" t="s">
        <v>84</v>
      </c>
      <c r="G53">
        <v>0</v>
      </c>
      <c r="H53" t="s">
        <v>85</v>
      </c>
      <c r="I53" t="s">
        <v>86</v>
      </c>
      <c r="J53" t="str">
        <f>MID($N53,FIND("1.",$N53),FIND("-",$N53)-FIND("1.",$N53)-1)</f>
        <v>1.0211</v>
      </c>
      <c r="K53" t="str">
        <f>MID($N53,FIND("MSWRK - ",$N53)+8,FIND(":",$N53)-FIND("MSWRK - ",$N53)-8)</f>
        <v>Ensure NetBT NodeType configuration is set to Enabled</v>
      </c>
      <c r="L53" t="str">
        <f t="shared" si="1"/>
        <v>1.0211 - MSWRK - Ensure NetBT NodeType configuration is set to Enabled: P-node (recommended)</v>
      </c>
      <c r="M53" t="str">
        <f>MID($N53,FIND("[",$N53)+1,FIND("]",$N53)-FIND("[",$N53)-1)</f>
        <v>PASSED</v>
      </c>
      <c r="N53" s="1" t="s">
        <v>189</v>
      </c>
      <c r="O53" t="s">
        <v>67</v>
      </c>
      <c r="R53" t="s">
        <v>68</v>
      </c>
      <c r="T53" t="s">
        <v>69</v>
      </c>
      <c r="U53" t="s">
        <v>70</v>
      </c>
      <c r="W53" t="s">
        <v>71</v>
      </c>
      <c r="X53" s="1" t="s">
        <v>72</v>
      </c>
      <c r="Y53" t="s">
        <v>88</v>
      </c>
      <c r="Z53">
        <v>0</v>
      </c>
      <c r="AA53">
        <v>0</v>
      </c>
      <c r="AD53">
        <v>0</v>
      </c>
      <c r="AE53">
        <v>0</v>
      </c>
      <c r="AH53" t="s">
        <v>73</v>
      </c>
      <c r="AI53" t="s">
        <v>74</v>
      </c>
      <c r="AJ53" t="s">
        <v>75</v>
      </c>
      <c r="AK53" t="s">
        <v>76</v>
      </c>
      <c r="AN53" t="s">
        <v>77</v>
      </c>
      <c r="AO53" t="s">
        <v>78</v>
      </c>
      <c r="AP53" t="s">
        <v>186</v>
      </c>
      <c r="AQ53" t="s">
        <v>80</v>
      </c>
      <c r="AS53" t="b">
        <v>1</v>
      </c>
      <c r="AT53" t="s">
        <v>65</v>
      </c>
      <c r="AU53">
        <v>0</v>
      </c>
      <c r="AV53">
        <v>0</v>
      </c>
      <c r="AX53">
        <v>39</v>
      </c>
      <c r="AY53" t="s">
        <v>81</v>
      </c>
      <c r="AZ53" t="s">
        <v>90</v>
      </c>
      <c r="BB53" t="s">
        <v>91</v>
      </c>
      <c r="BC53" t="s">
        <v>92</v>
      </c>
      <c r="BD53" t="b">
        <v>0</v>
      </c>
      <c r="BE53" t="b">
        <v>0</v>
      </c>
      <c r="BF53" t="b">
        <v>0</v>
      </c>
      <c r="BG53" t="b">
        <v>0</v>
      </c>
      <c r="BH53" t="b">
        <v>0</v>
      </c>
      <c r="BI53" t="b">
        <v>0</v>
      </c>
      <c r="BJ53" t="b">
        <v>0</v>
      </c>
      <c r="BK53" t="b">
        <v>0</v>
      </c>
      <c r="BL53" t="b">
        <v>0</v>
      </c>
      <c r="BM53" t="b">
        <v>0</v>
      </c>
      <c r="BN53" t="b">
        <v>0</v>
      </c>
      <c r="BO53" t="b">
        <v>0</v>
      </c>
      <c r="BP53" t="b">
        <v>0</v>
      </c>
      <c r="BR53" t="str">
        <f>IF(M53="PASSED",VLOOKUP(J53,All_Potential!$J$1:$N$500,1,FALSE))</f>
        <v>1.0211</v>
      </c>
    </row>
    <row r="54" spans="1:70" ht="15" customHeight="1" x14ac:dyDescent="0.25">
      <c r="A54">
        <v>21156</v>
      </c>
      <c r="C54">
        <v>0</v>
      </c>
      <c r="D54" t="s">
        <v>65</v>
      </c>
      <c r="E54" t="s">
        <v>66</v>
      </c>
      <c r="F54" t="s">
        <v>84</v>
      </c>
      <c r="G54">
        <v>0</v>
      </c>
      <c r="H54" t="s">
        <v>85</v>
      </c>
      <c r="I54" t="s">
        <v>86</v>
      </c>
      <c r="J54" t="str">
        <f>MID($N54,FIND("1.",$N54),FIND("-",$N54)-FIND("1.",$N54)-1)</f>
        <v>1.0216</v>
      </c>
      <c r="K54" t="str">
        <f>MID($N54,FIND("MSWRK - ",$N54)+8,FIND(":",$N54)-FIND("MSWRK - ",$N54)-8)</f>
        <v>Ensure MSS</v>
      </c>
      <c r="L54" t="str">
        <f t="shared" si="1"/>
        <v>1.0216 - MSWRK - Ensure MSS: (DisableIPSourceRouting IPv6) IP source routing protection level is set to Enabled: Highest protection, source routing is completely disabled - Parameters</v>
      </c>
      <c r="M54" t="str">
        <f>MID($N54,FIND("[",$N54)+1,FIND("]",$N54)-FIND("[",$N54)-1)</f>
        <v>PASSED</v>
      </c>
      <c r="N54" s="1" t="s">
        <v>300</v>
      </c>
      <c r="O54" t="s">
        <v>67</v>
      </c>
      <c r="R54" t="s">
        <v>68</v>
      </c>
      <c r="T54" t="s">
        <v>69</v>
      </c>
      <c r="U54" t="s">
        <v>70</v>
      </c>
      <c r="W54" t="s">
        <v>71</v>
      </c>
      <c r="X54" s="1" t="s">
        <v>72</v>
      </c>
      <c r="Y54" t="s">
        <v>88</v>
      </c>
      <c r="Z54">
        <v>0</v>
      </c>
      <c r="AA54">
        <v>0</v>
      </c>
      <c r="AD54">
        <v>0</v>
      </c>
      <c r="AE54">
        <v>0</v>
      </c>
      <c r="AH54" t="s">
        <v>73</v>
      </c>
      <c r="AI54" t="s">
        <v>74</v>
      </c>
      <c r="AJ54" t="s">
        <v>75</v>
      </c>
      <c r="AK54" t="s">
        <v>76</v>
      </c>
      <c r="AN54" t="s">
        <v>77</v>
      </c>
      <c r="AO54" t="s">
        <v>78</v>
      </c>
      <c r="AP54" t="s">
        <v>301</v>
      </c>
      <c r="AQ54" t="s">
        <v>80</v>
      </c>
      <c r="AS54" t="b">
        <v>1</v>
      </c>
      <c r="AT54" t="s">
        <v>65</v>
      </c>
      <c r="AU54">
        <v>0</v>
      </c>
      <c r="AV54">
        <v>0</v>
      </c>
      <c r="AX54">
        <v>39</v>
      </c>
      <c r="AY54" t="s">
        <v>81</v>
      </c>
      <c r="AZ54" t="s">
        <v>90</v>
      </c>
      <c r="BB54" t="s">
        <v>91</v>
      </c>
      <c r="BC54" t="s">
        <v>92</v>
      </c>
      <c r="BD54" t="b">
        <v>0</v>
      </c>
      <c r="BE54" t="b">
        <v>0</v>
      </c>
      <c r="BF54" t="b">
        <v>0</v>
      </c>
      <c r="BG54" t="b">
        <v>0</v>
      </c>
      <c r="BH54" t="b">
        <v>0</v>
      </c>
      <c r="BI54" t="b">
        <v>0</v>
      </c>
      <c r="BJ54" t="b">
        <v>0</v>
      </c>
      <c r="BK54" t="b">
        <v>0</v>
      </c>
      <c r="BL54" t="b">
        <v>0</v>
      </c>
      <c r="BM54" t="b">
        <v>0</v>
      </c>
      <c r="BN54" t="b">
        <v>0</v>
      </c>
      <c r="BO54" t="b">
        <v>0</v>
      </c>
      <c r="BP54" t="b">
        <v>0</v>
      </c>
      <c r="BR54" t="str">
        <f>IF(M54="PASSED",VLOOKUP(J54,All_Potential!$J$1:$N$500,1,FALSE))</f>
        <v>1.0216</v>
      </c>
    </row>
    <row r="55" spans="1:70" ht="15" customHeight="1" x14ac:dyDescent="0.25">
      <c r="A55">
        <v>21156</v>
      </c>
      <c r="C55">
        <v>0</v>
      </c>
      <c r="D55" t="s">
        <v>65</v>
      </c>
      <c r="E55" t="s">
        <v>66</v>
      </c>
      <c r="F55" t="s">
        <v>84</v>
      </c>
      <c r="G55">
        <v>0</v>
      </c>
      <c r="H55" t="s">
        <v>85</v>
      </c>
      <c r="I55" t="s">
        <v>86</v>
      </c>
      <c r="J55" t="str">
        <f>MID($N55,FIND("1.",$N55),FIND("-",$N55)-FIND("1.",$N55)-1)</f>
        <v>1.0217</v>
      </c>
      <c r="K55" t="str">
        <f>MID($N55,FIND("MSWRK - ",$N55)+8,FIND(":",$N55)-FIND("MSWRK - ",$N55)-8)</f>
        <v>Ensure MSS</v>
      </c>
      <c r="L55" t="str">
        <f t="shared" si="1"/>
        <v>1.0217 - MSWRK - Ensure MSS: (DisableIPSourceRouting) IP source routing protection level is set to Enabled: Highest protection, source routing is completely disabled - Parameters</v>
      </c>
      <c r="M55" t="str">
        <f>MID($N55,FIND("[",$N55)+1,FIND("]",$N55)-FIND("[",$N55)-1)</f>
        <v>PASSED</v>
      </c>
      <c r="N55" s="1" t="s">
        <v>137</v>
      </c>
      <c r="O55" t="s">
        <v>67</v>
      </c>
      <c r="R55" t="s">
        <v>68</v>
      </c>
      <c r="T55" t="s">
        <v>69</v>
      </c>
      <c r="U55" t="s">
        <v>70</v>
      </c>
      <c r="W55" t="s">
        <v>71</v>
      </c>
      <c r="X55" s="1" t="s">
        <v>72</v>
      </c>
      <c r="Y55" t="s">
        <v>88</v>
      </c>
      <c r="Z55">
        <v>0</v>
      </c>
      <c r="AA55">
        <v>0</v>
      </c>
      <c r="AD55">
        <v>0</v>
      </c>
      <c r="AE55">
        <v>0</v>
      </c>
      <c r="AH55" t="s">
        <v>73</v>
      </c>
      <c r="AI55" t="s">
        <v>74</v>
      </c>
      <c r="AJ55" t="s">
        <v>75</v>
      </c>
      <c r="AK55" t="s">
        <v>76</v>
      </c>
      <c r="AN55" t="s">
        <v>77</v>
      </c>
      <c r="AO55" t="s">
        <v>78</v>
      </c>
      <c r="AP55" t="s">
        <v>135</v>
      </c>
      <c r="AQ55" t="s">
        <v>80</v>
      </c>
      <c r="AS55" t="b">
        <v>1</v>
      </c>
      <c r="AT55" t="s">
        <v>65</v>
      </c>
      <c r="AU55">
        <v>0</v>
      </c>
      <c r="AV55">
        <v>0</v>
      </c>
      <c r="AX55">
        <v>39</v>
      </c>
      <c r="AY55" t="s">
        <v>81</v>
      </c>
      <c r="AZ55" t="s">
        <v>90</v>
      </c>
      <c r="BB55" t="s">
        <v>91</v>
      </c>
      <c r="BC55" t="s">
        <v>92</v>
      </c>
      <c r="BD55" t="b">
        <v>0</v>
      </c>
      <c r="BE55" t="b">
        <v>0</v>
      </c>
      <c r="BF55" t="b">
        <v>0</v>
      </c>
      <c r="BG55" t="b">
        <v>0</v>
      </c>
      <c r="BH55" t="b">
        <v>0</v>
      </c>
      <c r="BI55" t="b">
        <v>0</v>
      </c>
      <c r="BJ55" t="b">
        <v>0</v>
      </c>
      <c r="BK55" t="b">
        <v>0</v>
      </c>
      <c r="BL55" t="b">
        <v>0</v>
      </c>
      <c r="BM55" t="b">
        <v>0</v>
      </c>
      <c r="BN55" t="b">
        <v>0</v>
      </c>
      <c r="BO55" t="b">
        <v>0</v>
      </c>
      <c r="BP55" t="b">
        <v>0</v>
      </c>
      <c r="BR55" t="str">
        <f>IF(M55="PASSED",VLOOKUP(J55,All_Potential!$J$1:$N$500,1,FALSE))</f>
        <v>1.0217</v>
      </c>
    </row>
    <row r="56" spans="1:70" ht="15" customHeight="1" x14ac:dyDescent="0.25">
      <c r="A56">
        <v>21156</v>
      </c>
      <c r="C56">
        <v>0</v>
      </c>
      <c r="D56" t="s">
        <v>65</v>
      </c>
      <c r="E56" t="s">
        <v>66</v>
      </c>
      <c r="F56" t="s">
        <v>84</v>
      </c>
      <c r="G56">
        <v>0</v>
      </c>
      <c r="H56" t="s">
        <v>85</v>
      </c>
      <c r="I56" t="s">
        <v>86</v>
      </c>
      <c r="J56" t="str">
        <f>MID($N56,FIND("1.",$N56),FIND("-",$N56)-FIND("1.",$N56)-1)</f>
        <v>1.0226</v>
      </c>
      <c r="K56" t="str">
        <f>MID($N56,FIND("MSWRK - ",$N56)+8,FIND(":",$N56)-FIND("MSWRK - ",$N56)-8)</f>
        <v>Ensure Minimize the number of simultaneous connections to the Internet or a Windows Domain is set to Enabled</v>
      </c>
      <c r="L56" t="str">
        <f t="shared" si="1"/>
        <v>1.0226 - MSWRK - Ensure Minimize the number of simultaneous connections to the Internet or a Windows Domain is set to Enabled: 3 = Prevent Wi-Fi when on Ethernet</v>
      </c>
      <c r="M56" t="str">
        <f>MID($N56,FIND("[",$N56)+1,FIND("]",$N56)-FIND("[",$N56)-1)</f>
        <v>PASSED</v>
      </c>
      <c r="N56" s="1" t="s">
        <v>260</v>
      </c>
      <c r="O56" t="s">
        <v>67</v>
      </c>
      <c r="R56" t="s">
        <v>68</v>
      </c>
      <c r="T56" t="s">
        <v>69</v>
      </c>
      <c r="U56" t="s">
        <v>70</v>
      </c>
      <c r="W56" t="s">
        <v>71</v>
      </c>
      <c r="X56" s="1" t="s">
        <v>72</v>
      </c>
      <c r="Y56" t="s">
        <v>88</v>
      </c>
      <c r="Z56">
        <v>0</v>
      </c>
      <c r="AA56">
        <v>0</v>
      </c>
      <c r="AD56">
        <v>0</v>
      </c>
      <c r="AE56">
        <v>0</v>
      </c>
      <c r="AH56" t="s">
        <v>73</v>
      </c>
      <c r="AI56" t="s">
        <v>74</v>
      </c>
      <c r="AJ56" t="s">
        <v>75</v>
      </c>
      <c r="AK56" t="s">
        <v>76</v>
      </c>
      <c r="AN56" t="s">
        <v>77</v>
      </c>
      <c r="AO56" t="s">
        <v>78</v>
      </c>
      <c r="AP56" t="s">
        <v>258</v>
      </c>
      <c r="AQ56" t="s">
        <v>80</v>
      </c>
      <c r="AS56" t="b">
        <v>1</v>
      </c>
      <c r="AT56" t="s">
        <v>65</v>
      </c>
      <c r="AU56">
        <v>0</v>
      </c>
      <c r="AV56">
        <v>0</v>
      </c>
      <c r="AX56">
        <v>39</v>
      </c>
      <c r="AY56" t="s">
        <v>81</v>
      </c>
      <c r="AZ56" t="s">
        <v>90</v>
      </c>
      <c r="BB56" t="s">
        <v>91</v>
      </c>
      <c r="BC56" t="s">
        <v>92</v>
      </c>
      <c r="BD56" t="b">
        <v>0</v>
      </c>
      <c r="BE56" t="b">
        <v>0</v>
      </c>
      <c r="BF56" t="b">
        <v>0</v>
      </c>
      <c r="BG56" t="b">
        <v>0</v>
      </c>
      <c r="BH56" t="b">
        <v>0</v>
      </c>
      <c r="BI56" t="b">
        <v>0</v>
      </c>
      <c r="BJ56" t="b">
        <v>0</v>
      </c>
      <c r="BK56" t="b">
        <v>0</v>
      </c>
      <c r="BL56" t="b">
        <v>0</v>
      </c>
      <c r="BM56" t="b">
        <v>0</v>
      </c>
      <c r="BN56" t="b">
        <v>0</v>
      </c>
      <c r="BO56" t="b">
        <v>0</v>
      </c>
      <c r="BP56" t="b">
        <v>0</v>
      </c>
      <c r="BR56" t="str">
        <f>IF(M56="PASSED",VLOOKUP(J56,All_Potential!$J$1:$N$500,1,FALSE))</f>
        <v>1.0226</v>
      </c>
    </row>
    <row r="57" spans="1:70" ht="15" customHeight="1" x14ac:dyDescent="0.25">
      <c r="A57">
        <v>21156</v>
      </c>
      <c r="C57">
        <v>0</v>
      </c>
      <c r="D57" t="s">
        <v>65</v>
      </c>
      <c r="E57" t="s">
        <v>66</v>
      </c>
      <c r="F57" t="s">
        <v>84</v>
      </c>
      <c r="G57">
        <v>0</v>
      </c>
      <c r="H57" t="s">
        <v>85</v>
      </c>
      <c r="I57" t="s">
        <v>86</v>
      </c>
      <c r="J57" t="str">
        <f>MID($N57,FIND("1.",$N57),FIND("-",$N57)-FIND("1.",$N57)-1)</f>
        <v>1.0228</v>
      </c>
      <c r="K57" t="str">
        <f>MID($N57,FIND("MSWRK - ",$N57)+8,FIND(":",$N57)-FIND("MSWRK - ",$N57)-8)</f>
        <v>Ensure Allow Windows to automatically connect to suggested open hotspots, to networks shared by contacts, and to hotspots offering paid services is set to Disabled</v>
      </c>
      <c r="L57" t="str">
        <f t="shared" si="1"/>
        <v>1.0228 - MSWRK - Ensure Allow Windows to automatically connect to suggested open hotspots, to networks shared by contacts, and to hotspots offering paid services is set to Disabled</v>
      </c>
      <c r="M57" t="str">
        <f>MID($N57,FIND("[",$N57)+1,FIND("]",$N57)-FIND("[",$N57)-1)</f>
        <v>PASSED</v>
      </c>
      <c r="N57" s="1" t="s">
        <v>162</v>
      </c>
      <c r="O57" t="s">
        <v>67</v>
      </c>
      <c r="R57" t="s">
        <v>68</v>
      </c>
      <c r="T57" t="s">
        <v>69</v>
      </c>
      <c r="U57" t="s">
        <v>70</v>
      </c>
      <c r="W57" t="s">
        <v>71</v>
      </c>
      <c r="X57" s="1" t="s">
        <v>72</v>
      </c>
      <c r="Y57" t="s">
        <v>88</v>
      </c>
      <c r="Z57">
        <v>0</v>
      </c>
      <c r="AA57">
        <v>0</v>
      </c>
      <c r="AD57">
        <v>0</v>
      </c>
      <c r="AE57">
        <v>0</v>
      </c>
      <c r="AH57" t="s">
        <v>73</v>
      </c>
      <c r="AI57" t="s">
        <v>74</v>
      </c>
      <c r="AJ57" t="s">
        <v>75</v>
      </c>
      <c r="AK57" t="s">
        <v>76</v>
      </c>
      <c r="AN57" t="s">
        <v>77</v>
      </c>
      <c r="AO57" t="s">
        <v>78</v>
      </c>
      <c r="AP57" t="s">
        <v>161</v>
      </c>
      <c r="AQ57" t="s">
        <v>80</v>
      </c>
      <c r="AS57" t="b">
        <v>1</v>
      </c>
      <c r="AT57" t="s">
        <v>65</v>
      </c>
      <c r="AU57">
        <v>0</v>
      </c>
      <c r="AV57">
        <v>0</v>
      </c>
      <c r="AX57">
        <v>39</v>
      </c>
      <c r="AY57" t="s">
        <v>81</v>
      </c>
      <c r="AZ57" t="s">
        <v>90</v>
      </c>
      <c r="BB57" t="s">
        <v>91</v>
      </c>
      <c r="BC57" t="s">
        <v>92</v>
      </c>
      <c r="BD57" t="b">
        <v>0</v>
      </c>
      <c r="BE57" t="b">
        <v>0</v>
      </c>
      <c r="BF57" t="b">
        <v>0</v>
      </c>
      <c r="BG57" t="b">
        <v>0</v>
      </c>
      <c r="BH57" t="b">
        <v>0</v>
      </c>
      <c r="BI57" t="b">
        <v>0</v>
      </c>
      <c r="BJ57" t="b">
        <v>0</v>
      </c>
      <c r="BK57" t="b">
        <v>0</v>
      </c>
      <c r="BL57" t="b">
        <v>0</v>
      </c>
      <c r="BM57" t="b">
        <v>0</v>
      </c>
      <c r="BN57" t="b">
        <v>0</v>
      </c>
      <c r="BO57" t="b">
        <v>0</v>
      </c>
      <c r="BP57" t="b">
        <v>0</v>
      </c>
      <c r="BR57" t="str">
        <f>IF(M57="PASSED",VLOOKUP(J57,All_Potential!$J$1:$N$500,1,FALSE))</f>
        <v>1.0228</v>
      </c>
    </row>
    <row r="58" spans="1:70" ht="15" customHeight="1" x14ac:dyDescent="0.25">
      <c r="A58">
        <v>21156</v>
      </c>
      <c r="C58">
        <v>0</v>
      </c>
      <c r="D58" t="s">
        <v>65</v>
      </c>
      <c r="E58" t="s">
        <v>66</v>
      </c>
      <c r="F58" t="s">
        <v>84</v>
      </c>
      <c r="G58">
        <v>0</v>
      </c>
      <c r="H58" t="s">
        <v>85</v>
      </c>
      <c r="I58" t="s">
        <v>86</v>
      </c>
      <c r="J58" t="str">
        <f>MID($N58,FIND("1.",$N58),FIND("-",$N58)-FIND("1.",$N58)-1)</f>
        <v>1.0231</v>
      </c>
      <c r="K58" t="str">
        <f>MID($N58,FIND("MSWRK - ",$N58)+8,FIND(":",$N58)-FIND("MSWRK - ",$N58)-8)</f>
        <v>Ensure Turn off multicast name resolution is set to Enabled</v>
      </c>
      <c r="L58" t="str">
        <f t="shared" si="1"/>
        <v>1.0231 - MSWRK - Ensure Turn off multicast name resolution is set to Enabled</v>
      </c>
      <c r="M58" t="str">
        <f>MID($N58,FIND("[",$N58)+1,FIND("]",$N58)-FIND("[",$N58)-1)</f>
        <v>PASSED</v>
      </c>
      <c r="N58" s="1" t="s">
        <v>215</v>
      </c>
      <c r="O58" t="s">
        <v>67</v>
      </c>
      <c r="R58" t="s">
        <v>68</v>
      </c>
      <c r="T58" t="s">
        <v>69</v>
      </c>
      <c r="U58" t="s">
        <v>70</v>
      </c>
      <c r="W58" t="s">
        <v>71</v>
      </c>
      <c r="X58" s="1" t="s">
        <v>72</v>
      </c>
      <c r="Y58" t="s">
        <v>88</v>
      </c>
      <c r="Z58">
        <v>0</v>
      </c>
      <c r="AA58">
        <v>0</v>
      </c>
      <c r="AD58">
        <v>0</v>
      </c>
      <c r="AE58">
        <v>0</v>
      </c>
      <c r="AH58" t="s">
        <v>73</v>
      </c>
      <c r="AI58" t="s">
        <v>74</v>
      </c>
      <c r="AJ58" t="s">
        <v>75</v>
      </c>
      <c r="AK58" t="s">
        <v>76</v>
      </c>
      <c r="AN58" t="s">
        <v>77</v>
      </c>
      <c r="AO58" t="s">
        <v>78</v>
      </c>
      <c r="AP58" t="s">
        <v>216</v>
      </c>
      <c r="AQ58" t="s">
        <v>80</v>
      </c>
      <c r="AS58" t="b">
        <v>1</v>
      </c>
      <c r="AT58" t="s">
        <v>65</v>
      </c>
      <c r="AU58">
        <v>0</v>
      </c>
      <c r="AV58">
        <v>0</v>
      </c>
      <c r="AX58">
        <v>39</v>
      </c>
      <c r="AY58" t="s">
        <v>81</v>
      </c>
      <c r="AZ58" t="s">
        <v>90</v>
      </c>
      <c r="BB58" t="s">
        <v>91</v>
      </c>
      <c r="BC58" t="s">
        <v>92</v>
      </c>
      <c r="BD58" t="b">
        <v>0</v>
      </c>
      <c r="BE58" t="b">
        <v>0</v>
      </c>
      <c r="BF58" t="b">
        <v>0</v>
      </c>
      <c r="BG58" t="b">
        <v>0</v>
      </c>
      <c r="BH58" t="b">
        <v>0</v>
      </c>
      <c r="BI58" t="b">
        <v>0</v>
      </c>
      <c r="BJ58" t="b">
        <v>0</v>
      </c>
      <c r="BK58" t="b">
        <v>0</v>
      </c>
      <c r="BL58" t="b">
        <v>0</v>
      </c>
      <c r="BM58" t="b">
        <v>0</v>
      </c>
      <c r="BN58" t="b">
        <v>0</v>
      </c>
      <c r="BO58" t="b">
        <v>0</v>
      </c>
      <c r="BP58" t="b">
        <v>0</v>
      </c>
      <c r="BR58" t="str">
        <f>IF(M58="PASSED",VLOOKUP(J58,All_Potential!$J$1:$N$500,1,FALSE))</f>
        <v>1.0231</v>
      </c>
    </row>
    <row r="59" spans="1:70" ht="15" customHeight="1" x14ac:dyDescent="0.25">
      <c r="A59">
        <v>21156</v>
      </c>
      <c r="C59">
        <v>0</v>
      </c>
      <c r="D59" t="s">
        <v>65</v>
      </c>
      <c r="E59" t="s">
        <v>66</v>
      </c>
      <c r="F59" t="s">
        <v>84</v>
      </c>
      <c r="G59">
        <v>0</v>
      </c>
      <c r="H59" t="s">
        <v>85</v>
      </c>
      <c r="I59" t="s">
        <v>86</v>
      </c>
      <c r="J59" t="str">
        <f>MID($N59,FIND("1.",$N59),FIND("-",$N59)-FIND("1.",$N59)-1)</f>
        <v>1.0249</v>
      </c>
      <c r="K59" t="str">
        <f>MID($N59,FIND("MSWRK - ",$N59)+8,FIND(":",$N59)-FIND("MSWRK - ",$N59)-8)</f>
        <v>Ensure Point and Print Restrictions</v>
      </c>
      <c r="L59" t="str">
        <f t="shared" si="1"/>
        <v>1.0249 - MSWRK - Ensure Point and Print Restrictions: When installing drivers for a new connection is set to Enabled: Show warning and elevation prompt</v>
      </c>
      <c r="M59" t="str">
        <f>MID($N59,FIND("[",$N59)+1,FIND("]",$N59)-FIND("[",$N59)-1)</f>
        <v>PASSED</v>
      </c>
      <c r="N59" s="1" t="s">
        <v>188</v>
      </c>
      <c r="O59" t="s">
        <v>67</v>
      </c>
      <c r="R59" t="s">
        <v>68</v>
      </c>
      <c r="T59" t="s">
        <v>69</v>
      </c>
      <c r="U59" t="s">
        <v>70</v>
      </c>
      <c r="W59" t="s">
        <v>71</v>
      </c>
      <c r="X59" s="1" t="s">
        <v>72</v>
      </c>
      <c r="Y59" t="s">
        <v>88</v>
      </c>
      <c r="Z59">
        <v>0</v>
      </c>
      <c r="AA59">
        <v>0</v>
      </c>
      <c r="AD59">
        <v>0</v>
      </c>
      <c r="AE59">
        <v>0</v>
      </c>
      <c r="AH59" t="s">
        <v>73</v>
      </c>
      <c r="AI59" t="s">
        <v>74</v>
      </c>
      <c r="AJ59" t="s">
        <v>75</v>
      </c>
      <c r="AK59" t="s">
        <v>76</v>
      </c>
      <c r="AN59" t="s">
        <v>77</v>
      </c>
      <c r="AO59" t="s">
        <v>78</v>
      </c>
      <c r="AP59" t="s">
        <v>186</v>
      </c>
      <c r="AQ59" t="s">
        <v>80</v>
      </c>
      <c r="AS59" t="b">
        <v>1</v>
      </c>
      <c r="AT59" t="s">
        <v>65</v>
      </c>
      <c r="AU59">
        <v>0</v>
      </c>
      <c r="AV59">
        <v>0</v>
      </c>
      <c r="AX59">
        <v>39</v>
      </c>
      <c r="AY59" t="s">
        <v>81</v>
      </c>
      <c r="AZ59" t="s">
        <v>90</v>
      </c>
      <c r="BB59" t="s">
        <v>91</v>
      </c>
      <c r="BC59" t="s">
        <v>92</v>
      </c>
      <c r="BD59" t="b">
        <v>0</v>
      </c>
      <c r="BE59" t="b">
        <v>0</v>
      </c>
      <c r="BF59" t="b">
        <v>0</v>
      </c>
      <c r="BG59" t="b">
        <v>0</v>
      </c>
      <c r="BH59" t="b">
        <v>0</v>
      </c>
      <c r="BI59" t="b">
        <v>0</v>
      </c>
      <c r="BJ59" t="b">
        <v>0</v>
      </c>
      <c r="BK59" t="b">
        <v>0</v>
      </c>
      <c r="BL59" t="b">
        <v>0</v>
      </c>
      <c r="BM59" t="b">
        <v>0</v>
      </c>
      <c r="BN59" t="b">
        <v>0</v>
      </c>
      <c r="BO59" t="b">
        <v>0</v>
      </c>
      <c r="BP59" t="b">
        <v>0</v>
      </c>
      <c r="BR59" t="str">
        <f>IF(M59="PASSED",VLOOKUP(J59,All_Potential!$J$1:$N$500,1,FALSE))</f>
        <v>1.0249</v>
      </c>
    </row>
    <row r="60" spans="1:70" ht="15" customHeight="1" x14ac:dyDescent="0.25">
      <c r="A60">
        <v>21156</v>
      </c>
      <c r="C60">
        <v>0</v>
      </c>
      <c r="D60" t="s">
        <v>65</v>
      </c>
      <c r="E60" t="s">
        <v>66</v>
      </c>
      <c r="F60" t="s">
        <v>84</v>
      </c>
      <c r="G60">
        <v>0</v>
      </c>
      <c r="H60" t="s">
        <v>85</v>
      </c>
      <c r="I60" t="s">
        <v>86</v>
      </c>
      <c r="J60" t="str">
        <f>MID($N60,FIND("1.",$N60),FIND("-",$N60)-FIND("1.",$N60)-1)</f>
        <v>1.0250</v>
      </c>
      <c r="K60" t="str">
        <f>MID($N60,FIND("MSWRK - ",$N60)+8,FIND(":",$N60)-FIND("MSWRK - ",$N60)-8)</f>
        <v>Ensure Point and Print Restrictions</v>
      </c>
      <c r="L60" t="str">
        <f t="shared" si="1"/>
        <v>1.0250 - MSWRK - Ensure Point and Print Restrictions: When updating drivers for an existing connection is set to Enabled: Show warning and elevation prompt</v>
      </c>
      <c r="M60" t="str">
        <f>MID($N60,FIND("[",$N60)+1,FIND("]",$N60)-FIND("[",$N60)-1)</f>
        <v>PASSED</v>
      </c>
      <c r="N60" s="1" t="s">
        <v>232</v>
      </c>
      <c r="O60" t="s">
        <v>67</v>
      </c>
      <c r="R60" t="s">
        <v>68</v>
      </c>
      <c r="T60" t="s">
        <v>69</v>
      </c>
      <c r="U60" t="s">
        <v>70</v>
      </c>
      <c r="W60" t="s">
        <v>71</v>
      </c>
      <c r="X60" s="1" t="s">
        <v>72</v>
      </c>
      <c r="Y60" t="s">
        <v>88</v>
      </c>
      <c r="Z60">
        <v>0</v>
      </c>
      <c r="AA60">
        <v>0</v>
      </c>
      <c r="AD60">
        <v>0</v>
      </c>
      <c r="AE60">
        <v>0</v>
      </c>
      <c r="AH60" t="s">
        <v>73</v>
      </c>
      <c r="AI60" t="s">
        <v>74</v>
      </c>
      <c r="AJ60" t="s">
        <v>75</v>
      </c>
      <c r="AK60" t="s">
        <v>76</v>
      </c>
      <c r="AN60" t="s">
        <v>77</v>
      </c>
      <c r="AO60" t="s">
        <v>78</v>
      </c>
      <c r="AP60" t="s">
        <v>233</v>
      </c>
      <c r="AQ60" t="s">
        <v>80</v>
      </c>
      <c r="AS60" t="b">
        <v>1</v>
      </c>
      <c r="AT60" t="s">
        <v>65</v>
      </c>
      <c r="AU60">
        <v>0</v>
      </c>
      <c r="AV60">
        <v>0</v>
      </c>
      <c r="AX60">
        <v>39</v>
      </c>
      <c r="AY60" t="s">
        <v>81</v>
      </c>
      <c r="AZ60" t="s">
        <v>90</v>
      </c>
      <c r="BB60" t="s">
        <v>91</v>
      </c>
      <c r="BC60" t="s">
        <v>92</v>
      </c>
      <c r="BD60" t="b">
        <v>0</v>
      </c>
      <c r="BE60" t="b">
        <v>0</v>
      </c>
      <c r="BF60" t="b">
        <v>0</v>
      </c>
      <c r="BG60" t="b">
        <v>0</v>
      </c>
      <c r="BH60" t="b">
        <v>0</v>
      </c>
      <c r="BI60" t="b">
        <v>0</v>
      </c>
      <c r="BJ60" t="b">
        <v>0</v>
      </c>
      <c r="BK60" t="b">
        <v>0</v>
      </c>
      <c r="BL60" t="b">
        <v>0</v>
      </c>
      <c r="BM60" t="b">
        <v>0</v>
      </c>
      <c r="BN60" t="b">
        <v>0</v>
      </c>
      <c r="BO60" t="b">
        <v>0</v>
      </c>
      <c r="BP60" t="b">
        <v>0</v>
      </c>
      <c r="BR60" t="str">
        <f>IF(M60="PASSED",VLOOKUP(J60,All_Potential!$J$1:$N$500,1,FALSE))</f>
        <v>1.0250</v>
      </c>
    </row>
    <row r="61" spans="1:70" ht="15" customHeight="1" x14ac:dyDescent="0.25">
      <c r="A61">
        <v>21156</v>
      </c>
      <c r="C61">
        <v>0</v>
      </c>
      <c r="D61" t="s">
        <v>65</v>
      </c>
      <c r="E61" t="s">
        <v>66</v>
      </c>
      <c r="F61" t="s">
        <v>84</v>
      </c>
      <c r="G61">
        <v>0</v>
      </c>
      <c r="H61" t="s">
        <v>85</v>
      </c>
      <c r="I61" t="s">
        <v>86</v>
      </c>
      <c r="J61" t="str">
        <f>MID($N61,FIND("1.",$N61),FIND("-",$N61)-FIND("1.",$N61)-1)</f>
        <v>1.0283</v>
      </c>
      <c r="K61" t="str">
        <f>MID($N61,FIND("MSWRK - ",$N61)+8,FIND(":",$N61)-FIND("MSWRK - ",$N61)-8)</f>
        <v>Ensure Turn on convenience PIN sign-in is set to Disabled</v>
      </c>
      <c r="L61" t="str">
        <f t="shared" si="1"/>
        <v>1.0283 - MSWRK - Ensure Turn on convenience PIN sign-in is set to Disabled</v>
      </c>
      <c r="M61" t="str">
        <f>MID($N61,FIND("[",$N61)+1,FIND("]",$N61)-FIND("[",$N61)-1)</f>
        <v>PASSED</v>
      </c>
      <c r="N61" s="1" t="s">
        <v>293</v>
      </c>
      <c r="O61" t="s">
        <v>67</v>
      </c>
      <c r="R61" t="s">
        <v>68</v>
      </c>
      <c r="T61" t="s">
        <v>69</v>
      </c>
      <c r="U61" t="s">
        <v>70</v>
      </c>
      <c r="W61" t="s">
        <v>71</v>
      </c>
      <c r="X61" s="1" t="s">
        <v>72</v>
      </c>
      <c r="Y61" t="s">
        <v>88</v>
      </c>
      <c r="Z61">
        <v>0</v>
      </c>
      <c r="AA61">
        <v>0</v>
      </c>
      <c r="AD61">
        <v>0</v>
      </c>
      <c r="AE61">
        <v>0</v>
      </c>
      <c r="AH61" t="s">
        <v>73</v>
      </c>
      <c r="AI61" t="s">
        <v>74</v>
      </c>
      <c r="AJ61" t="s">
        <v>75</v>
      </c>
      <c r="AK61" t="s">
        <v>76</v>
      </c>
      <c r="AN61" t="s">
        <v>77</v>
      </c>
      <c r="AO61" t="s">
        <v>78</v>
      </c>
      <c r="AP61" t="s">
        <v>292</v>
      </c>
      <c r="AQ61" t="s">
        <v>80</v>
      </c>
      <c r="AS61" t="b">
        <v>1</v>
      </c>
      <c r="AT61" t="s">
        <v>65</v>
      </c>
      <c r="AU61">
        <v>0</v>
      </c>
      <c r="AV61">
        <v>0</v>
      </c>
      <c r="AX61">
        <v>39</v>
      </c>
      <c r="AY61" t="s">
        <v>81</v>
      </c>
      <c r="AZ61" t="s">
        <v>90</v>
      </c>
      <c r="BB61" t="s">
        <v>91</v>
      </c>
      <c r="BC61" t="s">
        <v>92</v>
      </c>
      <c r="BD61" t="b">
        <v>0</v>
      </c>
      <c r="BE61" t="b">
        <v>0</v>
      </c>
      <c r="BF61" t="b">
        <v>0</v>
      </c>
      <c r="BG61" t="b">
        <v>0</v>
      </c>
      <c r="BH61" t="b">
        <v>0</v>
      </c>
      <c r="BI61" t="b">
        <v>0</v>
      </c>
      <c r="BJ61" t="b">
        <v>0</v>
      </c>
      <c r="BK61" t="b">
        <v>0</v>
      </c>
      <c r="BL61" t="b">
        <v>0</v>
      </c>
      <c r="BM61" t="b">
        <v>0</v>
      </c>
      <c r="BN61" t="b">
        <v>0</v>
      </c>
      <c r="BO61" t="b">
        <v>0</v>
      </c>
      <c r="BP61" t="b">
        <v>0</v>
      </c>
      <c r="BR61" t="str">
        <f>IF(M61="PASSED",VLOOKUP(J61,All_Potential!$J$1:$N$500,1,FALSE))</f>
        <v>1.0283</v>
      </c>
    </row>
    <row r="62" spans="1:70" ht="15" customHeight="1" x14ac:dyDescent="0.25">
      <c r="A62">
        <v>21156</v>
      </c>
      <c r="C62">
        <v>0</v>
      </c>
      <c r="D62" t="s">
        <v>83</v>
      </c>
      <c r="E62" t="s">
        <v>66</v>
      </c>
      <c r="F62" t="s">
        <v>84</v>
      </c>
      <c r="G62">
        <v>0</v>
      </c>
      <c r="H62" t="s">
        <v>85</v>
      </c>
      <c r="I62" t="s">
        <v>86</v>
      </c>
      <c r="J62" t="str">
        <f>MID($N62,FIND("1.",$N62),FIND("-",$N62)-FIND("1.",$N62)-1)</f>
        <v>1.0286</v>
      </c>
      <c r="K62" t="str">
        <f>MID($N62,FIND("MSWRK - ",$N62)+8,FIND(":",$N62)-FIND("MSWRK - ",$N62)-8)</f>
        <v>Ensure Allow network connectivity during connected-standby (on battery) is set to Disabled - F15576e8-98b7-4186-b944-eafa664402d9</v>
      </c>
      <c r="L62" t="str">
        <f t="shared" si="1"/>
        <v>1.0286 - MSWRK - Ensure Allow network connectivity during connected-standby (on battery) is set to Disabled - F15576e8-98b7-4186-b944-eafa664402d9</v>
      </c>
      <c r="M62" t="str">
        <f>MID($N62,FIND("[",$N62)+1,FIND("]",$N62)-FIND("[",$N62)-1)</f>
        <v>FAILED</v>
      </c>
      <c r="N62" s="1" t="s">
        <v>256</v>
      </c>
      <c r="O62" t="s">
        <v>67</v>
      </c>
      <c r="R62" t="s">
        <v>68</v>
      </c>
      <c r="T62" t="s">
        <v>69</v>
      </c>
      <c r="U62" t="s">
        <v>70</v>
      </c>
      <c r="W62" t="s">
        <v>71</v>
      </c>
      <c r="X62" s="1" t="s">
        <v>72</v>
      </c>
      <c r="Y62" t="s">
        <v>88</v>
      </c>
      <c r="Z62">
        <v>0</v>
      </c>
      <c r="AA62">
        <v>0</v>
      </c>
      <c r="AD62">
        <v>0</v>
      </c>
      <c r="AE62">
        <v>0</v>
      </c>
      <c r="AH62" t="s">
        <v>73</v>
      </c>
      <c r="AI62" t="s">
        <v>74</v>
      </c>
      <c r="AJ62" t="s">
        <v>75</v>
      </c>
      <c r="AK62" t="s">
        <v>76</v>
      </c>
      <c r="AN62" t="s">
        <v>77</v>
      </c>
      <c r="AO62" t="s">
        <v>78</v>
      </c>
      <c r="AP62" t="s">
        <v>254</v>
      </c>
      <c r="AQ62" t="s">
        <v>80</v>
      </c>
      <c r="AS62" t="b">
        <v>1</v>
      </c>
      <c r="AT62" t="s">
        <v>65</v>
      </c>
      <c r="AU62">
        <v>0</v>
      </c>
      <c r="AV62">
        <v>0</v>
      </c>
      <c r="AX62">
        <v>39</v>
      </c>
      <c r="AY62" t="s">
        <v>81</v>
      </c>
      <c r="AZ62" t="s">
        <v>90</v>
      </c>
      <c r="BB62" t="s">
        <v>91</v>
      </c>
      <c r="BC62" t="s">
        <v>92</v>
      </c>
      <c r="BD62" t="b">
        <v>0</v>
      </c>
      <c r="BE62" t="b">
        <v>0</v>
      </c>
      <c r="BF62" t="b">
        <v>0</v>
      </c>
      <c r="BG62" t="b">
        <v>0</v>
      </c>
      <c r="BH62" t="b">
        <v>0</v>
      </c>
      <c r="BI62" t="b">
        <v>0</v>
      </c>
      <c r="BJ62" t="b">
        <v>0</v>
      </c>
      <c r="BK62" t="b">
        <v>0</v>
      </c>
      <c r="BL62" t="b">
        <v>0</v>
      </c>
      <c r="BM62" t="b">
        <v>0</v>
      </c>
      <c r="BN62" t="b">
        <v>0</v>
      </c>
      <c r="BO62" t="b">
        <v>0</v>
      </c>
      <c r="BP62" t="b">
        <v>0</v>
      </c>
      <c r="BR62" t="b">
        <f>IF(M62="PASSED",VLOOKUP(J62,All_Potential!$J$1:$N$500,1,FALSE))</f>
        <v>0</v>
      </c>
    </row>
    <row r="63" spans="1:70" ht="15" customHeight="1" x14ac:dyDescent="0.25">
      <c r="A63">
        <v>21156</v>
      </c>
      <c r="C63">
        <v>0</v>
      </c>
      <c r="D63" t="s">
        <v>83</v>
      </c>
      <c r="E63" t="s">
        <v>66</v>
      </c>
      <c r="F63" t="s">
        <v>84</v>
      </c>
      <c r="G63">
        <v>0</v>
      </c>
      <c r="H63" t="s">
        <v>85</v>
      </c>
      <c r="I63" t="s">
        <v>86</v>
      </c>
      <c r="J63" t="str">
        <f>MID($N63,FIND("1.",$N63),FIND("-",$N63)-FIND("1.",$N63)-1)</f>
        <v>1.0287</v>
      </c>
      <c r="K63" t="str">
        <f>MID($N63,FIND("MSWRK - ",$N63)+8,FIND(":",$N63)-FIND("MSWRK - ",$N63)-8)</f>
        <v>Ensure Allow network connectivity during connected-standby (plugged in) is set to Disabled - F15576e8-98b7-4186-b944-eafa664402d9</v>
      </c>
      <c r="L63" t="str">
        <f t="shared" si="1"/>
        <v>1.0287 - MSWRK - Ensure Allow network connectivity during connected-standby (plugged in) is set to Disabled - F15576e8-98b7-4186-b944-eafa664402d9</v>
      </c>
      <c r="M63" t="str">
        <f>MID($N63,FIND("[",$N63)+1,FIND("]",$N63)-FIND("[",$N63)-1)</f>
        <v>FAILED</v>
      </c>
      <c r="N63" s="1" t="s">
        <v>280</v>
      </c>
      <c r="O63" t="s">
        <v>67</v>
      </c>
      <c r="R63" t="s">
        <v>68</v>
      </c>
      <c r="T63" t="s">
        <v>69</v>
      </c>
      <c r="U63" t="s">
        <v>70</v>
      </c>
      <c r="W63" t="s">
        <v>71</v>
      </c>
      <c r="X63" s="1" t="s">
        <v>72</v>
      </c>
      <c r="Y63" t="s">
        <v>88</v>
      </c>
      <c r="Z63">
        <v>0</v>
      </c>
      <c r="AA63">
        <v>0</v>
      </c>
      <c r="AD63">
        <v>0</v>
      </c>
      <c r="AE63">
        <v>0</v>
      </c>
      <c r="AH63" t="s">
        <v>73</v>
      </c>
      <c r="AI63" t="s">
        <v>74</v>
      </c>
      <c r="AJ63" t="s">
        <v>75</v>
      </c>
      <c r="AK63" t="s">
        <v>76</v>
      </c>
      <c r="AN63" t="s">
        <v>77</v>
      </c>
      <c r="AO63" t="s">
        <v>78</v>
      </c>
      <c r="AP63" t="s">
        <v>279</v>
      </c>
      <c r="AQ63" t="s">
        <v>80</v>
      </c>
      <c r="AS63" t="b">
        <v>1</v>
      </c>
      <c r="AT63" t="s">
        <v>65</v>
      </c>
      <c r="AU63">
        <v>0</v>
      </c>
      <c r="AV63">
        <v>0</v>
      </c>
      <c r="AX63">
        <v>39</v>
      </c>
      <c r="AY63" t="s">
        <v>81</v>
      </c>
      <c r="AZ63" t="s">
        <v>90</v>
      </c>
      <c r="BB63" t="s">
        <v>91</v>
      </c>
      <c r="BC63" t="s">
        <v>92</v>
      </c>
      <c r="BD63" t="b">
        <v>0</v>
      </c>
      <c r="BE63" t="b">
        <v>0</v>
      </c>
      <c r="BF63" t="b">
        <v>0</v>
      </c>
      <c r="BG63" t="b">
        <v>0</v>
      </c>
      <c r="BH63" t="b">
        <v>0</v>
      </c>
      <c r="BI63" t="b">
        <v>0</v>
      </c>
      <c r="BJ63" t="b">
        <v>0</v>
      </c>
      <c r="BK63" t="b">
        <v>0</v>
      </c>
      <c r="BL63" t="b">
        <v>0</v>
      </c>
      <c r="BM63" t="b">
        <v>0</v>
      </c>
      <c r="BN63" t="b">
        <v>0</v>
      </c>
      <c r="BO63" t="b">
        <v>0</v>
      </c>
      <c r="BP63" t="b">
        <v>0</v>
      </c>
      <c r="BR63" t="b">
        <f>IF(M63="PASSED",VLOOKUP(J63,All_Potential!$J$1:$N$500,1,FALSE))</f>
        <v>0</v>
      </c>
    </row>
    <row r="64" spans="1:70" ht="15" customHeight="1" x14ac:dyDescent="0.25">
      <c r="A64">
        <v>21156</v>
      </c>
      <c r="C64">
        <v>0</v>
      </c>
      <c r="D64" t="s">
        <v>65</v>
      </c>
      <c r="E64" t="s">
        <v>66</v>
      </c>
      <c r="F64" t="s">
        <v>84</v>
      </c>
      <c r="G64">
        <v>0</v>
      </c>
      <c r="H64" t="s">
        <v>85</v>
      </c>
      <c r="I64" t="s">
        <v>86</v>
      </c>
      <c r="J64" t="str">
        <f>MID($N64,FIND("1.",$N64),FIND("-",$N64)-FIND("1.",$N64)-1)</f>
        <v>1.0293</v>
      </c>
      <c r="K64" t="str">
        <f>MID($N64,FIND("MSWRK - ",$N64)+8,FIND(":",$N64)-FIND("MSWRK - ",$N64)-8)</f>
        <v>Ensure Configure Solicited Remote Assistance is set to Disabled</v>
      </c>
      <c r="L64" t="str">
        <f t="shared" si="1"/>
        <v>1.0293 - MSWRK - Ensure Configure Solicited Remote Assistance is set to Disabled</v>
      </c>
      <c r="M64" t="str">
        <f>MID($N64,FIND("[",$N64)+1,FIND("]",$N64)-FIND("[",$N64)-1)</f>
        <v>PASSED</v>
      </c>
      <c r="N64" s="1" t="s">
        <v>122</v>
      </c>
      <c r="O64" t="s">
        <v>67</v>
      </c>
      <c r="R64" t="s">
        <v>68</v>
      </c>
      <c r="T64" t="s">
        <v>69</v>
      </c>
      <c r="U64" t="s">
        <v>70</v>
      </c>
      <c r="W64" t="s">
        <v>71</v>
      </c>
      <c r="X64" s="1" t="s">
        <v>72</v>
      </c>
      <c r="Y64" t="s">
        <v>88</v>
      </c>
      <c r="Z64">
        <v>0</v>
      </c>
      <c r="AA64">
        <v>0</v>
      </c>
      <c r="AD64">
        <v>0</v>
      </c>
      <c r="AE64">
        <v>0</v>
      </c>
      <c r="AH64" t="s">
        <v>73</v>
      </c>
      <c r="AI64" t="s">
        <v>74</v>
      </c>
      <c r="AJ64" t="s">
        <v>75</v>
      </c>
      <c r="AK64" t="s">
        <v>76</v>
      </c>
      <c r="AN64" t="s">
        <v>77</v>
      </c>
      <c r="AO64" t="s">
        <v>78</v>
      </c>
      <c r="AP64" t="s">
        <v>123</v>
      </c>
      <c r="AQ64" t="s">
        <v>80</v>
      </c>
      <c r="AS64" t="b">
        <v>1</v>
      </c>
      <c r="AT64" t="s">
        <v>65</v>
      </c>
      <c r="AU64">
        <v>0</v>
      </c>
      <c r="AV64">
        <v>0</v>
      </c>
      <c r="AX64">
        <v>39</v>
      </c>
      <c r="AY64" t="s">
        <v>81</v>
      </c>
      <c r="AZ64" t="s">
        <v>90</v>
      </c>
      <c r="BB64" t="s">
        <v>91</v>
      </c>
      <c r="BC64" t="s">
        <v>92</v>
      </c>
      <c r="BD64" t="b">
        <v>0</v>
      </c>
      <c r="BE64" t="b">
        <v>0</v>
      </c>
      <c r="BF64" t="b">
        <v>0</v>
      </c>
      <c r="BG64" t="b">
        <v>0</v>
      </c>
      <c r="BH64" t="b">
        <v>0</v>
      </c>
      <c r="BI64" t="b">
        <v>0</v>
      </c>
      <c r="BJ64" t="b">
        <v>0</v>
      </c>
      <c r="BK64" t="b">
        <v>0</v>
      </c>
      <c r="BL64" t="b">
        <v>0</v>
      </c>
      <c r="BM64" t="b">
        <v>0</v>
      </c>
      <c r="BN64" t="b">
        <v>0</v>
      </c>
      <c r="BO64" t="b">
        <v>0</v>
      </c>
      <c r="BP64" t="b">
        <v>0</v>
      </c>
      <c r="BR64" t="str">
        <f>IF(M64="PASSED",VLOOKUP(J64,All_Potential!$J$1:$N$500,1,FALSE))</f>
        <v>1.0293</v>
      </c>
    </row>
    <row r="65" spans="1:70" ht="15" customHeight="1" x14ac:dyDescent="0.25">
      <c r="A65">
        <v>21156</v>
      </c>
      <c r="C65">
        <v>0</v>
      </c>
      <c r="D65" t="s">
        <v>65</v>
      </c>
      <c r="E65" t="s">
        <v>66</v>
      </c>
      <c r="F65" t="s">
        <v>84</v>
      </c>
      <c r="G65">
        <v>0</v>
      </c>
      <c r="H65" t="s">
        <v>85</v>
      </c>
      <c r="I65" t="s">
        <v>86</v>
      </c>
      <c r="J65" t="str">
        <f>MID($N65,FIND("1.",$N65),FIND("-",$N65)-FIND("1.",$N65)-1)</f>
        <v>1.0299</v>
      </c>
      <c r="K65" t="str">
        <f>MID($N65,FIND("MSWRK - ",$N65)+8,FIND(":",$N65)-FIND("MSWRK - ",$N65)-8)</f>
        <v>Ensure Turn On Virtualization Based Security is set to Enabled</v>
      </c>
      <c r="L65" t="str">
        <f t="shared" si="1"/>
        <v>1.0299 - MSWRK - Ensure Turn On Virtualization Based Security is set to Enabled</v>
      </c>
      <c r="M65" t="str">
        <f>MID($N65,FIND("[",$N65)+1,FIND("]",$N65)-FIND("[",$N65)-1)</f>
        <v>PASSED</v>
      </c>
      <c r="N65" s="1" t="s">
        <v>287</v>
      </c>
      <c r="O65" t="s">
        <v>67</v>
      </c>
      <c r="R65" t="s">
        <v>68</v>
      </c>
      <c r="T65" t="s">
        <v>69</v>
      </c>
      <c r="U65" t="s">
        <v>70</v>
      </c>
      <c r="W65" t="s">
        <v>71</v>
      </c>
      <c r="X65" s="1" t="s">
        <v>72</v>
      </c>
      <c r="Y65" t="s">
        <v>88</v>
      </c>
      <c r="Z65">
        <v>0</v>
      </c>
      <c r="AA65">
        <v>0</v>
      </c>
      <c r="AD65">
        <v>0</v>
      </c>
      <c r="AE65">
        <v>0</v>
      </c>
      <c r="AH65" t="s">
        <v>73</v>
      </c>
      <c r="AI65" t="s">
        <v>74</v>
      </c>
      <c r="AJ65" t="s">
        <v>75</v>
      </c>
      <c r="AK65" t="s">
        <v>76</v>
      </c>
      <c r="AN65" t="s">
        <v>77</v>
      </c>
      <c r="AO65" t="s">
        <v>78</v>
      </c>
      <c r="AP65" t="s">
        <v>288</v>
      </c>
      <c r="AQ65" t="s">
        <v>80</v>
      </c>
      <c r="AS65" t="b">
        <v>1</v>
      </c>
      <c r="AT65" t="s">
        <v>65</v>
      </c>
      <c r="AU65">
        <v>0</v>
      </c>
      <c r="AV65">
        <v>0</v>
      </c>
      <c r="AX65">
        <v>39</v>
      </c>
      <c r="AY65" t="s">
        <v>81</v>
      </c>
      <c r="AZ65" t="s">
        <v>90</v>
      </c>
      <c r="BB65" t="s">
        <v>91</v>
      </c>
      <c r="BC65" t="s">
        <v>92</v>
      </c>
      <c r="BD65" t="b">
        <v>0</v>
      </c>
      <c r="BE65" t="b">
        <v>0</v>
      </c>
      <c r="BF65" t="b">
        <v>0</v>
      </c>
      <c r="BG65" t="b">
        <v>0</v>
      </c>
      <c r="BH65" t="b">
        <v>0</v>
      </c>
      <c r="BI65" t="b">
        <v>0</v>
      </c>
      <c r="BJ65" t="b">
        <v>0</v>
      </c>
      <c r="BK65" t="b">
        <v>0</v>
      </c>
      <c r="BL65" t="b">
        <v>0</v>
      </c>
      <c r="BM65" t="b">
        <v>0</v>
      </c>
      <c r="BN65" t="b">
        <v>0</v>
      </c>
      <c r="BO65" t="b">
        <v>0</v>
      </c>
      <c r="BP65" t="b">
        <v>0</v>
      </c>
      <c r="BR65" t="str">
        <f>IF(M65="PASSED",VLOOKUP(J65,All_Potential!$J$1:$N$500,1,FALSE))</f>
        <v>1.0299</v>
      </c>
    </row>
    <row r="66" spans="1:70" ht="15" customHeight="1" x14ac:dyDescent="0.25">
      <c r="A66">
        <v>21156</v>
      </c>
      <c r="C66">
        <v>0</v>
      </c>
      <c r="D66" t="s">
        <v>65</v>
      </c>
      <c r="E66" t="s">
        <v>66</v>
      </c>
      <c r="F66" t="s">
        <v>84</v>
      </c>
      <c r="G66">
        <v>0</v>
      </c>
      <c r="H66" t="s">
        <v>85</v>
      </c>
      <c r="I66" t="s">
        <v>86</v>
      </c>
      <c r="J66" t="str">
        <f>MID($N66,FIND("1.",$N66),FIND("-",$N66)-FIND("1.",$N66)-1)</f>
        <v>1.0300</v>
      </c>
      <c r="K66" t="str">
        <f>MID($N66,FIND("MSWRK - ",$N66)+8,FIND(":",$N66)-FIND("MSWRK - ",$N66)-8)</f>
        <v>Ensure Turn On Virtualization Based Security</v>
      </c>
      <c r="L66" t="str">
        <f t="shared" si="1"/>
        <v>1.0300 - MSWRK - Ensure Turn On Virtualization Based Security: Select Platform Security Level is set to Secure Boot or higher</v>
      </c>
      <c r="M66" t="str">
        <f>MID($N66,FIND("[",$N66)+1,FIND("]",$N66)-FIND("[",$N66)-1)</f>
        <v>PASSED</v>
      </c>
      <c r="N66" s="1" t="s">
        <v>305</v>
      </c>
      <c r="O66" t="s">
        <v>67</v>
      </c>
      <c r="R66" t="s">
        <v>68</v>
      </c>
      <c r="T66" t="s">
        <v>69</v>
      </c>
      <c r="U66" t="s">
        <v>70</v>
      </c>
      <c r="W66" t="s">
        <v>71</v>
      </c>
      <c r="X66" s="1" t="s">
        <v>72</v>
      </c>
      <c r="Y66" t="s">
        <v>88</v>
      </c>
      <c r="Z66">
        <v>0</v>
      </c>
      <c r="AA66">
        <v>0</v>
      </c>
      <c r="AD66">
        <v>0</v>
      </c>
      <c r="AE66">
        <v>0</v>
      </c>
      <c r="AH66" t="s">
        <v>73</v>
      </c>
      <c r="AI66" t="s">
        <v>74</v>
      </c>
      <c r="AJ66" t="s">
        <v>75</v>
      </c>
      <c r="AK66" t="s">
        <v>76</v>
      </c>
      <c r="AN66" t="s">
        <v>77</v>
      </c>
      <c r="AO66" t="s">
        <v>78</v>
      </c>
      <c r="AP66" t="s">
        <v>306</v>
      </c>
      <c r="AQ66" t="s">
        <v>80</v>
      </c>
      <c r="AS66" t="b">
        <v>1</v>
      </c>
      <c r="AT66" t="s">
        <v>65</v>
      </c>
      <c r="AU66">
        <v>0</v>
      </c>
      <c r="AV66">
        <v>0</v>
      </c>
      <c r="AX66">
        <v>39</v>
      </c>
      <c r="AY66" t="s">
        <v>81</v>
      </c>
      <c r="AZ66" t="s">
        <v>90</v>
      </c>
      <c r="BB66" t="s">
        <v>91</v>
      </c>
      <c r="BC66" t="s">
        <v>92</v>
      </c>
      <c r="BD66" t="b">
        <v>0</v>
      </c>
      <c r="BE66" t="b">
        <v>0</v>
      </c>
      <c r="BF66" t="b">
        <v>0</v>
      </c>
      <c r="BG66" t="b">
        <v>0</v>
      </c>
      <c r="BH66" t="b">
        <v>0</v>
      </c>
      <c r="BI66" t="b">
        <v>0</v>
      </c>
      <c r="BJ66" t="b">
        <v>0</v>
      </c>
      <c r="BK66" t="b">
        <v>0</v>
      </c>
      <c r="BL66" t="b">
        <v>0</v>
      </c>
      <c r="BM66" t="b">
        <v>0</v>
      </c>
      <c r="BN66" t="b">
        <v>0</v>
      </c>
      <c r="BO66" t="b">
        <v>0</v>
      </c>
      <c r="BP66" t="b">
        <v>0</v>
      </c>
      <c r="BR66" t="str">
        <f>IF(M66="PASSED",VLOOKUP(J66,All_Potential!$J$1:$N$500,1,FALSE))</f>
        <v>1.0300</v>
      </c>
    </row>
    <row r="67" spans="1:70" ht="15" customHeight="1" x14ac:dyDescent="0.25">
      <c r="A67">
        <v>21156</v>
      </c>
      <c r="C67">
        <v>0</v>
      </c>
      <c r="D67" t="s">
        <v>65</v>
      </c>
      <c r="E67" t="s">
        <v>66</v>
      </c>
      <c r="F67" t="s">
        <v>84</v>
      </c>
      <c r="G67">
        <v>0</v>
      </c>
      <c r="H67" t="s">
        <v>85</v>
      </c>
      <c r="I67" t="s">
        <v>86</v>
      </c>
      <c r="J67" t="str">
        <f>MID($N67,FIND("1.",$N67),FIND("-",$N67)-FIND("1.",$N67)-1)</f>
        <v>1.0320</v>
      </c>
      <c r="K67" t="str">
        <f>MID($N67,FIND("MSWRK - ",$N67)+8,FIND(":",$N67)-FIND("MSWRK - ",$N67)-8)</f>
        <v>Ensure Access Credential Manager as a trusted caller is set to No One</v>
      </c>
      <c r="L67" t="str">
        <f t="shared" si="1"/>
        <v>1.0320 - MSWRK - Ensure Access Credential Manager as a trusted caller is set to No One</v>
      </c>
      <c r="M67" t="str">
        <f>MID($N67,FIND("[",$N67)+1,FIND("]",$N67)-FIND("[",$N67)-1)</f>
        <v>PASSED</v>
      </c>
      <c r="N67" s="1" t="s">
        <v>252</v>
      </c>
      <c r="O67" t="s">
        <v>67</v>
      </c>
      <c r="R67" t="s">
        <v>68</v>
      </c>
      <c r="T67" t="s">
        <v>69</v>
      </c>
      <c r="U67" t="s">
        <v>70</v>
      </c>
      <c r="W67" t="s">
        <v>71</v>
      </c>
      <c r="X67" s="1" t="s">
        <v>72</v>
      </c>
      <c r="Y67" t="s">
        <v>88</v>
      </c>
      <c r="Z67">
        <v>0</v>
      </c>
      <c r="AA67">
        <v>0</v>
      </c>
      <c r="AD67">
        <v>0</v>
      </c>
      <c r="AE67">
        <v>0</v>
      </c>
      <c r="AH67" t="s">
        <v>73</v>
      </c>
      <c r="AI67" t="s">
        <v>74</v>
      </c>
      <c r="AJ67" t="s">
        <v>75</v>
      </c>
      <c r="AK67" t="s">
        <v>76</v>
      </c>
      <c r="AN67" t="s">
        <v>77</v>
      </c>
      <c r="AO67" t="s">
        <v>78</v>
      </c>
      <c r="AP67" t="s">
        <v>250</v>
      </c>
      <c r="AQ67" t="s">
        <v>80</v>
      </c>
      <c r="AS67" t="b">
        <v>1</v>
      </c>
      <c r="AT67" t="s">
        <v>65</v>
      </c>
      <c r="AU67">
        <v>0</v>
      </c>
      <c r="AV67">
        <v>0</v>
      </c>
      <c r="AX67">
        <v>39</v>
      </c>
      <c r="AY67" t="s">
        <v>81</v>
      </c>
      <c r="AZ67" t="s">
        <v>90</v>
      </c>
      <c r="BB67" t="s">
        <v>91</v>
      </c>
      <c r="BC67" t="s">
        <v>92</v>
      </c>
      <c r="BD67" t="b">
        <v>0</v>
      </c>
      <c r="BE67" t="b">
        <v>0</v>
      </c>
      <c r="BF67" t="b">
        <v>0</v>
      </c>
      <c r="BG67" t="b">
        <v>0</v>
      </c>
      <c r="BH67" t="b">
        <v>0</v>
      </c>
      <c r="BI67" t="b">
        <v>0</v>
      </c>
      <c r="BJ67" t="b">
        <v>0</v>
      </c>
      <c r="BK67" t="b">
        <v>0</v>
      </c>
      <c r="BL67" t="b">
        <v>0</v>
      </c>
      <c r="BM67" t="b">
        <v>0</v>
      </c>
      <c r="BN67" t="b">
        <v>0</v>
      </c>
      <c r="BO67" t="b">
        <v>0</v>
      </c>
      <c r="BP67" t="b">
        <v>0</v>
      </c>
      <c r="BR67" t="str">
        <f>IF(M67="PASSED",VLOOKUP(J67,All_Potential!$J$1:$N$500,1,FALSE))</f>
        <v>1.0320</v>
      </c>
    </row>
    <row r="68" spans="1:70" ht="15" customHeight="1" x14ac:dyDescent="0.25">
      <c r="A68">
        <v>21156</v>
      </c>
      <c r="C68">
        <v>0</v>
      </c>
      <c r="D68" t="s">
        <v>65</v>
      </c>
      <c r="E68" t="s">
        <v>66</v>
      </c>
      <c r="F68" t="s">
        <v>84</v>
      </c>
      <c r="G68">
        <v>0</v>
      </c>
      <c r="H68" t="s">
        <v>85</v>
      </c>
      <c r="I68" t="s">
        <v>86</v>
      </c>
      <c r="J68" t="str">
        <f>MID($N68,FIND("1.",$N68),FIND("-",$N68)-FIND("1.",$N68)-1)</f>
        <v>1.0321</v>
      </c>
      <c r="K68" t="str">
        <f>MID($N68,FIND("MSWRK - ",$N68)+8,FIND(":",$N68)-FIND("MSWRK - ",$N68)-8)</f>
        <v>Ensure Create a token object is set to No One</v>
      </c>
      <c r="L68" t="str">
        <f t="shared" si="1"/>
        <v>1.0321 - MSWRK - Ensure Create a token object is set to No One</v>
      </c>
      <c r="M68" t="str">
        <f>MID($N68,FIND("[",$N68)+1,FIND("]",$N68)-FIND("[",$N68)-1)</f>
        <v>PASSED</v>
      </c>
      <c r="N68" s="1" t="s">
        <v>200</v>
      </c>
      <c r="O68" t="s">
        <v>67</v>
      </c>
      <c r="R68" t="s">
        <v>68</v>
      </c>
      <c r="T68" t="s">
        <v>69</v>
      </c>
      <c r="U68" t="s">
        <v>70</v>
      </c>
      <c r="W68" t="s">
        <v>71</v>
      </c>
      <c r="X68" s="1" t="s">
        <v>72</v>
      </c>
      <c r="Y68" t="s">
        <v>88</v>
      </c>
      <c r="Z68">
        <v>0</v>
      </c>
      <c r="AA68">
        <v>0</v>
      </c>
      <c r="AD68">
        <v>0</v>
      </c>
      <c r="AE68">
        <v>0</v>
      </c>
      <c r="AH68" t="s">
        <v>73</v>
      </c>
      <c r="AI68" t="s">
        <v>74</v>
      </c>
      <c r="AJ68" t="s">
        <v>75</v>
      </c>
      <c r="AK68" t="s">
        <v>76</v>
      </c>
      <c r="AN68" t="s">
        <v>77</v>
      </c>
      <c r="AO68" t="s">
        <v>78</v>
      </c>
      <c r="AP68" t="s">
        <v>199</v>
      </c>
      <c r="AQ68" t="s">
        <v>80</v>
      </c>
      <c r="AS68" t="b">
        <v>1</v>
      </c>
      <c r="AT68" t="s">
        <v>65</v>
      </c>
      <c r="AU68">
        <v>0</v>
      </c>
      <c r="AV68">
        <v>0</v>
      </c>
      <c r="AX68">
        <v>39</v>
      </c>
      <c r="AY68" t="s">
        <v>81</v>
      </c>
      <c r="AZ68" t="s">
        <v>90</v>
      </c>
      <c r="BB68" t="s">
        <v>91</v>
      </c>
      <c r="BC68" t="s">
        <v>92</v>
      </c>
      <c r="BD68" t="b">
        <v>0</v>
      </c>
      <c r="BE68" t="b">
        <v>0</v>
      </c>
      <c r="BF68" t="b">
        <v>0</v>
      </c>
      <c r="BG68" t="b">
        <v>0</v>
      </c>
      <c r="BH68" t="b">
        <v>0</v>
      </c>
      <c r="BI68" t="b">
        <v>0</v>
      </c>
      <c r="BJ68" t="b">
        <v>0</v>
      </c>
      <c r="BK68" t="b">
        <v>0</v>
      </c>
      <c r="BL68" t="b">
        <v>0</v>
      </c>
      <c r="BM68" t="b">
        <v>0</v>
      </c>
      <c r="BN68" t="b">
        <v>0</v>
      </c>
      <c r="BO68" t="b">
        <v>0</v>
      </c>
      <c r="BP68" t="b">
        <v>0</v>
      </c>
      <c r="BR68" t="str">
        <f>IF(M68="PASSED",VLOOKUP(J68,All_Potential!$J$1:$N$500,1,FALSE))</f>
        <v>1.0321</v>
      </c>
    </row>
    <row r="69" spans="1:70" ht="15" customHeight="1" x14ac:dyDescent="0.25">
      <c r="A69">
        <v>21156</v>
      </c>
      <c r="C69">
        <v>0</v>
      </c>
      <c r="D69" t="s">
        <v>83</v>
      </c>
      <c r="E69" t="s">
        <v>66</v>
      </c>
      <c r="F69" t="s">
        <v>84</v>
      </c>
      <c r="G69">
        <v>0</v>
      </c>
      <c r="H69" t="s">
        <v>85</v>
      </c>
      <c r="I69" t="s">
        <v>86</v>
      </c>
      <c r="J69" t="str">
        <f>MID($N69,FIND("1.",$N69),FIND("-",$N69)-FIND("1.",$N69)-1)</f>
        <v>1.0322</v>
      </c>
      <c r="K69" t="str">
        <f>MID($N69,FIND("MSWRK - ",$N69)+8,FIND(":",$N69)-FIND("MSWRK - ",$N69)-8)</f>
        <v>Ensure Create global objects is set to Administrators, LOCAL SERVICE, NETWORK SERVICE, SERVICE</v>
      </c>
      <c r="L69" t="str">
        <f t="shared" si="1"/>
        <v>1.0322 - MSWRK - Ensure Create global objects is set to Administrators, LOCAL SERVICE, NETWORK SERVICE, SERVICE</v>
      </c>
      <c r="M69" t="str">
        <f>MID($N69,FIND("[",$N69)+1,FIND("]",$N69)-FIND("[",$N69)-1)</f>
        <v>FAILED</v>
      </c>
      <c r="N69" s="1" t="s">
        <v>239</v>
      </c>
      <c r="O69" t="s">
        <v>67</v>
      </c>
      <c r="R69" t="s">
        <v>68</v>
      </c>
      <c r="T69" t="s">
        <v>69</v>
      </c>
      <c r="U69" t="s">
        <v>70</v>
      </c>
      <c r="W69" t="s">
        <v>71</v>
      </c>
      <c r="X69" s="1" t="s">
        <v>72</v>
      </c>
      <c r="Y69" t="s">
        <v>88</v>
      </c>
      <c r="Z69">
        <v>0</v>
      </c>
      <c r="AA69">
        <v>0</v>
      </c>
      <c r="AD69">
        <v>0</v>
      </c>
      <c r="AE69">
        <v>0</v>
      </c>
      <c r="AH69" t="s">
        <v>73</v>
      </c>
      <c r="AI69" t="s">
        <v>74</v>
      </c>
      <c r="AJ69" t="s">
        <v>75</v>
      </c>
      <c r="AK69" t="s">
        <v>76</v>
      </c>
      <c r="AN69" t="s">
        <v>77</v>
      </c>
      <c r="AO69" t="s">
        <v>78</v>
      </c>
      <c r="AP69" t="s">
        <v>237</v>
      </c>
      <c r="AQ69" t="s">
        <v>80</v>
      </c>
      <c r="AS69" t="b">
        <v>1</v>
      </c>
      <c r="AT69" t="s">
        <v>65</v>
      </c>
      <c r="AU69">
        <v>0</v>
      </c>
      <c r="AV69">
        <v>0</v>
      </c>
      <c r="AX69">
        <v>39</v>
      </c>
      <c r="AY69" t="s">
        <v>81</v>
      </c>
      <c r="AZ69" t="s">
        <v>90</v>
      </c>
      <c r="BB69" t="s">
        <v>91</v>
      </c>
      <c r="BC69" t="s">
        <v>92</v>
      </c>
      <c r="BD69" t="b">
        <v>0</v>
      </c>
      <c r="BE69" t="b">
        <v>0</v>
      </c>
      <c r="BF69" t="b">
        <v>0</v>
      </c>
      <c r="BG69" t="b">
        <v>0</v>
      </c>
      <c r="BH69" t="b">
        <v>0</v>
      </c>
      <c r="BI69" t="b">
        <v>0</v>
      </c>
      <c r="BJ69" t="b">
        <v>0</v>
      </c>
      <c r="BK69" t="b">
        <v>0</v>
      </c>
      <c r="BL69" t="b">
        <v>0</v>
      </c>
      <c r="BM69" t="b">
        <v>0</v>
      </c>
      <c r="BN69" t="b">
        <v>0</v>
      </c>
      <c r="BO69" t="b">
        <v>0</v>
      </c>
      <c r="BP69" t="b">
        <v>0</v>
      </c>
      <c r="BR69" t="b">
        <f>IF(M69="PASSED",VLOOKUP(J69,All_Potential!$J$1:$N$500,1,FALSE))</f>
        <v>0</v>
      </c>
    </row>
    <row r="70" spans="1:70" ht="15" customHeight="1" x14ac:dyDescent="0.25">
      <c r="A70">
        <v>21156</v>
      </c>
      <c r="C70">
        <v>0</v>
      </c>
      <c r="D70" t="s">
        <v>65</v>
      </c>
      <c r="E70" t="s">
        <v>66</v>
      </c>
      <c r="F70" t="s">
        <v>84</v>
      </c>
      <c r="G70">
        <v>0</v>
      </c>
      <c r="H70" t="s">
        <v>85</v>
      </c>
      <c r="I70" t="s">
        <v>86</v>
      </c>
      <c r="J70" t="str">
        <f>MID($N70,FIND("1.",$N70),FIND("-",$N70)-FIND("1.",$N70)-1)</f>
        <v>1.0323</v>
      </c>
      <c r="K70" t="str">
        <f>MID($N70,FIND("MSWRK - ",$N70)+8,FIND(":",$N70)-FIND("MSWRK - ",$N70)-8)</f>
        <v>Ensure Create permanent shared objects is set to No One</v>
      </c>
      <c r="L70" t="str">
        <f t="shared" si="1"/>
        <v>1.0323 - MSWRK - Ensure Create permanent shared objects is set to No One</v>
      </c>
      <c r="M70" t="str">
        <f>MID($N70,FIND("[",$N70)+1,FIND("]",$N70)-FIND("[",$N70)-1)</f>
        <v>PASSED</v>
      </c>
      <c r="N70" s="1" t="s">
        <v>166</v>
      </c>
      <c r="O70" t="s">
        <v>67</v>
      </c>
      <c r="R70" t="s">
        <v>68</v>
      </c>
      <c r="T70" t="s">
        <v>69</v>
      </c>
      <c r="U70" t="s">
        <v>70</v>
      </c>
      <c r="W70" t="s">
        <v>71</v>
      </c>
      <c r="X70" s="1" t="s">
        <v>72</v>
      </c>
      <c r="Y70" t="s">
        <v>88</v>
      </c>
      <c r="Z70">
        <v>0</v>
      </c>
      <c r="AA70">
        <v>0</v>
      </c>
      <c r="AD70">
        <v>0</v>
      </c>
      <c r="AE70">
        <v>0</v>
      </c>
      <c r="AH70" t="s">
        <v>73</v>
      </c>
      <c r="AI70" t="s">
        <v>74</v>
      </c>
      <c r="AJ70" t="s">
        <v>75</v>
      </c>
      <c r="AK70" t="s">
        <v>76</v>
      </c>
      <c r="AN70" t="s">
        <v>77</v>
      </c>
      <c r="AO70" t="s">
        <v>78</v>
      </c>
      <c r="AP70" t="s">
        <v>165</v>
      </c>
      <c r="AQ70" t="s">
        <v>80</v>
      </c>
      <c r="AS70" t="b">
        <v>1</v>
      </c>
      <c r="AT70" t="s">
        <v>65</v>
      </c>
      <c r="AU70">
        <v>0</v>
      </c>
      <c r="AV70">
        <v>0</v>
      </c>
      <c r="AX70">
        <v>39</v>
      </c>
      <c r="AY70" t="s">
        <v>81</v>
      </c>
      <c r="AZ70" t="s">
        <v>90</v>
      </c>
      <c r="BB70" t="s">
        <v>91</v>
      </c>
      <c r="BC70" t="s">
        <v>92</v>
      </c>
      <c r="BD70" t="b">
        <v>0</v>
      </c>
      <c r="BE70" t="b">
        <v>0</v>
      </c>
      <c r="BF70" t="b">
        <v>0</v>
      </c>
      <c r="BG70" t="b">
        <v>0</v>
      </c>
      <c r="BH70" t="b">
        <v>0</v>
      </c>
      <c r="BI70" t="b">
        <v>0</v>
      </c>
      <c r="BJ70" t="b">
        <v>0</v>
      </c>
      <c r="BK70" t="b">
        <v>0</v>
      </c>
      <c r="BL70" t="b">
        <v>0</v>
      </c>
      <c r="BM70" t="b">
        <v>0</v>
      </c>
      <c r="BN70" t="b">
        <v>0</v>
      </c>
      <c r="BO70" t="b">
        <v>0</v>
      </c>
      <c r="BP70" t="b">
        <v>0</v>
      </c>
      <c r="BR70" t="str">
        <f>IF(M70="PASSED",VLOOKUP(J70,All_Potential!$J$1:$N$500,1,FALSE))</f>
        <v>1.0323</v>
      </c>
    </row>
    <row r="71" spans="1:70" ht="15" customHeight="1" x14ac:dyDescent="0.25">
      <c r="A71">
        <v>21156</v>
      </c>
      <c r="C71">
        <v>0</v>
      </c>
      <c r="D71" t="s">
        <v>83</v>
      </c>
      <c r="E71" t="s">
        <v>66</v>
      </c>
      <c r="F71" t="s">
        <v>84</v>
      </c>
      <c r="G71">
        <v>0</v>
      </c>
      <c r="H71" t="s">
        <v>85</v>
      </c>
      <c r="I71" t="s">
        <v>86</v>
      </c>
      <c r="J71" t="str">
        <f>MID($N71,FIND("1.",$N71),FIND("-",$N71)-FIND("1.",$N71)-1)</f>
        <v>1.0324</v>
      </c>
      <c r="K71" t="str">
        <f>MID($N71,FIND("MSWRK - ",$N71)+8,FIND(":",$N71)-FIND("MSWRK - ",$N71)-8)</f>
        <v>Ensure Create symbolic links is set to Administrators</v>
      </c>
      <c r="L71" t="str">
        <f t="shared" si="1"/>
        <v>1.0324 - MSWRK - Ensure Create symbolic links is set to Administrators</v>
      </c>
      <c r="M71" t="str">
        <f>MID($N71,FIND("[",$N71)+1,FIND("]",$N71)-FIND("[",$N71)-1)</f>
        <v>FAILED</v>
      </c>
      <c r="N71" s="1" t="s">
        <v>194</v>
      </c>
      <c r="O71" t="s">
        <v>67</v>
      </c>
      <c r="R71" t="s">
        <v>68</v>
      </c>
      <c r="T71" t="s">
        <v>69</v>
      </c>
      <c r="U71" t="s">
        <v>70</v>
      </c>
      <c r="W71" t="s">
        <v>71</v>
      </c>
      <c r="X71" s="1" t="s">
        <v>72</v>
      </c>
      <c r="Y71" t="s">
        <v>88</v>
      </c>
      <c r="Z71">
        <v>0</v>
      </c>
      <c r="AA71">
        <v>0</v>
      </c>
      <c r="AD71">
        <v>0</v>
      </c>
      <c r="AE71">
        <v>0</v>
      </c>
      <c r="AH71" t="s">
        <v>73</v>
      </c>
      <c r="AI71" t="s">
        <v>74</v>
      </c>
      <c r="AJ71" t="s">
        <v>75</v>
      </c>
      <c r="AK71" t="s">
        <v>76</v>
      </c>
      <c r="AN71" t="s">
        <v>77</v>
      </c>
      <c r="AO71" t="s">
        <v>78</v>
      </c>
      <c r="AP71" t="s">
        <v>195</v>
      </c>
      <c r="AQ71" t="s">
        <v>80</v>
      </c>
      <c r="AS71" t="b">
        <v>1</v>
      </c>
      <c r="AT71" t="s">
        <v>65</v>
      </c>
      <c r="AU71">
        <v>0</v>
      </c>
      <c r="AV71">
        <v>0</v>
      </c>
      <c r="AX71">
        <v>39</v>
      </c>
      <c r="AY71" t="s">
        <v>81</v>
      </c>
      <c r="AZ71" t="s">
        <v>90</v>
      </c>
      <c r="BB71" t="s">
        <v>91</v>
      </c>
      <c r="BC71" t="s">
        <v>92</v>
      </c>
      <c r="BD71" t="b">
        <v>0</v>
      </c>
      <c r="BE71" t="b">
        <v>0</v>
      </c>
      <c r="BF71" t="b">
        <v>0</v>
      </c>
      <c r="BG71" t="b">
        <v>0</v>
      </c>
      <c r="BH71" t="b">
        <v>0</v>
      </c>
      <c r="BI71" t="b">
        <v>0</v>
      </c>
      <c r="BJ71" t="b">
        <v>0</v>
      </c>
      <c r="BK71" t="b">
        <v>0</v>
      </c>
      <c r="BL71" t="b">
        <v>0</v>
      </c>
      <c r="BM71" t="b">
        <v>0</v>
      </c>
      <c r="BN71" t="b">
        <v>0</v>
      </c>
      <c r="BO71" t="b">
        <v>0</v>
      </c>
      <c r="BP71" t="b">
        <v>0</v>
      </c>
      <c r="BR71" t="b">
        <f>IF(M71="PASSED",VLOOKUP(J71,All_Potential!$J$1:$N$500,1,FALSE))</f>
        <v>0</v>
      </c>
    </row>
    <row r="72" spans="1:70" ht="15" customHeight="1" x14ac:dyDescent="0.25">
      <c r="A72">
        <v>21156</v>
      </c>
      <c r="C72">
        <v>0</v>
      </c>
      <c r="D72" t="s">
        <v>83</v>
      </c>
      <c r="E72" t="s">
        <v>66</v>
      </c>
      <c r="F72" t="s">
        <v>84</v>
      </c>
      <c r="G72">
        <v>0</v>
      </c>
      <c r="H72" t="s">
        <v>85</v>
      </c>
      <c r="I72" t="s">
        <v>86</v>
      </c>
      <c r="J72" t="str">
        <f>MID($N72,FIND("1.",$N72),FIND("-",$N72)-FIND("1.",$N72)-1)</f>
        <v>1.0325</v>
      </c>
      <c r="K72" t="str">
        <f>MID($N72,FIND("MSWRK - ",$N72)+8,FIND(":",$N72)-FIND("MSWRK - ",$N72)-8)</f>
        <v>Ensure Debug programs is set to Administrators</v>
      </c>
      <c r="L72" t="str">
        <f t="shared" si="1"/>
        <v>1.0325 - MSWRK - Ensure Debug programs is set to Administrators</v>
      </c>
      <c r="M72" t="str">
        <f>MID($N72,FIND("[",$N72)+1,FIND("]",$N72)-FIND("[",$N72)-1)</f>
        <v>FAILED</v>
      </c>
      <c r="N72" s="1" t="s">
        <v>116</v>
      </c>
      <c r="O72" t="s">
        <v>67</v>
      </c>
      <c r="R72" t="s">
        <v>68</v>
      </c>
      <c r="T72" t="s">
        <v>69</v>
      </c>
      <c r="U72" t="s">
        <v>70</v>
      </c>
      <c r="W72" t="s">
        <v>71</v>
      </c>
      <c r="X72" s="1" t="s">
        <v>72</v>
      </c>
      <c r="Y72" t="s">
        <v>88</v>
      </c>
      <c r="Z72">
        <v>0</v>
      </c>
      <c r="AA72">
        <v>0</v>
      </c>
      <c r="AD72">
        <v>0</v>
      </c>
      <c r="AE72">
        <v>0</v>
      </c>
      <c r="AH72" t="s">
        <v>73</v>
      </c>
      <c r="AI72" t="s">
        <v>74</v>
      </c>
      <c r="AJ72" t="s">
        <v>75</v>
      </c>
      <c r="AK72" t="s">
        <v>76</v>
      </c>
      <c r="AN72" t="s">
        <v>77</v>
      </c>
      <c r="AO72" t="s">
        <v>78</v>
      </c>
      <c r="AP72" t="s">
        <v>114</v>
      </c>
      <c r="AQ72" t="s">
        <v>80</v>
      </c>
      <c r="AS72" t="b">
        <v>1</v>
      </c>
      <c r="AT72" t="s">
        <v>65</v>
      </c>
      <c r="AU72">
        <v>0</v>
      </c>
      <c r="AV72">
        <v>0</v>
      </c>
      <c r="AX72">
        <v>39</v>
      </c>
      <c r="AY72" t="s">
        <v>81</v>
      </c>
      <c r="AZ72" t="s">
        <v>90</v>
      </c>
      <c r="BB72" t="s">
        <v>91</v>
      </c>
      <c r="BC72" t="s">
        <v>92</v>
      </c>
      <c r="BD72" t="b">
        <v>0</v>
      </c>
      <c r="BE72" t="b">
        <v>0</v>
      </c>
      <c r="BF72" t="b">
        <v>0</v>
      </c>
      <c r="BG72" t="b">
        <v>0</v>
      </c>
      <c r="BH72" t="b">
        <v>0</v>
      </c>
      <c r="BI72" t="b">
        <v>0</v>
      </c>
      <c r="BJ72" t="b">
        <v>0</v>
      </c>
      <c r="BK72" t="b">
        <v>0</v>
      </c>
      <c r="BL72" t="b">
        <v>0</v>
      </c>
      <c r="BM72" t="b">
        <v>0</v>
      </c>
      <c r="BN72" t="b">
        <v>0</v>
      </c>
      <c r="BO72" t="b">
        <v>0</v>
      </c>
      <c r="BP72" t="b">
        <v>0</v>
      </c>
      <c r="BR72" t="b">
        <f>IF(M72="PASSED",VLOOKUP(J72,All_Potential!$J$1:$N$500,1,FALSE))</f>
        <v>0</v>
      </c>
    </row>
    <row r="73" spans="1:70" ht="15" customHeight="1" x14ac:dyDescent="0.25">
      <c r="A73">
        <v>21156</v>
      </c>
      <c r="C73">
        <v>0</v>
      </c>
      <c r="D73" t="s">
        <v>83</v>
      </c>
      <c r="E73" t="s">
        <v>66</v>
      </c>
      <c r="F73" t="s">
        <v>84</v>
      </c>
      <c r="G73">
        <v>0</v>
      </c>
      <c r="H73" t="s">
        <v>85</v>
      </c>
      <c r="I73" t="s">
        <v>86</v>
      </c>
      <c r="J73" t="str">
        <f>MID($N73,FIND("1.",$N73),FIND("-",$N73)-FIND("1.",$N73)-1)</f>
        <v>1.0328</v>
      </c>
      <c r="K73" t="str">
        <f>MID($N73,FIND("MSWRK - ",$N73)+8,FIND(":",$N73)-FIND("MSWRK - ",$N73)-8)</f>
        <v>Ensure Deny log on as a service to include Guests</v>
      </c>
      <c r="L73" t="str">
        <f t="shared" si="1"/>
        <v>1.0328 - MSWRK - Ensure Deny log on as a service to include Guests</v>
      </c>
      <c r="M73" t="str">
        <f>MID($N73,FIND("[",$N73)+1,FIND("]",$N73)-FIND("[",$N73)-1)</f>
        <v>FAILED</v>
      </c>
      <c r="N73" s="1" t="s">
        <v>193</v>
      </c>
      <c r="O73" t="s">
        <v>67</v>
      </c>
      <c r="R73" t="s">
        <v>68</v>
      </c>
      <c r="T73" t="s">
        <v>69</v>
      </c>
      <c r="U73" t="s">
        <v>70</v>
      </c>
      <c r="W73" t="s">
        <v>71</v>
      </c>
      <c r="X73" s="1" t="s">
        <v>72</v>
      </c>
      <c r="Y73" t="s">
        <v>88</v>
      </c>
      <c r="Z73">
        <v>0</v>
      </c>
      <c r="AA73">
        <v>0</v>
      </c>
      <c r="AD73">
        <v>0</v>
      </c>
      <c r="AE73">
        <v>0</v>
      </c>
      <c r="AH73" t="s">
        <v>73</v>
      </c>
      <c r="AI73" t="s">
        <v>74</v>
      </c>
      <c r="AJ73" t="s">
        <v>75</v>
      </c>
      <c r="AK73" t="s">
        <v>76</v>
      </c>
      <c r="AN73" t="s">
        <v>77</v>
      </c>
      <c r="AO73" t="s">
        <v>78</v>
      </c>
      <c r="AP73" t="s">
        <v>191</v>
      </c>
      <c r="AQ73" t="s">
        <v>80</v>
      </c>
      <c r="AS73" t="b">
        <v>1</v>
      </c>
      <c r="AT73" t="s">
        <v>65</v>
      </c>
      <c r="AU73">
        <v>0</v>
      </c>
      <c r="AV73">
        <v>0</v>
      </c>
      <c r="AX73">
        <v>39</v>
      </c>
      <c r="AY73" t="s">
        <v>81</v>
      </c>
      <c r="AZ73" t="s">
        <v>90</v>
      </c>
      <c r="BB73" t="s">
        <v>91</v>
      </c>
      <c r="BC73" t="s">
        <v>92</v>
      </c>
      <c r="BD73" t="b">
        <v>0</v>
      </c>
      <c r="BE73" t="b">
        <v>0</v>
      </c>
      <c r="BF73" t="b">
        <v>0</v>
      </c>
      <c r="BG73" t="b">
        <v>0</v>
      </c>
      <c r="BH73" t="b">
        <v>0</v>
      </c>
      <c r="BI73" t="b">
        <v>0</v>
      </c>
      <c r="BJ73" t="b">
        <v>0</v>
      </c>
      <c r="BK73" t="b">
        <v>0</v>
      </c>
      <c r="BL73" t="b">
        <v>0</v>
      </c>
      <c r="BM73" t="b">
        <v>0</v>
      </c>
      <c r="BN73" t="b">
        <v>0</v>
      </c>
      <c r="BO73" t="b">
        <v>0</v>
      </c>
      <c r="BP73" t="b">
        <v>0</v>
      </c>
      <c r="BR73" t="b">
        <f>IF(M73="PASSED",VLOOKUP(J73,All_Potential!$J$1:$N$500,1,FALSE))</f>
        <v>0</v>
      </c>
    </row>
    <row r="74" spans="1:70" ht="15" customHeight="1" x14ac:dyDescent="0.25">
      <c r="A74">
        <v>21156</v>
      </c>
      <c r="C74">
        <v>0</v>
      </c>
      <c r="D74" t="s">
        <v>83</v>
      </c>
      <c r="E74" t="s">
        <v>66</v>
      </c>
      <c r="F74" t="s">
        <v>84</v>
      </c>
      <c r="G74">
        <v>0</v>
      </c>
      <c r="H74" t="s">
        <v>85</v>
      </c>
      <c r="I74" t="s">
        <v>86</v>
      </c>
      <c r="J74" t="str">
        <f>MID($N74,FIND("1.",$N74),FIND("-",$N74)-FIND("1.",$N74)-1)</f>
        <v>1.0329</v>
      </c>
      <c r="K74" t="str">
        <f>MID($N74,FIND("MSWRK - ",$N74)+8,FIND(":",$N74)-FIND("MSWRK - ",$N74)-8)</f>
        <v>Ensure Deny log on locally to include Guests</v>
      </c>
      <c r="L74" t="str">
        <f t="shared" si="1"/>
        <v>1.0329 - MSWRK - Ensure Deny log on locally to include Guests</v>
      </c>
      <c r="M74" t="str">
        <f>MID($N74,FIND("[",$N74)+1,FIND("]",$N74)-FIND("[",$N74)-1)</f>
        <v>FAILED</v>
      </c>
      <c r="N74" s="1" t="s">
        <v>133</v>
      </c>
      <c r="O74" t="s">
        <v>67</v>
      </c>
      <c r="R74" t="s">
        <v>68</v>
      </c>
      <c r="T74" t="s">
        <v>69</v>
      </c>
      <c r="U74" t="s">
        <v>70</v>
      </c>
      <c r="W74" t="s">
        <v>71</v>
      </c>
      <c r="X74" s="1" t="s">
        <v>72</v>
      </c>
      <c r="Y74" t="s">
        <v>88</v>
      </c>
      <c r="Z74">
        <v>0</v>
      </c>
      <c r="AA74">
        <v>0</v>
      </c>
      <c r="AD74">
        <v>0</v>
      </c>
      <c r="AE74">
        <v>0</v>
      </c>
      <c r="AH74" t="s">
        <v>73</v>
      </c>
      <c r="AI74" t="s">
        <v>74</v>
      </c>
      <c r="AJ74" t="s">
        <v>75</v>
      </c>
      <c r="AK74" t="s">
        <v>76</v>
      </c>
      <c r="AN74" t="s">
        <v>77</v>
      </c>
      <c r="AO74" t="s">
        <v>78</v>
      </c>
      <c r="AP74" t="s">
        <v>131</v>
      </c>
      <c r="AQ74" t="s">
        <v>80</v>
      </c>
      <c r="AS74" t="b">
        <v>1</v>
      </c>
      <c r="AT74" t="s">
        <v>65</v>
      </c>
      <c r="AU74">
        <v>0</v>
      </c>
      <c r="AV74">
        <v>0</v>
      </c>
      <c r="AX74">
        <v>39</v>
      </c>
      <c r="AY74" t="s">
        <v>81</v>
      </c>
      <c r="AZ74" t="s">
        <v>90</v>
      </c>
      <c r="BB74" t="s">
        <v>91</v>
      </c>
      <c r="BC74" t="s">
        <v>92</v>
      </c>
      <c r="BD74" t="b">
        <v>0</v>
      </c>
      <c r="BE74" t="b">
        <v>0</v>
      </c>
      <c r="BF74" t="b">
        <v>0</v>
      </c>
      <c r="BG74" t="b">
        <v>0</v>
      </c>
      <c r="BH74" t="b">
        <v>0</v>
      </c>
      <c r="BI74" t="b">
        <v>0</v>
      </c>
      <c r="BJ74" t="b">
        <v>0</v>
      </c>
      <c r="BK74" t="b">
        <v>0</v>
      </c>
      <c r="BL74" t="b">
        <v>0</v>
      </c>
      <c r="BM74" t="b">
        <v>0</v>
      </c>
      <c r="BN74" t="b">
        <v>0</v>
      </c>
      <c r="BO74" t="b">
        <v>0</v>
      </c>
      <c r="BP74" t="b">
        <v>0</v>
      </c>
      <c r="BR74" t="b">
        <f>IF(M74="PASSED",VLOOKUP(J74,All_Potential!$J$1:$N$500,1,FALSE))</f>
        <v>0</v>
      </c>
    </row>
    <row r="75" spans="1:70" ht="15" customHeight="1" x14ac:dyDescent="0.25">
      <c r="A75">
        <v>21156</v>
      </c>
      <c r="C75">
        <v>0</v>
      </c>
      <c r="D75" t="s">
        <v>83</v>
      </c>
      <c r="E75" t="s">
        <v>66</v>
      </c>
      <c r="F75" t="s">
        <v>84</v>
      </c>
      <c r="G75">
        <v>0</v>
      </c>
      <c r="H75" t="s">
        <v>85</v>
      </c>
      <c r="I75" t="s">
        <v>86</v>
      </c>
      <c r="J75" t="str">
        <f>MID($N75,FIND("1.",$N75),FIND("-",$N75)-FIND("1.",$N75)-1)</f>
        <v>1.0331</v>
      </c>
      <c r="K75" t="str">
        <f>MID($N75,FIND("MSWRK - ",$N75)+8,FIND(":",$N75)-FIND("MSWRK - ",$N75)-8)</f>
        <v>Ensure Access this computer from the network is set to Administrators, Remote Desktop Users</v>
      </c>
      <c r="L75" t="str">
        <f t="shared" si="1"/>
        <v>1.0331 - MSWRK - Ensure Access this computer from the network is set to Administrators, Remote Desktop Users</v>
      </c>
      <c r="M75" t="str">
        <f>MID($N75,FIND("[",$N75)+1,FIND("]",$N75)-FIND("[",$N75)-1)</f>
        <v>FAILED</v>
      </c>
      <c r="N75" s="1" t="s">
        <v>196</v>
      </c>
      <c r="O75" t="s">
        <v>67</v>
      </c>
      <c r="R75" t="s">
        <v>68</v>
      </c>
      <c r="T75" t="s">
        <v>69</v>
      </c>
      <c r="U75" t="s">
        <v>70</v>
      </c>
      <c r="W75" t="s">
        <v>71</v>
      </c>
      <c r="X75" s="1" t="s">
        <v>72</v>
      </c>
      <c r="Y75" t="s">
        <v>88</v>
      </c>
      <c r="Z75">
        <v>0</v>
      </c>
      <c r="AA75">
        <v>0</v>
      </c>
      <c r="AD75">
        <v>0</v>
      </c>
      <c r="AE75">
        <v>0</v>
      </c>
      <c r="AH75" t="s">
        <v>73</v>
      </c>
      <c r="AI75" t="s">
        <v>74</v>
      </c>
      <c r="AJ75" t="s">
        <v>75</v>
      </c>
      <c r="AK75" t="s">
        <v>76</v>
      </c>
      <c r="AN75" t="s">
        <v>77</v>
      </c>
      <c r="AO75" t="s">
        <v>78</v>
      </c>
      <c r="AP75" t="s">
        <v>195</v>
      </c>
      <c r="AQ75" t="s">
        <v>80</v>
      </c>
      <c r="AS75" t="b">
        <v>1</v>
      </c>
      <c r="AT75" t="s">
        <v>65</v>
      </c>
      <c r="AU75">
        <v>0</v>
      </c>
      <c r="AV75">
        <v>0</v>
      </c>
      <c r="AX75">
        <v>39</v>
      </c>
      <c r="AY75" t="s">
        <v>81</v>
      </c>
      <c r="AZ75" t="s">
        <v>90</v>
      </c>
      <c r="BB75" t="s">
        <v>91</v>
      </c>
      <c r="BC75" t="s">
        <v>92</v>
      </c>
      <c r="BD75" t="b">
        <v>0</v>
      </c>
      <c r="BE75" t="b">
        <v>0</v>
      </c>
      <c r="BF75" t="b">
        <v>0</v>
      </c>
      <c r="BG75" t="b">
        <v>0</v>
      </c>
      <c r="BH75" t="b">
        <v>0</v>
      </c>
      <c r="BI75" t="b">
        <v>0</v>
      </c>
      <c r="BJ75" t="b">
        <v>0</v>
      </c>
      <c r="BK75" t="b">
        <v>0</v>
      </c>
      <c r="BL75" t="b">
        <v>0</v>
      </c>
      <c r="BM75" t="b">
        <v>0</v>
      </c>
      <c r="BN75" t="b">
        <v>0</v>
      </c>
      <c r="BO75" t="b">
        <v>0</v>
      </c>
      <c r="BP75" t="b">
        <v>0</v>
      </c>
      <c r="BR75" t="b">
        <f>IF(M75="PASSED",VLOOKUP(J75,All_Potential!$J$1:$N$500,1,FALSE))</f>
        <v>0</v>
      </c>
    </row>
    <row r="76" spans="1:70" ht="15" customHeight="1" x14ac:dyDescent="0.25">
      <c r="A76">
        <v>21156</v>
      </c>
      <c r="C76">
        <v>0</v>
      </c>
      <c r="D76" t="s">
        <v>65</v>
      </c>
      <c r="E76" t="s">
        <v>66</v>
      </c>
      <c r="F76" t="s">
        <v>84</v>
      </c>
      <c r="G76">
        <v>0</v>
      </c>
      <c r="H76" t="s">
        <v>85</v>
      </c>
      <c r="I76" t="s">
        <v>86</v>
      </c>
      <c r="J76" t="str">
        <f>MID($N76,FIND("1.",$N76),FIND("-",$N76)-FIND("1.",$N76)-1)</f>
        <v>1.0332</v>
      </c>
      <c r="K76" t="str">
        <f>MID($N76,FIND("MSWRK - ",$N76)+8,FIND(":",$N76)-FIND("MSWRK - ",$N76)-8)</f>
        <v>Ensure Enable computer and user accounts to be trusted for delegation is set to No One</v>
      </c>
      <c r="L76" t="str">
        <f t="shared" si="1"/>
        <v>1.0332 - MSWRK - Ensure Enable computer and user accounts to be trusted for delegation is set to No One</v>
      </c>
      <c r="M76" t="str">
        <f>MID($N76,FIND("[",$N76)+1,FIND("]",$N76)-FIND("[",$N76)-1)</f>
        <v>PASSED</v>
      </c>
      <c r="N76" s="1" t="s">
        <v>309</v>
      </c>
      <c r="O76" t="s">
        <v>67</v>
      </c>
      <c r="R76" t="s">
        <v>68</v>
      </c>
      <c r="T76" t="s">
        <v>69</v>
      </c>
      <c r="U76" t="s">
        <v>70</v>
      </c>
      <c r="W76" t="s">
        <v>71</v>
      </c>
      <c r="X76" s="1" t="s">
        <v>72</v>
      </c>
      <c r="Y76" t="s">
        <v>88</v>
      </c>
      <c r="Z76">
        <v>0</v>
      </c>
      <c r="AA76">
        <v>0</v>
      </c>
      <c r="AD76">
        <v>0</v>
      </c>
      <c r="AE76">
        <v>0</v>
      </c>
      <c r="AH76" t="s">
        <v>73</v>
      </c>
      <c r="AI76" t="s">
        <v>74</v>
      </c>
      <c r="AJ76" t="s">
        <v>75</v>
      </c>
      <c r="AK76" t="s">
        <v>76</v>
      </c>
      <c r="AN76" t="s">
        <v>77</v>
      </c>
      <c r="AO76" t="s">
        <v>78</v>
      </c>
      <c r="AP76" t="s">
        <v>310</v>
      </c>
      <c r="AQ76" t="s">
        <v>80</v>
      </c>
      <c r="AS76" t="b">
        <v>1</v>
      </c>
      <c r="AT76" t="s">
        <v>65</v>
      </c>
      <c r="AU76">
        <v>0</v>
      </c>
      <c r="AV76">
        <v>0</v>
      </c>
      <c r="AX76">
        <v>39</v>
      </c>
      <c r="AY76" t="s">
        <v>81</v>
      </c>
      <c r="AZ76" t="s">
        <v>90</v>
      </c>
      <c r="BB76" t="s">
        <v>91</v>
      </c>
      <c r="BC76" t="s">
        <v>92</v>
      </c>
      <c r="BD76" t="b">
        <v>0</v>
      </c>
      <c r="BE76" t="b">
        <v>0</v>
      </c>
      <c r="BF76" t="b">
        <v>0</v>
      </c>
      <c r="BG76" t="b">
        <v>0</v>
      </c>
      <c r="BH76" t="b">
        <v>0</v>
      </c>
      <c r="BI76" t="b">
        <v>0</v>
      </c>
      <c r="BJ76" t="b">
        <v>0</v>
      </c>
      <c r="BK76" t="b">
        <v>0</v>
      </c>
      <c r="BL76" t="b">
        <v>0</v>
      </c>
      <c r="BM76" t="b">
        <v>0</v>
      </c>
      <c r="BN76" t="b">
        <v>0</v>
      </c>
      <c r="BO76" t="b">
        <v>0</v>
      </c>
      <c r="BP76" t="b">
        <v>0</v>
      </c>
      <c r="BR76" t="str">
        <f>IF(M76="PASSED",VLOOKUP(J76,All_Potential!$J$1:$N$500,1,FALSE))</f>
        <v>1.0332</v>
      </c>
    </row>
    <row r="77" spans="1:70" ht="15" customHeight="1" x14ac:dyDescent="0.25">
      <c r="A77">
        <v>21156</v>
      </c>
      <c r="C77">
        <v>0</v>
      </c>
      <c r="D77" t="s">
        <v>83</v>
      </c>
      <c r="E77" t="s">
        <v>66</v>
      </c>
      <c r="F77" t="s">
        <v>84</v>
      </c>
      <c r="G77">
        <v>0</v>
      </c>
      <c r="H77" t="s">
        <v>85</v>
      </c>
      <c r="I77" t="s">
        <v>86</v>
      </c>
      <c r="J77" t="str">
        <f>MID($N77,FIND("1.",$N77),FIND("-",$N77)-FIND("1.",$N77)-1)</f>
        <v>1.0333</v>
      </c>
      <c r="K77" t="str">
        <f>MID($N77,FIND("MSWRK - ",$N77)+8,FIND(":",$N77)-FIND("MSWRK - ",$N77)-8)</f>
        <v>Ensure Force shutdown from a remote system is set to Administrators</v>
      </c>
      <c r="L77" t="str">
        <f t="shared" si="1"/>
        <v>1.0333 - MSWRK - Ensure Force shutdown from a remote system is set to Administrators</v>
      </c>
      <c r="M77" t="str">
        <f>MID($N77,FIND("[",$N77)+1,FIND("]",$N77)-FIND("[",$N77)-1)</f>
        <v>FAILED</v>
      </c>
      <c r="N77" s="1" t="s">
        <v>269</v>
      </c>
      <c r="O77" t="s">
        <v>67</v>
      </c>
      <c r="R77" t="s">
        <v>68</v>
      </c>
      <c r="T77" t="s">
        <v>69</v>
      </c>
      <c r="U77" t="s">
        <v>70</v>
      </c>
      <c r="W77" t="s">
        <v>71</v>
      </c>
      <c r="X77" s="1" t="s">
        <v>72</v>
      </c>
      <c r="Y77" t="s">
        <v>88</v>
      </c>
      <c r="Z77">
        <v>0</v>
      </c>
      <c r="AA77">
        <v>0</v>
      </c>
      <c r="AD77">
        <v>0</v>
      </c>
      <c r="AE77">
        <v>0</v>
      </c>
      <c r="AH77" t="s">
        <v>73</v>
      </c>
      <c r="AI77" t="s">
        <v>74</v>
      </c>
      <c r="AJ77" t="s">
        <v>75</v>
      </c>
      <c r="AK77" t="s">
        <v>76</v>
      </c>
      <c r="AN77" t="s">
        <v>77</v>
      </c>
      <c r="AO77" t="s">
        <v>78</v>
      </c>
      <c r="AP77" t="s">
        <v>267</v>
      </c>
      <c r="AQ77" t="s">
        <v>80</v>
      </c>
      <c r="AS77" t="b">
        <v>1</v>
      </c>
      <c r="AT77" t="s">
        <v>65</v>
      </c>
      <c r="AU77">
        <v>0</v>
      </c>
      <c r="AV77">
        <v>0</v>
      </c>
      <c r="AX77">
        <v>39</v>
      </c>
      <c r="AY77" t="s">
        <v>81</v>
      </c>
      <c r="AZ77" t="s">
        <v>90</v>
      </c>
      <c r="BB77" t="s">
        <v>91</v>
      </c>
      <c r="BC77" t="s">
        <v>92</v>
      </c>
      <c r="BD77" t="b">
        <v>0</v>
      </c>
      <c r="BE77" t="b">
        <v>0</v>
      </c>
      <c r="BF77" t="b">
        <v>0</v>
      </c>
      <c r="BG77" t="b">
        <v>0</v>
      </c>
      <c r="BH77" t="b">
        <v>0</v>
      </c>
      <c r="BI77" t="b">
        <v>0</v>
      </c>
      <c r="BJ77" t="b">
        <v>0</v>
      </c>
      <c r="BK77" t="b">
        <v>0</v>
      </c>
      <c r="BL77" t="b">
        <v>0</v>
      </c>
      <c r="BM77" t="b">
        <v>0</v>
      </c>
      <c r="BN77" t="b">
        <v>0</v>
      </c>
      <c r="BO77" t="b">
        <v>0</v>
      </c>
      <c r="BP77" t="b">
        <v>0</v>
      </c>
      <c r="BR77" t="b">
        <f>IF(M77="PASSED",VLOOKUP(J77,All_Potential!$J$1:$N$500,1,FALSE))</f>
        <v>0</v>
      </c>
    </row>
    <row r="78" spans="1:70" ht="15" customHeight="1" x14ac:dyDescent="0.25">
      <c r="A78">
        <v>21156</v>
      </c>
      <c r="C78">
        <v>0</v>
      </c>
      <c r="D78" t="s">
        <v>83</v>
      </c>
      <c r="E78" t="s">
        <v>66</v>
      </c>
      <c r="F78" t="s">
        <v>84</v>
      </c>
      <c r="G78">
        <v>0</v>
      </c>
      <c r="H78" t="s">
        <v>85</v>
      </c>
      <c r="I78" t="s">
        <v>86</v>
      </c>
      <c r="J78" t="str">
        <f>MID($N78,FIND("1.",$N78),FIND("-",$N78)-FIND("1.",$N78)-1)</f>
        <v>1.0334</v>
      </c>
      <c r="K78" t="str">
        <f>MID($N78,FIND("MSWRK - ",$N78)+8,FIND(":",$N78)-FIND("MSWRK - ",$N78)-8)</f>
        <v>Ensure Generate security audits is set to LOCAL SERVICE, NETWORK SERVICE, RESTRICTED SERVICES\PrintSpoolerService</v>
      </c>
      <c r="L78" t="str">
        <f t="shared" si="1"/>
        <v>1.0334 - MSWRK - Ensure Generate security audits is set to LOCAL SERVICE, NETWORK SERVICE, RESTRICTED SERVICES\PrintSpoolerService</v>
      </c>
      <c r="M78" t="str">
        <f>MID($N78,FIND("[",$N78)+1,FIND("]",$N78)-FIND("[",$N78)-1)</f>
        <v>FAILED</v>
      </c>
      <c r="N78" s="1" t="s">
        <v>158</v>
      </c>
      <c r="O78" t="s">
        <v>67</v>
      </c>
      <c r="R78" t="s">
        <v>68</v>
      </c>
      <c r="T78" t="s">
        <v>69</v>
      </c>
      <c r="U78" t="s">
        <v>70</v>
      </c>
      <c r="W78" t="s">
        <v>71</v>
      </c>
      <c r="X78" s="1" t="s">
        <v>72</v>
      </c>
      <c r="Y78" t="s">
        <v>88</v>
      </c>
      <c r="Z78">
        <v>0</v>
      </c>
      <c r="AA78">
        <v>0</v>
      </c>
      <c r="AD78">
        <v>0</v>
      </c>
      <c r="AE78">
        <v>0</v>
      </c>
      <c r="AH78" t="s">
        <v>73</v>
      </c>
      <c r="AI78" t="s">
        <v>74</v>
      </c>
      <c r="AJ78" t="s">
        <v>75</v>
      </c>
      <c r="AK78" t="s">
        <v>76</v>
      </c>
      <c r="AN78" t="s">
        <v>77</v>
      </c>
      <c r="AO78" t="s">
        <v>78</v>
      </c>
      <c r="AP78" t="s">
        <v>157</v>
      </c>
      <c r="AQ78" t="s">
        <v>80</v>
      </c>
      <c r="AS78" t="b">
        <v>1</v>
      </c>
      <c r="AT78" t="s">
        <v>65</v>
      </c>
      <c r="AU78">
        <v>0</v>
      </c>
      <c r="AV78">
        <v>0</v>
      </c>
      <c r="AX78">
        <v>39</v>
      </c>
      <c r="AY78" t="s">
        <v>81</v>
      </c>
      <c r="AZ78" t="s">
        <v>90</v>
      </c>
      <c r="BB78" t="s">
        <v>91</v>
      </c>
      <c r="BC78" t="s">
        <v>92</v>
      </c>
      <c r="BD78" t="b">
        <v>0</v>
      </c>
      <c r="BE78" t="b">
        <v>0</v>
      </c>
      <c r="BF78" t="b">
        <v>0</v>
      </c>
      <c r="BG78" t="b">
        <v>0</v>
      </c>
      <c r="BH78" t="b">
        <v>0</v>
      </c>
      <c r="BI78" t="b">
        <v>0</v>
      </c>
      <c r="BJ78" t="b">
        <v>0</v>
      </c>
      <c r="BK78" t="b">
        <v>0</v>
      </c>
      <c r="BL78" t="b">
        <v>0</v>
      </c>
      <c r="BM78" t="b">
        <v>0</v>
      </c>
      <c r="BN78" t="b">
        <v>0</v>
      </c>
      <c r="BO78" t="b">
        <v>0</v>
      </c>
      <c r="BP78" t="b">
        <v>0</v>
      </c>
      <c r="BR78" t="b">
        <f>IF(M78="PASSED",VLOOKUP(J78,All_Potential!$J$1:$N$500,1,FALSE))</f>
        <v>0</v>
      </c>
    </row>
    <row r="79" spans="1:70" ht="15" customHeight="1" x14ac:dyDescent="0.25">
      <c r="A79">
        <v>21156</v>
      </c>
      <c r="C79">
        <v>0</v>
      </c>
      <c r="D79" t="s">
        <v>83</v>
      </c>
      <c r="E79" t="s">
        <v>66</v>
      </c>
      <c r="F79" t="s">
        <v>84</v>
      </c>
      <c r="G79">
        <v>0</v>
      </c>
      <c r="H79" t="s">
        <v>85</v>
      </c>
      <c r="I79" t="s">
        <v>86</v>
      </c>
      <c r="J79" t="str">
        <f>MID($N79,FIND("1.",$N79),FIND("-",$N79)-FIND("1.",$N79)-1)</f>
        <v>1.0335</v>
      </c>
      <c r="K79" t="str">
        <f>MID($N79,FIND("MSWRK - ",$N79)+8,FIND(":",$N79)-FIND("MSWRK - ",$N79)-8)</f>
        <v>Ensure Impersonate a client after authentication is set to Administrators, LOCAL SERVICE, NETWORK SERVICE, SERVICE, RESTRICTED SERVICES\PrintSpoolerService</v>
      </c>
      <c r="L79" t="str">
        <f t="shared" si="1"/>
        <v>1.0335 - MSWRK - Ensure Impersonate a client after authentication is set to Administrators, LOCAL SERVICE, NETWORK SERVICE, SERVICE, RESTRICTED SERVICES\PrintSpoolerService</v>
      </c>
      <c r="M79" t="str">
        <f>MID($N79,FIND("[",$N79)+1,FIND("]",$N79)-FIND("[",$N79)-1)</f>
        <v>FAILED</v>
      </c>
      <c r="N79" s="1" t="s">
        <v>303</v>
      </c>
      <c r="O79" t="s">
        <v>67</v>
      </c>
      <c r="R79" t="s">
        <v>68</v>
      </c>
      <c r="T79" t="s">
        <v>69</v>
      </c>
      <c r="U79" t="s">
        <v>70</v>
      </c>
      <c r="W79" t="s">
        <v>71</v>
      </c>
      <c r="X79" s="1" t="s">
        <v>72</v>
      </c>
      <c r="Y79" t="s">
        <v>88</v>
      </c>
      <c r="Z79">
        <v>0</v>
      </c>
      <c r="AA79">
        <v>0</v>
      </c>
      <c r="AD79">
        <v>0</v>
      </c>
      <c r="AE79">
        <v>0</v>
      </c>
      <c r="AH79" t="s">
        <v>73</v>
      </c>
      <c r="AI79" t="s">
        <v>74</v>
      </c>
      <c r="AJ79" t="s">
        <v>75</v>
      </c>
      <c r="AK79" t="s">
        <v>76</v>
      </c>
      <c r="AN79" t="s">
        <v>77</v>
      </c>
      <c r="AO79" t="s">
        <v>78</v>
      </c>
      <c r="AP79" t="s">
        <v>301</v>
      </c>
      <c r="AQ79" t="s">
        <v>80</v>
      </c>
      <c r="AS79" t="b">
        <v>1</v>
      </c>
      <c r="AT79" t="s">
        <v>65</v>
      </c>
      <c r="AU79">
        <v>0</v>
      </c>
      <c r="AV79">
        <v>0</v>
      </c>
      <c r="AX79">
        <v>39</v>
      </c>
      <c r="AY79" t="s">
        <v>81</v>
      </c>
      <c r="AZ79" t="s">
        <v>90</v>
      </c>
      <c r="BB79" t="s">
        <v>91</v>
      </c>
      <c r="BC79" t="s">
        <v>92</v>
      </c>
      <c r="BD79" t="b">
        <v>0</v>
      </c>
      <c r="BE79" t="b">
        <v>0</v>
      </c>
      <c r="BF79" t="b">
        <v>0</v>
      </c>
      <c r="BG79" t="b">
        <v>0</v>
      </c>
      <c r="BH79" t="b">
        <v>0</v>
      </c>
      <c r="BI79" t="b">
        <v>0</v>
      </c>
      <c r="BJ79" t="b">
        <v>0</v>
      </c>
      <c r="BK79" t="b">
        <v>0</v>
      </c>
      <c r="BL79" t="b">
        <v>0</v>
      </c>
      <c r="BM79" t="b">
        <v>0</v>
      </c>
      <c r="BN79" t="b">
        <v>0</v>
      </c>
      <c r="BO79" t="b">
        <v>0</v>
      </c>
      <c r="BP79" t="b">
        <v>0</v>
      </c>
      <c r="BR79" t="b">
        <f>IF(M79="PASSED",VLOOKUP(J79,All_Potential!$J$1:$N$500,1,FALSE))</f>
        <v>0</v>
      </c>
    </row>
    <row r="80" spans="1:70" ht="15" customHeight="1" x14ac:dyDescent="0.25">
      <c r="A80">
        <v>21156</v>
      </c>
      <c r="C80">
        <v>0</v>
      </c>
      <c r="D80" t="s">
        <v>83</v>
      </c>
      <c r="E80" t="s">
        <v>66</v>
      </c>
      <c r="F80" t="s">
        <v>84</v>
      </c>
      <c r="G80">
        <v>0</v>
      </c>
      <c r="H80" t="s">
        <v>85</v>
      </c>
      <c r="I80" t="s">
        <v>86</v>
      </c>
      <c r="J80" t="str">
        <f>MID($N80,FIND("1.",$N80),FIND("-",$N80)-FIND("1.",$N80)-1)</f>
        <v>1.0336</v>
      </c>
      <c r="K80" t="str">
        <f>MID($N80,FIND("MSWRK - ",$N80)+8,FIND(":",$N80)-FIND("MSWRK - ",$N80)-8)</f>
        <v>Ensure Increase scheduling priority is set to Administrators, Window Manager\Window Manager Group</v>
      </c>
      <c r="L80" t="str">
        <f t="shared" si="1"/>
        <v>1.0336 - MSWRK - Ensure Increase scheduling priority is set to Administrators, Window Manager\Window Manager Group</v>
      </c>
      <c r="M80" t="str">
        <f>MID($N80,FIND("[",$N80)+1,FIND("]",$N80)-FIND("[",$N80)-1)</f>
        <v>FAILED</v>
      </c>
      <c r="N80" s="1" t="s">
        <v>243</v>
      </c>
      <c r="O80" t="s">
        <v>67</v>
      </c>
      <c r="R80" t="s">
        <v>68</v>
      </c>
      <c r="T80" t="s">
        <v>69</v>
      </c>
      <c r="U80" t="s">
        <v>70</v>
      </c>
      <c r="W80" t="s">
        <v>71</v>
      </c>
      <c r="X80" s="1" t="s">
        <v>72</v>
      </c>
      <c r="Y80" t="s">
        <v>88</v>
      </c>
      <c r="Z80">
        <v>0</v>
      </c>
      <c r="AA80">
        <v>0</v>
      </c>
      <c r="AD80">
        <v>0</v>
      </c>
      <c r="AE80">
        <v>0</v>
      </c>
      <c r="AH80" t="s">
        <v>73</v>
      </c>
      <c r="AI80" t="s">
        <v>74</v>
      </c>
      <c r="AJ80" t="s">
        <v>75</v>
      </c>
      <c r="AK80" t="s">
        <v>76</v>
      </c>
      <c r="AN80" t="s">
        <v>77</v>
      </c>
      <c r="AO80" t="s">
        <v>78</v>
      </c>
      <c r="AP80" t="s">
        <v>242</v>
      </c>
      <c r="AQ80" t="s">
        <v>80</v>
      </c>
      <c r="AS80" t="b">
        <v>1</v>
      </c>
      <c r="AT80" t="s">
        <v>65</v>
      </c>
      <c r="AU80">
        <v>0</v>
      </c>
      <c r="AV80">
        <v>0</v>
      </c>
      <c r="AX80">
        <v>39</v>
      </c>
      <c r="AY80" t="s">
        <v>81</v>
      </c>
      <c r="AZ80" t="s">
        <v>90</v>
      </c>
      <c r="BB80" t="s">
        <v>91</v>
      </c>
      <c r="BC80" t="s">
        <v>92</v>
      </c>
      <c r="BD80" t="b">
        <v>0</v>
      </c>
      <c r="BE80" t="b">
        <v>0</v>
      </c>
      <c r="BF80" t="b">
        <v>0</v>
      </c>
      <c r="BG80" t="b">
        <v>0</v>
      </c>
      <c r="BH80" t="b">
        <v>0</v>
      </c>
      <c r="BI80" t="b">
        <v>0</v>
      </c>
      <c r="BJ80" t="b">
        <v>0</v>
      </c>
      <c r="BK80" t="b">
        <v>0</v>
      </c>
      <c r="BL80" t="b">
        <v>0</v>
      </c>
      <c r="BM80" t="b">
        <v>0</v>
      </c>
      <c r="BN80" t="b">
        <v>0</v>
      </c>
      <c r="BO80" t="b">
        <v>0</v>
      </c>
      <c r="BP80" t="b">
        <v>0</v>
      </c>
      <c r="BR80" t="b">
        <f>IF(M80="PASSED",VLOOKUP(J80,All_Potential!$J$1:$N$500,1,FALSE))</f>
        <v>0</v>
      </c>
    </row>
    <row r="81" spans="1:70" ht="15" customHeight="1" x14ac:dyDescent="0.25">
      <c r="A81">
        <v>21156</v>
      </c>
      <c r="C81">
        <v>0</v>
      </c>
      <c r="D81" t="s">
        <v>83</v>
      </c>
      <c r="E81" t="s">
        <v>66</v>
      </c>
      <c r="F81" t="s">
        <v>84</v>
      </c>
      <c r="G81">
        <v>0</v>
      </c>
      <c r="H81" t="s">
        <v>85</v>
      </c>
      <c r="I81" t="s">
        <v>86</v>
      </c>
      <c r="J81" t="str">
        <f>MID($N81,FIND("1.",$N81),FIND("-",$N81)-FIND("1.",$N81)-1)</f>
        <v>1.0337</v>
      </c>
      <c r="K81" t="str">
        <f>MID($N81,FIND("MSWRK - ",$N81)+8,FIND(":",$N81)-FIND("MSWRK - ",$N81)-8)</f>
        <v>Ensure Load and unload device drivers is set to Administrators</v>
      </c>
      <c r="L81" t="str">
        <f t="shared" si="1"/>
        <v>1.0337 - MSWRK - Ensure Load and unload device drivers is set to Administrators</v>
      </c>
      <c r="M81" t="str">
        <f>MID($N81,FIND("[",$N81)+1,FIND("]",$N81)-FIND("[",$N81)-1)</f>
        <v>FAILED</v>
      </c>
      <c r="N81" s="1" t="s">
        <v>312</v>
      </c>
      <c r="O81" t="s">
        <v>67</v>
      </c>
      <c r="R81" t="s">
        <v>68</v>
      </c>
      <c r="T81" t="s">
        <v>69</v>
      </c>
      <c r="U81" t="s">
        <v>70</v>
      </c>
      <c r="W81" t="s">
        <v>71</v>
      </c>
      <c r="X81" s="1" t="s">
        <v>72</v>
      </c>
      <c r="Y81" t="s">
        <v>88</v>
      </c>
      <c r="Z81">
        <v>0</v>
      </c>
      <c r="AA81">
        <v>0</v>
      </c>
      <c r="AD81">
        <v>0</v>
      </c>
      <c r="AE81">
        <v>0</v>
      </c>
      <c r="AH81" t="s">
        <v>73</v>
      </c>
      <c r="AI81" t="s">
        <v>74</v>
      </c>
      <c r="AJ81" t="s">
        <v>75</v>
      </c>
      <c r="AK81" t="s">
        <v>76</v>
      </c>
      <c r="AN81" t="s">
        <v>77</v>
      </c>
      <c r="AO81" t="s">
        <v>78</v>
      </c>
      <c r="AP81" t="s">
        <v>310</v>
      </c>
      <c r="AQ81" t="s">
        <v>80</v>
      </c>
      <c r="AS81" t="b">
        <v>1</v>
      </c>
      <c r="AT81" t="s">
        <v>65</v>
      </c>
      <c r="AU81">
        <v>0</v>
      </c>
      <c r="AV81">
        <v>0</v>
      </c>
      <c r="AX81">
        <v>39</v>
      </c>
      <c r="AY81" t="s">
        <v>81</v>
      </c>
      <c r="AZ81" t="s">
        <v>90</v>
      </c>
      <c r="BB81" t="s">
        <v>91</v>
      </c>
      <c r="BC81" t="s">
        <v>92</v>
      </c>
      <c r="BD81" t="b">
        <v>0</v>
      </c>
      <c r="BE81" t="b">
        <v>0</v>
      </c>
      <c r="BF81" t="b">
        <v>0</v>
      </c>
      <c r="BG81" t="b">
        <v>0</v>
      </c>
      <c r="BH81" t="b">
        <v>0</v>
      </c>
      <c r="BI81" t="b">
        <v>0</v>
      </c>
      <c r="BJ81" t="b">
        <v>0</v>
      </c>
      <c r="BK81" t="b">
        <v>0</v>
      </c>
      <c r="BL81" t="b">
        <v>0</v>
      </c>
      <c r="BM81" t="b">
        <v>0</v>
      </c>
      <c r="BN81" t="b">
        <v>0</v>
      </c>
      <c r="BO81" t="b">
        <v>0</v>
      </c>
      <c r="BP81" t="b">
        <v>0</v>
      </c>
      <c r="BR81" t="b">
        <f>IF(M81="PASSED",VLOOKUP(J81,All_Potential!$J$1:$N$500,1,FALSE))</f>
        <v>0</v>
      </c>
    </row>
    <row r="82" spans="1:70" ht="15" customHeight="1" x14ac:dyDescent="0.25">
      <c r="A82">
        <v>21156</v>
      </c>
      <c r="C82">
        <v>0</v>
      </c>
      <c r="D82" t="s">
        <v>65</v>
      </c>
      <c r="E82" t="s">
        <v>66</v>
      </c>
      <c r="F82" t="s">
        <v>84</v>
      </c>
      <c r="G82">
        <v>0</v>
      </c>
      <c r="H82" t="s">
        <v>85</v>
      </c>
      <c r="I82" t="s">
        <v>86</v>
      </c>
      <c r="J82" t="str">
        <f>MID($N82,FIND("1.",$N82),FIND("-",$N82)-FIND("1.",$N82)-1)</f>
        <v>1.0338</v>
      </c>
      <c r="K82" t="str">
        <f>MID($N82,FIND("MSWRK - ",$N82)+8,FIND(":",$N82)-FIND("MSWRK - ",$N82)-8)</f>
        <v>Ensure Lock pages in memory is set to No One</v>
      </c>
      <c r="L82" t="str">
        <f t="shared" si="1"/>
        <v>1.0338 - MSWRK - Ensure Lock pages in memory is set to No One</v>
      </c>
      <c r="M82" t="str">
        <f>MID($N82,FIND("[",$N82)+1,FIND("]",$N82)-FIND("[",$N82)-1)</f>
        <v>PASSED</v>
      </c>
      <c r="N82" s="1" t="s">
        <v>302</v>
      </c>
      <c r="O82" t="s">
        <v>67</v>
      </c>
      <c r="R82" t="s">
        <v>68</v>
      </c>
      <c r="T82" t="s">
        <v>69</v>
      </c>
      <c r="U82" t="s">
        <v>70</v>
      </c>
      <c r="W82" t="s">
        <v>71</v>
      </c>
      <c r="X82" s="1" t="s">
        <v>72</v>
      </c>
      <c r="Y82" t="s">
        <v>88</v>
      </c>
      <c r="Z82">
        <v>0</v>
      </c>
      <c r="AA82">
        <v>0</v>
      </c>
      <c r="AD82">
        <v>0</v>
      </c>
      <c r="AE82">
        <v>0</v>
      </c>
      <c r="AH82" t="s">
        <v>73</v>
      </c>
      <c r="AI82" t="s">
        <v>74</v>
      </c>
      <c r="AJ82" t="s">
        <v>75</v>
      </c>
      <c r="AK82" t="s">
        <v>76</v>
      </c>
      <c r="AN82" t="s">
        <v>77</v>
      </c>
      <c r="AO82" t="s">
        <v>78</v>
      </c>
      <c r="AP82" t="s">
        <v>301</v>
      </c>
      <c r="AQ82" t="s">
        <v>80</v>
      </c>
      <c r="AS82" t="b">
        <v>1</v>
      </c>
      <c r="AT82" t="s">
        <v>65</v>
      </c>
      <c r="AU82">
        <v>0</v>
      </c>
      <c r="AV82">
        <v>0</v>
      </c>
      <c r="AX82">
        <v>39</v>
      </c>
      <c r="AY82" t="s">
        <v>81</v>
      </c>
      <c r="AZ82" t="s">
        <v>90</v>
      </c>
      <c r="BB82" t="s">
        <v>91</v>
      </c>
      <c r="BC82" t="s">
        <v>92</v>
      </c>
      <c r="BD82" t="b">
        <v>0</v>
      </c>
      <c r="BE82" t="b">
        <v>0</v>
      </c>
      <c r="BF82" t="b">
        <v>0</v>
      </c>
      <c r="BG82" t="b">
        <v>0</v>
      </c>
      <c r="BH82" t="b">
        <v>0</v>
      </c>
      <c r="BI82" t="b">
        <v>0</v>
      </c>
      <c r="BJ82" t="b">
        <v>0</v>
      </c>
      <c r="BK82" t="b">
        <v>0</v>
      </c>
      <c r="BL82" t="b">
        <v>0</v>
      </c>
      <c r="BM82" t="b">
        <v>0</v>
      </c>
      <c r="BN82" t="b">
        <v>0</v>
      </c>
      <c r="BO82" t="b">
        <v>0</v>
      </c>
      <c r="BP82" t="b">
        <v>0</v>
      </c>
      <c r="BR82" t="str">
        <f>IF(M82="PASSED",VLOOKUP(J82,All_Potential!$J$1:$N$500,1,FALSE))</f>
        <v>1.0338</v>
      </c>
    </row>
    <row r="83" spans="1:70" ht="15" customHeight="1" x14ac:dyDescent="0.25">
      <c r="A83">
        <v>21156</v>
      </c>
      <c r="C83">
        <v>0</v>
      </c>
      <c r="D83" t="s">
        <v>83</v>
      </c>
      <c r="E83" t="s">
        <v>66</v>
      </c>
      <c r="F83" t="s">
        <v>84</v>
      </c>
      <c r="G83">
        <v>0</v>
      </c>
      <c r="H83" t="s">
        <v>85</v>
      </c>
      <c r="I83" t="s">
        <v>86</v>
      </c>
      <c r="J83" t="str">
        <f>MID($N83,FIND("1.",$N83),FIND("-",$N83)-FIND("1.",$N83)-1)</f>
        <v>1.0339</v>
      </c>
      <c r="K83" t="str">
        <f>MID($N83,FIND("MSWRK - ",$N83)+8,FIND(":",$N83)-FIND("MSWRK - ",$N83)-8)</f>
        <v>Ensure Manage auditing and security log is set to Administrators</v>
      </c>
      <c r="L83" t="str">
        <f t="shared" si="1"/>
        <v>1.0339 - MSWRK - Ensure Manage auditing and security log is set to Administrators</v>
      </c>
      <c r="M83" t="str">
        <f>MID($N83,FIND("[",$N83)+1,FIND("]",$N83)-FIND("[",$N83)-1)</f>
        <v>FAILED</v>
      </c>
      <c r="N83" s="1" t="s">
        <v>125</v>
      </c>
      <c r="O83" t="s">
        <v>67</v>
      </c>
      <c r="R83" t="s">
        <v>68</v>
      </c>
      <c r="T83" t="s">
        <v>69</v>
      </c>
      <c r="U83" t="s">
        <v>70</v>
      </c>
      <c r="W83" t="s">
        <v>71</v>
      </c>
      <c r="X83" s="1" t="s">
        <v>72</v>
      </c>
      <c r="Y83" t="s">
        <v>88</v>
      </c>
      <c r="Z83">
        <v>0</v>
      </c>
      <c r="AA83">
        <v>0</v>
      </c>
      <c r="AD83">
        <v>0</v>
      </c>
      <c r="AE83">
        <v>0</v>
      </c>
      <c r="AH83" t="s">
        <v>73</v>
      </c>
      <c r="AI83" t="s">
        <v>74</v>
      </c>
      <c r="AJ83" t="s">
        <v>75</v>
      </c>
      <c r="AK83" t="s">
        <v>76</v>
      </c>
      <c r="AN83" t="s">
        <v>77</v>
      </c>
      <c r="AO83" t="s">
        <v>78</v>
      </c>
      <c r="AP83" t="s">
        <v>123</v>
      </c>
      <c r="AQ83" t="s">
        <v>80</v>
      </c>
      <c r="AS83" t="b">
        <v>1</v>
      </c>
      <c r="AT83" t="s">
        <v>65</v>
      </c>
      <c r="AU83">
        <v>0</v>
      </c>
      <c r="AV83">
        <v>0</v>
      </c>
      <c r="AX83">
        <v>39</v>
      </c>
      <c r="AY83" t="s">
        <v>81</v>
      </c>
      <c r="AZ83" t="s">
        <v>90</v>
      </c>
      <c r="BB83" t="s">
        <v>91</v>
      </c>
      <c r="BC83" t="s">
        <v>92</v>
      </c>
      <c r="BD83" t="b">
        <v>0</v>
      </c>
      <c r="BE83" t="b">
        <v>0</v>
      </c>
      <c r="BF83" t="b">
        <v>0</v>
      </c>
      <c r="BG83" t="b">
        <v>0</v>
      </c>
      <c r="BH83" t="b">
        <v>0</v>
      </c>
      <c r="BI83" t="b">
        <v>0</v>
      </c>
      <c r="BJ83" t="b">
        <v>0</v>
      </c>
      <c r="BK83" t="b">
        <v>0</v>
      </c>
      <c r="BL83" t="b">
        <v>0</v>
      </c>
      <c r="BM83" t="b">
        <v>0</v>
      </c>
      <c r="BN83" t="b">
        <v>0</v>
      </c>
      <c r="BO83" t="b">
        <v>0</v>
      </c>
      <c r="BP83" t="b">
        <v>0</v>
      </c>
      <c r="BR83" t="b">
        <f>IF(M83="PASSED",VLOOKUP(J83,All_Potential!$J$1:$N$500,1,FALSE))</f>
        <v>0</v>
      </c>
    </row>
    <row r="84" spans="1:70" ht="15" customHeight="1" x14ac:dyDescent="0.25">
      <c r="A84">
        <v>21156</v>
      </c>
      <c r="C84">
        <v>0</v>
      </c>
      <c r="D84" t="s">
        <v>65</v>
      </c>
      <c r="E84" t="s">
        <v>66</v>
      </c>
      <c r="F84" t="s">
        <v>84</v>
      </c>
      <c r="G84">
        <v>0</v>
      </c>
      <c r="H84" t="s">
        <v>85</v>
      </c>
      <c r="I84" t="s">
        <v>86</v>
      </c>
      <c r="J84" t="str">
        <f>MID($N84,FIND("1.",$N84),FIND("-",$N84)-FIND("1.",$N84)-1)</f>
        <v>1.0340</v>
      </c>
      <c r="K84" t="str">
        <f>MID($N84,FIND("MSWRK - ",$N84)+8,FIND(":",$N84)-FIND("MSWRK - ",$N84)-8)</f>
        <v>Ensure Act as part of the operating system is set to No One</v>
      </c>
      <c r="L84" t="str">
        <f t="shared" si="1"/>
        <v>1.0340 - MSWRK - Ensure Act as part of the operating system is set to No One</v>
      </c>
      <c r="M84" t="str">
        <f>MID($N84,FIND("[",$N84)+1,FIND("]",$N84)-FIND("[",$N84)-1)</f>
        <v>PASSED</v>
      </c>
      <c r="N84" s="1" t="s">
        <v>231</v>
      </c>
      <c r="O84" t="s">
        <v>67</v>
      </c>
      <c r="R84" t="s">
        <v>68</v>
      </c>
      <c r="T84" t="s">
        <v>69</v>
      </c>
      <c r="U84" t="s">
        <v>70</v>
      </c>
      <c r="W84" t="s">
        <v>71</v>
      </c>
      <c r="X84" s="1" t="s">
        <v>72</v>
      </c>
      <c r="Y84" t="s">
        <v>88</v>
      </c>
      <c r="Z84">
        <v>0</v>
      </c>
      <c r="AA84">
        <v>0</v>
      </c>
      <c r="AD84">
        <v>0</v>
      </c>
      <c r="AE84">
        <v>0</v>
      </c>
      <c r="AH84" t="s">
        <v>73</v>
      </c>
      <c r="AI84" t="s">
        <v>74</v>
      </c>
      <c r="AJ84" t="s">
        <v>75</v>
      </c>
      <c r="AK84" t="s">
        <v>76</v>
      </c>
      <c r="AN84" t="s">
        <v>77</v>
      </c>
      <c r="AO84" t="s">
        <v>78</v>
      </c>
      <c r="AP84" t="s">
        <v>229</v>
      </c>
      <c r="AQ84" t="s">
        <v>80</v>
      </c>
      <c r="AS84" t="b">
        <v>1</v>
      </c>
      <c r="AT84" t="s">
        <v>65</v>
      </c>
      <c r="AU84">
        <v>0</v>
      </c>
      <c r="AV84">
        <v>0</v>
      </c>
      <c r="AX84">
        <v>39</v>
      </c>
      <c r="AY84" t="s">
        <v>81</v>
      </c>
      <c r="AZ84" t="s">
        <v>90</v>
      </c>
      <c r="BB84" t="s">
        <v>91</v>
      </c>
      <c r="BC84" t="s">
        <v>92</v>
      </c>
      <c r="BD84" t="b">
        <v>0</v>
      </c>
      <c r="BE84" t="b">
        <v>0</v>
      </c>
      <c r="BF84" t="b">
        <v>0</v>
      </c>
      <c r="BG84" t="b">
        <v>0</v>
      </c>
      <c r="BH84" t="b">
        <v>0</v>
      </c>
      <c r="BI84" t="b">
        <v>0</v>
      </c>
      <c r="BJ84" t="b">
        <v>0</v>
      </c>
      <c r="BK84" t="b">
        <v>0</v>
      </c>
      <c r="BL84" t="b">
        <v>0</v>
      </c>
      <c r="BM84" t="b">
        <v>0</v>
      </c>
      <c r="BN84" t="b">
        <v>0</v>
      </c>
      <c r="BO84" t="b">
        <v>0</v>
      </c>
      <c r="BP84" t="b">
        <v>0</v>
      </c>
      <c r="BR84" t="str">
        <f>IF(M84="PASSED",VLOOKUP(J84,All_Potential!$J$1:$N$500,1,FALSE))</f>
        <v>1.0340</v>
      </c>
    </row>
    <row r="85" spans="1:70" ht="15" customHeight="1" x14ac:dyDescent="0.25">
      <c r="A85">
        <v>21156</v>
      </c>
      <c r="C85">
        <v>0</v>
      </c>
      <c r="D85" t="s">
        <v>65</v>
      </c>
      <c r="E85" t="s">
        <v>66</v>
      </c>
      <c r="F85" t="s">
        <v>84</v>
      </c>
      <c r="G85">
        <v>0</v>
      </c>
      <c r="H85" t="s">
        <v>85</v>
      </c>
      <c r="I85" t="s">
        <v>86</v>
      </c>
      <c r="J85" t="str">
        <f>MID($N85,FIND("1.",$N85),FIND("-",$N85)-FIND("1.",$N85)-1)</f>
        <v>1.0341</v>
      </c>
      <c r="K85" t="str">
        <f>MID($N85,FIND("MSWRK - ",$N85)+8,FIND(":",$N85)-FIND("MSWRK - ",$N85)-8)</f>
        <v>Ensure Modify an object label is set to No One</v>
      </c>
      <c r="L85" t="str">
        <f t="shared" si="1"/>
        <v>1.0341 - MSWRK - Ensure Modify an object label is set to No One</v>
      </c>
      <c r="M85" t="str">
        <f>MID($N85,FIND("[",$N85)+1,FIND("]",$N85)-FIND("[",$N85)-1)</f>
        <v>PASSED</v>
      </c>
      <c r="N85" s="1" t="s">
        <v>113</v>
      </c>
      <c r="O85" t="s">
        <v>67</v>
      </c>
      <c r="R85" t="s">
        <v>68</v>
      </c>
      <c r="T85" t="s">
        <v>69</v>
      </c>
      <c r="U85" t="s">
        <v>70</v>
      </c>
      <c r="W85" t="s">
        <v>71</v>
      </c>
      <c r="X85" s="1" t="s">
        <v>72</v>
      </c>
      <c r="Y85" t="s">
        <v>88</v>
      </c>
      <c r="Z85">
        <v>0</v>
      </c>
      <c r="AA85">
        <v>0</v>
      </c>
      <c r="AD85">
        <v>0</v>
      </c>
      <c r="AE85">
        <v>0</v>
      </c>
      <c r="AH85" t="s">
        <v>73</v>
      </c>
      <c r="AI85" t="s">
        <v>74</v>
      </c>
      <c r="AJ85" t="s">
        <v>75</v>
      </c>
      <c r="AK85" t="s">
        <v>76</v>
      </c>
      <c r="AN85" t="s">
        <v>77</v>
      </c>
      <c r="AO85" t="s">
        <v>78</v>
      </c>
      <c r="AP85" t="s">
        <v>114</v>
      </c>
      <c r="AQ85" t="s">
        <v>80</v>
      </c>
      <c r="AS85" t="b">
        <v>1</v>
      </c>
      <c r="AT85" t="s">
        <v>65</v>
      </c>
      <c r="AU85">
        <v>0</v>
      </c>
      <c r="AV85">
        <v>0</v>
      </c>
      <c r="AX85">
        <v>39</v>
      </c>
      <c r="AY85" t="s">
        <v>81</v>
      </c>
      <c r="AZ85" t="s">
        <v>90</v>
      </c>
      <c r="BB85" t="s">
        <v>91</v>
      </c>
      <c r="BC85" t="s">
        <v>92</v>
      </c>
      <c r="BD85" t="b">
        <v>0</v>
      </c>
      <c r="BE85" t="b">
        <v>0</v>
      </c>
      <c r="BF85" t="b">
        <v>0</v>
      </c>
      <c r="BG85" t="b">
        <v>0</v>
      </c>
      <c r="BH85" t="b">
        <v>0</v>
      </c>
      <c r="BI85" t="b">
        <v>0</v>
      </c>
      <c r="BJ85" t="b">
        <v>0</v>
      </c>
      <c r="BK85" t="b">
        <v>0</v>
      </c>
      <c r="BL85" t="b">
        <v>0</v>
      </c>
      <c r="BM85" t="b">
        <v>0</v>
      </c>
      <c r="BN85" t="b">
        <v>0</v>
      </c>
      <c r="BO85" t="b">
        <v>0</v>
      </c>
      <c r="BP85" t="b">
        <v>0</v>
      </c>
      <c r="BR85" t="str">
        <f>IF(M85="PASSED",VLOOKUP(J85,All_Potential!$J$1:$N$500,1,FALSE))</f>
        <v>1.0341</v>
      </c>
    </row>
    <row r="86" spans="1:70" ht="15" customHeight="1" x14ac:dyDescent="0.25">
      <c r="A86">
        <v>21156</v>
      </c>
      <c r="C86">
        <v>0</v>
      </c>
      <c r="D86" t="s">
        <v>83</v>
      </c>
      <c r="E86" t="s">
        <v>66</v>
      </c>
      <c r="F86" t="s">
        <v>84</v>
      </c>
      <c r="G86">
        <v>0</v>
      </c>
      <c r="H86" t="s">
        <v>85</v>
      </c>
      <c r="I86" t="s">
        <v>86</v>
      </c>
      <c r="J86" t="str">
        <f>MID($N86,FIND("1.",$N86),FIND("-",$N86)-FIND("1.",$N86)-1)</f>
        <v>1.0342</v>
      </c>
      <c r="K86" t="str">
        <f>MID($N86,FIND("MSWRK - ",$N86)+8,FIND(":",$N86)-FIND("MSWRK - ",$N86)-8)</f>
        <v>Ensure Modify firmware environment values is set to Administrators</v>
      </c>
      <c r="L86" t="str">
        <f t="shared" si="1"/>
        <v>1.0342 - MSWRK - Ensure Modify firmware environment values is set to Administrators</v>
      </c>
      <c r="M86" t="str">
        <f>MID($N86,FIND("[",$N86)+1,FIND("]",$N86)-FIND("[",$N86)-1)</f>
        <v>FAILED</v>
      </c>
      <c r="N86" s="1" t="s">
        <v>93</v>
      </c>
      <c r="O86" t="s">
        <v>67</v>
      </c>
      <c r="R86" t="s">
        <v>68</v>
      </c>
      <c r="T86" t="s">
        <v>69</v>
      </c>
      <c r="U86" t="s">
        <v>70</v>
      </c>
      <c r="W86" t="s">
        <v>71</v>
      </c>
      <c r="X86" s="1" t="s">
        <v>72</v>
      </c>
      <c r="Y86" t="s">
        <v>88</v>
      </c>
      <c r="Z86">
        <v>0</v>
      </c>
      <c r="AA86">
        <v>0</v>
      </c>
      <c r="AD86">
        <v>0</v>
      </c>
      <c r="AE86">
        <v>0</v>
      </c>
      <c r="AH86" t="s">
        <v>73</v>
      </c>
      <c r="AI86" t="s">
        <v>74</v>
      </c>
      <c r="AJ86" t="s">
        <v>75</v>
      </c>
      <c r="AK86" t="s">
        <v>76</v>
      </c>
      <c r="AN86" t="s">
        <v>77</v>
      </c>
      <c r="AO86" t="s">
        <v>78</v>
      </c>
      <c r="AP86" t="s">
        <v>94</v>
      </c>
      <c r="AQ86" t="s">
        <v>80</v>
      </c>
      <c r="AS86" t="b">
        <v>1</v>
      </c>
      <c r="AT86" t="s">
        <v>65</v>
      </c>
      <c r="AU86">
        <v>0</v>
      </c>
      <c r="AV86">
        <v>0</v>
      </c>
      <c r="AX86">
        <v>39</v>
      </c>
      <c r="AY86" t="s">
        <v>81</v>
      </c>
      <c r="AZ86" t="s">
        <v>90</v>
      </c>
      <c r="BB86" t="s">
        <v>91</v>
      </c>
      <c r="BC86" t="s">
        <v>92</v>
      </c>
      <c r="BD86" t="b">
        <v>0</v>
      </c>
      <c r="BE86" t="b">
        <v>0</v>
      </c>
      <c r="BF86" t="b">
        <v>0</v>
      </c>
      <c r="BG86" t="b">
        <v>0</v>
      </c>
      <c r="BH86" t="b">
        <v>0</v>
      </c>
      <c r="BI86" t="b">
        <v>0</v>
      </c>
      <c r="BJ86" t="b">
        <v>0</v>
      </c>
      <c r="BK86" t="b">
        <v>0</v>
      </c>
      <c r="BL86" t="b">
        <v>0</v>
      </c>
      <c r="BM86" t="b">
        <v>0</v>
      </c>
      <c r="BN86" t="b">
        <v>0</v>
      </c>
      <c r="BO86" t="b">
        <v>0</v>
      </c>
      <c r="BP86" t="b">
        <v>0</v>
      </c>
      <c r="BR86" t="b">
        <f>IF(M86="PASSED",VLOOKUP(J86,All_Potential!$J$1:$N$500,1,FALSE))</f>
        <v>0</v>
      </c>
    </row>
    <row r="87" spans="1:70" ht="15" customHeight="1" x14ac:dyDescent="0.25">
      <c r="A87">
        <v>21156</v>
      </c>
      <c r="C87">
        <v>0</v>
      </c>
      <c r="D87" t="s">
        <v>83</v>
      </c>
      <c r="E87" t="s">
        <v>66</v>
      </c>
      <c r="F87" t="s">
        <v>84</v>
      </c>
      <c r="G87">
        <v>0</v>
      </c>
      <c r="H87" t="s">
        <v>85</v>
      </c>
      <c r="I87" t="s">
        <v>86</v>
      </c>
      <c r="J87" t="str">
        <f>MID($N87,FIND("1.",$N87),FIND("-",$N87)-FIND("1.",$N87)-1)</f>
        <v>1.0343</v>
      </c>
      <c r="K87" t="str">
        <f>MID($N87,FIND("MSWRK - ",$N87)+8,FIND(":",$N87)-FIND("MSWRK - ",$N87)-8)</f>
        <v>Ensure Perform volume maintenance tasks is set to Administrators</v>
      </c>
      <c r="L87" t="str">
        <f t="shared" si="1"/>
        <v>1.0343 - MSWRK - Ensure Perform volume maintenance tasks is set to Administrators</v>
      </c>
      <c r="M87" t="str">
        <f>MID($N87,FIND("[",$N87)+1,FIND("]",$N87)-FIND("[",$N87)-1)</f>
        <v>FAILED</v>
      </c>
      <c r="N87" s="1" t="s">
        <v>151</v>
      </c>
      <c r="O87" t="s">
        <v>67</v>
      </c>
      <c r="R87" t="s">
        <v>68</v>
      </c>
      <c r="T87" t="s">
        <v>69</v>
      </c>
      <c r="U87" t="s">
        <v>70</v>
      </c>
      <c r="W87" t="s">
        <v>71</v>
      </c>
      <c r="X87" s="1" t="s">
        <v>72</v>
      </c>
      <c r="Y87" t="s">
        <v>88</v>
      </c>
      <c r="Z87">
        <v>0</v>
      </c>
      <c r="AA87">
        <v>0</v>
      </c>
      <c r="AD87">
        <v>0</v>
      </c>
      <c r="AE87">
        <v>0</v>
      </c>
      <c r="AH87" t="s">
        <v>73</v>
      </c>
      <c r="AI87" t="s">
        <v>74</v>
      </c>
      <c r="AJ87" t="s">
        <v>75</v>
      </c>
      <c r="AK87" t="s">
        <v>76</v>
      </c>
      <c r="AN87" t="s">
        <v>77</v>
      </c>
      <c r="AO87" t="s">
        <v>78</v>
      </c>
      <c r="AP87" t="s">
        <v>152</v>
      </c>
      <c r="AQ87" t="s">
        <v>80</v>
      </c>
      <c r="AS87" t="b">
        <v>1</v>
      </c>
      <c r="AT87" t="s">
        <v>65</v>
      </c>
      <c r="AU87">
        <v>0</v>
      </c>
      <c r="AV87">
        <v>0</v>
      </c>
      <c r="AX87">
        <v>39</v>
      </c>
      <c r="AY87" t="s">
        <v>81</v>
      </c>
      <c r="AZ87" t="s">
        <v>90</v>
      </c>
      <c r="BB87" t="s">
        <v>91</v>
      </c>
      <c r="BC87" t="s">
        <v>92</v>
      </c>
      <c r="BD87" t="b">
        <v>0</v>
      </c>
      <c r="BE87" t="b">
        <v>0</v>
      </c>
      <c r="BF87" t="b">
        <v>0</v>
      </c>
      <c r="BG87" t="b">
        <v>0</v>
      </c>
      <c r="BH87" t="b">
        <v>0</v>
      </c>
      <c r="BI87" t="b">
        <v>0</v>
      </c>
      <c r="BJ87" t="b">
        <v>0</v>
      </c>
      <c r="BK87" t="b">
        <v>0</v>
      </c>
      <c r="BL87" t="b">
        <v>0</v>
      </c>
      <c r="BM87" t="b">
        <v>0</v>
      </c>
      <c r="BN87" t="b">
        <v>0</v>
      </c>
      <c r="BO87" t="b">
        <v>0</v>
      </c>
      <c r="BP87" t="b">
        <v>0</v>
      </c>
      <c r="BR87" t="b">
        <f>IF(M87="PASSED",VLOOKUP(J87,All_Potential!$J$1:$N$500,1,FALSE))</f>
        <v>0</v>
      </c>
    </row>
    <row r="88" spans="1:70" ht="15" customHeight="1" x14ac:dyDescent="0.25">
      <c r="A88">
        <v>21156</v>
      </c>
      <c r="C88">
        <v>0</v>
      </c>
      <c r="D88" t="s">
        <v>83</v>
      </c>
      <c r="E88" t="s">
        <v>66</v>
      </c>
      <c r="F88" t="s">
        <v>84</v>
      </c>
      <c r="G88">
        <v>0</v>
      </c>
      <c r="H88" t="s">
        <v>85</v>
      </c>
      <c r="I88" t="s">
        <v>86</v>
      </c>
      <c r="J88" t="str">
        <f>MID($N88,FIND("1.",$N88),FIND("-",$N88)-FIND("1.",$N88)-1)</f>
        <v>1.0344</v>
      </c>
      <c r="K88" t="str">
        <f>MID($N88,FIND("MSWRK - ",$N88)+8,FIND(":",$N88)-FIND("MSWRK - ",$N88)-8)</f>
        <v>Ensure Profile single process is set to Administrators</v>
      </c>
      <c r="L88" t="str">
        <f t="shared" si="1"/>
        <v>1.0344 - MSWRK - Ensure Profile single process is set to Administrators</v>
      </c>
      <c r="M88" t="str">
        <f>MID($N88,FIND("[",$N88)+1,FIND("]",$N88)-FIND("[",$N88)-1)</f>
        <v>FAILED</v>
      </c>
      <c r="N88" s="1" t="s">
        <v>282</v>
      </c>
      <c r="O88" t="s">
        <v>67</v>
      </c>
      <c r="R88" t="s">
        <v>68</v>
      </c>
      <c r="T88" t="s">
        <v>69</v>
      </c>
      <c r="U88" t="s">
        <v>70</v>
      </c>
      <c r="W88" t="s">
        <v>71</v>
      </c>
      <c r="X88" s="1" t="s">
        <v>72</v>
      </c>
      <c r="Y88" t="s">
        <v>88</v>
      </c>
      <c r="Z88">
        <v>0</v>
      </c>
      <c r="AA88">
        <v>0</v>
      </c>
      <c r="AD88">
        <v>0</v>
      </c>
      <c r="AE88">
        <v>0</v>
      </c>
      <c r="AH88" t="s">
        <v>73</v>
      </c>
      <c r="AI88" t="s">
        <v>74</v>
      </c>
      <c r="AJ88" t="s">
        <v>75</v>
      </c>
      <c r="AK88" t="s">
        <v>76</v>
      </c>
      <c r="AN88" t="s">
        <v>77</v>
      </c>
      <c r="AO88" t="s">
        <v>78</v>
      </c>
      <c r="AP88" t="s">
        <v>283</v>
      </c>
      <c r="AQ88" t="s">
        <v>80</v>
      </c>
      <c r="AS88" t="b">
        <v>1</v>
      </c>
      <c r="AT88" t="s">
        <v>65</v>
      </c>
      <c r="AU88">
        <v>0</v>
      </c>
      <c r="AV88">
        <v>0</v>
      </c>
      <c r="AX88">
        <v>39</v>
      </c>
      <c r="AY88" t="s">
        <v>81</v>
      </c>
      <c r="AZ88" t="s">
        <v>90</v>
      </c>
      <c r="BB88" t="s">
        <v>91</v>
      </c>
      <c r="BC88" t="s">
        <v>92</v>
      </c>
      <c r="BD88" t="b">
        <v>0</v>
      </c>
      <c r="BE88" t="b">
        <v>0</v>
      </c>
      <c r="BF88" t="b">
        <v>0</v>
      </c>
      <c r="BG88" t="b">
        <v>0</v>
      </c>
      <c r="BH88" t="b">
        <v>0</v>
      </c>
      <c r="BI88" t="b">
        <v>0</v>
      </c>
      <c r="BJ88" t="b">
        <v>0</v>
      </c>
      <c r="BK88" t="b">
        <v>0</v>
      </c>
      <c r="BL88" t="b">
        <v>0</v>
      </c>
      <c r="BM88" t="b">
        <v>0</v>
      </c>
      <c r="BN88" t="b">
        <v>0</v>
      </c>
      <c r="BO88" t="b">
        <v>0</v>
      </c>
      <c r="BP88" t="b">
        <v>0</v>
      </c>
      <c r="BR88" t="b">
        <f>IF(M88="PASSED",VLOOKUP(J88,All_Potential!$J$1:$N$500,1,FALSE))</f>
        <v>0</v>
      </c>
    </row>
    <row r="89" spans="1:70" ht="15" customHeight="1" x14ac:dyDescent="0.25">
      <c r="A89">
        <v>21156</v>
      </c>
      <c r="C89">
        <v>0</v>
      </c>
      <c r="D89" t="s">
        <v>83</v>
      </c>
      <c r="E89" t="s">
        <v>66</v>
      </c>
      <c r="F89" t="s">
        <v>84</v>
      </c>
      <c r="G89">
        <v>0</v>
      </c>
      <c r="H89" t="s">
        <v>85</v>
      </c>
      <c r="I89" t="s">
        <v>86</v>
      </c>
      <c r="J89" t="str">
        <f>MID($N89,FIND("1.",$N89),FIND("-",$N89)-FIND("1.",$N89)-1)</f>
        <v>1.0345</v>
      </c>
      <c r="K89" t="str">
        <f>MID($N89,FIND("MSWRK - ",$N89)+8,FIND(":",$N89)-FIND("MSWRK - ",$N89)-8)</f>
        <v>Ensure Profile system performance is set to Administrators, NT SERVICE\WdiServiceHost</v>
      </c>
      <c r="L89" t="str">
        <f t="shared" si="1"/>
        <v>1.0345 - MSWRK - Ensure Profile system performance is set to Administrators, NT SERVICE\WdiServiceHost</v>
      </c>
      <c r="M89" t="str">
        <f>MID($N89,FIND("[",$N89)+1,FIND("]",$N89)-FIND("[",$N89)-1)</f>
        <v>FAILED</v>
      </c>
      <c r="N89" s="1" t="s">
        <v>207</v>
      </c>
      <c r="O89" t="s">
        <v>67</v>
      </c>
      <c r="R89" t="s">
        <v>68</v>
      </c>
      <c r="T89" t="s">
        <v>69</v>
      </c>
      <c r="U89" t="s">
        <v>70</v>
      </c>
      <c r="W89" t="s">
        <v>71</v>
      </c>
      <c r="X89" s="1" t="s">
        <v>72</v>
      </c>
      <c r="Y89" t="s">
        <v>88</v>
      </c>
      <c r="Z89">
        <v>0</v>
      </c>
      <c r="AA89">
        <v>0</v>
      </c>
      <c r="AD89">
        <v>0</v>
      </c>
      <c r="AE89">
        <v>0</v>
      </c>
      <c r="AH89" t="s">
        <v>73</v>
      </c>
      <c r="AI89" t="s">
        <v>74</v>
      </c>
      <c r="AJ89" t="s">
        <v>75</v>
      </c>
      <c r="AK89" t="s">
        <v>76</v>
      </c>
      <c r="AN89" t="s">
        <v>77</v>
      </c>
      <c r="AO89" t="s">
        <v>78</v>
      </c>
      <c r="AP89" t="s">
        <v>208</v>
      </c>
      <c r="AQ89" t="s">
        <v>80</v>
      </c>
      <c r="AS89" t="b">
        <v>1</v>
      </c>
      <c r="AT89" t="s">
        <v>65</v>
      </c>
      <c r="AU89">
        <v>0</v>
      </c>
      <c r="AV89">
        <v>0</v>
      </c>
      <c r="AX89">
        <v>39</v>
      </c>
      <c r="AY89" t="s">
        <v>81</v>
      </c>
      <c r="AZ89" t="s">
        <v>90</v>
      </c>
      <c r="BB89" t="s">
        <v>91</v>
      </c>
      <c r="BC89" t="s">
        <v>92</v>
      </c>
      <c r="BD89" t="b">
        <v>0</v>
      </c>
      <c r="BE89" t="b">
        <v>0</v>
      </c>
      <c r="BF89" t="b">
        <v>0</v>
      </c>
      <c r="BG89" t="b">
        <v>0</v>
      </c>
      <c r="BH89" t="b">
        <v>0</v>
      </c>
      <c r="BI89" t="b">
        <v>0</v>
      </c>
      <c r="BJ89" t="b">
        <v>0</v>
      </c>
      <c r="BK89" t="b">
        <v>0</v>
      </c>
      <c r="BL89" t="b">
        <v>0</v>
      </c>
      <c r="BM89" t="b">
        <v>0</v>
      </c>
      <c r="BN89" t="b">
        <v>0</v>
      </c>
      <c r="BO89" t="b">
        <v>0</v>
      </c>
      <c r="BP89" t="b">
        <v>0</v>
      </c>
      <c r="BR89" t="b">
        <f>IF(M89="PASSED",VLOOKUP(J89,All_Potential!$J$1:$N$500,1,FALSE))</f>
        <v>0</v>
      </c>
    </row>
    <row r="90" spans="1:70" ht="15" customHeight="1" x14ac:dyDescent="0.25">
      <c r="A90">
        <v>21156</v>
      </c>
      <c r="C90">
        <v>0</v>
      </c>
      <c r="D90" t="s">
        <v>83</v>
      </c>
      <c r="E90" t="s">
        <v>66</v>
      </c>
      <c r="F90" t="s">
        <v>84</v>
      </c>
      <c r="G90">
        <v>0</v>
      </c>
      <c r="H90" t="s">
        <v>85</v>
      </c>
      <c r="I90" t="s">
        <v>86</v>
      </c>
      <c r="J90" t="str">
        <f>MID($N90,FIND("1.",$N90),FIND("-",$N90)-FIND("1.",$N90)-1)</f>
        <v>1.0346</v>
      </c>
      <c r="K90" t="str">
        <f>MID($N90,FIND("MSWRK - ",$N90)+8,FIND(":",$N90)-FIND("MSWRK - ",$N90)-8)</f>
        <v>Ensure Replace a process level token is set to LOCAL SERVICE, NETWORK SERVICE</v>
      </c>
      <c r="L90" t="str">
        <f t="shared" si="1"/>
        <v>1.0346 - MSWRK - Ensure Replace a process level token is set to LOCAL SERVICE, NETWORK SERVICE</v>
      </c>
      <c r="M90" t="str">
        <f>MID($N90,FIND("[",$N90)+1,FIND("]",$N90)-FIND("[",$N90)-1)</f>
        <v>FAILED</v>
      </c>
      <c r="N90" s="1" t="s">
        <v>120</v>
      </c>
      <c r="O90" t="s">
        <v>67</v>
      </c>
      <c r="R90" t="s">
        <v>68</v>
      </c>
      <c r="T90" t="s">
        <v>69</v>
      </c>
      <c r="U90" t="s">
        <v>70</v>
      </c>
      <c r="W90" t="s">
        <v>71</v>
      </c>
      <c r="X90" s="1" t="s">
        <v>72</v>
      </c>
      <c r="Y90" t="s">
        <v>88</v>
      </c>
      <c r="Z90">
        <v>0</v>
      </c>
      <c r="AA90">
        <v>0</v>
      </c>
      <c r="AD90">
        <v>0</v>
      </c>
      <c r="AE90">
        <v>0</v>
      </c>
      <c r="AH90" t="s">
        <v>73</v>
      </c>
      <c r="AI90" t="s">
        <v>74</v>
      </c>
      <c r="AJ90" t="s">
        <v>75</v>
      </c>
      <c r="AK90" t="s">
        <v>76</v>
      </c>
      <c r="AN90" t="s">
        <v>77</v>
      </c>
      <c r="AO90" t="s">
        <v>78</v>
      </c>
      <c r="AP90" t="s">
        <v>118</v>
      </c>
      <c r="AQ90" t="s">
        <v>80</v>
      </c>
      <c r="AS90" t="b">
        <v>1</v>
      </c>
      <c r="AT90" t="s">
        <v>65</v>
      </c>
      <c r="AU90">
        <v>0</v>
      </c>
      <c r="AV90">
        <v>0</v>
      </c>
      <c r="AX90">
        <v>39</v>
      </c>
      <c r="AY90" t="s">
        <v>81</v>
      </c>
      <c r="AZ90" t="s">
        <v>90</v>
      </c>
      <c r="BB90" t="s">
        <v>91</v>
      </c>
      <c r="BC90" t="s">
        <v>92</v>
      </c>
      <c r="BD90" t="b">
        <v>0</v>
      </c>
      <c r="BE90" t="b">
        <v>0</v>
      </c>
      <c r="BF90" t="b">
        <v>0</v>
      </c>
      <c r="BG90" t="b">
        <v>0</v>
      </c>
      <c r="BH90" t="b">
        <v>0</v>
      </c>
      <c r="BI90" t="b">
        <v>0</v>
      </c>
      <c r="BJ90" t="b">
        <v>0</v>
      </c>
      <c r="BK90" t="b">
        <v>0</v>
      </c>
      <c r="BL90" t="b">
        <v>0</v>
      </c>
      <c r="BM90" t="b">
        <v>0</v>
      </c>
      <c r="BN90" t="b">
        <v>0</v>
      </c>
      <c r="BO90" t="b">
        <v>0</v>
      </c>
      <c r="BP90" t="b">
        <v>0</v>
      </c>
      <c r="BR90" t="b">
        <f>IF(M90="PASSED",VLOOKUP(J90,All_Potential!$J$1:$N$500,1,FALSE))</f>
        <v>0</v>
      </c>
    </row>
    <row r="91" spans="1:70" ht="15" customHeight="1" x14ac:dyDescent="0.25">
      <c r="A91">
        <v>21156</v>
      </c>
      <c r="C91">
        <v>0</v>
      </c>
      <c r="D91" t="s">
        <v>83</v>
      </c>
      <c r="E91" t="s">
        <v>66</v>
      </c>
      <c r="F91" t="s">
        <v>84</v>
      </c>
      <c r="G91">
        <v>0</v>
      </c>
      <c r="H91" t="s">
        <v>85</v>
      </c>
      <c r="I91" t="s">
        <v>86</v>
      </c>
      <c r="J91" t="str">
        <f>MID($N91,FIND("1.",$N91),FIND("-",$N91)-FIND("1.",$N91)-1)</f>
        <v>1.0347</v>
      </c>
      <c r="K91" t="str">
        <f>MID($N91,FIND("MSWRK - ",$N91)+8,FIND(":",$N91)-FIND("MSWRK - ",$N91)-8)</f>
        <v>Ensure Restore files and directories is set to Administrators</v>
      </c>
      <c r="L91" t="str">
        <f t="shared" si="1"/>
        <v>1.0347 - MSWRK - Ensure Restore files and directories is set to Administrators</v>
      </c>
      <c r="M91" t="str">
        <f>MID($N91,FIND("[",$N91)+1,FIND("]",$N91)-FIND("[",$N91)-1)</f>
        <v>FAILED</v>
      </c>
      <c r="N91" s="1" t="s">
        <v>281</v>
      </c>
      <c r="O91" t="s">
        <v>67</v>
      </c>
      <c r="R91" t="s">
        <v>68</v>
      </c>
      <c r="T91" t="s">
        <v>69</v>
      </c>
      <c r="U91" t="s">
        <v>70</v>
      </c>
      <c r="W91" t="s">
        <v>71</v>
      </c>
      <c r="X91" s="1" t="s">
        <v>72</v>
      </c>
      <c r="Y91" t="s">
        <v>88</v>
      </c>
      <c r="Z91">
        <v>0</v>
      </c>
      <c r="AA91">
        <v>0</v>
      </c>
      <c r="AD91">
        <v>0</v>
      </c>
      <c r="AE91">
        <v>0</v>
      </c>
      <c r="AH91" t="s">
        <v>73</v>
      </c>
      <c r="AI91" t="s">
        <v>74</v>
      </c>
      <c r="AJ91" t="s">
        <v>75</v>
      </c>
      <c r="AK91" t="s">
        <v>76</v>
      </c>
      <c r="AN91" t="s">
        <v>77</v>
      </c>
      <c r="AO91" t="s">
        <v>78</v>
      </c>
      <c r="AP91" t="s">
        <v>279</v>
      </c>
      <c r="AQ91" t="s">
        <v>80</v>
      </c>
      <c r="AS91" t="b">
        <v>1</v>
      </c>
      <c r="AT91" t="s">
        <v>65</v>
      </c>
      <c r="AU91">
        <v>0</v>
      </c>
      <c r="AV91">
        <v>0</v>
      </c>
      <c r="AX91">
        <v>39</v>
      </c>
      <c r="AY91" t="s">
        <v>81</v>
      </c>
      <c r="AZ91" t="s">
        <v>90</v>
      </c>
      <c r="BB91" t="s">
        <v>91</v>
      </c>
      <c r="BC91" t="s">
        <v>92</v>
      </c>
      <c r="BD91" t="b">
        <v>0</v>
      </c>
      <c r="BE91" t="b">
        <v>0</v>
      </c>
      <c r="BF91" t="b">
        <v>0</v>
      </c>
      <c r="BG91" t="b">
        <v>0</v>
      </c>
      <c r="BH91" t="b">
        <v>0</v>
      </c>
      <c r="BI91" t="b">
        <v>0</v>
      </c>
      <c r="BJ91" t="b">
        <v>0</v>
      </c>
      <c r="BK91" t="b">
        <v>0</v>
      </c>
      <c r="BL91" t="b">
        <v>0</v>
      </c>
      <c r="BM91" t="b">
        <v>0</v>
      </c>
      <c r="BN91" t="b">
        <v>0</v>
      </c>
      <c r="BO91" t="b">
        <v>0</v>
      </c>
      <c r="BP91" t="b">
        <v>0</v>
      </c>
      <c r="BR91" t="b">
        <f>IF(M91="PASSED",VLOOKUP(J91,All_Potential!$J$1:$N$500,1,FALSE))</f>
        <v>0</v>
      </c>
    </row>
    <row r="92" spans="1:70" ht="15" customHeight="1" x14ac:dyDescent="0.25">
      <c r="A92">
        <v>21156</v>
      </c>
      <c r="C92">
        <v>0</v>
      </c>
      <c r="D92" t="s">
        <v>83</v>
      </c>
      <c r="E92" t="s">
        <v>66</v>
      </c>
      <c r="F92" t="s">
        <v>84</v>
      </c>
      <c r="G92">
        <v>0</v>
      </c>
      <c r="H92" t="s">
        <v>85</v>
      </c>
      <c r="I92" t="s">
        <v>86</v>
      </c>
      <c r="J92" t="str">
        <f>MID($N92,FIND("1.",$N92),FIND("-",$N92)-FIND("1.",$N92)-1)</f>
        <v>1.0348</v>
      </c>
      <c r="K92" t="str">
        <f>MID($N92,FIND("MSWRK - ",$N92)+8,FIND(":",$N92)-FIND("MSWRK - ",$N92)-8)</f>
        <v>Ensure Shut down the system is set to Administrators, Users</v>
      </c>
      <c r="L92" t="str">
        <f t="shared" si="1"/>
        <v>1.0348 - MSWRK - Ensure Shut down the system is set to Administrators, Users</v>
      </c>
      <c r="M92" t="str">
        <f>MID($N92,FIND("[",$N92)+1,FIND("]",$N92)-FIND("[",$N92)-1)</f>
        <v>FAILED</v>
      </c>
      <c r="N92" s="1" t="s">
        <v>259</v>
      </c>
      <c r="O92" t="s">
        <v>67</v>
      </c>
      <c r="R92" t="s">
        <v>68</v>
      </c>
      <c r="T92" t="s">
        <v>69</v>
      </c>
      <c r="U92" t="s">
        <v>70</v>
      </c>
      <c r="W92" t="s">
        <v>71</v>
      </c>
      <c r="X92" s="1" t="s">
        <v>72</v>
      </c>
      <c r="Y92" t="s">
        <v>88</v>
      </c>
      <c r="Z92">
        <v>0</v>
      </c>
      <c r="AA92">
        <v>0</v>
      </c>
      <c r="AD92">
        <v>0</v>
      </c>
      <c r="AE92">
        <v>0</v>
      </c>
      <c r="AH92" t="s">
        <v>73</v>
      </c>
      <c r="AI92" t="s">
        <v>74</v>
      </c>
      <c r="AJ92" t="s">
        <v>75</v>
      </c>
      <c r="AK92" t="s">
        <v>76</v>
      </c>
      <c r="AN92" t="s">
        <v>77</v>
      </c>
      <c r="AO92" t="s">
        <v>78</v>
      </c>
      <c r="AP92" t="s">
        <v>258</v>
      </c>
      <c r="AQ92" t="s">
        <v>80</v>
      </c>
      <c r="AS92" t="b">
        <v>1</v>
      </c>
      <c r="AT92" t="s">
        <v>65</v>
      </c>
      <c r="AU92">
        <v>0</v>
      </c>
      <c r="AV92">
        <v>0</v>
      </c>
      <c r="AX92">
        <v>39</v>
      </c>
      <c r="AY92" t="s">
        <v>81</v>
      </c>
      <c r="AZ92" t="s">
        <v>90</v>
      </c>
      <c r="BB92" t="s">
        <v>91</v>
      </c>
      <c r="BC92" t="s">
        <v>92</v>
      </c>
      <c r="BD92" t="b">
        <v>0</v>
      </c>
      <c r="BE92" t="b">
        <v>0</v>
      </c>
      <c r="BF92" t="b">
        <v>0</v>
      </c>
      <c r="BG92" t="b">
        <v>0</v>
      </c>
      <c r="BH92" t="b">
        <v>0</v>
      </c>
      <c r="BI92" t="b">
        <v>0</v>
      </c>
      <c r="BJ92" t="b">
        <v>0</v>
      </c>
      <c r="BK92" t="b">
        <v>0</v>
      </c>
      <c r="BL92" t="b">
        <v>0</v>
      </c>
      <c r="BM92" t="b">
        <v>0</v>
      </c>
      <c r="BN92" t="b">
        <v>0</v>
      </c>
      <c r="BO92" t="b">
        <v>0</v>
      </c>
      <c r="BP92" t="b">
        <v>0</v>
      </c>
      <c r="BR92" t="b">
        <f>IF(M92="PASSED",VLOOKUP(J92,All_Potential!$J$1:$N$500,1,FALSE))</f>
        <v>0</v>
      </c>
    </row>
    <row r="93" spans="1:70" ht="15" customHeight="1" x14ac:dyDescent="0.25">
      <c r="A93">
        <v>21156</v>
      </c>
      <c r="C93">
        <v>0</v>
      </c>
      <c r="D93" t="s">
        <v>83</v>
      </c>
      <c r="E93" t="s">
        <v>66</v>
      </c>
      <c r="F93" t="s">
        <v>84</v>
      </c>
      <c r="G93">
        <v>0</v>
      </c>
      <c r="H93" t="s">
        <v>85</v>
      </c>
      <c r="I93" t="s">
        <v>86</v>
      </c>
      <c r="J93" t="str">
        <f>MID($N93,FIND("1.",$N93),FIND("-",$N93)-FIND("1.",$N93)-1)</f>
        <v>1.0349</v>
      </c>
      <c r="K93" t="str">
        <f>MID($N93,FIND("MSWRK - ",$N93)+8,FIND(":",$N93)-FIND("MSWRK - ",$N93)-8)</f>
        <v>Ensure Take ownership of files or other objects is set to Administrators</v>
      </c>
      <c r="L93" t="str">
        <f t="shared" si="1"/>
        <v>1.0349 - MSWRK - Ensure Take ownership of files or other objects is set to Administrators</v>
      </c>
      <c r="M93" t="str">
        <f>MID($N93,FIND("[",$N93)+1,FIND("]",$N93)-FIND("[",$N93)-1)</f>
        <v>FAILED</v>
      </c>
      <c r="N93" s="1" t="s">
        <v>224</v>
      </c>
      <c r="O93" t="s">
        <v>67</v>
      </c>
      <c r="R93" t="s">
        <v>68</v>
      </c>
      <c r="T93" t="s">
        <v>69</v>
      </c>
      <c r="U93" t="s">
        <v>70</v>
      </c>
      <c r="W93" t="s">
        <v>71</v>
      </c>
      <c r="X93" s="1" t="s">
        <v>72</v>
      </c>
      <c r="Y93" t="s">
        <v>88</v>
      </c>
      <c r="Z93">
        <v>0</v>
      </c>
      <c r="AA93">
        <v>0</v>
      </c>
      <c r="AD93">
        <v>0</v>
      </c>
      <c r="AE93">
        <v>0</v>
      </c>
      <c r="AH93" t="s">
        <v>73</v>
      </c>
      <c r="AI93" t="s">
        <v>74</v>
      </c>
      <c r="AJ93" t="s">
        <v>75</v>
      </c>
      <c r="AK93" t="s">
        <v>76</v>
      </c>
      <c r="AN93" t="s">
        <v>77</v>
      </c>
      <c r="AO93" t="s">
        <v>78</v>
      </c>
      <c r="AP93" t="s">
        <v>225</v>
      </c>
      <c r="AQ93" t="s">
        <v>80</v>
      </c>
      <c r="AS93" t="b">
        <v>1</v>
      </c>
      <c r="AT93" t="s">
        <v>65</v>
      </c>
      <c r="AU93">
        <v>0</v>
      </c>
      <c r="AV93">
        <v>0</v>
      </c>
      <c r="AX93">
        <v>39</v>
      </c>
      <c r="AY93" t="s">
        <v>81</v>
      </c>
      <c r="AZ93" t="s">
        <v>90</v>
      </c>
      <c r="BB93" t="s">
        <v>91</v>
      </c>
      <c r="BC93" t="s">
        <v>92</v>
      </c>
      <c r="BD93" t="b">
        <v>0</v>
      </c>
      <c r="BE93" t="b">
        <v>0</v>
      </c>
      <c r="BF93" t="b">
        <v>0</v>
      </c>
      <c r="BG93" t="b">
        <v>0</v>
      </c>
      <c r="BH93" t="b">
        <v>0</v>
      </c>
      <c r="BI93" t="b">
        <v>0</v>
      </c>
      <c r="BJ93" t="b">
        <v>0</v>
      </c>
      <c r="BK93" t="b">
        <v>0</v>
      </c>
      <c r="BL93" t="b">
        <v>0</v>
      </c>
      <c r="BM93" t="b">
        <v>0</v>
      </c>
      <c r="BN93" t="b">
        <v>0</v>
      </c>
      <c r="BO93" t="b">
        <v>0</v>
      </c>
      <c r="BP93" t="b">
        <v>0</v>
      </c>
      <c r="BR93" t="b">
        <f>IF(M93="PASSED",VLOOKUP(J93,All_Potential!$J$1:$N$500,1,FALSE))</f>
        <v>0</v>
      </c>
    </row>
    <row r="94" spans="1:70" ht="15" customHeight="1" x14ac:dyDescent="0.25">
      <c r="A94">
        <v>21156</v>
      </c>
      <c r="C94">
        <v>0</v>
      </c>
      <c r="D94" t="s">
        <v>83</v>
      </c>
      <c r="E94" t="s">
        <v>66</v>
      </c>
      <c r="F94" t="s">
        <v>84</v>
      </c>
      <c r="G94">
        <v>0</v>
      </c>
      <c r="H94" t="s">
        <v>85</v>
      </c>
      <c r="I94" t="s">
        <v>86</v>
      </c>
      <c r="J94" t="str">
        <f>MID($N94,FIND("1.",$N94),FIND("-",$N94)-FIND("1.",$N94)-1)</f>
        <v>1.0350</v>
      </c>
      <c r="K94" t="str">
        <f>MID($N94,FIND("MSWRK - ",$N94)+8,FIND(":",$N94)-FIND("MSWRK - ",$N94)-8)</f>
        <v>Ensure Adjust memory quotas for a process is set to Administrators, LOCAL SERVICE, NETWORK SERVICE</v>
      </c>
      <c r="L94" t="str">
        <f t="shared" si="1"/>
        <v>1.0350 - MSWRK - Ensure Adjust memory quotas for a process is set to Administrators, LOCAL SERVICE, NETWORK SERVICE</v>
      </c>
      <c r="M94" t="str">
        <f>MID($N94,FIND("[",$N94)+1,FIND("]",$N94)-FIND("[",$N94)-1)</f>
        <v>FAILED</v>
      </c>
      <c r="N94" s="1" t="s">
        <v>187</v>
      </c>
      <c r="O94" t="s">
        <v>67</v>
      </c>
      <c r="R94" t="s">
        <v>68</v>
      </c>
      <c r="T94" t="s">
        <v>69</v>
      </c>
      <c r="U94" t="s">
        <v>70</v>
      </c>
      <c r="W94" t="s">
        <v>71</v>
      </c>
      <c r="X94" s="1" t="s">
        <v>72</v>
      </c>
      <c r="Y94" t="s">
        <v>88</v>
      </c>
      <c r="Z94">
        <v>0</v>
      </c>
      <c r="AA94">
        <v>0</v>
      </c>
      <c r="AD94">
        <v>0</v>
      </c>
      <c r="AE94">
        <v>0</v>
      </c>
      <c r="AH94" t="s">
        <v>73</v>
      </c>
      <c r="AI94" t="s">
        <v>74</v>
      </c>
      <c r="AJ94" t="s">
        <v>75</v>
      </c>
      <c r="AK94" t="s">
        <v>76</v>
      </c>
      <c r="AN94" t="s">
        <v>77</v>
      </c>
      <c r="AO94" t="s">
        <v>78</v>
      </c>
      <c r="AP94" t="s">
        <v>186</v>
      </c>
      <c r="AQ94" t="s">
        <v>80</v>
      </c>
      <c r="AS94" t="b">
        <v>1</v>
      </c>
      <c r="AT94" t="s">
        <v>65</v>
      </c>
      <c r="AU94">
        <v>0</v>
      </c>
      <c r="AV94">
        <v>0</v>
      </c>
      <c r="AX94">
        <v>39</v>
      </c>
      <c r="AY94" t="s">
        <v>81</v>
      </c>
      <c r="AZ94" t="s">
        <v>90</v>
      </c>
      <c r="BB94" t="s">
        <v>91</v>
      </c>
      <c r="BC94" t="s">
        <v>92</v>
      </c>
      <c r="BD94" t="b">
        <v>0</v>
      </c>
      <c r="BE94" t="b">
        <v>0</v>
      </c>
      <c r="BF94" t="b">
        <v>0</v>
      </c>
      <c r="BG94" t="b">
        <v>0</v>
      </c>
      <c r="BH94" t="b">
        <v>0</v>
      </c>
      <c r="BI94" t="b">
        <v>0</v>
      </c>
      <c r="BJ94" t="b">
        <v>0</v>
      </c>
      <c r="BK94" t="b">
        <v>0</v>
      </c>
      <c r="BL94" t="b">
        <v>0</v>
      </c>
      <c r="BM94" t="b">
        <v>0</v>
      </c>
      <c r="BN94" t="b">
        <v>0</v>
      </c>
      <c r="BO94" t="b">
        <v>0</v>
      </c>
      <c r="BP94" t="b">
        <v>0</v>
      </c>
      <c r="BR94" t="b">
        <f>IF(M94="PASSED",VLOOKUP(J94,All_Potential!$J$1:$N$500,1,FALSE))</f>
        <v>0</v>
      </c>
    </row>
    <row r="95" spans="1:70" ht="15" customHeight="1" x14ac:dyDescent="0.25">
      <c r="A95">
        <v>21156</v>
      </c>
      <c r="C95">
        <v>0</v>
      </c>
      <c r="D95" t="s">
        <v>83</v>
      </c>
      <c r="E95" t="s">
        <v>66</v>
      </c>
      <c r="F95" t="s">
        <v>84</v>
      </c>
      <c r="G95">
        <v>0</v>
      </c>
      <c r="H95" t="s">
        <v>85</v>
      </c>
      <c r="I95" t="s">
        <v>86</v>
      </c>
      <c r="J95" t="str">
        <f>MID($N95,FIND("1.",$N95),FIND("-",$N95)-FIND("1.",$N95)-1)</f>
        <v>1.0351</v>
      </c>
      <c r="K95" t="str">
        <f>MID($N95,FIND("MSWRK - ",$N95)+8,FIND(":",$N95)-FIND("MSWRK - ",$N95)-8)</f>
        <v>Ensure Allow log on locally is set to Administrators, Users</v>
      </c>
      <c r="L95" t="str">
        <f t="shared" si="1"/>
        <v>1.0351 - MSWRK - Ensure Allow log on locally is set to Administrators, Users</v>
      </c>
      <c r="M95" t="str">
        <f>MID($N95,FIND("[",$N95)+1,FIND("]",$N95)-FIND("[",$N95)-1)</f>
        <v>FAILED</v>
      </c>
      <c r="N95" s="1" t="s">
        <v>209</v>
      </c>
      <c r="O95" t="s">
        <v>67</v>
      </c>
      <c r="R95" t="s">
        <v>68</v>
      </c>
      <c r="T95" t="s">
        <v>69</v>
      </c>
      <c r="U95" t="s">
        <v>70</v>
      </c>
      <c r="W95" t="s">
        <v>71</v>
      </c>
      <c r="X95" s="1" t="s">
        <v>72</v>
      </c>
      <c r="Y95" t="s">
        <v>88</v>
      </c>
      <c r="Z95">
        <v>0</v>
      </c>
      <c r="AA95">
        <v>0</v>
      </c>
      <c r="AD95">
        <v>0</v>
      </c>
      <c r="AE95">
        <v>0</v>
      </c>
      <c r="AH95" t="s">
        <v>73</v>
      </c>
      <c r="AI95" t="s">
        <v>74</v>
      </c>
      <c r="AJ95" t="s">
        <v>75</v>
      </c>
      <c r="AK95" t="s">
        <v>76</v>
      </c>
      <c r="AN95" t="s">
        <v>77</v>
      </c>
      <c r="AO95" t="s">
        <v>78</v>
      </c>
      <c r="AP95" t="s">
        <v>208</v>
      </c>
      <c r="AQ95" t="s">
        <v>80</v>
      </c>
      <c r="AS95" t="b">
        <v>1</v>
      </c>
      <c r="AT95" t="s">
        <v>65</v>
      </c>
      <c r="AU95">
        <v>0</v>
      </c>
      <c r="AV95">
        <v>0</v>
      </c>
      <c r="AX95">
        <v>39</v>
      </c>
      <c r="AY95" t="s">
        <v>81</v>
      </c>
      <c r="AZ95" t="s">
        <v>90</v>
      </c>
      <c r="BB95" t="s">
        <v>91</v>
      </c>
      <c r="BC95" t="s">
        <v>92</v>
      </c>
      <c r="BD95" t="b">
        <v>0</v>
      </c>
      <c r="BE95" t="b">
        <v>0</v>
      </c>
      <c r="BF95" t="b">
        <v>0</v>
      </c>
      <c r="BG95" t="b">
        <v>0</v>
      </c>
      <c r="BH95" t="b">
        <v>0</v>
      </c>
      <c r="BI95" t="b">
        <v>0</v>
      </c>
      <c r="BJ95" t="b">
        <v>0</v>
      </c>
      <c r="BK95" t="b">
        <v>0</v>
      </c>
      <c r="BL95" t="b">
        <v>0</v>
      </c>
      <c r="BM95" t="b">
        <v>0</v>
      </c>
      <c r="BN95" t="b">
        <v>0</v>
      </c>
      <c r="BO95" t="b">
        <v>0</v>
      </c>
      <c r="BP95" t="b">
        <v>0</v>
      </c>
      <c r="BR95" t="b">
        <f>IF(M95="PASSED",VLOOKUP(J95,All_Potential!$J$1:$N$500,1,FALSE))</f>
        <v>0</v>
      </c>
    </row>
    <row r="96" spans="1:70" ht="15" customHeight="1" x14ac:dyDescent="0.25">
      <c r="A96">
        <v>21156</v>
      </c>
      <c r="C96">
        <v>0</v>
      </c>
      <c r="D96" t="s">
        <v>83</v>
      </c>
      <c r="E96" t="s">
        <v>66</v>
      </c>
      <c r="F96" t="s">
        <v>84</v>
      </c>
      <c r="G96">
        <v>0</v>
      </c>
      <c r="H96" t="s">
        <v>85</v>
      </c>
      <c r="I96" t="s">
        <v>86</v>
      </c>
      <c r="J96" t="str">
        <f>MID($N96,FIND("1.",$N96),FIND("-",$N96)-FIND("1.",$N96)-1)</f>
        <v>1.0352</v>
      </c>
      <c r="K96" t="str">
        <f>MID($N96,FIND("MSWRK - ",$N96)+8,FIND(":",$N96)-FIND("MSWRK - ",$N96)-8)</f>
        <v>Ensure Allow log on through Remote Desktop Services is set to Administrators, Remote Desktop Users</v>
      </c>
      <c r="L96" t="str">
        <f t="shared" si="1"/>
        <v>1.0352 - MSWRK - Ensure Allow log on through Remote Desktop Services is set to Administrators, Remote Desktop Users</v>
      </c>
      <c r="M96" t="str">
        <f>MID($N96,FIND("[",$N96)+1,FIND("]",$N96)-FIND("[",$N96)-1)</f>
        <v>FAILED</v>
      </c>
      <c r="N96" s="1" t="s">
        <v>278</v>
      </c>
      <c r="O96" t="s">
        <v>67</v>
      </c>
      <c r="R96" t="s">
        <v>68</v>
      </c>
      <c r="T96" t="s">
        <v>69</v>
      </c>
      <c r="U96" t="s">
        <v>70</v>
      </c>
      <c r="W96" t="s">
        <v>71</v>
      </c>
      <c r="X96" s="1" t="s">
        <v>72</v>
      </c>
      <c r="Y96" t="s">
        <v>88</v>
      </c>
      <c r="Z96">
        <v>0</v>
      </c>
      <c r="AA96">
        <v>0</v>
      </c>
      <c r="AD96">
        <v>0</v>
      </c>
      <c r="AE96">
        <v>0</v>
      </c>
      <c r="AH96" t="s">
        <v>73</v>
      </c>
      <c r="AI96" t="s">
        <v>74</v>
      </c>
      <c r="AJ96" t="s">
        <v>75</v>
      </c>
      <c r="AK96" t="s">
        <v>76</v>
      </c>
      <c r="AN96" t="s">
        <v>77</v>
      </c>
      <c r="AO96" t="s">
        <v>78</v>
      </c>
      <c r="AP96" t="s">
        <v>279</v>
      </c>
      <c r="AQ96" t="s">
        <v>80</v>
      </c>
      <c r="AS96" t="b">
        <v>1</v>
      </c>
      <c r="AT96" t="s">
        <v>65</v>
      </c>
      <c r="AU96">
        <v>0</v>
      </c>
      <c r="AV96">
        <v>0</v>
      </c>
      <c r="AX96">
        <v>39</v>
      </c>
      <c r="AY96" t="s">
        <v>81</v>
      </c>
      <c r="AZ96" t="s">
        <v>90</v>
      </c>
      <c r="BB96" t="s">
        <v>91</v>
      </c>
      <c r="BC96" t="s">
        <v>92</v>
      </c>
      <c r="BD96" t="b">
        <v>0</v>
      </c>
      <c r="BE96" t="b">
        <v>0</v>
      </c>
      <c r="BF96" t="b">
        <v>0</v>
      </c>
      <c r="BG96" t="b">
        <v>0</v>
      </c>
      <c r="BH96" t="b">
        <v>0</v>
      </c>
      <c r="BI96" t="b">
        <v>0</v>
      </c>
      <c r="BJ96" t="b">
        <v>0</v>
      </c>
      <c r="BK96" t="b">
        <v>0</v>
      </c>
      <c r="BL96" t="b">
        <v>0</v>
      </c>
      <c r="BM96" t="b">
        <v>0</v>
      </c>
      <c r="BN96" t="b">
        <v>0</v>
      </c>
      <c r="BO96" t="b">
        <v>0</v>
      </c>
      <c r="BP96" t="b">
        <v>0</v>
      </c>
      <c r="BR96" t="b">
        <f>IF(M96="PASSED",VLOOKUP(J96,All_Potential!$J$1:$N$500,1,FALSE))</f>
        <v>0</v>
      </c>
    </row>
    <row r="97" spans="1:70" ht="15" customHeight="1" x14ac:dyDescent="0.25">
      <c r="A97">
        <v>21156</v>
      </c>
      <c r="C97">
        <v>0</v>
      </c>
      <c r="D97" t="s">
        <v>83</v>
      </c>
      <c r="E97" t="s">
        <v>66</v>
      </c>
      <c r="F97" t="s">
        <v>84</v>
      </c>
      <c r="G97">
        <v>0</v>
      </c>
      <c r="H97" t="s">
        <v>85</v>
      </c>
      <c r="I97" t="s">
        <v>86</v>
      </c>
      <c r="J97" t="str">
        <f>MID($N97,FIND("1.",$N97),FIND("-",$N97)-FIND("1.",$N97)-1)</f>
        <v>1.0353</v>
      </c>
      <c r="K97" t="str">
        <f>MID($N97,FIND("MSWRK - ",$N97)+8,FIND(":",$N97)-FIND("MSWRK - ",$N97)-8)</f>
        <v>Ensure Back up files and directories is set to Administrators</v>
      </c>
      <c r="L97" t="str">
        <f t="shared" si="1"/>
        <v>1.0353 - MSWRK - Ensure Back up files and directories is set to Administrators</v>
      </c>
      <c r="M97" t="str">
        <f>MID($N97,FIND("[",$N97)+1,FIND("]",$N97)-FIND("[",$N97)-1)</f>
        <v>FAILED</v>
      </c>
      <c r="N97" s="1" t="s">
        <v>264</v>
      </c>
      <c r="O97" t="s">
        <v>67</v>
      </c>
      <c r="R97" t="s">
        <v>68</v>
      </c>
      <c r="T97" t="s">
        <v>69</v>
      </c>
      <c r="U97" t="s">
        <v>70</v>
      </c>
      <c r="W97" t="s">
        <v>71</v>
      </c>
      <c r="X97" s="1" t="s">
        <v>72</v>
      </c>
      <c r="Y97" t="s">
        <v>88</v>
      </c>
      <c r="Z97">
        <v>0</v>
      </c>
      <c r="AA97">
        <v>0</v>
      </c>
      <c r="AD97">
        <v>0</v>
      </c>
      <c r="AE97">
        <v>0</v>
      </c>
      <c r="AH97" t="s">
        <v>73</v>
      </c>
      <c r="AI97" t="s">
        <v>74</v>
      </c>
      <c r="AJ97" t="s">
        <v>75</v>
      </c>
      <c r="AK97" t="s">
        <v>76</v>
      </c>
      <c r="AN97" t="s">
        <v>77</v>
      </c>
      <c r="AO97" t="s">
        <v>78</v>
      </c>
      <c r="AP97" t="s">
        <v>262</v>
      </c>
      <c r="AQ97" t="s">
        <v>80</v>
      </c>
      <c r="AS97" t="b">
        <v>1</v>
      </c>
      <c r="AT97" t="s">
        <v>65</v>
      </c>
      <c r="AU97">
        <v>0</v>
      </c>
      <c r="AV97">
        <v>0</v>
      </c>
      <c r="AX97">
        <v>39</v>
      </c>
      <c r="AY97" t="s">
        <v>81</v>
      </c>
      <c r="AZ97" t="s">
        <v>90</v>
      </c>
      <c r="BB97" t="s">
        <v>91</v>
      </c>
      <c r="BC97" t="s">
        <v>92</v>
      </c>
      <c r="BD97" t="b">
        <v>0</v>
      </c>
      <c r="BE97" t="b">
        <v>0</v>
      </c>
      <c r="BF97" t="b">
        <v>0</v>
      </c>
      <c r="BG97" t="b">
        <v>0</v>
      </c>
      <c r="BH97" t="b">
        <v>0</v>
      </c>
      <c r="BI97" t="b">
        <v>0</v>
      </c>
      <c r="BJ97" t="b">
        <v>0</v>
      </c>
      <c r="BK97" t="b">
        <v>0</v>
      </c>
      <c r="BL97" t="b">
        <v>0</v>
      </c>
      <c r="BM97" t="b">
        <v>0</v>
      </c>
      <c r="BN97" t="b">
        <v>0</v>
      </c>
      <c r="BO97" t="b">
        <v>0</v>
      </c>
      <c r="BP97" t="b">
        <v>0</v>
      </c>
      <c r="BR97" t="b">
        <f>IF(M97="PASSED",VLOOKUP(J97,All_Potential!$J$1:$N$500,1,FALSE))</f>
        <v>0</v>
      </c>
    </row>
    <row r="98" spans="1:70" ht="15" customHeight="1" x14ac:dyDescent="0.25">
      <c r="A98">
        <v>21156</v>
      </c>
      <c r="C98">
        <v>0</v>
      </c>
      <c r="D98" t="s">
        <v>83</v>
      </c>
      <c r="E98" t="s">
        <v>66</v>
      </c>
      <c r="F98" t="s">
        <v>84</v>
      </c>
      <c r="G98">
        <v>0</v>
      </c>
      <c r="H98" t="s">
        <v>85</v>
      </c>
      <c r="I98" t="s">
        <v>86</v>
      </c>
      <c r="J98" t="str">
        <f>MID($N98,FIND("1.",$N98),FIND("-",$N98)-FIND("1.",$N98)-1)</f>
        <v>1.0354</v>
      </c>
      <c r="K98" t="str">
        <f>MID($N98,FIND("MSWRK - ",$N98)+8,FIND(":",$N98)-FIND("MSWRK - ",$N98)-8)</f>
        <v>Ensure Change the system time is set to Administrators, LOCAL SERVICE</v>
      </c>
      <c r="L98" t="str">
        <f t="shared" si="1"/>
        <v>1.0354 - MSWRK - Ensure Change the system time is set to Administrators, LOCAL SERVICE</v>
      </c>
      <c r="M98" t="str">
        <f>MID($N98,FIND("[",$N98)+1,FIND("]",$N98)-FIND("[",$N98)-1)</f>
        <v>FAILED</v>
      </c>
      <c r="N98" s="1" t="s">
        <v>134</v>
      </c>
      <c r="O98" t="s">
        <v>67</v>
      </c>
      <c r="R98" t="s">
        <v>68</v>
      </c>
      <c r="T98" t="s">
        <v>69</v>
      </c>
      <c r="U98" t="s">
        <v>70</v>
      </c>
      <c r="W98" t="s">
        <v>71</v>
      </c>
      <c r="X98" s="1" t="s">
        <v>72</v>
      </c>
      <c r="Y98" t="s">
        <v>88</v>
      </c>
      <c r="Z98">
        <v>0</v>
      </c>
      <c r="AA98">
        <v>0</v>
      </c>
      <c r="AD98">
        <v>0</v>
      </c>
      <c r="AE98">
        <v>0</v>
      </c>
      <c r="AH98" t="s">
        <v>73</v>
      </c>
      <c r="AI98" t="s">
        <v>74</v>
      </c>
      <c r="AJ98" t="s">
        <v>75</v>
      </c>
      <c r="AK98" t="s">
        <v>76</v>
      </c>
      <c r="AN98" t="s">
        <v>77</v>
      </c>
      <c r="AO98" t="s">
        <v>78</v>
      </c>
      <c r="AP98" t="s">
        <v>135</v>
      </c>
      <c r="AQ98" t="s">
        <v>80</v>
      </c>
      <c r="AS98" t="b">
        <v>1</v>
      </c>
      <c r="AT98" t="s">
        <v>65</v>
      </c>
      <c r="AU98">
        <v>0</v>
      </c>
      <c r="AV98">
        <v>0</v>
      </c>
      <c r="AX98">
        <v>39</v>
      </c>
      <c r="AY98" t="s">
        <v>81</v>
      </c>
      <c r="AZ98" t="s">
        <v>90</v>
      </c>
      <c r="BB98" t="s">
        <v>91</v>
      </c>
      <c r="BC98" t="s">
        <v>92</v>
      </c>
      <c r="BD98" t="b">
        <v>0</v>
      </c>
      <c r="BE98" t="b">
        <v>0</v>
      </c>
      <c r="BF98" t="b">
        <v>0</v>
      </c>
      <c r="BG98" t="b">
        <v>0</v>
      </c>
      <c r="BH98" t="b">
        <v>0</v>
      </c>
      <c r="BI98" t="b">
        <v>0</v>
      </c>
      <c r="BJ98" t="b">
        <v>0</v>
      </c>
      <c r="BK98" t="b">
        <v>0</v>
      </c>
      <c r="BL98" t="b">
        <v>0</v>
      </c>
      <c r="BM98" t="b">
        <v>0</v>
      </c>
      <c r="BN98" t="b">
        <v>0</v>
      </c>
      <c r="BO98" t="b">
        <v>0</v>
      </c>
      <c r="BP98" t="b">
        <v>0</v>
      </c>
      <c r="BR98" t="b">
        <f>IF(M98="PASSED",VLOOKUP(J98,All_Potential!$J$1:$N$500,1,FALSE))</f>
        <v>0</v>
      </c>
    </row>
    <row r="99" spans="1:70" ht="15" customHeight="1" x14ac:dyDescent="0.25">
      <c r="A99">
        <v>21156</v>
      </c>
      <c r="C99">
        <v>0</v>
      </c>
      <c r="D99" t="s">
        <v>83</v>
      </c>
      <c r="E99" t="s">
        <v>66</v>
      </c>
      <c r="F99" t="s">
        <v>84</v>
      </c>
      <c r="G99">
        <v>0</v>
      </c>
      <c r="H99" t="s">
        <v>85</v>
      </c>
      <c r="I99" t="s">
        <v>86</v>
      </c>
      <c r="J99" t="str">
        <f>MID($N99,FIND("1.",$N99),FIND("-",$N99)-FIND("1.",$N99)-1)</f>
        <v>1.0355</v>
      </c>
      <c r="K99" t="str">
        <f>MID($N99,FIND("MSWRK - ",$N99)+8,FIND(":",$N99)-FIND("MSWRK - ",$N99)-8)</f>
        <v>Ensure Create a pagefile is set to Administrators</v>
      </c>
      <c r="L99" t="str">
        <f t="shared" si="1"/>
        <v>1.0355 - MSWRK - Ensure Create a pagefile is set to Administrators</v>
      </c>
      <c r="M99" t="str">
        <f>MID($N99,FIND("[",$N99)+1,FIND("]",$N99)-FIND("[",$N99)-1)</f>
        <v>FAILED</v>
      </c>
      <c r="N99" s="1" t="s">
        <v>299</v>
      </c>
      <c r="O99" t="s">
        <v>67</v>
      </c>
      <c r="R99" t="s">
        <v>68</v>
      </c>
      <c r="T99" t="s">
        <v>69</v>
      </c>
      <c r="U99" t="s">
        <v>70</v>
      </c>
      <c r="W99" t="s">
        <v>71</v>
      </c>
      <c r="X99" s="1" t="s">
        <v>72</v>
      </c>
      <c r="Y99" t="s">
        <v>88</v>
      </c>
      <c r="Z99">
        <v>0</v>
      </c>
      <c r="AA99">
        <v>0</v>
      </c>
      <c r="AD99">
        <v>0</v>
      </c>
      <c r="AE99">
        <v>0</v>
      </c>
      <c r="AH99" t="s">
        <v>73</v>
      </c>
      <c r="AI99" t="s">
        <v>74</v>
      </c>
      <c r="AJ99" t="s">
        <v>75</v>
      </c>
      <c r="AK99" t="s">
        <v>76</v>
      </c>
      <c r="AN99" t="s">
        <v>77</v>
      </c>
      <c r="AO99" t="s">
        <v>78</v>
      </c>
      <c r="AP99" t="s">
        <v>297</v>
      </c>
      <c r="AQ99" t="s">
        <v>80</v>
      </c>
      <c r="AS99" t="b">
        <v>1</v>
      </c>
      <c r="AT99" t="s">
        <v>65</v>
      </c>
      <c r="AU99">
        <v>0</v>
      </c>
      <c r="AV99">
        <v>0</v>
      </c>
      <c r="AX99">
        <v>39</v>
      </c>
      <c r="AY99" t="s">
        <v>81</v>
      </c>
      <c r="AZ99" t="s">
        <v>90</v>
      </c>
      <c r="BB99" t="s">
        <v>91</v>
      </c>
      <c r="BC99" t="s">
        <v>92</v>
      </c>
      <c r="BD99" t="b">
        <v>0</v>
      </c>
      <c r="BE99" t="b">
        <v>0</v>
      </c>
      <c r="BF99" t="b">
        <v>0</v>
      </c>
      <c r="BG99" t="b">
        <v>0</v>
      </c>
      <c r="BH99" t="b">
        <v>0</v>
      </c>
      <c r="BI99" t="b">
        <v>0</v>
      </c>
      <c r="BJ99" t="b">
        <v>0</v>
      </c>
      <c r="BK99" t="b">
        <v>0</v>
      </c>
      <c r="BL99" t="b">
        <v>0</v>
      </c>
      <c r="BM99" t="b">
        <v>0</v>
      </c>
      <c r="BN99" t="b">
        <v>0</v>
      </c>
      <c r="BO99" t="b">
        <v>0</v>
      </c>
      <c r="BP99" t="b">
        <v>0</v>
      </c>
      <c r="BR99" t="b">
        <f>IF(M99="PASSED",VLOOKUP(J99,All_Potential!$J$1:$N$500,1,FALSE))</f>
        <v>0</v>
      </c>
    </row>
    <row r="100" spans="1:70" ht="15" customHeight="1" x14ac:dyDescent="0.25">
      <c r="A100">
        <v>21156</v>
      </c>
      <c r="C100">
        <v>0</v>
      </c>
      <c r="D100" t="s">
        <v>65</v>
      </c>
      <c r="E100" t="s">
        <v>66</v>
      </c>
      <c r="F100" t="s">
        <v>84</v>
      </c>
      <c r="G100">
        <v>0</v>
      </c>
      <c r="H100" t="s">
        <v>85</v>
      </c>
      <c r="I100" t="s">
        <v>86</v>
      </c>
      <c r="J100" t="str">
        <f>MID($N100,FIND("1.",$N100),FIND("-",$N100)-FIND("1.",$N100)-1)</f>
        <v>1.0359</v>
      </c>
      <c r="K100" t="str">
        <f>MID($N100,FIND("MSWRK - ",$N100)+8,FIND(":",$N100)-FIND("MSWRK - ",$N100)-8)</f>
        <v>Ensure Network access</v>
      </c>
      <c r="L100" t="str">
        <f t="shared" si="1"/>
        <v>1.0359 - MSWRK - Ensure Network access: Sharing and security model for local accounts is set to Classic - local users authenticate as themselves</v>
      </c>
      <c r="M100" t="str">
        <f>MID($N100,FIND("[",$N100)+1,FIND("]",$N100)-FIND("[",$N100)-1)</f>
        <v>PASSED</v>
      </c>
      <c r="N100" s="1" t="s">
        <v>219</v>
      </c>
      <c r="O100" t="s">
        <v>67</v>
      </c>
      <c r="R100" t="s">
        <v>68</v>
      </c>
      <c r="T100" t="s">
        <v>69</v>
      </c>
      <c r="U100" t="s">
        <v>70</v>
      </c>
      <c r="W100" t="s">
        <v>71</v>
      </c>
      <c r="X100" s="1" t="s">
        <v>72</v>
      </c>
      <c r="Y100" t="s">
        <v>88</v>
      </c>
      <c r="Z100">
        <v>0</v>
      </c>
      <c r="AA100">
        <v>0</v>
      </c>
      <c r="AD100">
        <v>0</v>
      </c>
      <c r="AE100">
        <v>0</v>
      </c>
      <c r="AH100" t="s">
        <v>73</v>
      </c>
      <c r="AI100" t="s">
        <v>74</v>
      </c>
      <c r="AJ100" t="s">
        <v>75</v>
      </c>
      <c r="AK100" t="s">
        <v>76</v>
      </c>
      <c r="AN100" t="s">
        <v>77</v>
      </c>
      <c r="AO100" t="s">
        <v>78</v>
      </c>
      <c r="AP100" t="s">
        <v>220</v>
      </c>
      <c r="AQ100" t="s">
        <v>80</v>
      </c>
      <c r="AS100" t="b">
        <v>1</v>
      </c>
      <c r="AT100" t="s">
        <v>65</v>
      </c>
      <c r="AU100">
        <v>0</v>
      </c>
      <c r="AV100">
        <v>0</v>
      </c>
      <c r="AX100">
        <v>39</v>
      </c>
      <c r="AY100" t="s">
        <v>81</v>
      </c>
      <c r="AZ100" t="s">
        <v>90</v>
      </c>
      <c r="BB100" t="s">
        <v>91</v>
      </c>
      <c r="BC100" t="s">
        <v>92</v>
      </c>
      <c r="BD100" t="b">
        <v>0</v>
      </c>
      <c r="BE100" t="b">
        <v>0</v>
      </c>
      <c r="BF100" t="b">
        <v>0</v>
      </c>
      <c r="BG100" t="b">
        <v>0</v>
      </c>
      <c r="BH100" t="b">
        <v>0</v>
      </c>
      <c r="BI100" t="b">
        <v>0</v>
      </c>
      <c r="BJ100" t="b">
        <v>0</v>
      </c>
      <c r="BK100" t="b">
        <v>0</v>
      </c>
      <c r="BL100" t="b">
        <v>0</v>
      </c>
      <c r="BM100" t="b">
        <v>0</v>
      </c>
      <c r="BN100" t="b">
        <v>0</v>
      </c>
      <c r="BO100" t="b">
        <v>0</v>
      </c>
      <c r="BP100" t="b">
        <v>0</v>
      </c>
      <c r="BR100" t="str">
        <f>IF(M100="PASSED",VLOOKUP(J100,All_Potential!$J$1:$N$500,1,FALSE))</f>
        <v>1.0359</v>
      </c>
    </row>
    <row r="101" spans="1:70" ht="15" customHeight="1" x14ac:dyDescent="0.25">
      <c r="A101">
        <v>21156</v>
      </c>
      <c r="C101">
        <v>0</v>
      </c>
      <c r="D101" t="s">
        <v>65</v>
      </c>
      <c r="E101" t="s">
        <v>66</v>
      </c>
      <c r="F101" t="s">
        <v>84</v>
      </c>
      <c r="G101">
        <v>0</v>
      </c>
      <c r="H101" t="s">
        <v>85</v>
      </c>
      <c r="I101" t="s">
        <v>86</v>
      </c>
      <c r="J101" t="str">
        <f>MID($N101,FIND("1.",$N101),FIND("-",$N101)-FIND("1.",$N101)-1)</f>
        <v>1.0360</v>
      </c>
      <c r="K101" t="str">
        <f>MID($N101,FIND("MSWRK - ",$N101)+8,FIND(":",$N101)-FIND("MSWRK - ",$N101)-8)</f>
        <v>Ensure Network access</v>
      </c>
      <c r="L101" t="str">
        <f t="shared" si="1"/>
        <v>1.0360 - MSWRK - Ensure Network access: Do not allow anonymous enumeration of SAM accounts is set to Enabled</v>
      </c>
      <c r="M101" t="str">
        <f>MID($N101,FIND("[",$N101)+1,FIND("]",$N101)-FIND("[",$N101)-1)</f>
        <v>PASSED</v>
      </c>
      <c r="N101" s="1" t="s">
        <v>284</v>
      </c>
      <c r="O101" t="s">
        <v>67</v>
      </c>
      <c r="R101" t="s">
        <v>68</v>
      </c>
      <c r="T101" t="s">
        <v>69</v>
      </c>
      <c r="U101" t="s">
        <v>70</v>
      </c>
      <c r="W101" t="s">
        <v>71</v>
      </c>
      <c r="X101" s="1" t="s">
        <v>72</v>
      </c>
      <c r="Y101" t="s">
        <v>88</v>
      </c>
      <c r="Z101">
        <v>0</v>
      </c>
      <c r="AA101">
        <v>0</v>
      </c>
      <c r="AD101">
        <v>0</v>
      </c>
      <c r="AE101">
        <v>0</v>
      </c>
      <c r="AH101" t="s">
        <v>73</v>
      </c>
      <c r="AI101" t="s">
        <v>74</v>
      </c>
      <c r="AJ101" t="s">
        <v>75</v>
      </c>
      <c r="AK101" t="s">
        <v>76</v>
      </c>
      <c r="AN101" t="s">
        <v>77</v>
      </c>
      <c r="AO101" t="s">
        <v>78</v>
      </c>
      <c r="AP101" t="s">
        <v>283</v>
      </c>
      <c r="AQ101" t="s">
        <v>80</v>
      </c>
      <c r="AS101" t="b">
        <v>1</v>
      </c>
      <c r="AT101" t="s">
        <v>65</v>
      </c>
      <c r="AU101">
        <v>0</v>
      </c>
      <c r="AV101">
        <v>0</v>
      </c>
      <c r="AX101">
        <v>39</v>
      </c>
      <c r="AY101" t="s">
        <v>81</v>
      </c>
      <c r="AZ101" t="s">
        <v>90</v>
      </c>
      <c r="BB101" t="s">
        <v>91</v>
      </c>
      <c r="BC101" t="s">
        <v>92</v>
      </c>
      <c r="BD101" t="b">
        <v>0</v>
      </c>
      <c r="BE101" t="b">
        <v>0</v>
      </c>
      <c r="BF101" t="b">
        <v>0</v>
      </c>
      <c r="BG101" t="b">
        <v>0</v>
      </c>
      <c r="BH101" t="b">
        <v>0</v>
      </c>
      <c r="BI101" t="b">
        <v>0</v>
      </c>
      <c r="BJ101" t="b">
        <v>0</v>
      </c>
      <c r="BK101" t="b">
        <v>0</v>
      </c>
      <c r="BL101" t="b">
        <v>0</v>
      </c>
      <c r="BM101" t="b">
        <v>0</v>
      </c>
      <c r="BN101" t="b">
        <v>0</v>
      </c>
      <c r="BO101" t="b">
        <v>0</v>
      </c>
      <c r="BP101" t="b">
        <v>0</v>
      </c>
      <c r="BR101" t="str">
        <f>IF(M101="PASSED",VLOOKUP(J101,All_Potential!$J$1:$N$500,1,FALSE))</f>
        <v>1.0360</v>
      </c>
    </row>
    <row r="102" spans="1:70" ht="15" customHeight="1" x14ac:dyDescent="0.25">
      <c r="A102">
        <v>21156</v>
      </c>
      <c r="C102">
        <v>0</v>
      </c>
      <c r="D102" t="s">
        <v>65</v>
      </c>
      <c r="E102" t="s">
        <v>66</v>
      </c>
      <c r="F102" t="s">
        <v>84</v>
      </c>
      <c r="G102">
        <v>0</v>
      </c>
      <c r="H102" t="s">
        <v>85</v>
      </c>
      <c r="I102" t="s">
        <v>86</v>
      </c>
      <c r="J102" t="str">
        <f>MID($N102,FIND("1.",$N102),FIND("-",$N102)-FIND("1.",$N102)-1)</f>
        <v>1.0363</v>
      </c>
      <c r="K102" t="str">
        <f>MID($N102,FIND("MSWRK - ",$N102)+8,FIND(":",$N102)-FIND("MSWRK - ",$N102)-8)</f>
        <v>Ensure Network access</v>
      </c>
      <c r="L102" t="str">
        <f t="shared" si="1"/>
        <v>1.0363 - MSWRK - Ensure Network access: Let Everyone permissions apply to anonymous users is set to Disabled</v>
      </c>
      <c r="M102" t="str">
        <f>MID($N102,FIND("[",$N102)+1,FIND("]",$N102)-FIND("[",$N102)-1)</f>
        <v>PASSED</v>
      </c>
      <c r="N102" s="1" t="s">
        <v>270</v>
      </c>
      <c r="O102" t="s">
        <v>67</v>
      </c>
      <c r="R102" t="s">
        <v>68</v>
      </c>
      <c r="T102" t="s">
        <v>69</v>
      </c>
      <c r="U102" t="s">
        <v>70</v>
      </c>
      <c r="W102" t="s">
        <v>71</v>
      </c>
      <c r="X102" s="1" t="s">
        <v>72</v>
      </c>
      <c r="Y102" t="s">
        <v>88</v>
      </c>
      <c r="Z102">
        <v>0</v>
      </c>
      <c r="AA102">
        <v>0</v>
      </c>
      <c r="AD102">
        <v>0</v>
      </c>
      <c r="AE102">
        <v>0</v>
      </c>
      <c r="AH102" t="s">
        <v>73</v>
      </c>
      <c r="AI102" t="s">
        <v>74</v>
      </c>
      <c r="AJ102" t="s">
        <v>75</v>
      </c>
      <c r="AK102" t="s">
        <v>76</v>
      </c>
      <c r="AN102" t="s">
        <v>77</v>
      </c>
      <c r="AO102" t="s">
        <v>78</v>
      </c>
      <c r="AP102" t="s">
        <v>271</v>
      </c>
      <c r="AQ102" t="s">
        <v>80</v>
      </c>
      <c r="AS102" t="b">
        <v>1</v>
      </c>
      <c r="AT102" t="s">
        <v>65</v>
      </c>
      <c r="AU102">
        <v>0</v>
      </c>
      <c r="AV102">
        <v>0</v>
      </c>
      <c r="AX102">
        <v>39</v>
      </c>
      <c r="AY102" t="s">
        <v>81</v>
      </c>
      <c r="AZ102" t="s">
        <v>90</v>
      </c>
      <c r="BB102" t="s">
        <v>91</v>
      </c>
      <c r="BC102" t="s">
        <v>92</v>
      </c>
      <c r="BD102" t="b">
        <v>0</v>
      </c>
      <c r="BE102" t="b">
        <v>0</v>
      </c>
      <c r="BF102" t="b">
        <v>0</v>
      </c>
      <c r="BG102" t="b">
        <v>0</v>
      </c>
      <c r="BH102" t="b">
        <v>0</v>
      </c>
      <c r="BI102" t="b">
        <v>0</v>
      </c>
      <c r="BJ102" t="b">
        <v>0</v>
      </c>
      <c r="BK102" t="b">
        <v>0</v>
      </c>
      <c r="BL102" t="b">
        <v>0</v>
      </c>
      <c r="BM102" t="b">
        <v>0</v>
      </c>
      <c r="BN102" t="b">
        <v>0</v>
      </c>
      <c r="BO102" t="b">
        <v>0</v>
      </c>
      <c r="BP102" t="b">
        <v>0</v>
      </c>
      <c r="BR102" t="str">
        <f>IF(M102="PASSED",VLOOKUP(J102,All_Potential!$J$1:$N$500,1,FALSE))</f>
        <v>1.0363</v>
      </c>
    </row>
    <row r="103" spans="1:70" ht="15" customHeight="1" x14ac:dyDescent="0.25">
      <c r="A103">
        <v>21156</v>
      </c>
      <c r="C103">
        <v>0</v>
      </c>
      <c r="D103" t="s">
        <v>65</v>
      </c>
      <c r="E103" t="s">
        <v>66</v>
      </c>
      <c r="F103" t="s">
        <v>84</v>
      </c>
      <c r="G103">
        <v>0</v>
      </c>
      <c r="H103" t="s">
        <v>85</v>
      </c>
      <c r="I103" t="s">
        <v>86</v>
      </c>
      <c r="J103" t="str">
        <f>MID($N103,FIND("1.",$N103),FIND("-",$N103)-FIND("1.",$N103)-1)</f>
        <v>1.0367</v>
      </c>
      <c r="K103" t="str">
        <f>MID($N103,FIND("MSWRK - ",$N103)+8,FIND(":",$N103)-FIND("MSWRK - ",$N103)-8)</f>
        <v>Ensure Network access</v>
      </c>
      <c r="L103" t="str">
        <f t="shared" si="1"/>
        <v>1.0367 - MSWRK - Ensure Network access: Restrict anonymous access to Named Pipes and Shares is set to Enabled</v>
      </c>
      <c r="M103" t="str">
        <f>MID($N103,FIND("[",$N103)+1,FIND("]",$N103)-FIND("[",$N103)-1)</f>
        <v>PASSED</v>
      </c>
      <c r="N103" s="1" t="s">
        <v>247</v>
      </c>
      <c r="O103" t="s">
        <v>67</v>
      </c>
      <c r="R103" t="s">
        <v>68</v>
      </c>
      <c r="T103" t="s">
        <v>69</v>
      </c>
      <c r="U103" t="s">
        <v>70</v>
      </c>
      <c r="W103" t="s">
        <v>71</v>
      </c>
      <c r="X103" s="1" t="s">
        <v>72</v>
      </c>
      <c r="Y103" t="s">
        <v>88</v>
      </c>
      <c r="Z103">
        <v>0</v>
      </c>
      <c r="AA103">
        <v>0</v>
      </c>
      <c r="AD103">
        <v>0</v>
      </c>
      <c r="AE103">
        <v>0</v>
      </c>
      <c r="AH103" t="s">
        <v>73</v>
      </c>
      <c r="AI103" t="s">
        <v>74</v>
      </c>
      <c r="AJ103" t="s">
        <v>75</v>
      </c>
      <c r="AK103" t="s">
        <v>76</v>
      </c>
      <c r="AN103" t="s">
        <v>77</v>
      </c>
      <c r="AO103" t="s">
        <v>78</v>
      </c>
      <c r="AP103" t="s">
        <v>246</v>
      </c>
      <c r="AQ103" t="s">
        <v>80</v>
      </c>
      <c r="AS103" t="b">
        <v>1</v>
      </c>
      <c r="AT103" t="s">
        <v>65</v>
      </c>
      <c r="AU103">
        <v>0</v>
      </c>
      <c r="AV103">
        <v>0</v>
      </c>
      <c r="AX103">
        <v>39</v>
      </c>
      <c r="AY103" t="s">
        <v>81</v>
      </c>
      <c r="AZ103" t="s">
        <v>90</v>
      </c>
      <c r="BB103" t="s">
        <v>91</v>
      </c>
      <c r="BC103" t="s">
        <v>92</v>
      </c>
      <c r="BD103" t="b">
        <v>0</v>
      </c>
      <c r="BE103" t="b">
        <v>0</v>
      </c>
      <c r="BF103" t="b">
        <v>0</v>
      </c>
      <c r="BG103" t="b">
        <v>0</v>
      </c>
      <c r="BH103" t="b">
        <v>0</v>
      </c>
      <c r="BI103" t="b">
        <v>0</v>
      </c>
      <c r="BJ103" t="b">
        <v>0</v>
      </c>
      <c r="BK103" t="b">
        <v>0</v>
      </c>
      <c r="BL103" t="b">
        <v>0</v>
      </c>
      <c r="BM103" t="b">
        <v>0</v>
      </c>
      <c r="BN103" t="b">
        <v>0</v>
      </c>
      <c r="BO103" t="b">
        <v>0</v>
      </c>
      <c r="BP103" t="b">
        <v>0</v>
      </c>
      <c r="BR103" t="str">
        <f>IF(M103="PASSED",VLOOKUP(J103,All_Potential!$J$1:$N$500,1,FALSE))</f>
        <v>1.0367</v>
      </c>
    </row>
    <row r="104" spans="1:70" ht="15" customHeight="1" x14ac:dyDescent="0.25">
      <c r="A104">
        <v>21156</v>
      </c>
      <c r="C104">
        <v>0</v>
      </c>
      <c r="D104" t="s">
        <v>83</v>
      </c>
      <c r="E104" t="s">
        <v>66</v>
      </c>
      <c r="F104" t="s">
        <v>84</v>
      </c>
      <c r="G104">
        <v>0</v>
      </c>
      <c r="H104" t="s">
        <v>85</v>
      </c>
      <c r="I104" t="s">
        <v>86</v>
      </c>
      <c r="J104" t="str">
        <f>MID($N104,FIND("1.",$N104),FIND("-",$N104)-FIND("1.",$N104)-1)</f>
        <v>1.0368</v>
      </c>
      <c r="K104" t="str">
        <f>MID($N104,FIND("MSWRK - ",$N104)+8,FIND(":",$N104)-FIND("MSWRK - ",$N104)-8)</f>
        <v>Ensure Accounts</v>
      </c>
      <c r="L104" t="str">
        <f t="shared" si="1"/>
        <v>1.0368 - MSWRK - Ensure Accounts: Guest account status is set to Disabled</v>
      </c>
      <c r="M104" t="str">
        <f>MID($N104,FIND("[",$N104)+1,FIND("]",$N104)-FIND("[",$N104)-1)</f>
        <v>FAILED</v>
      </c>
      <c r="N104" s="1" t="s">
        <v>87</v>
      </c>
      <c r="O104" t="s">
        <v>67</v>
      </c>
      <c r="R104" t="s">
        <v>68</v>
      </c>
      <c r="T104" t="s">
        <v>69</v>
      </c>
      <c r="U104" t="s">
        <v>70</v>
      </c>
      <c r="W104" t="s">
        <v>71</v>
      </c>
      <c r="X104" s="1" t="s">
        <v>72</v>
      </c>
      <c r="Y104" t="s">
        <v>88</v>
      </c>
      <c r="Z104">
        <v>0</v>
      </c>
      <c r="AA104">
        <v>0</v>
      </c>
      <c r="AD104">
        <v>0</v>
      </c>
      <c r="AE104">
        <v>0</v>
      </c>
      <c r="AH104" t="s">
        <v>73</v>
      </c>
      <c r="AI104" t="s">
        <v>74</v>
      </c>
      <c r="AJ104" t="s">
        <v>75</v>
      </c>
      <c r="AK104" t="s">
        <v>76</v>
      </c>
      <c r="AN104" t="s">
        <v>77</v>
      </c>
      <c r="AO104" t="s">
        <v>78</v>
      </c>
      <c r="AP104" t="s">
        <v>89</v>
      </c>
      <c r="AQ104" t="s">
        <v>80</v>
      </c>
      <c r="AS104" t="b">
        <v>1</v>
      </c>
      <c r="AT104" t="s">
        <v>65</v>
      </c>
      <c r="AU104">
        <v>0</v>
      </c>
      <c r="AV104">
        <v>0</v>
      </c>
      <c r="AX104">
        <v>39</v>
      </c>
      <c r="AY104" t="s">
        <v>81</v>
      </c>
      <c r="AZ104" t="s">
        <v>90</v>
      </c>
      <c r="BB104" t="s">
        <v>91</v>
      </c>
      <c r="BC104" t="s">
        <v>92</v>
      </c>
      <c r="BD104" t="b">
        <v>0</v>
      </c>
      <c r="BE104" t="b">
        <v>0</v>
      </c>
      <c r="BF104" t="b">
        <v>0</v>
      </c>
      <c r="BG104" t="b">
        <v>0</v>
      </c>
      <c r="BH104" t="b">
        <v>0</v>
      </c>
      <c r="BI104" t="b">
        <v>0</v>
      </c>
      <c r="BJ104" t="b">
        <v>0</v>
      </c>
      <c r="BK104" t="b">
        <v>0</v>
      </c>
      <c r="BL104" t="b">
        <v>0</v>
      </c>
      <c r="BM104" t="b">
        <v>0</v>
      </c>
      <c r="BN104" t="b">
        <v>0</v>
      </c>
      <c r="BO104" t="b">
        <v>0</v>
      </c>
      <c r="BP104" t="b">
        <v>0</v>
      </c>
      <c r="BR104" t="b">
        <f>IF(M104="PASSED",VLOOKUP(J104,All_Potential!$J$1:$N$500,1,FALSE))</f>
        <v>0</v>
      </c>
    </row>
    <row r="105" spans="1:70" ht="15" customHeight="1" x14ac:dyDescent="0.25">
      <c r="A105">
        <v>21156</v>
      </c>
      <c r="C105">
        <v>0</v>
      </c>
      <c r="D105" t="s">
        <v>65</v>
      </c>
      <c r="E105" t="s">
        <v>66</v>
      </c>
      <c r="F105" t="s">
        <v>84</v>
      </c>
      <c r="G105">
        <v>0</v>
      </c>
      <c r="H105" t="s">
        <v>85</v>
      </c>
      <c r="I105" t="s">
        <v>86</v>
      </c>
      <c r="J105" t="str">
        <f>MID($N105,FIND("1.",$N105),FIND("-",$N105)-FIND("1.",$N105)-1)</f>
        <v>1.0377</v>
      </c>
      <c r="K105" t="str">
        <f>MID($N105,FIND("MSWRK - ",$N105)+8,FIND(":",$N105)-FIND("MSWRK - ",$N105)-8)</f>
        <v>Ensure Network security</v>
      </c>
      <c r="L105" t="str">
        <f t="shared" si="1"/>
        <v>1.0377 - MSWRK - Ensure Network security: LAN Manager authentication level is set to Send NTLMv2 response only. Refuse LM &amp; NTLM</v>
      </c>
      <c r="M105" t="str">
        <f>MID($N105,FIND("[",$N105)+1,FIND("]",$N105)-FIND("[",$N105)-1)</f>
        <v>PASSED</v>
      </c>
      <c r="N105" s="1" t="s">
        <v>154</v>
      </c>
      <c r="O105" t="s">
        <v>67</v>
      </c>
      <c r="R105" t="s">
        <v>68</v>
      </c>
      <c r="T105" t="s">
        <v>69</v>
      </c>
      <c r="U105" t="s">
        <v>70</v>
      </c>
      <c r="W105" t="s">
        <v>71</v>
      </c>
      <c r="X105" s="1" t="s">
        <v>72</v>
      </c>
      <c r="Y105" t="s">
        <v>88</v>
      </c>
      <c r="Z105">
        <v>0</v>
      </c>
      <c r="AA105">
        <v>0</v>
      </c>
      <c r="AD105">
        <v>0</v>
      </c>
      <c r="AE105">
        <v>0</v>
      </c>
      <c r="AH105" t="s">
        <v>73</v>
      </c>
      <c r="AI105" t="s">
        <v>74</v>
      </c>
      <c r="AJ105" t="s">
        <v>75</v>
      </c>
      <c r="AK105" t="s">
        <v>76</v>
      </c>
      <c r="AN105" t="s">
        <v>77</v>
      </c>
      <c r="AO105" t="s">
        <v>78</v>
      </c>
      <c r="AP105" t="s">
        <v>79</v>
      </c>
      <c r="AQ105" t="s">
        <v>80</v>
      </c>
      <c r="AS105" t="b">
        <v>1</v>
      </c>
      <c r="AT105" t="s">
        <v>65</v>
      </c>
      <c r="AU105">
        <v>0</v>
      </c>
      <c r="AV105">
        <v>0</v>
      </c>
      <c r="AX105">
        <v>39</v>
      </c>
      <c r="AY105" t="s">
        <v>81</v>
      </c>
      <c r="AZ105" t="s">
        <v>90</v>
      </c>
      <c r="BB105" t="s">
        <v>91</v>
      </c>
      <c r="BC105" t="s">
        <v>92</v>
      </c>
      <c r="BD105" t="b">
        <v>0</v>
      </c>
      <c r="BE105" t="b">
        <v>0</v>
      </c>
      <c r="BF105" t="b">
        <v>0</v>
      </c>
      <c r="BG105" t="b">
        <v>0</v>
      </c>
      <c r="BH105" t="b">
        <v>0</v>
      </c>
      <c r="BI105" t="b">
        <v>0</v>
      </c>
      <c r="BJ105" t="b">
        <v>0</v>
      </c>
      <c r="BK105" t="b">
        <v>0</v>
      </c>
      <c r="BL105" t="b">
        <v>0</v>
      </c>
      <c r="BM105" t="b">
        <v>0</v>
      </c>
      <c r="BN105" t="b">
        <v>0</v>
      </c>
      <c r="BO105" t="b">
        <v>0</v>
      </c>
      <c r="BP105" t="b">
        <v>0</v>
      </c>
      <c r="BR105" t="str">
        <f>IF(M105="PASSED",VLOOKUP(J105,All_Potential!$J$1:$N$500,1,FALSE))</f>
        <v>1.0377</v>
      </c>
    </row>
    <row r="106" spans="1:70" ht="15" customHeight="1" x14ac:dyDescent="0.25">
      <c r="A106">
        <v>21156</v>
      </c>
      <c r="C106">
        <v>0</v>
      </c>
      <c r="D106" t="s">
        <v>65</v>
      </c>
      <c r="E106" t="s">
        <v>66</v>
      </c>
      <c r="F106" t="s">
        <v>84</v>
      </c>
      <c r="G106">
        <v>0</v>
      </c>
      <c r="H106" t="s">
        <v>85</v>
      </c>
      <c r="I106" t="s">
        <v>86</v>
      </c>
      <c r="J106" t="str">
        <f>MID($N106,FIND("1.",$N106),FIND("-",$N106)-FIND("1.",$N106)-1)</f>
        <v>1.0379</v>
      </c>
      <c r="K106" t="str">
        <f>MID($N106,FIND("MSWRK - ",$N106)+8,FIND(":",$N106)-FIND("MSWRK - ",$N106)-8)</f>
        <v>Ensure Network security</v>
      </c>
      <c r="L106" t="str">
        <f t="shared" si="1"/>
        <v>1.0379 - MSWRK - Ensure Network security: LDAP client signing requirements is set to Negotiate signing or higher</v>
      </c>
      <c r="M106" t="str">
        <f>MID($N106,FIND("[",$N106)+1,FIND("]",$N106)-FIND("[",$N106)-1)</f>
        <v>PASSED</v>
      </c>
      <c r="N106" s="1" t="s">
        <v>156</v>
      </c>
      <c r="O106" t="s">
        <v>67</v>
      </c>
      <c r="R106" t="s">
        <v>68</v>
      </c>
      <c r="T106" t="s">
        <v>69</v>
      </c>
      <c r="U106" t="s">
        <v>70</v>
      </c>
      <c r="W106" t="s">
        <v>71</v>
      </c>
      <c r="X106" s="1" t="s">
        <v>72</v>
      </c>
      <c r="Y106" t="s">
        <v>88</v>
      </c>
      <c r="Z106">
        <v>0</v>
      </c>
      <c r="AA106">
        <v>0</v>
      </c>
      <c r="AD106">
        <v>0</v>
      </c>
      <c r="AE106">
        <v>0</v>
      </c>
      <c r="AH106" t="s">
        <v>73</v>
      </c>
      <c r="AI106" t="s">
        <v>74</v>
      </c>
      <c r="AJ106" t="s">
        <v>75</v>
      </c>
      <c r="AK106" t="s">
        <v>76</v>
      </c>
      <c r="AN106" t="s">
        <v>77</v>
      </c>
      <c r="AO106" t="s">
        <v>78</v>
      </c>
      <c r="AP106" t="s">
        <v>157</v>
      </c>
      <c r="AQ106" t="s">
        <v>80</v>
      </c>
      <c r="AS106" t="b">
        <v>1</v>
      </c>
      <c r="AT106" t="s">
        <v>65</v>
      </c>
      <c r="AU106">
        <v>0</v>
      </c>
      <c r="AV106">
        <v>0</v>
      </c>
      <c r="AX106">
        <v>39</v>
      </c>
      <c r="AY106" t="s">
        <v>81</v>
      </c>
      <c r="AZ106" t="s">
        <v>90</v>
      </c>
      <c r="BB106" t="s">
        <v>91</v>
      </c>
      <c r="BC106" t="s">
        <v>92</v>
      </c>
      <c r="BD106" t="b">
        <v>0</v>
      </c>
      <c r="BE106" t="b">
        <v>0</v>
      </c>
      <c r="BF106" t="b">
        <v>0</v>
      </c>
      <c r="BG106" t="b">
        <v>0</v>
      </c>
      <c r="BH106" t="b">
        <v>0</v>
      </c>
      <c r="BI106" t="b">
        <v>0</v>
      </c>
      <c r="BJ106" t="b">
        <v>0</v>
      </c>
      <c r="BK106" t="b">
        <v>0</v>
      </c>
      <c r="BL106" t="b">
        <v>0</v>
      </c>
      <c r="BM106" t="b">
        <v>0</v>
      </c>
      <c r="BN106" t="b">
        <v>0</v>
      </c>
      <c r="BO106" t="b">
        <v>0</v>
      </c>
      <c r="BP106" t="b">
        <v>0</v>
      </c>
      <c r="BR106" t="str">
        <f>IF(M106="PASSED",VLOOKUP(J106,All_Potential!$J$1:$N$500,1,FALSE))</f>
        <v>1.0379</v>
      </c>
    </row>
    <row r="107" spans="1:70" ht="15" customHeight="1" x14ac:dyDescent="0.25">
      <c r="A107">
        <v>21156</v>
      </c>
      <c r="C107">
        <v>0</v>
      </c>
      <c r="D107" t="s">
        <v>65</v>
      </c>
      <c r="E107" t="s">
        <v>66</v>
      </c>
      <c r="F107" t="s">
        <v>84</v>
      </c>
      <c r="G107">
        <v>0</v>
      </c>
      <c r="H107" t="s">
        <v>85</v>
      </c>
      <c r="I107" t="s">
        <v>86</v>
      </c>
      <c r="J107" t="str">
        <f>MID($N107,FIND("1.",$N107),FIND("-",$N107)-FIND("1.",$N107)-1)</f>
        <v>1.0381</v>
      </c>
      <c r="K107" t="str">
        <f>MID($N107,FIND("MSWRK - ",$N107)+8,FIND(":",$N107)-FIND("MSWRK - ",$N107)-8)</f>
        <v>Ensure Accounts</v>
      </c>
      <c r="L107" t="str">
        <f t="shared" si="1"/>
        <v>1.0381 - MSWRK - Ensure Accounts: Limit local account use of blank passwords to console logon only is set to Enabled</v>
      </c>
      <c r="M107" t="str">
        <f>MID($N107,FIND("[",$N107)+1,FIND("]",$N107)-FIND("[",$N107)-1)</f>
        <v>PASSED</v>
      </c>
      <c r="N107" s="1" t="s">
        <v>268</v>
      </c>
      <c r="O107" t="s">
        <v>67</v>
      </c>
      <c r="R107" t="s">
        <v>68</v>
      </c>
      <c r="T107" t="s">
        <v>69</v>
      </c>
      <c r="U107" t="s">
        <v>70</v>
      </c>
      <c r="W107" t="s">
        <v>71</v>
      </c>
      <c r="X107" s="1" t="s">
        <v>72</v>
      </c>
      <c r="Y107" t="s">
        <v>88</v>
      </c>
      <c r="Z107">
        <v>0</v>
      </c>
      <c r="AA107">
        <v>0</v>
      </c>
      <c r="AD107">
        <v>0</v>
      </c>
      <c r="AE107">
        <v>0</v>
      </c>
      <c r="AH107" t="s">
        <v>73</v>
      </c>
      <c r="AI107" t="s">
        <v>74</v>
      </c>
      <c r="AJ107" t="s">
        <v>75</v>
      </c>
      <c r="AK107" t="s">
        <v>76</v>
      </c>
      <c r="AN107" t="s">
        <v>77</v>
      </c>
      <c r="AO107" t="s">
        <v>78</v>
      </c>
      <c r="AP107" t="s">
        <v>267</v>
      </c>
      <c r="AQ107" t="s">
        <v>80</v>
      </c>
      <c r="AS107" t="b">
        <v>1</v>
      </c>
      <c r="AT107" t="s">
        <v>65</v>
      </c>
      <c r="AU107">
        <v>0</v>
      </c>
      <c r="AV107">
        <v>0</v>
      </c>
      <c r="AX107">
        <v>39</v>
      </c>
      <c r="AY107" t="s">
        <v>81</v>
      </c>
      <c r="AZ107" t="s">
        <v>90</v>
      </c>
      <c r="BB107" t="s">
        <v>91</v>
      </c>
      <c r="BC107" t="s">
        <v>92</v>
      </c>
      <c r="BD107" t="b">
        <v>0</v>
      </c>
      <c r="BE107" t="b">
        <v>0</v>
      </c>
      <c r="BF107" t="b">
        <v>0</v>
      </c>
      <c r="BG107" t="b">
        <v>0</v>
      </c>
      <c r="BH107" t="b">
        <v>0</v>
      </c>
      <c r="BI107" t="b">
        <v>0</v>
      </c>
      <c r="BJ107" t="b">
        <v>0</v>
      </c>
      <c r="BK107" t="b">
        <v>0</v>
      </c>
      <c r="BL107" t="b">
        <v>0</v>
      </c>
      <c r="BM107" t="b">
        <v>0</v>
      </c>
      <c r="BN107" t="b">
        <v>0</v>
      </c>
      <c r="BO107" t="b">
        <v>0</v>
      </c>
      <c r="BP107" t="b">
        <v>0</v>
      </c>
      <c r="BR107" t="str">
        <f>IF(M107="PASSED",VLOOKUP(J107,All_Potential!$J$1:$N$500,1,FALSE))</f>
        <v>1.0381</v>
      </c>
    </row>
    <row r="108" spans="1:70" ht="15" customHeight="1" x14ac:dyDescent="0.25">
      <c r="A108">
        <v>21156</v>
      </c>
      <c r="C108">
        <v>0</v>
      </c>
      <c r="D108" t="s">
        <v>65</v>
      </c>
      <c r="E108" t="s">
        <v>66</v>
      </c>
      <c r="F108" t="s">
        <v>84</v>
      </c>
      <c r="G108">
        <v>0</v>
      </c>
      <c r="H108" t="s">
        <v>85</v>
      </c>
      <c r="I108" t="s">
        <v>86</v>
      </c>
      <c r="J108" t="str">
        <f>MID($N108,FIND("1.",$N108),FIND("-",$N108)-FIND("1.",$N108)-1)</f>
        <v>1.0382</v>
      </c>
      <c r="K108" t="str">
        <f>MID($N108,FIND("MSWRK - ",$N108)+8,FIND(":",$N108)-FIND("MSWRK - ",$N108)-8)</f>
        <v>Configure Accounts</v>
      </c>
      <c r="L108" t="str">
        <f t="shared" si="1"/>
        <v>1.0382 - MSWRK - Configure Accounts: Rename administrator account</v>
      </c>
      <c r="M108" t="str">
        <f>MID($N108,FIND("[",$N108)+1,FIND("]",$N108)-FIND("[",$N108)-1)</f>
        <v>PASSED</v>
      </c>
      <c r="N108" s="1" t="s">
        <v>150</v>
      </c>
      <c r="O108" t="s">
        <v>67</v>
      </c>
      <c r="R108" t="s">
        <v>68</v>
      </c>
      <c r="T108" t="s">
        <v>69</v>
      </c>
      <c r="U108" t="s">
        <v>70</v>
      </c>
      <c r="W108" t="s">
        <v>71</v>
      </c>
      <c r="X108" s="1" t="s">
        <v>72</v>
      </c>
      <c r="Y108" t="s">
        <v>88</v>
      </c>
      <c r="Z108">
        <v>0</v>
      </c>
      <c r="AA108">
        <v>0</v>
      </c>
      <c r="AD108">
        <v>0</v>
      </c>
      <c r="AE108">
        <v>0</v>
      </c>
      <c r="AH108" t="s">
        <v>73</v>
      </c>
      <c r="AI108" t="s">
        <v>74</v>
      </c>
      <c r="AJ108" t="s">
        <v>75</v>
      </c>
      <c r="AK108" t="s">
        <v>76</v>
      </c>
      <c r="AN108" t="s">
        <v>77</v>
      </c>
      <c r="AO108" t="s">
        <v>78</v>
      </c>
      <c r="AP108" t="s">
        <v>148</v>
      </c>
      <c r="AQ108" t="s">
        <v>80</v>
      </c>
      <c r="AS108" t="b">
        <v>1</v>
      </c>
      <c r="AT108" t="s">
        <v>65</v>
      </c>
      <c r="AU108">
        <v>0</v>
      </c>
      <c r="AV108">
        <v>0</v>
      </c>
      <c r="AX108">
        <v>39</v>
      </c>
      <c r="AY108" t="s">
        <v>81</v>
      </c>
      <c r="AZ108" t="s">
        <v>90</v>
      </c>
      <c r="BB108" t="s">
        <v>91</v>
      </c>
      <c r="BC108" t="s">
        <v>92</v>
      </c>
      <c r="BD108" t="b">
        <v>0</v>
      </c>
      <c r="BE108" t="b">
        <v>0</v>
      </c>
      <c r="BF108" t="b">
        <v>0</v>
      </c>
      <c r="BG108" t="b">
        <v>0</v>
      </c>
      <c r="BH108" t="b">
        <v>0</v>
      </c>
      <c r="BI108" t="b">
        <v>0</v>
      </c>
      <c r="BJ108" t="b">
        <v>0</v>
      </c>
      <c r="BK108" t="b">
        <v>0</v>
      </c>
      <c r="BL108" t="b">
        <v>0</v>
      </c>
      <c r="BM108" t="b">
        <v>0</v>
      </c>
      <c r="BN108" t="b">
        <v>0</v>
      </c>
      <c r="BO108" t="b">
        <v>0</v>
      </c>
      <c r="BP108" t="b">
        <v>0</v>
      </c>
      <c r="BR108" t="str">
        <f>IF(M108="PASSED",VLOOKUP(J108,All_Potential!$J$1:$N$500,1,FALSE))</f>
        <v>1.0382</v>
      </c>
    </row>
    <row r="109" spans="1:70" ht="15" customHeight="1" x14ac:dyDescent="0.25">
      <c r="A109">
        <v>21156</v>
      </c>
      <c r="C109">
        <v>0</v>
      </c>
      <c r="D109" t="s">
        <v>83</v>
      </c>
      <c r="E109" t="s">
        <v>66</v>
      </c>
      <c r="F109" t="s">
        <v>84</v>
      </c>
      <c r="G109">
        <v>0</v>
      </c>
      <c r="H109" t="s">
        <v>85</v>
      </c>
      <c r="I109" t="s">
        <v>86</v>
      </c>
      <c r="J109" t="str">
        <f>MID($N109,FIND("1.",$N109),FIND("-",$N109)-FIND("1.",$N109)-1)</f>
        <v>1.0383</v>
      </c>
      <c r="K109" t="str">
        <f>MID($N109,FIND("MSWRK - ",$N109)+8,FIND(":",$N109)-FIND("MSWRK - ",$N109)-8)</f>
        <v>Configure Accounts</v>
      </c>
      <c r="L109" t="str">
        <f t="shared" si="1"/>
        <v>1.0383 - MSWRK - Configure Accounts: Rename guest account</v>
      </c>
      <c r="M109" t="str">
        <f>MID($N109,FIND("[",$N109)+1,FIND("]",$N109)-FIND("[",$N109)-1)</f>
        <v>FAILED</v>
      </c>
      <c r="N109" s="1" t="s">
        <v>155</v>
      </c>
      <c r="O109" t="s">
        <v>67</v>
      </c>
      <c r="R109" t="s">
        <v>68</v>
      </c>
      <c r="T109" t="s">
        <v>69</v>
      </c>
      <c r="U109" t="s">
        <v>70</v>
      </c>
      <c r="W109" t="s">
        <v>71</v>
      </c>
      <c r="X109" s="1" t="s">
        <v>72</v>
      </c>
      <c r="Y109" t="s">
        <v>88</v>
      </c>
      <c r="Z109">
        <v>0</v>
      </c>
      <c r="AA109">
        <v>0</v>
      </c>
      <c r="AD109">
        <v>0</v>
      </c>
      <c r="AE109">
        <v>0</v>
      </c>
      <c r="AH109" t="s">
        <v>73</v>
      </c>
      <c r="AI109" t="s">
        <v>74</v>
      </c>
      <c r="AJ109" t="s">
        <v>75</v>
      </c>
      <c r="AK109" t="s">
        <v>76</v>
      </c>
      <c r="AN109" t="s">
        <v>77</v>
      </c>
      <c r="AO109" t="s">
        <v>78</v>
      </c>
      <c r="AP109" t="s">
        <v>79</v>
      </c>
      <c r="AQ109" t="s">
        <v>80</v>
      </c>
      <c r="AS109" t="b">
        <v>1</v>
      </c>
      <c r="AT109" t="s">
        <v>65</v>
      </c>
      <c r="AU109">
        <v>0</v>
      </c>
      <c r="AV109">
        <v>0</v>
      </c>
      <c r="AX109">
        <v>39</v>
      </c>
      <c r="AY109" t="s">
        <v>81</v>
      </c>
      <c r="AZ109" t="s">
        <v>90</v>
      </c>
      <c r="BB109" t="s">
        <v>91</v>
      </c>
      <c r="BC109" t="s">
        <v>92</v>
      </c>
      <c r="BD109" t="b">
        <v>0</v>
      </c>
      <c r="BE109" t="b">
        <v>0</v>
      </c>
      <c r="BF109" t="b">
        <v>0</v>
      </c>
      <c r="BG109" t="b">
        <v>0</v>
      </c>
      <c r="BH109" t="b">
        <v>0</v>
      </c>
      <c r="BI109" t="b">
        <v>0</v>
      </c>
      <c r="BJ109" t="b">
        <v>0</v>
      </c>
      <c r="BK109" t="b">
        <v>0</v>
      </c>
      <c r="BL109" t="b">
        <v>0</v>
      </c>
      <c r="BM109" t="b">
        <v>0</v>
      </c>
      <c r="BN109" t="b">
        <v>0</v>
      </c>
      <c r="BO109" t="b">
        <v>0</v>
      </c>
      <c r="BP109" t="b">
        <v>0</v>
      </c>
      <c r="BR109" t="b">
        <f>IF(M109="PASSED",VLOOKUP(J109,All_Potential!$J$1:$N$500,1,FALSE))</f>
        <v>0</v>
      </c>
    </row>
    <row r="110" spans="1:70" ht="15" customHeight="1" x14ac:dyDescent="0.25">
      <c r="A110">
        <v>21156</v>
      </c>
      <c r="C110">
        <v>0</v>
      </c>
      <c r="D110" t="s">
        <v>65</v>
      </c>
      <c r="E110" t="s">
        <v>66</v>
      </c>
      <c r="F110" t="s">
        <v>84</v>
      </c>
      <c r="G110">
        <v>0</v>
      </c>
      <c r="H110" t="s">
        <v>85</v>
      </c>
      <c r="I110" t="s">
        <v>86</v>
      </c>
      <c r="J110" t="str">
        <f>MID($N110,FIND("1.",$N110),FIND("-",$N110)-FIND("1.",$N110)-1)</f>
        <v>1.0384</v>
      </c>
      <c r="K110" t="str">
        <f>MID($N110,FIND("MSWRK - ",$N110)+8,FIND(":",$N110)-FIND("MSWRK - ",$N110)-8)</f>
        <v>Ensure System objects</v>
      </c>
      <c r="L110" t="str">
        <f t="shared" si="1"/>
        <v>1.0384 - MSWRK - Ensure System objects: Require case insensitivity for non-Windows subsystems is set to Enabled</v>
      </c>
      <c r="M110" t="str">
        <f>MID($N110,FIND("[",$N110)+1,FIND("]",$N110)-FIND("[",$N110)-1)</f>
        <v>PASSED</v>
      </c>
      <c r="N110" s="1" t="s">
        <v>265</v>
      </c>
      <c r="O110" t="s">
        <v>67</v>
      </c>
      <c r="R110" t="s">
        <v>68</v>
      </c>
      <c r="T110" t="s">
        <v>69</v>
      </c>
      <c r="U110" t="s">
        <v>70</v>
      </c>
      <c r="W110" t="s">
        <v>71</v>
      </c>
      <c r="X110" s="1" t="s">
        <v>72</v>
      </c>
      <c r="Y110" t="s">
        <v>88</v>
      </c>
      <c r="Z110">
        <v>0</v>
      </c>
      <c r="AA110">
        <v>0</v>
      </c>
      <c r="AD110">
        <v>0</v>
      </c>
      <c r="AE110">
        <v>0</v>
      </c>
      <c r="AH110" t="s">
        <v>73</v>
      </c>
      <c r="AI110" t="s">
        <v>74</v>
      </c>
      <c r="AJ110" t="s">
        <v>75</v>
      </c>
      <c r="AK110" t="s">
        <v>76</v>
      </c>
      <c r="AN110" t="s">
        <v>77</v>
      </c>
      <c r="AO110" t="s">
        <v>78</v>
      </c>
      <c r="AP110" t="s">
        <v>262</v>
      </c>
      <c r="AQ110" t="s">
        <v>80</v>
      </c>
      <c r="AS110" t="b">
        <v>1</v>
      </c>
      <c r="AT110" t="s">
        <v>65</v>
      </c>
      <c r="AU110">
        <v>0</v>
      </c>
      <c r="AV110">
        <v>0</v>
      </c>
      <c r="AX110">
        <v>39</v>
      </c>
      <c r="AY110" t="s">
        <v>81</v>
      </c>
      <c r="AZ110" t="s">
        <v>90</v>
      </c>
      <c r="BB110" t="s">
        <v>91</v>
      </c>
      <c r="BC110" t="s">
        <v>92</v>
      </c>
      <c r="BD110" t="b">
        <v>0</v>
      </c>
      <c r="BE110" t="b">
        <v>0</v>
      </c>
      <c r="BF110" t="b">
        <v>0</v>
      </c>
      <c r="BG110" t="b">
        <v>0</v>
      </c>
      <c r="BH110" t="b">
        <v>0</v>
      </c>
      <c r="BI110" t="b">
        <v>0</v>
      </c>
      <c r="BJ110" t="b">
        <v>0</v>
      </c>
      <c r="BK110" t="b">
        <v>0</v>
      </c>
      <c r="BL110" t="b">
        <v>0</v>
      </c>
      <c r="BM110" t="b">
        <v>0</v>
      </c>
      <c r="BN110" t="b">
        <v>0</v>
      </c>
      <c r="BO110" t="b">
        <v>0</v>
      </c>
      <c r="BP110" t="b">
        <v>0</v>
      </c>
      <c r="BR110" t="str">
        <f>IF(M110="PASSED",VLOOKUP(J110,All_Potential!$J$1:$N$500,1,FALSE))</f>
        <v>1.0384</v>
      </c>
    </row>
    <row r="111" spans="1:70" ht="15" customHeight="1" x14ac:dyDescent="0.25">
      <c r="A111">
        <v>21156</v>
      </c>
      <c r="C111">
        <v>0</v>
      </c>
      <c r="D111" t="s">
        <v>65</v>
      </c>
      <c r="E111" t="s">
        <v>66</v>
      </c>
      <c r="F111" t="s">
        <v>84</v>
      </c>
      <c r="G111">
        <v>0</v>
      </c>
      <c r="H111" t="s">
        <v>85</v>
      </c>
      <c r="I111" t="s">
        <v>86</v>
      </c>
      <c r="J111" t="str">
        <f>MID($N111,FIND("1.",$N111),FIND("-",$N111)-FIND("1.",$N111)-1)</f>
        <v>1.0385</v>
      </c>
      <c r="K111" t="str">
        <f>MID($N111,FIND("MSWRK - ",$N111)+8,FIND(":",$N111)-FIND("MSWRK - ",$N111)-8)</f>
        <v>Ensure System objects</v>
      </c>
      <c r="L111" t="str">
        <f t="shared" si="1"/>
        <v>1.0385 - MSWRK - Ensure System objects: Strengthen default permissions of internal system objects (e.g. Symbolic Links) is set to Enabled</v>
      </c>
      <c r="M111" t="str">
        <f>MID($N111,FIND("[",$N111)+1,FIND("]",$N111)-FIND("[",$N111)-1)</f>
        <v>PASSED</v>
      </c>
      <c r="N111" s="1" t="s">
        <v>171</v>
      </c>
      <c r="O111" t="s">
        <v>67</v>
      </c>
      <c r="R111" t="s">
        <v>68</v>
      </c>
      <c r="T111" t="s">
        <v>69</v>
      </c>
      <c r="U111" t="s">
        <v>70</v>
      </c>
      <c r="W111" t="s">
        <v>71</v>
      </c>
      <c r="X111" s="1" t="s">
        <v>72</v>
      </c>
      <c r="Y111" t="s">
        <v>88</v>
      </c>
      <c r="Z111">
        <v>0</v>
      </c>
      <c r="AA111">
        <v>0</v>
      </c>
      <c r="AD111">
        <v>0</v>
      </c>
      <c r="AE111">
        <v>0</v>
      </c>
      <c r="AH111" t="s">
        <v>73</v>
      </c>
      <c r="AI111" t="s">
        <v>74</v>
      </c>
      <c r="AJ111" t="s">
        <v>75</v>
      </c>
      <c r="AK111" t="s">
        <v>76</v>
      </c>
      <c r="AN111" t="s">
        <v>77</v>
      </c>
      <c r="AO111" t="s">
        <v>78</v>
      </c>
      <c r="AP111" t="s">
        <v>169</v>
      </c>
      <c r="AQ111" t="s">
        <v>80</v>
      </c>
      <c r="AS111" t="b">
        <v>1</v>
      </c>
      <c r="AT111" t="s">
        <v>65</v>
      </c>
      <c r="AU111">
        <v>0</v>
      </c>
      <c r="AV111">
        <v>0</v>
      </c>
      <c r="AX111">
        <v>39</v>
      </c>
      <c r="AY111" t="s">
        <v>81</v>
      </c>
      <c r="AZ111" t="s">
        <v>90</v>
      </c>
      <c r="BB111" t="s">
        <v>91</v>
      </c>
      <c r="BC111" t="s">
        <v>92</v>
      </c>
      <c r="BD111" t="b">
        <v>0</v>
      </c>
      <c r="BE111" t="b">
        <v>0</v>
      </c>
      <c r="BF111" t="b">
        <v>0</v>
      </c>
      <c r="BG111" t="b">
        <v>0</v>
      </c>
      <c r="BH111" t="b">
        <v>0</v>
      </c>
      <c r="BI111" t="b">
        <v>0</v>
      </c>
      <c r="BJ111" t="b">
        <v>0</v>
      </c>
      <c r="BK111" t="b">
        <v>0</v>
      </c>
      <c r="BL111" t="b">
        <v>0</v>
      </c>
      <c r="BM111" t="b">
        <v>0</v>
      </c>
      <c r="BN111" t="b">
        <v>0</v>
      </c>
      <c r="BO111" t="b">
        <v>0</v>
      </c>
      <c r="BP111" t="b">
        <v>0</v>
      </c>
      <c r="BR111" t="str">
        <f>IF(M111="PASSED",VLOOKUP(J111,All_Potential!$J$1:$N$500,1,FALSE))</f>
        <v>1.0385</v>
      </c>
    </row>
    <row r="112" spans="1:70" ht="15" customHeight="1" x14ac:dyDescent="0.25">
      <c r="A112">
        <v>21156</v>
      </c>
      <c r="C112">
        <v>0</v>
      </c>
      <c r="D112" t="s">
        <v>65</v>
      </c>
      <c r="E112" t="s">
        <v>66</v>
      </c>
      <c r="F112" t="s">
        <v>84</v>
      </c>
      <c r="G112">
        <v>0</v>
      </c>
      <c r="H112" t="s">
        <v>85</v>
      </c>
      <c r="I112" t="s">
        <v>86</v>
      </c>
      <c r="J112" t="str">
        <f>MID($N112,FIND("1.",$N112),FIND("-",$N112)-FIND("1.",$N112)-1)</f>
        <v>1.0390</v>
      </c>
      <c r="K112" t="str">
        <f>MID($N112,FIND("MSWRK - ",$N112)+8,FIND(":",$N112)-FIND("MSWRK - ",$N112)-8)</f>
        <v>Ensure User Account Control</v>
      </c>
      <c r="L112" t="str">
        <f t="shared" si="1"/>
        <v>1.0390 - MSWRK - Ensure User Account Control: Only elevate UIAccess applications that are installed in secure locations is set to Enabled</v>
      </c>
      <c r="M112" t="str">
        <f>MID($N112,FIND("[",$N112)+1,FIND("]",$N112)-FIND("[",$N112)-1)</f>
        <v>PASSED</v>
      </c>
      <c r="N112" s="1" t="s">
        <v>173</v>
      </c>
      <c r="O112" t="s">
        <v>67</v>
      </c>
      <c r="R112" t="s">
        <v>68</v>
      </c>
      <c r="T112" t="s">
        <v>69</v>
      </c>
      <c r="U112" t="s">
        <v>70</v>
      </c>
      <c r="W112" t="s">
        <v>71</v>
      </c>
      <c r="X112" s="1" t="s">
        <v>72</v>
      </c>
      <c r="Y112" t="s">
        <v>88</v>
      </c>
      <c r="Z112">
        <v>0</v>
      </c>
      <c r="AA112">
        <v>0</v>
      </c>
      <c r="AD112">
        <v>0</v>
      </c>
      <c r="AE112">
        <v>0</v>
      </c>
      <c r="AH112" t="s">
        <v>73</v>
      </c>
      <c r="AI112" t="s">
        <v>74</v>
      </c>
      <c r="AJ112" t="s">
        <v>75</v>
      </c>
      <c r="AK112" t="s">
        <v>76</v>
      </c>
      <c r="AN112" t="s">
        <v>77</v>
      </c>
      <c r="AO112" t="s">
        <v>78</v>
      </c>
      <c r="AP112" t="s">
        <v>174</v>
      </c>
      <c r="AQ112" t="s">
        <v>80</v>
      </c>
      <c r="AS112" t="b">
        <v>1</v>
      </c>
      <c r="AT112" t="s">
        <v>65</v>
      </c>
      <c r="AU112">
        <v>0</v>
      </c>
      <c r="AV112">
        <v>0</v>
      </c>
      <c r="AX112">
        <v>39</v>
      </c>
      <c r="AY112" t="s">
        <v>81</v>
      </c>
      <c r="AZ112" t="s">
        <v>90</v>
      </c>
      <c r="BB112" t="s">
        <v>91</v>
      </c>
      <c r="BC112" t="s">
        <v>92</v>
      </c>
      <c r="BD112" t="b">
        <v>0</v>
      </c>
      <c r="BE112" t="b">
        <v>0</v>
      </c>
      <c r="BF112" t="b">
        <v>0</v>
      </c>
      <c r="BG112" t="b">
        <v>0</v>
      </c>
      <c r="BH112" t="b">
        <v>0</v>
      </c>
      <c r="BI112" t="b">
        <v>0</v>
      </c>
      <c r="BJ112" t="b">
        <v>0</v>
      </c>
      <c r="BK112" t="b">
        <v>0</v>
      </c>
      <c r="BL112" t="b">
        <v>0</v>
      </c>
      <c r="BM112" t="b">
        <v>0</v>
      </c>
      <c r="BN112" t="b">
        <v>0</v>
      </c>
      <c r="BO112" t="b">
        <v>0</v>
      </c>
      <c r="BP112" t="b">
        <v>0</v>
      </c>
      <c r="BR112" t="str">
        <f>IF(M112="PASSED",VLOOKUP(J112,All_Potential!$J$1:$N$500,1,FALSE))</f>
        <v>1.0390</v>
      </c>
    </row>
    <row r="113" spans="1:70" ht="15" customHeight="1" x14ac:dyDescent="0.25">
      <c r="A113">
        <v>21156</v>
      </c>
      <c r="C113">
        <v>0</v>
      </c>
      <c r="D113" t="s">
        <v>65</v>
      </c>
      <c r="E113" t="s">
        <v>66</v>
      </c>
      <c r="F113" t="s">
        <v>84</v>
      </c>
      <c r="G113">
        <v>0</v>
      </c>
      <c r="H113" t="s">
        <v>85</v>
      </c>
      <c r="I113" t="s">
        <v>86</v>
      </c>
      <c r="J113" t="str">
        <f>MID($N113,FIND("1.",$N113),FIND("-",$N113)-FIND("1.",$N113)-1)</f>
        <v>1.0391</v>
      </c>
      <c r="K113" t="str">
        <f>MID($N113,FIND("MSWRK - ",$N113)+8,FIND(":",$N113)-FIND("MSWRK - ",$N113)-8)</f>
        <v>Ensure User Account Control</v>
      </c>
      <c r="L113" t="str">
        <f t="shared" si="1"/>
        <v>1.0391 - MSWRK - Ensure User Account Control: Run all administrators in Admin Approval Mode is set to Enabled</v>
      </c>
      <c r="M113" t="str">
        <f>MID($N113,FIND("[",$N113)+1,FIND("]",$N113)-FIND("[",$N113)-1)</f>
        <v>PASSED</v>
      </c>
      <c r="N113" s="1" t="s">
        <v>317</v>
      </c>
      <c r="O113" t="s">
        <v>67</v>
      </c>
      <c r="R113" t="s">
        <v>68</v>
      </c>
      <c r="T113" t="s">
        <v>69</v>
      </c>
      <c r="U113" t="s">
        <v>70</v>
      </c>
      <c r="W113" t="s">
        <v>71</v>
      </c>
      <c r="X113" s="1" t="s">
        <v>72</v>
      </c>
      <c r="Y113" t="s">
        <v>88</v>
      </c>
      <c r="Z113">
        <v>0</v>
      </c>
      <c r="AA113">
        <v>0</v>
      </c>
      <c r="AD113">
        <v>0</v>
      </c>
      <c r="AE113">
        <v>0</v>
      </c>
      <c r="AH113" t="s">
        <v>73</v>
      </c>
      <c r="AI113" t="s">
        <v>74</v>
      </c>
      <c r="AJ113" t="s">
        <v>75</v>
      </c>
      <c r="AK113" t="s">
        <v>76</v>
      </c>
      <c r="AN113" t="s">
        <v>77</v>
      </c>
      <c r="AO113" t="s">
        <v>78</v>
      </c>
      <c r="AP113" t="s">
        <v>314</v>
      </c>
      <c r="AQ113" t="s">
        <v>80</v>
      </c>
      <c r="AS113" t="b">
        <v>1</v>
      </c>
      <c r="AT113" t="s">
        <v>65</v>
      </c>
      <c r="AU113">
        <v>0</v>
      </c>
      <c r="AV113">
        <v>0</v>
      </c>
      <c r="AX113">
        <v>39</v>
      </c>
      <c r="AY113" t="s">
        <v>81</v>
      </c>
      <c r="AZ113" t="s">
        <v>90</v>
      </c>
      <c r="BB113" t="s">
        <v>91</v>
      </c>
      <c r="BC113" t="s">
        <v>92</v>
      </c>
      <c r="BD113" t="b">
        <v>0</v>
      </c>
      <c r="BE113" t="b">
        <v>0</v>
      </c>
      <c r="BF113" t="b">
        <v>0</v>
      </c>
      <c r="BG113" t="b">
        <v>0</v>
      </c>
      <c r="BH113" t="b">
        <v>0</v>
      </c>
      <c r="BI113" t="b">
        <v>0</v>
      </c>
      <c r="BJ113" t="b">
        <v>0</v>
      </c>
      <c r="BK113" t="b">
        <v>0</v>
      </c>
      <c r="BL113" t="b">
        <v>0</v>
      </c>
      <c r="BM113" t="b">
        <v>0</v>
      </c>
      <c r="BN113" t="b">
        <v>0</v>
      </c>
      <c r="BO113" t="b">
        <v>0</v>
      </c>
      <c r="BP113" t="b">
        <v>0</v>
      </c>
      <c r="BR113" t="str">
        <f>IF(M113="PASSED",VLOOKUP(J113,All_Potential!$J$1:$N$500,1,FALSE))</f>
        <v>1.0391</v>
      </c>
    </row>
    <row r="114" spans="1:70" ht="15" customHeight="1" x14ac:dyDescent="0.25">
      <c r="A114">
        <v>21156</v>
      </c>
      <c r="C114">
        <v>0</v>
      </c>
      <c r="D114" t="s">
        <v>65</v>
      </c>
      <c r="E114" t="s">
        <v>66</v>
      </c>
      <c r="F114" t="s">
        <v>84</v>
      </c>
      <c r="G114">
        <v>0</v>
      </c>
      <c r="H114" t="s">
        <v>85</v>
      </c>
      <c r="I114" t="s">
        <v>86</v>
      </c>
      <c r="J114" t="str">
        <f>MID($N114,FIND("1.",$N114),FIND("-",$N114)-FIND("1.",$N114)-1)</f>
        <v>1.0393</v>
      </c>
      <c r="K114" t="str">
        <f>MID($N114,FIND("MSWRK - ",$N114)+8,FIND(":",$N114)-FIND("MSWRK - ",$N114)-8)</f>
        <v>Ensure User Account Control</v>
      </c>
      <c r="L114" t="str">
        <f t="shared" si="1"/>
        <v>1.0393 - MSWRK - Ensure User Account Control: Virtualize file and registry write failures to per-user locations is set to Enabled</v>
      </c>
      <c r="M114" t="str">
        <f>MID($N114,FIND("[",$N114)+1,FIND("]",$N114)-FIND("[",$N114)-1)</f>
        <v>PASSED</v>
      </c>
      <c r="N114" s="1" t="s">
        <v>244</v>
      </c>
      <c r="O114" t="s">
        <v>67</v>
      </c>
      <c r="R114" t="s">
        <v>68</v>
      </c>
      <c r="T114" t="s">
        <v>69</v>
      </c>
      <c r="U114" t="s">
        <v>70</v>
      </c>
      <c r="W114" t="s">
        <v>71</v>
      </c>
      <c r="X114" s="1" t="s">
        <v>72</v>
      </c>
      <c r="Y114" t="s">
        <v>88</v>
      </c>
      <c r="Z114">
        <v>0</v>
      </c>
      <c r="AA114">
        <v>0</v>
      </c>
      <c r="AD114">
        <v>0</v>
      </c>
      <c r="AE114">
        <v>0</v>
      </c>
      <c r="AH114" t="s">
        <v>73</v>
      </c>
      <c r="AI114" t="s">
        <v>74</v>
      </c>
      <c r="AJ114" t="s">
        <v>75</v>
      </c>
      <c r="AK114" t="s">
        <v>76</v>
      </c>
      <c r="AN114" t="s">
        <v>77</v>
      </c>
      <c r="AO114" t="s">
        <v>78</v>
      </c>
      <c r="AP114" t="s">
        <v>242</v>
      </c>
      <c r="AQ114" t="s">
        <v>80</v>
      </c>
      <c r="AS114" t="b">
        <v>1</v>
      </c>
      <c r="AT114" t="s">
        <v>65</v>
      </c>
      <c r="AU114">
        <v>0</v>
      </c>
      <c r="AV114">
        <v>0</v>
      </c>
      <c r="AX114">
        <v>39</v>
      </c>
      <c r="AY114" t="s">
        <v>81</v>
      </c>
      <c r="AZ114" t="s">
        <v>90</v>
      </c>
      <c r="BB114" t="s">
        <v>91</v>
      </c>
      <c r="BC114" t="s">
        <v>92</v>
      </c>
      <c r="BD114" t="b">
        <v>0</v>
      </c>
      <c r="BE114" t="b">
        <v>0</v>
      </c>
      <c r="BF114" t="b">
        <v>0</v>
      </c>
      <c r="BG114" t="b">
        <v>0</v>
      </c>
      <c r="BH114" t="b">
        <v>0</v>
      </c>
      <c r="BI114" t="b">
        <v>0</v>
      </c>
      <c r="BJ114" t="b">
        <v>0</v>
      </c>
      <c r="BK114" t="b">
        <v>0</v>
      </c>
      <c r="BL114" t="b">
        <v>0</v>
      </c>
      <c r="BM114" t="b">
        <v>0</v>
      </c>
      <c r="BN114" t="b">
        <v>0</v>
      </c>
      <c r="BO114" t="b">
        <v>0</v>
      </c>
      <c r="BP114" t="b">
        <v>0</v>
      </c>
      <c r="BR114" t="str">
        <f>IF(M114="PASSED",VLOOKUP(J114,All_Potential!$J$1:$N$500,1,FALSE))</f>
        <v>1.0393</v>
      </c>
    </row>
    <row r="115" spans="1:70" ht="15" customHeight="1" x14ac:dyDescent="0.25">
      <c r="A115">
        <v>21156</v>
      </c>
      <c r="C115">
        <v>0</v>
      </c>
      <c r="D115" t="s">
        <v>65</v>
      </c>
      <c r="E115" t="s">
        <v>66</v>
      </c>
      <c r="F115" t="s">
        <v>84</v>
      </c>
      <c r="G115">
        <v>0</v>
      </c>
      <c r="H115" t="s">
        <v>85</v>
      </c>
      <c r="I115" t="s">
        <v>86</v>
      </c>
      <c r="J115" t="str">
        <f>MID($N115,FIND("1.",$N115),FIND("-",$N115)-FIND("1.",$N115)-1)</f>
        <v>1.0395</v>
      </c>
      <c r="K115" t="str">
        <f>MID($N115,FIND("MSWRK - ",$N115)+8,FIND(":",$N115)-FIND("MSWRK - ",$N115)-8)</f>
        <v>Ensure Audit</v>
      </c>
      <c r="L115" t="str">
        <f t="shared" si="1"/>
        <v>1.0395 - MSWRK - Ensure Audit: Shut down system immediately if unable to log security audits is set to Disabled</v>
      </c>
      <c r="M115" t="str">
        <f>MID($N115,FIND("[",$N115)+1,FIND("]",$N115)-FIND("[",$N115)-1)</f>
        <v>PASSED</v>
      </c>
      <c r="N115" s="1" t="s">
        <v>211</v>
      </c>
      <c r="O115" t="s">
        <v>67</v>
      </c>
      <c r="R115" t="s">
        <v>68</v>
      </c>
      <c r="T115" t="s">
        <v>69</v>
      </c>
      <c r="U115" t="s">
        <v>70</v>
      </c>
      <c r="W115" t="s">
        <v>71</v>
      </c>
      <c r="X115" s="1" t="s">
        <v>72</v>
      </c>
      <c r="Y115" t="s">
        <v>88</v>
      </c>
      <c r="Z115">
        <v>0</v>
      </c>
      <c r="AA115">
        <v>0</v>
      </c>
      <c r="AD115">
        <v>0</v>
      </c>
      <c r="AE115">
        <v>0</v>
      </c>
      <c r="AH115" t="s">
        <v>73</v>
      </c>
      <c r="AI115" t="s">
        <v>74</v>
      </c>
      <c r="AJ115" t="s">
        <v>75</v>
      </c>
      <c r="AK115" t="s">
        <v>76</v>
      </c>
      <c r="AN115" t="s">
        <v>77</v>
      </c>
      <c r="AO115" t="s">
        <v>78</v>
      </c>
      <c r="AP115" t="s">
        <v>212</v>
      </c>
      <c r="AQ115" t="s">
        <v>80</v>
      </c>
      <c r="AS115" t="b">
        <v>1</v>
      </c>
      <c r="AT115" t="s">
        <v>65</v>
      </c>
      <c r="AU115">
        <v>0</v>
      </c>
      <c r="AV115">
        <v>0</v>
      </c>
      <c r="AX115">
        <v>39</v>
      </c>
      <c r="AY115" t="s">
        <v>81</v>
      </c>
      <c r="AZ115" t="s">
        <v>90</v>
      </c>
      <c r="BB115" t="s">
        <v>91</v>
      </c>
      <c r="BC115" t="s">
        <v>92</v>
      </c>
      <c r="BD115" t="b">
        <v>0</v>
      </c>
      <c r="BE115" t="b">
        <v>0</v>
      </c>
      <c r="BF115" t="b">
        <v>0</v>
      </c>
      <c r="BG115" t="b">
        <v>0</v>
      </c>
      <c r="BH115" t="b">
        <v>0</v>
      </c>
      <c r="BI115" t="b">
        <v>0</v>
      </c>
      <c r="BJ115" t="b">
        <v>0</v>
      </c>
      <c r="BK115" t="b">
        <v>0</v>
      </c>
      <c r="BL115" t="b">
        <v>0</v>
      </c>
      <c r="BM115" t="b">
        <v>0</v>
      </c>
      <c r="BN115" t="b">
        <v>0</v>
      </c>
      <c r="BO115" t="b">
        <v>0</v>
      </c>
      <c r="BP115" t="b">
        <v>0</v>
      </c>
      <c r="BR115" t="str">
        <f>IF(M115="PASSED",VLOOKUP(J115,All_Potential!$J$1:$N$500,1,FALSE))</f>
        <v>1.0395</v>
      </c>
    </row>
    <row r="116" spans="1:70" ht="15" customHeight="1" x14ac:dyDescent="0.25">
      <c r="A116">
        <v>21156</v>
      </c>
      <c r="C116">
        <v>0</v>
      </c>
      <c r="D116" t="s">
        <v>65</v>
      </c>
      <c r="E116" t="s">
        <v>66</v>
      </c>
      <c r="F116" t="s">
        <v>84</v>
      </c>
      <c r="G116">
        <v>0</v>
      </c>
      <c r="H116" t="s">
        <v>85</v>
      </c>
      <c r="I116" t="s">
        <v>86</v>
      </c>
      <c r="J116" t="str">
        <f>MID($N116,FIND("1.",$N116),FIND("-",$N116)-FIND("1.",$N116)-1)</f>
        <v>1.0396</v>
      </c>
      <c r="K116" t="str">
        <f>MID($N116,FIND("MSWRK - ",$N116)+8,FIND(":",$N116)-FIND("MSWRK - ",$N116)-8)</f>
        <v>Ensure Domain member</v>
      </c>
      <c r="L116" t="str">
        <f t="shared" ref="L116:L174" si="2">MID($N116,FIND("1.",$N116),FIND("[",$N116)-1-FIND("1.",$N116)-1)</f>
        <v>1.0396 - MSWRK - Ensure Domain member: Digitally encrypt or sign secure channel data (always) is set to Enabled</v>
      </c>
      <c r="M116" t="str">
        <f>MID($N116,FIND("[",$N116)+1,FIND("]",$N116)-FIND("[",$N116)-1)</f>
        <v>PASSED</v>
      </c>
      <c r="N116" s="1" t="s">
        <v>251</v>
      </c>
      <c r="O116" t="s">
        <v>67</v>
      </c>
      <c r="R116" t="s">
        <v>68</v>
      </c>
      <c r="T116" t="s">
        <v>69</v>
      </c>
      <c r="U116" t="s">
        <v>70</v>
      </c>
      <c r="W116" t="s">
        <v>71</v>
      </c>
      <c r="X116" s="1" t="s">
        <v>72</v>
      </c>
      <c r="Y116" t="s">
        <v>88</v>
      </c>
      <c r="Z116">
        <v>0</v>
      </c>
      <c r="AA116">
        <v>0</v>
      </c>
      <c r="AD116">
        <v>0</v>
      </c>
      <c r="AE116">
        <v>0</v>
      </c>
      <c r="AH116" t="s">
        <v>73</v>
      </c>
      <c r="AI116" t="s">
        <v>74</v>
      </c>
      <c r="AJ116" t="s">
        <v>75</v>
      </c>
      <c r="AK116" t="s">
        <v>76</v>
      </c>
      <c r="AN116" t="s">
        <v>77</v>
      </c>
      <c r="AO116" t="s">
        <v>78</v>
      </c>
      <c r="AP116" t="s">
        <v>250</v>
      </c>
      <c r="AQ116" t="s">
        <v>80</v>
      </c>
      <c r="AS116" t="b">
        <v>1</v>
      </c>
      <c r="AT116" t="s">
        <v>65</v>
      </c>
      <c r="AU116">
        <v>0</v>
      </c>
      <c r="AV116">
        <v>0</v>
      </c>
      <c r="AX116">
        <v>39</v>
      </c>
      <c r="AY116" t="s">
        <v>81</v>
      </c>
      <c r="AZ116" t="s">
        <v>90</v>
      </c>
      <c r="BB116" t="s">
        <v>91</v>
      </c>
      <c r="BC116" t="s">
        <v>92</v>
      </c>
      <c r="BD116" t="b">
        <v>0</v>
      </c>
      <c r="BE116" t="b">
        <v>0</v>
      </c>
      <c r="BF116" t="b">
        <v>0</v>
      </c>
      <c r="BG116" t="b">
        <v>0</v>
      </c>
      <c r="BH116" t="b">
        <v>0</v>
      </c>
      <c r="BI116" t="b">
        <v>0</v>
      </c>
      <c r="BJ116" t="b">
        <v>0</v>
      </c>
      <c r="BK116" t="b">
        <v>0</v>
      </c>
      <c r="BL116" t="b">
        <v>0</v>
      </c>
      <c r="BM116" t="b">
        <v>0</v>
      </c>
      <c r="BN116" t="b">
        <v>0</v>
      </c>
      <c r="BO116" t="b">
        <v>0</v>
      </c>
      <c r="BP116" t="b">
        <v>0</v>
      </c>
      <c r="BR116" t="str">
        <f>IF(M116="PASSED",VLOOKUP(J116,All_Potential!$J$1:$N$500,1,FALSE))</f>
        <v>1.0396</v>
      </c>
    </row>
    <row r="117" spans="1:70" ht="15" customHeight="1" x14ac:dyDescent="0.25">
      <c r="A117">
        <v>21156</v>
      </c>
      <c r="C117">
        <v>0</v>
      </c>
      <c r="D117" t="s">
        <v>65</v>
      </c>
      <c r="E117" t="s">
        <v>66</v>
      </c>
      <c r="F117" t="s">
        <v>84</v>
      </c>
      <c r="G117">
        <v>0</v>
      </c>
      <c r="H117" t="s">
        <v>85</v>
      </c>
      <c r="I117" t="s">
        <v>86</v>
      </c>
      <c r="J117" t="str">
        <f>MID($N117,FIND("1.",$N117),FIND("-",$N117)-FIND("1.",$N117)-1)</f>
        <v>1.0397</v>
      </c>
      <c r="K117" t="str">
        <f>MID($N117,FIND("MSWRK - ",$N117)+8,FIND(":",$N117)-FIND("MSWRK - ",$N117)-8)</f>
        <v>Ensure Domain member</v>
      </c>
      <c r="L117" t="str">
        <f t="shared" si="2"/>
        <v>1.0397 - MSWRK - Ensure Domain member: Digitally encrypt secure channel data (when possible) is set to Enabled</v>
      </c>
      <c r="M117" t="str">
        <f>MID($N117,FIND("[",$N117)+1,FIND("]",$N117)-FIND("[",$N117)-1)</f>
        <v>PASSED</v>
      </c>
      <c r="N117" s="1" t="s">
        <v>136</v>
      </c>
      <c r="O117" t="s">
        <v>67</v>
      </c>
      <c r="R117" t="s">
        <v>68</v>
      </c>
      <c r="T117" t="s">
        <v>69</v>
      </c>
      <c r="U117" t="s">
        <v>70</v>
      </c>
      <c r="W117" t="s">
        <v>71</v>
      </c>
      <c r="X117" s="1" t="s">
        <v>72</v>
      </c>
      <c r="Y117" t="s">
        <v>88</v>
      </c>
      <c r="Z117">
        <v>0</v>
      </c>
      <c r="AA117">
        <v>0</v>
      </c>
      <c r="AD117">
        <v>0</v>
      </c>
      <c r="AE117">
        <v>0</v>
      </c>
      <c r="AH117" t="s">
        <v>73</v>
      </c>
      <c r="AI117" t="s">
        <v>74</v>
      </c>
      <c r="AJ117" t="s">
        <v>75</v>
      </c>
      <c r="AK117" t="s">
        <v>76</v>
      </c>
      <c r="AN117" t="s">
        <v>77</v>
      </c>
      <c r="AO117" t="s">
        <v>78</v>
      </c>
      <c r="AP117" t="s">
        <v>135</v>
      </c>
      <c r="AQ117" t="s">
        <v>80</v>
      </c>
      <c r="AS117" t="b">
        <v>1</v>
      </c>
      <c r="AT117" t="s">
        <v>65</v>
      </c>
      <c r="AU117">
        <v>0</v>
      </c>
      <c r="AV117">
        <v>0</v>
      </c>
      <c r="AX117">
        <v>39</v>
      </c>
      <c r="AY117" t="s">
        <v>81</v>
      </c>
      <c r="AZ117" t="s">
        <v>90</v>
      </c>
      <c r="BB117" t="s">
        <v>91</v>
      </c>
      <c r="BC117" t="s">
        <v>92</v>
      </c>
      <c r="BD117" t="b">
        <v>0</v>
      </c>
      <c r="BE117" t="b">
        <v>0</v>
      </c>
      <c r="BF117" t="b">
        <v>0</v>
      </c>
      <c r="BG117" t="b">
        <v>0</v>
      </c>
      <c r="BH117" t="b">
        <v>0</v>
      </c>
      <c r="BI117" t="b">
        <v>0</v>
      </c>
      <c r="BJ117" t="b">
        <v>0</v>
      </c>
      <c r="BK117" t="b">
        <v>0</v>
      </c>
      <c r="BL117" t="b">
        <v>0</v>
      </c>
      <c r="BM117" t="b">
        <v>0</v>
      </c>
      <c r="BN117" t="b">
        <v>0</v>
      </c>
      <c r="BO117" t="b">
        <v>0</v>
      </c>
      <c r="BP117" t="b">
        <v>0</v>
      </c>
      <c r="BR117" t="str">
        <f>IF(M117="PASSED",VLOOKUP(J117,All_Potential!$J$1:$N$500,1,FALSE))</f>
        <v>1.0397</v>
      </c>
    </row>
    <row r="118" spans="1:70" ht="15" customHeight="1" x14ac:dyDescent="0.25">
      <c r="A118">
        <v>21156</v>
      </c>
      <c r="C118">
        <v>0</v>
      </c>
      <c r="D118" t="s">
        <v>65</v>
      </c>
      <c r="E118" t="s">
        <v>66</v>
      </c>
      <c r="F118" t="s">
        <v>84</v>
      </c>
      <c r="G118">
        <v>0</v>
      </c>
      <c r="H118" t="s">
        <v>85</v>
      </c>
      <c r="I118" t="s">
        <v>86</v>
      </c>
      <c r="J118" t="str">
        <f>MID($N118,FIND("1.",$N118),FIND("-",$N118)-FIND("1.",$N118)-1)</f>
        <v>1.0398</v>
      </c>
      <c r="K118" t="str">
        <f>MID($N118,FIND("MSWRK - ",$N118)+8,FIND(":",$N118)-FIND("MSWRK - ",$N118)-8)</f>
        <v>Ensure Domain member</v>
      </c>
      <c r="L118" t="str">
        <f t="shared" si="2"/>
        <v>1.0398 - MSWRK - Ensure Domain member: Digitally sign secure channel data (when possible) is set to Enabled</v>
      </c>
      <c r="M118" t="str">
        <f>MID($N118,FIND("[",$N118)+1,FIND("]",$N118)-FIND("[",$N118)-1)</f>
        <v>PASSED</v>
      </c>
      <c r="N118" s="1" t="s">
        <v>286</v>
      </c>
      <c r="O118" t="s">
        <v>67</v>
      </c>
      <c r="R118" t="s">
        <v>68</v>
      </c>
      <c r="T118" t="s">
        <v>69</v>
      </c>
      <c r="U118" t="s">
        <v>70</v>
      </c>
      <c r="W118" t="s">
        <v>71</v>
      </c>
      <c r="X118" s="1" t="s">
        <v>72</v>
      </c>
      <c r="Y118" t="s">
        <v>88</v>
      </c>
      <c r="Z118">
        <v>0</v>
      </c>
      <c r="AA118">
        <v>0</v>
      </c>
      <c r="AD118">
        <v>0</v>
      </c>
      <c r="AE118">
        <v>0</v>
      </c>
      <c r="AH118" t="s">
        <v>73</v>
      </c>
      <c r="AI118" t="s">
        <v>74</v>
      </c>
      <c r="AJ118" t="s">
        <v>75</v>
      </c>
      <c r="AK118" t="s">
        <v>76</v>
      </c>
      <c r="AN118" t="s">
        <v>77</v>
      </c>
      <c r="AO118" t="s">
        <v>78</v>
      </c>
      <c r="AP118" t="s">
        <v>283</v>
      </c>
      <c r="AQ118" t="s">
        <v>80</v>
      </c>
      <c r="AS118" t="b">
        <v>1</v>
      </c>
      <c r="AT118" t="s">
        <v>65</v>
      </c>
      <c r="AU118">
        <v>0</v>
      </c>
      <c r="AV118">
        <v>0</v>
      </c>
      <c r="AX118">
        <v>39</v>
      </c>
      <c r="AY118" t="s">
        <v>81</v>
      </c>
      <c r="AZ118" t="s">
        <v>90</v>
      </c>
      <c r="BB118" t="s">
        <v>91</v>
      </c>
      <c r="BC118" t="s">
        <v>92</v>
      </c>
      <c r="BD118" t="b">
        <v>0</v>
      </c>
      <c r="BE118" t="b">
        <v>0</v>
      </c>
      <c r="BF118" t="b">
        <v>0</v>
      </c>
      <c r="BG118" t="b">
        <v>0</v>
      </c>
      <c r="BH118" t="b">
        <v>0</v>
      </c>
      <c r="BI118" t="b">
        <v>0</v>
      </c>
      <c r="BJ118" t="b">
        <v>0</v>
      </c>
      <c r="BK118" t="b">
        <v>0</v>
      </c>
      <c r="BL118" t="b">
        <v>0</v>
      </c>
      <c r="BM118" t="b">
        <v>0</v>
      </c>
      <c r="BN118" t="b">
        <v>0</v>
      </c>
      <c r="BO118" t="b">
        <v>0</v>
      </c>
      <c r="BP118" t="b">
        <v>0</v>
      </c>
      <c r="BR118" t="str">
        <f>IF(M118="PASSED",VLOOKUP(J118,All_Potential!$J$1:$N$500,1,FALSE))</f>
        <v>1.0398</v>
      </c>
    </row>
    <row r="119" spans="1:70" ht="15" customHeight="1" x14ac:dyDescent="0.25">
      <c r="A119">
        <v>21156</v>
      </c>
      <c r="C119">
        <v>0</v>
      </c>
      <c r="D119" t="s">
        <v>65</v>
      </c>
      <c r="E119" t="s">
        <v>66</v>
      </c>
      <c r="F119" t="s">
        <v>84</v>
      </c>
      <c r="G119">
        <v>0</v>
      </c>
      <c r="H119" t="s">
        <v>85</v>
      </c>
      <c r="I119" t="s">
        <v>86</v>
      </c>
      <c r="J119" t="str">
        <f>MID($N119,FIND("1.",$N119),FIND("-",$N119)-FIND("1.",$N119)-1)</f>
        <v>1.0399</v>
      </c>
      <c r="K119" t="str">
        <f>MID($N119,FIND("MSWRK - ",$N119)+8,FIND(":",$N119)-FIND("MSWRK - ",$N119)-8)</f>
        <v>Ensure Domain member</v>
      </c>
      <c r="L119" t="str">
        <f t="shared" si="2"/>
        <v>1.0399 - MSWRK - Ensure Domain member: Disable machine account password changes is set to Disabled</v>
      </c>
      <c r="M119" t="str">
        <f>MID($N119,FIND("[",$N119)+1,FIND("]",$N119)-FIND("[",$N119)-1)</f>
        <v>PASSED</v>
      </c>
      <c r="N119" s="1" t="s">
        <v>298</v>
      </c>
      <c r="O119" t="s">
        <v>67</v>
      </c>
      <c r="R119" t="s">
        <v>68</v>
      </c>
      <c r="T119" t="s">
        <v>69</v>
      </c>
      <c r="U119" t="s">
        <v>70</v>
      </c>
      <c r="W119" t="s">
        <v>71</v>
      </c>
      <c r="X119" s="1" t="s">
        <v>72</v>
      </c>
      <c r="Y119" t="s">
        <v>88</v>
      </c>
      <c r="Z119">
        <v>0</v>
      </c>
      <c r="AA119">
        <v>0</v>
      </c>
      <c r="AD119">
        <v>0</v>
      </c>
      <c r="AE119">
        <v>0</v>
      </c>
      <c r="AH119" t="s">
        <v>73</v>
      </c>
      <c r="AI119" t="s">
        <v>74</v>
      </c>
      <c r="AJ119" t="s">
        <v>75</v>
      </c>
      <c r="AK119" t="s">
        <v>76</v>
      </c>
      <c r="AN119" t="s">
        <v>77</v>
      </c>
      <c r="AO119" t="s">
        <v>78</v>
      </c>
      <c r="AP119" t="s">
        <v>297</v>
      </c>
      <c r="AQ119" t="s">
        <v>80</v>
      </c>
      <c r="AS119" t="b">
        <v>1</v>
      </c>
      <c r="AT119" t="s">
        <v>65</v>
      </c>
      <c r="AU119">
        <v>0</v>
      </c>
      <c r="AV119">
        <v>0</v>
      </c>
      <c r="AX119">
        <v>39</v>
      </c>
      <c r="AY119" t="s">
        <v>81</v>
      </c>
      <c r="AZ119" t="s">
        <v>90</v>
      </c>
      <c r="BB119" t="s">
        <v>91</v>
      </c>
      <c r="BC119" t="s">
        <v>92</v>
      </c>
      <c r="BD119" t="b">
        <v>0</v>
      </c>
      <c r="BE119" t="b">
        <v>0</v>
      </c>
      <c r="BF119" t="b">
        <v>0</v>
      </c>
      <c r="BG119" t="b">
        <v>0</v>
      </c>
      <c r="BH119" t="b">
        <v>0</v>
      </c>
      <c r="BI119" t="b">
        <v>0</v>
      </c>
      <c r="BJ119" t="b">
        <v>0</v>
      </c>
      <c r="BK119" t="b">
        <v>0</v>
      </c>
      <c r="BL119" t="b">
        <v>0</v>
      </c>
      <c r="BM119" t="b">
        <v>0</v>
      </c>
      <c r="BN119" t="b">
        <v>0</v>
      </c>
      <c r="BO119" t="b">
        <v>0</v>
      </c>
      <c r="BP119" t="b">
        <v>0</v>
      </c>
      <c r="BR119" t="str">
        <f>IF(M119="PASSED",VLOOKUP(J119,All_Potential!$J$1:$N$500,1,FALSE))</f>
        <v>1.0399</v>
      </c>
    </row>
    <row r="120" spans="1:70" ht="15" customHeight="1" x14ac:dyDescent="0.25">
      <c r="A120">
        <v>21156</v>
      </c>
      <c r="C120">
        <v>0</v>
      </c>
      <c r="D120" t="s">
        <v>65</v>
      </c>
      <c r="E120" t="s">
        <v>66</v>
      </c>
      <c r="F120" t="s">
        <v>84</v>
      </c>
      <c r="G120">
        <v>0</v>
      </c>
      <c r="H120" t="s">
        <v>85</v>
      </c>
      <c r="I120" t="s">
        <v>86</v>
      </c>
      <c r="J120" t="str">
        <f>MID($N120,FIND("1.",$N120),FIND("-",$N120)-FIND("1.",$N120)-1)</f>
        <v>1.0400</v>
      </c>
      <c r="K120" t="str">
        <f>MID($N120,FIND("MSWRK - ",$N120)+8,FIND(":",$N120)-FIND("MSWRK - ",$N120)-8)</f>
        <v>Ensure Domain member</v>
      </c>
      <c r="L120" t="str">
        <f t="shared" si="2"/>
        <v>1.0400 - MSWRK - Ensure Domain member: Maximum machine account password age is set to 30 or fewer days, but not 0</v>
      </c>
      <c r="M120" t="str">
        <f>MID($N120,FIND("[",$N120)+1,FIND("]",$N120)-FIND("[",$N120)-1)</f>
        <v>PASSED</v>
      </c>
      <c r="N120" s="1" t="s">
        <v>201</v>
      </c>
      <c r="O120" t="s">
        <v>67</v>
      </c>
      <c r="R120" t="s">
        <v>68</v>
      </c>
      <c r="T120" t="s">
        <v>69</v>
      </c>
      <c r="U120" t="s">
        <v>70</v>
      </c>
      <c r="W120" t="s">
        <v>71</v>
      </c>
      <c r="X120" s="1" t="s">
        <v>72</v>
      </c>
      <c r="Y120" t="s">
        <v>88</v>
      </c>
      <c r="Z120">
        <v>0</v>
      </c>
      <c r="AA120">
        <v>0</v>
      </c>
      <c r="AD120">
        <v>0</v>
      </c>
      <c r="AE120">
        <v>0</v>
      </c>
      <c r="AH120" t="s">
        <v>73</v>
      </c>
      <c r="AI120" t="s">
        <v>74</v>
      </c>
      <c r="AJ120" t="s">
        <v>75</v>
      </c>
      <c r="AK120" t="s">
        <v>76</v>
      </c>
      <c r="AN120" t="s">
        <v>77</v>
      </c>
      <c r="AO120" t="s">
        <v>78</v>
      </c>
      <c r="AP120" t="s">
        <v>199</v>
      </c>
      <c r="AQ120" t="s">
        <v>80</v>
      </c>
      <c r="AS120" t="b">
        <v>1</v>
      </c>
      <c r="AT120" t="s">
        <v>65</v>
      </c>
      <c r="AU120">
        <v>0</v>
      </c>
      <c r="AV120">
        <v>0</v>
      </c>
      <c r="AX120">
        <v>39</v>
      </c>
      <c r="AY120" t="s">
        <v>81</v>
      </c>
      <c r="AZ120" t="s">
        <v>90</v>
      </c>
      <c r="BB120" t="s">
        <v>91</v>
      </c>
      <c r="BC120" t="s">
        <v>92</v>
      </c>
      <c r="BD120" t="b">
        <v>0</v>
      </c>
      <c r="BE120" t="b">
        <v>0</v>
      </c>
      <c r="BF120" t="b">
        <v>0</v>
      </c>
      <c r="BG120" t="b">
        <v>0</v>
      </c>
      <c r="BH120" t="b">
        <v>0</v>
      </c>
      <c r="BI120" t="b">
        <v>0</v>
      </c>
      <c r="BJ120" t="b">
        <v>0</v>
      </c>
      <c r="BK120" t="b">
        <v>0</v>
      </c>
      <c r="BL120" t="b">
        <v>0</v>
      </c>
      <c r="BM120" t="b">
        <v>0</v>
      </c>
      <c r="BN120" t="b">
        <v>0</v>
      </c>
      <c r="BO120" t="b">
        <v>0</v>
      </c>
      <c r="BP120" t="b">
        <v>0</v>
      </c>
      <c r="BR120" t="str">
        <f>IF(M120="PASSED",VLOOKUP(J120,All_Potential!$J$1:$N$500,1,FALSE))</f>
        <v>1.0400</v>
      </c>
    </row>
    <row r="121" spans="1:70" ht="15" customHeight="1" x14ac:dyDescent="0.25">
      <c r="A121">
        <v>21156</v>
      </c>
      <c r="C121">
        <v>0</v>
      </c>
      <c r="D121" t="s">
        <v>65</v>
      </c>
      <c r="E121" t="s">
        <v>66</v>
      </c>
      <c r="F121" t="s">
        <v>84</v>
      </c>
      <c r="G121">
        <v>0</v>
      </c>
      <c r="H121" t="s">
        <v>85</v>
      </c>
      <c r="I121" t="s">
        <v>86</v>
      </c>
      <c r="J121" t="str">
        <f>MID($N121,FIND("1.",$N121),FIND("-",$N121)-FIND("1.",$N121)-1)</f>
        <v>1.0401</v>
      </c>
      <c r="K121" t="str">
        <f>MID($N121,FIND("MSWRK - ",$N121)+8,FIND(":",$N121)-FIND("MSWRK - ",$N121)-8)</f>
        <v>Ensure Domain member</v>
      </c>
      <c r="L121" t="str">
        <f t="shared" si="2"/>
        <v>1.0401 - MSWRK - Ensure Domain member: Require strong (Windows 2000 or later) session key is set to Enabled</v>
      </c>
      <c r="M121" t="str">
        <f>MID($N121,FIND("[",$N121)+1,FIND("]",$N121)-FIND("[",$N121)-1)</f>
        <v>PASSED</v>
      </c>
      <c r="N121" s="1" t="s">
        <v>218</v>
      </c>
      <c r="O121" t="s">
        <v>67</v>
      </c>
      <c r="R121" t="s">
        <v>68</v>
      </c>
      <c r="T121" t="s">
        <v>69</v>
      </c>
      <c r="U121" t="s">
        <v>70</v>
      </c>
      <c r="W121" t="s">
        <v>71</v>
      </c>
      <c r="X121" s="1" t="s">
        <v>72</v>
      </c>
      <c r="Y121" t="s">
        <v>88</v>
      </c>
      <c r="Z121">
        <v>0</v>
      </c>
      <c r="AA121">
        <v>0</v>
      </c>
      <c r="AD121">
        <v>0</v>
      </c>
      <c r="AE121">
        <v>0</v>
      </c>
      <c r="AH121" t="s">
        <v>73</v>
      </c>
      <c r="AI121" t="s">
        <v>74</v>
      </c>
      <c r="AJ121" t="s">
        <v>75</v>
      </c>
      <c r="AK121" t="s">
        <v>76</v>
      </c>
      <c r="AN121" t="s">
        <v>77</v>
      </c>
      <c r="AO121" t="s">
        <v>78</v>
      </c>
      <c r="AP121" t="s">
        <v>216</v>
      </c>
      <c r="AQ121" t="s">
        <v>80</v>
      </c>
      <c r="AS121" t="b">
        <v>1</v>
      </c>
      <c r="AT121" t="s">
        <v>65</v>
      </c>
      <c r="AU121">
        <v>0</v>
      </c>
      <c r="AV121">
        <v>0</v>
      </c>
      <c r="AX121">
        <v>39</v>
      </c>
      <c r="AY121" t="s">
        <v>81</v>
      </c>
      <c r="AZ121" t="s">
        <v>90</v>
      </c>
      <c r="BB121" t="s">
        <v>91</v>
      </c>
      <c r="BC121" t="s">
        <v>92</v>
      </c>
      <c r="BD121" t="b">
        <v>0</v>
      </c>
      <c r="BE121" t="b">
        <v>0</v>
      </c>
      <c r="BF121" t="b">
        <v>0</v>
      </c>
      <c r="BG121" t="b">
        <v>0</v>
      </c>
      <c r="BH121" t="b">
        <v>0</v>
      </c>
      <c r="BI121" t="b">
        <v>0</v>
      </c>
      <c r="BJ121" t="b">
        <v>0</v>
      </c>
      <c r="BK121" t="b">
        <v>0</v>
      </c>
      <c r="BL121" t="b">
        <v>0</v>
      </c>
      <c r="BM121" t="b">
        <v>0</v>
      </c>
      <c r="BN121" t="b">
        <v>0</v>
      </c>
      <c r="BO121" t="b">
        <v>0</v>
      </c>
      <c r="BP121" t="b">
        <v>0</v>
      </c>
      <c r="BR121" t="str">
        <f>IF(M121="PASSED",VLOOKUP(J121,All_Potential!$J$1:$N$500,1,FALSE))</f>
        <v>1.0401</v>
      </c>
    </row>
    <row r="122" spans="1:70" ht="15" customHeight="1" x14ac:dyDescent="0.25">
      <c r="A122">
        <v>21156</v>
      </c>
      <c r="C122">
        <v>0</v>
      </c>
      <c r="D122" t="s">
        <v>83</v>
      </c>
      <c r="E122" t="s">
        <v>66</v>
      </c>
      <c r="F122" t="s">
        <v>84</v>
      </c>
      <c r="G122">
        <v>0</v>
      </c>
      <c r="H122" t="s">
        <v>85</v>
      </c>
      <c r="I122" t="s">
        <v>86</v>
      </c>
      <c r="J122" t="str">
        <f>MID($N122,FIND("1.",$N122),FIND("-",$N122)-FIND("1.",$N122)-1)</f>
        <v>1.0406</v>
      </c>
      <c r="K122" t="str">
        <f>MID($N122,FIND("MSWRK - ",$N122)+8,FIND(":",$N122)-FIND("MSWRK - ",$N122)-8)</f>
        <v>Ensure Interactive logon</v>
      </c>
      <c r="L122" t="str">
        <f t="shared" si="2"/>
        <v>1.0406 - MSWRK - Ensure Interactive logon: Prompt user to change password before expiration is set to between 5 and 14 days</v>
      </c>
      <c r="M122" t="str">
        <f>MID($N122,FIND("[",$N122)+1,FIND("]",$N122)-FIND("[",$N122)-1)</f>
        <v>FAILED</v>
      </c>
      <c r="N122" s="1" t="s">
        <v>241</v>
      </c>
      <c r="O122" t="s">
        <v>67</v>
      </c>
      <c r="R122" t="s">
        <v>68</v>
      </c>
      <c r="T122" t="s">
        <v>69</v>
      </c>
      <c r="U122" t="s">
        <v>70</v>
      </c>
      <c r="W122" t="s">
        <v>71</v>
      </c>
      <c r="X122" s="1" t="s">
        <v>72</v>
      </c>
      <c r="Y122" t="s">
        <v>88</v>
      </c>
      <c r="Z122">
        <v>0</v>
      </c>
      <c r="AA122">
        <v>0</v>
      </c>
      <c r="AD122">
        <v>0</v>
      </c>
      <c r="AE122">
        <v>0</v>
      </c>
      <c r="AH122" t="s">
        <v>73</v>
      </c>
      <c r="AI122" t="s">
        <v>74</v>
      </c>
      <c r="AJ122" t="s">
        <v>75</v>
      </c>
      <c r="AK122" t="s">
        <v>76</v>
      </c>
      <c r="AN122" t="s">
        <v>77</v>
      </c>
      <c r="AO122" t="s">
        <v>78</v>
      </c>
      <c r="AP122" t="s">
        <v>242</v>
      </c>
      <c r="AQ122" t="s">
        <v>80</v>
      </c>
      <c r="AS122" t="b">
        <v>1</v>
      </c>
      <c r="AT122" t="s">
        <v>65</v>
      </c>
      <c r="AU122">
        <v>0</v>
      </c>
      <c r="AV122">
        <v>0</v>
      </c>
      <c r="AX122">
        <v>39</v>
      </c>
      <c r="AY122" t="s">
        <v>81</v>
      </c>
      <c r="AZ122" t="s">
        <v>90</v>
      </c>
      <c r="BB122" t="s">
        <v>91</v>
      </c>
      <c r="BC122" t="s">
        <v>92</v>
      </c>
      <c r="BD122" t="b">
        <v>0</v>
      </c>
      <c r="BE122" t="b">
        <v>0</v>
      </c>
      <c r="BF122" t="b">
        <v>0</v>
      </c>
      <c r="BG122" t="b">
        <v>0</v>
      </c>
      <c r="BH122" t="b">
        <v>0</v>
      </c>
      <c r="BI122" t="b">
        <v>0</v>
      </c>
      <c r="BJ122" t="b">
        <v>0</v>
      </c>
      <c r="BK122" t="b">
        <v>0</v>
      </c>
      <c r="BL122" t="b">
        <v>0</v>
      </c>
      <c r="BM122" t="b">
        <v>0</v>
      </c>
      <c r="BN122" t="b">
        <v>0</v>
      </c>
      <c r="BO122" t="b">
        <v>0</v>
      </c>
      <c r="BP122" t="b">
        <v>0</v>
      </c>
      <c r="BR122" t="b">
        <f>IF(M122="PASSED",VLOOKUP(J122,All_Potential!$J$1:$N$500,1,FALSE))</f>
        <v>0</v>
      </c>
    </row>
    <row r="123" spans="1:70" ht="15" customHeight="1" x14ac:dyDescent="0.25">
      <c r="A123">
        <v>21156</v>
      </c>
      <c r="C123">
        <v>0</v>
      </c>
      <c r="D123" t="s">
        <v>65</v>
      </c>
      <c r="E123" t="s">
        <v>66</v>
      </c>
      <c r="F123" t="s">
        <v>84</v>
      </c>
      <c r="G123">
        <v>0</v>
      </c>
      <c r="H123" t="s">
        <v>85</v>
      </c>
      <c r="I123" t="s">
        <v>86</v>
      </c>
      <c r="J123" t="str">
        <f>MID($N123,FIND("1.",$N123),FIND("-",$N123)-FIND("1.",$N123)-1)</f>
        <v>1.0408</v>
      </c>
      <c r="K123" t="str">
        <f>MID($N123,FIND("MSWRK - ",$N123)+8,FIND(":",$N123)-FIND("MSWRK - ",$N123)-8)</f>
        <v>Ensure Microsoft network client</v>
      </c>
      <c r="L123" t="str">
        <f t="shared" si="2"/>
        <v>1.0408 - MSWRK - Ensure Microsoft network client: Digitally sign communications (always) is set to Enabled - Parameters</v>
      </c>
      <c r="M123" t="str">
        <f>MID($N123,FIND("[",$N123)+1,FIND("]",$N123)-FIND("[",$N123)-1)</f>
        <v>PASSED</v>
      </c>
      <c r="N123" s="1" t="s">
        <v>272</v>
      </c>
      <c r="O123" t="s">
        <v>67</v>
      </c>
      <c r="R123" t="s">
        <v>68</v>
      </c>
      <c r="T123" t="s">
        <v>69</v>
      </c>
      <c r="U123" t="s">
        <v>70</v>
      </c>
      <c r="W123" t="s">
        <v>71</v>
      </c>
      <c r="X123" s="1" t="s">
        <v>72</v>
      </c>
      <c r="Y123" t="s">
        <v>88</v>
      </c>
      <c r="Z123">
        <v>0</v>
      </c>
      <c r="AA123">
        <v>0</v>
      </c>
      <c r="AD123">
        <v>0</v>
      </c>
      <c r="AE123">
        <v>0</v>
      </c>
      <c r="AH123" t="s">
        <v>73</v>
      </c>
      <c r="AI123" t="s">
        <v>74</v>
      </c>
      <c r="AJ123" t="s">
        <v>75</v>
      </c>
      <c r="AK123" t="s">
        <v>76</v>
      </c>
      <c r="AN123" t="s">
        <v>77</v>
      </c>
      <c r="AO123" t="s">
        <v>78</v>
      </c>
      <c r="AP123" t="s">
        <v>271</v>
      </c>
      <c r="AQ123" t="s">
        <v>80</v>
      </c>
      <c r="AS123" t="b">
        <v>1</v>
      </c>
      <c r="AT123" t="s">
        <v>65</v>
      </c>
      <c r="AU123">
        <v>0</v>
      </c>
      <c r="AV123">
        <v>0</v>
      </c>
      <c r="AX123">
        <v>39</v>
      </c>
      <c r="AY123" t="s">
        <v>81</v>
      </c>
      <c r="AZ123" t="s">
        <v>90</v>
      </c>
      <c r="BB123" t="s">
        <v>91</v>
      </c>
      <c r="BC123" t="s">
        <v>92</v>
      </c>
      <c r="BD123" t="b">
        <v>0</v>
      </c>
      <c r="BE123" t="b">
        <v>0</v>
      </c>
      <c r="BF123" t="b">
        <v>0</v>
      </c>
      <c r="BG123" t="b">
        <v>0</v>
      </c>
      <c r="BH123" t="b">
        <v>0</v>
      </c>
      <c r="BI123" t="b">
        <v>0</v>
      </c>
      <c r="BJ123" t="b">
        <v>0</v>
      </c>
      <c r="BK123" t="b">
        <v>0</v>
      </c>
      <c r="BL123" t="b">
        <v>0</v>
      </c>
      <c r="BM123" t="b">
        <v>0</v>
      </c>
      <c r="BN123" t="b">
        <v>0</v>
      </c>
      <c r="BO123" t="b">
        <v>0</v>
      </c>
      <c r="BP123" t="b">
        <v>0</v>
      </c>
      <c r="BR123" t="str">
        <f>IF(M123="PASSED",VLOOKUP(J123,All_Potential!$J$1:$N$500,1,FALSE))</f>
        <v>1.0408</v>
      </c>
    </row>
    <row r="124" spans="1:70" ht="15" customHeight="1" x14ac:dyDescent="0.25">
      <c r="A124">
        <v>21156</v>
      </c>
      <c r="C124">
        <v>0</v>
      </c>
      <c r="D124" t="s">
        <v>65</v>
      </c>
      <c r="E124" t="s">
        <v>66</v>
      </c>
      <c r="F124" t="s">
        <v>84</v>
      </c>
      <c r="G124">
        <v>0</v>
      </c>
      <c r="H124" t="s">
        <v>85</v>
      </c>
      <c r="I124" t="s">
        <v>86</v>
      </c>
      <c r="J124" t="str">
        <f>MID($N124,FIND("1.",$N124),FIND("-",$N124)-FIND("1.",$N124)-1)</f>
        <v>1.0409</v>
      </c>
      <c r="K124" t="str">
        <f>MID($N124,FIND("MSWRK - ",$N124)+8,FIND(":",$N124)-FIND("MSWRK - ",$N124)-8)</f>
        <v>Ensure Microsoft network client</v>
      </c>
      <c r="L124" t="str">
        <f t="shared" si="2"/>
        <v>1.0409 - MSWRK - Ensure Microsoft network client: Send unencrypted password to third-party SMB servers is set to Disabled</v>
      </c>
      <c r="M124" t="str">
        <f>MID($N124,FIND("[",$N124)+1,FIND("]",$N124)-FIND("[",$N124)-1)</f>
        <v>PASSED</v>
      </c>
      <c r="N124" s="1" t="s">
        <v>316</v>
      </c>
      <c r="O124" t="s">
        <v>67</v>
      </c>
      <c r="R124" t="s">
        <v>68</v>
      </c>
      <c r="T124" t="s">
        <v>69</v>
      </c>
      <c r="U124" t="s">
        <v>70</v>
      </c>
      <c r="W124" t="s">
        <v>71</v>
      </c>
      <c r="X124" s="1" t="s">
        <v>72</v>
      </c>
      <c r="Y124" t="s">
        <v>88</v>
      </c>
      <c r="Z124">
        <v>0</v>
      </c>
      <c r="AA124">
        <v>0</v>
      </c>
      <c r="AD124">
        <v>0</v>
      </c>
      <c r="AE124">
        <v>0</v>
      </c>
      <c r="AH124" t="s">
        <v>73</v>
      </c>
      <c r="AI124" t="s">
        <v>74</v>
      </c>
      <c r="AJ124" t="s">
        <v>75</v>
      </c>
      <c r="AK124" t="s">
        <v>76</v>
      </c>
      <c r="AN124" t="s">
        <v>77</v>
      </c>
      <c r="AO124" t="s">
        <v>78</v>
      </c>
      <c r="AP124" t="s">
        <v>314</v>
      </c>
      <c r="AQ124" t="s">
        <v>80</v>
      </c>
      <c r="AS124" t="b">
        <v>1</v>
      </c>
      <c r="AT124" t="s">
        <v>65</v>
      </c>
      <c r="AU124">
        <v>0</v>
      </c>
      <c r="AV124">
        <v>0</v>
      </c>
      <c r="AX124">
        <v>39</v>
      </c>
      <c r="AY124" t="s">
        <v>81</v>
      </c>
      <c r="AZ124" t="s">
        <v>90</v>
      </c>
      <c r="BB124" t="s">
        <v>91</v>
      </c>
      <c r="BC124" t="s">
        <v>92</v>
      </c>
      <c r="BD124" t="b">
        <v>0</v>
      </c>
      <c r="BE124" t="b">
        <v>0</v>
      </c>
      <c r="BF124" t="b">
        <v>0</v>
      </c>
      <c r="BG124" t="b">
        <v>0</v>
      </c>
      <c r="BH124" t="b">
        <v>0</v>
      </c>
      <c r="BI124" t="b">
        <v>0</v>
      </c>
      <c r="BJ124" t="b">
        <v>0</v>
      </c>
      <c r="BK124" t="b">
        <v>0</v>
      </c>
      <c r="BL124" t="b">
        <v>0</v>
      </c>
      <c r="BM124" t="b">
        <v>0</v>
      </c>
      <c r="BN124" t="b">
        <v>0</v>
      </c>
      <c r="BO124" t="b">
        <v>0</v>
      </c>
      <c r="BP124" t="b">
        <v>0</v>
      </c>
      <c r="BR124" t="str">
        <f>IF(M124="PASSED",VLOOKUP(J124,All_Potential!$J$1:$N$500,1,FALSE))</f>
        <v>1.0409</v>
      </c>
    </row>
    <row r="125" spans="1:70" ht="15" customHeight="1" x14ac:dyDescent="0.25">
      <c r="A125">
        <v>21156</v>
      </c>
      <c r="C125">
        <v>0</v>
      </c>
      <c r="D125" t="s">
        <v>65</v>
      </c>
      <c r="E125" t="s">
        <v>66</v>
      </c>
      <c r="F125" t="s">
        <v>84</v>
      </c>
      <c r="G125">
        <v>0</v>
      </c>
      <c r="H125" t="s">
        <v>85</v>
      </c>
      <c r="I125" t="s">
        <v>86</v>
      </c>
      <c r="J125" t="str">
        <f>MID($N125,FIND("1.",$N125),FIND("-",$N125)-FIND("1.",$N125)-1)</f>
        <v>1.0411</v>
      </c>
      <c r="K125" t="str">
        <f>MID($N125,FIND("MSWRK - ",$N125)+8,FIND(":",$N125)-FIND("MSWRK - ",$N125)-8)</f>
        <v>Ensure Microsoft network server</v>
      </c>
      <c r="L125" t="str">
        <f t="shared" si="2"/>
        <v>1.0411 - MSWRK - Ensure Microsoft network server: Digitally sign communications (always) is set to Enabled - Parameters</v>
      </c>
      <c r="M125" t="str">
        <f>MID($N125,FIND("[",$N125)+1,FIND("]",$N125)-FIND("[",$N125)-1)</f>
        <v>PASSED</v>
      </c>
      <c r="N125" s="1" t="s">
        <v>96</v>
      </c>
      <c r="O125" t="s">
        <v>67</v>
      </c>
      <c r="R125" t="s">
        <v>68</v>
      </c>
      <c r="T125" t="s">
        <v>69</v>
      </c>
      <c r="U125" t="s">
        <v>70</v>
      </c>
      <c r="W125" t="s">
        <v>71</v>
      </c>
      <c r="X125" s="1" t="s">
        <v>72</v>
      </c>
      <c r="Y125" t="s">
        <v>88</v>
      </c>
      <c r="Z125">
        <v>0</v>
      </c>
      <c r="AA125">
        <v>0</v>
      </c>
      <c r="AD125">
        <v>0</v>
      </c>
      <c r="AE125">
        <v>0</v>
      </c>
      <c r="AH125" t="s">
        <v>73</v>
      </c>
      <c r="AI125" t="s">
        <v>74</v>
      </c>
      <c r="AJ125" t="s">
        <v>75</v>
      </c>
      <c r="AK125" t="s">
        <v>76</v>
      </c>
      <c r="AN125" t="s">
        <v>77</v>
      </c>
      <c r="AO125" t="s">
        <v>78</v>
      </c>
      <c r="AP125" t="s">
        <v>97</v>
      </c>
      <c r="AQ125" t="s">
        <v>80</v>
      </c>
      <c r="AS125" t="b">
        <v>1</v>
      </c>
      <c r="AT125" t="s">
        <v>65</v>
      </c>
      <c r="AU125">
        <v>0</v>
      </c>
      <c r="AV125">
        <v>0</v>
      </c>
      <c r="AX125">
        <v>39</v>
      </c>
      <c r="AY125" t="s">
        <v>81</v>
      </c>
      <c r="AZ125" t="s">
        <v>90</v>
      </c>
      <c r="BB125" t="s">
        <v>91</v>
      </c>
      <c r="BC125" t="s">
        <v>92</v>
      </c>
      <c r="BD125" t="b">
        <v>0</v>
      </c>
      <c r="BE125" t="b">
        <v>0</v>
      </c>
      <c r="BF125" t="b">
        <v>0</v>
      </c>
      <c r="BG125" t="b">
        <v>0</v>
      </c>
      <c r="BH125" t="b">
        <v>0</v>
      </c>
      <c r="BI125" t="b">
        <v>0</v>
      </c>
      <c r="BJ125" t="b">
        <v>0</v>
      </c>
      <c r="BK125" t="b">
        <v>0</v>
      </c>
      <c r="BL125" t="b">
        <v>0</v>
      </c>
      <c r="BM125" t="b">
        <v>0</v>
      </c>
      <c r="BN125" t="b">
        <v>0</v>
      </c>
      <c r="BO125" t="b">
        <v>0</v>
      </c>
      <c r="BP125" t="b">
        <v>0</v>
      </c>
      <c r="BR125" t="str">
        <f>IF(M125="PASSED",VLOOKUP(J125,All_Potential!$J$1:$N$500,1,FALSE))</f>
        <v>1.0411</v>
      </c>
    </row>
    <row r="126" spans="1:70" ht="15" customHeight="1" x14ac:dyDescent="0.25">
      <c r="A126">
        <v>21156</v>
      </c>
      <c r="C126">
        <v>0</v>
      </c>
      <c r="D126" t="s">
        <v>65</v>
      </c>
      <c r="E126" t="s">
        <v>66</v>
      </c>
      <c r="F126" t="s">
        <v>84</v>
      </c>
      <c r="G126">
        <v>0</v>
      </c>
      <c r="H126" t="s">
        <v>85</v>
      </c>
      <c r="I126" t="s">
        <v>86</v>
      </c>
      <c r="J126" t="str">
        <f>MID($N126,FIND("1.",$N126),FIND("-",$N126)-FIND("1.",$N126)-1)</f>
        <v>1.0412</v>
      </c>
      <c r="K126" t="str">
        <f>MID($N126,FIND("MSWRK - ",$N126)+8,FIND(":",$N126)-FIND("MSWRK - ",$N126)-8)</f>
        <v>Ensure Microsoft network server</v>
      </c>
      <c r="L126" t="str">
        <f t="shared" si="2"/>
        <v>1.0412 - MSWRK - Ensure Microsoft network server: Disconnect clients when logon hours expire is set to Enabled</v>
      </c>
      <c r="M126" t="str">
        <f>MID($N126,FIND("[",$N126)+1,FIND("]",$N126)-FIND("[",$N126)-1)</f>
        <v>PASSED</v>
      </c>
      <c r="N126" s="1" t="s">
        <v>138</v>
      </c>
      <c r="O126" t="s">
        <v>67</v>
      </c>
      <c r="R126" t="s">
        <v>68</v>
      </c>
      <c r="T126" t="s">
        <v>69</v>
      </c>
      <c r="U126" t="s">
        <v>70</v>
      </c>
      <c r="W126" t="s">
        <v>71</v>
      </c>
      <c r="X126" s="1" t="s">
        <v>72</v>
      </c>
      <c r="Y126" t="s">
        <v>88</v>
      </c>
      <c r="Z126">
        <v>0</v>
      </c>
      <c r="AA126">
        <v>0</v>
      </c>
      <c r="AD126">
        <v>0</v>
      </c>
      <c r="AE126">
        <v>0</v>
      </c>
      <c r="AH126" t="s">
        <v>73</v>
      </c>
      <c r="AI126" t="s">
        <v>74</v>
      </c>
      <c r="AJ126" t="s">
        <v>75</v>
      </c>
      <c r="AK126" t="s">
        <v>76</v>
      </c>
      <c r="AN126" t="s">
        <v>77</v>
      </c>
      <c r="AO126" t="s">
        <v>78</v>
      </c>
      <c r="AP126" t="s">
        <v>139</v>
      </c>
      <c r="AQ126" t="s">
        <v>80</v>
      </c>
      <c r="AS126" t="b">
        <v>1</v>
      </c>
      <c r="AT126" t="s">
        <v>65</v>
      </c>
      <c r="AU126">
        <v>0</v>
      </c>
      <c r="AV126">
        <v>0</v>
      </c>
      <c r="AX126">
        <v>39</v>
      </c>
      <c r="AY126" t="s">
        <v>81</v>
      </c>
      <c r="AZ126" t="s">
        <v>90</v>
      </c>
      <c r="BB126" t="s">
        <v>91</v>
      </c>
      <c r="BC126" t="s">
        <v>92</v>
      </c>
      <c r="BD126" t="b">
        <v>0</v>
      </c>
      <c r="BE126" t="b">
        <v>0</v>
      </c>
      <c r="BF126" t="b">
        <v>0</v>
      </c>
      <c r="BG126" t="b">
        <v>0</v>
      </c>
      <c r="BH126" t="b">
        <v>0</v>
      </c>
      <c r="BI126" t="b">
        <v>0</v>
      </c>
      <c r="BJ126" t="b">
        <v>0</v>
      </c>
      <c r="BK126" t="b">
        <v>0</v>
      </c>
      <c r="BL126" t="b">
        <v>0</v>
      </c>
      <c r="BM126" t="b">
        <v>0</v>
      </c>
      <c r="BN126" t="b">
        <v>0</v>
      </c>
      <c r="BO126" t="b">
        <v>0</v>
      </c>
      <c r="BP126" t="b">
        <v>0</v>
      </c>
      <c r="BR126" t="str">
        <f>IF(M126="PASSED",VLOOKUP(J126,All_Potential!$J$1:$N$500,1,FALSE))</f>
        <v>1.0412</v>
      </c>
    </row>
    <row r="127" spans="1:70" ht="15" customHeight="1" x14ac:dyDescent="0.25">
      <c r="A127">
        <v>21156</v>
      </c>
      <c r="C127">
        <v>0</v>
      </c>
      <c r="D127" t="s">
        <v>65</v>
      </c>
      <c r="E127" t="s">
        <v>66</v>
      </c>
      <c r="F127" t="s">
        <v>84</v>
      </c>
      <c r="G127">
        <v>0</v>
      </c>
      <c r="H127" t="s">
        <v>85</v>
      </c>
      <c r="I127" t="s">
        <v>86</v>
      </c>
      <c r="J127" t="str">
        <f>MID($N127,FIND("1.",$N127),FIND("-",$N127)-FIND("1.",$N127)-1)</f>
        <v>1.0417</v>
      </c>
      <c r="K127" t="str">
        <f>MID($N127,FIND("MSWRK - ",$N127)+8,FIND(":",$N127)-FIND("MSWRK - ",$N127)-8)</f>
        <v>Ensure Routing and Remote Access (RemoteAccess) is set to Disabled - Remoteaccess</v>
      </c>
      <c r="L127" t="str">
        <f t="shared" si="2"/>
        <v>1.0417 - MSWRK - Ensure Routing and Remote Access (RemoteAccess) is set to Disabled - Remoteaccess</v>
      </c>
      <c r="M127" t="str">
        <f>MID($N127,FIND("[",$N127)+1,FIND("]",$N127)-FIND("[",$N127)-1)</f>
        <v>PASSED</v>
      </c>
      <c r="N127" s="1" t="s">
        <v>104</v>
      </c>
      <c r="O127" t="s">
        <v>67</v>
      </c>
      <c r="R127" t="s">
        <v>68</v>
      </c>
      <c r="T127" t="s">
        <v>69</v>
      </c>
      <c r="U127" t="s">
        <v>70</v>
      </c>
      <c r="W127" t="s">
        <v>71</v>
      </c>
      <c r="X127" s="1" t="s">
        <v>72</v>
      </c>
      <c r="Y127" t="s">
        <v>88</v>
      </c>
      <c r="Z127">
        <v>0</v>
      </c>
      <c r="AA127">
        <v>0</v>
      </c>
      <c r="AD127">
        <v>0</v>
      </c>
      <c r="AE127">
        <v>0</v>
      </c>
      <c r="AH127" t="s">
        <v>73</v>
      </c>
      <c r="AI127" t="s">
        <v>74</v>
      </c>
      <c r="AJ127" t="s">
        <v>75</v>
      </c>
      <c r="AK127" t="s">
        <v>76</v>
      </c>
      <c r="AN127" t="s">
        <v>77</v>
      </c>
      <c r="AO127" t="s">
        <v>78</v>
      </c>
      <c r="AP127" t="s">
        <v>101</v>
      </c>
      <c r="AQ127" t="s">
        <v>80</v>
      </c>
      <c r="AS127" t="b">
        <v>1</v>
      </c>
      <c r="AT127" t="s">
        <v>65</v>
      </c>
      <c r="AU127">
        <v>0</v>
      </c>
      <c r="AV127">
        <v>0</v>
      </c>
      <c r="AX127">
        <v>39</v>
      </c>
      <c r="AY127" t="s">
        <v>81</v>
      </c>
      <c r="AZ127" t="s">
        <v>90</v>
      </c>
      <c r="BB127" t="s">
        <v>91</v>
      </c>
      <c r="BC127" t="s">
        <v>92</v>
      </c>
      <c r="BD127" t="b">
        <v>0</v>
      </c>
      <c r="BE127" t="b">
        <v>0</v>
      </c>
      <c r="BF127" t="b">
        <v>0</v>
      </c>
      <c r="BG127" t="b">
        <v>0</v>
      </c>
      <c r="BH127" t="b">
        <v>0</v>
      </c>
      <c r="BI127" t="b">
        <v>0</v>
      </c>
      <c r="BJ127" t="b">
        <v>0</v>
      </c>
      <c r="BK127" t="b">
        <v>0</v>
      </c>
      <c r="BL127" t="b">
        <v>0</v>
      </c>
      <c r="BM127" t="b">
        <v>0</v>
      </c>
      <c r="BN127" t="b">
        <v>0</v>
      </c>
      <c r="BO127" t="b">
        <v>0</v>
      </c>
      <c r="BP127" t="b">
        <v>0</v>
      </c>
      <c r="BR127" t="str">
        <f>IF(M127="PASSED",VLOOKUP(J127,All_Potential!$J$1:$N$500,1,FALSE))</f>
        <v>1.0417</v>
      </c>
    </row>
    <row r="128" spans="1:70" ht="15" customHeight="1" x14ac:dyDescent="0.25">
      <c r="A128">
        <v>21156</v>
      </c>
      <c r="C128">
        <v>0</v>
      </c>
      <c r="D128" t="s">
        <v>65</v>
      </c>
      <c r="E128" t="s">
        <v>66</v>
      </c>
      <c r="F128" t="s">
        <v>84</v>
      </c>
      <c r="G128">
        <v>0</v>
      </c>
      <c r="H128" t="s">
        <v>85</v>
      </c>
      <c r="I128" t="s">
        <v>86</v>
      </c>
      <c r="J128" t="str">
        <f>MID($N128,FIND("1.",$N128),FIND("-",$N128)-FIND("1.",$N128)-1)</f>
        <v>1.0421</v>
      </c>
      <c r="K128" t="str">
        <f>MID($N128,FIND("MSWRK - ",$N128)+8,FIND(":",$N128)-FIND("MSWRK - ",$N128)-8)</f>
        <v>Ensure SSDP Discovery (SSDPSRV) is set to Disabled - Ssdpsrv</v>
      </c>
      <c r="L128" t="str">
        <f t="shared" si="2"/>
        <v>1.0421 - MSWRK - Ensure SSDP Discovery (SSDPSRV) is set to Disabled - Ssdpsrv</v>
      </c>
      <c r="M128" t="str">
        <f>MID($N128,FIND("[",$N128)+1,FIND("]",$N128)-FIND("[",$N128)-1)</f>
        <v>PASSED</v>
      </c>
      <c r="N128" s="1" t="s">
        <v>99</v>
      </c>
      <c r="O128" t="s">
        <v>67</v>
      </c>
      <c r="R128" t="s">
        <v>68</v>
      </c>
      <c r="T128" t="s">
        <v>69</v>
      </c>
      <c r="U128" t="s">
        <v>70</v>
      </c>
      <c r="W128" t="s">
        <v>71</v>
      </c>
      <c r="X128" s="1" t="s">
        <v>72</v>
      </c>
      <c r="Y128" t="s">
        <v>88</v>
      </c>
      <c r="Z128">
        <v>0</v>
      </c>
      <c r="AA128">
        <v>0</v>
      </c>
      <c r="AD128">
        <v>0</v>
      </c>
      <c r="AE128">
        <v>0</v>
      </c>
      <c r="AH128" t="s">
        <v>73</v>
      </c>
      <c r="AI128" t="s">
        <v>74</v>
      </c>
      <c r="AJ128" t="s">
        <v>75</v>
      </c>
      <c r="AK128" t="s">
        <v>76</v>
      </c>
      <c r="AN128" t="s">
        <v>77</v>
      </c>
      <c r="AO128" t="s">
        <v>78</v>
      </c>
      <c r="AP128" t="s">
        <v>97</v>
      </c>
      <c r="AQ128" t="s">
        <v>80</v>
      </c>
      <c r="AS128" t="b">
        <v>1</v>
      </c>
      <c r="AT128" t="s">
        <v>65</v>
      </c>
      <c r="AU128">
        <v>0</v>
      </c>
      <c r="AV128">
        <v>0</v>
      </c>
      <c r="AX128">
        <v>39</v>
      </c>
      <c r="AY128" t="s">
        <v>81</v>
      </c>
      <c r="AZ128" t="s">
        <v>90</v>
      </c>
      <c r="BB128" t="s">
        <v>91</v>
      </c>
      <c r="BC128" t="s">
        <v>92</v>
      </c>
      <c r="BD128" t="b">
        <v>0</v>
      </c>
      <c r="BE128" t="b">
        <v>0</v>
      </c>
      <c r="BF128" t="b">
        <v>0</v>
      </c>
      <c r="BG128" t="b">
        <v>0</v>
      </c>
      <c r="BH128" t="b">
        <v>0</v>
      </c>
      <c r="BI128" t="b">
        <v>0</v>
      </c>
      <c r="BJ128" t="b">
        <v>0</v>
      </c>
      <c r="BK128" t="b">
        <v>0</v>
      </c>
      <c r="BL128" t="b">
        <v>0</v>
      </c>
      <c r="BM128" t="b">
        <v>0</v>
      </c>
      <c r="BN128" t="b">
        <v>0</v>
      </c>
      <c r="BO128" t="b">
        <v>0</v>
      </c>
      <c r="BP128" t="b">
        <v>0</v>
      </c>
      <c r="BR128" t="str">
        <f>IF(M128="PASSED",VLOOKUP(J128,All_Potential!$J$1:$N$500,1,FALSE))</f>
        <v>1.0421</v>
      </c>
    </row>
    <row r="129" spans="1:70" ht="15" customHeight="1" x14ac:dyDescent="0.25">
      <c r="A129">
        <v>21156</v>
      </c>
      <c r="C129">
        <v>0</v>
      </c>
      <c r="D129" t="s">
        <v>65</v>
      </c>
      <c r="E129" t="s">
        <v>66</v>
      </c>
      <c r="F129" t="s">
        <v>84</v>
      </c>
      <c r="G129">
        <v>0</v>
      </c>
      <c r="H129" t="s">
        <v>85</v>
      </c>
      <c r="I129" t="s">
        <v>86</v>
      </c>
      <c r="J129" t="str">
        <f>MID($N129,FIND("1.",$N129),FIND("-",$N129)-FIND("1.",$N129)-1)</f>
        <v>1.0422</v>
      </c>
      <c r="K129" t="str">
        <f>MID($N129,FIND("MSWRK - ",$N129)+8,FIND(":",$N129)-FIND("MSWRK - ",$N129)-8)</f>
        <v>Ensure UPnP Device Host (upnphost) is set to Disabled - Upnphost</v>
      </c>
      <c r="L129" t="str">
        <f t="shared" si="2"/>
        <v>1.0422 - MSWRK - Ensure UPnP Device Host (upnphost) is set to Disabled - Upnphost</v>
      </c>
      <c r="M129" t="str">
        <f>MID($N129,FIND("[",$N129)+1,FIND("]",$N129)-FIND("[",$N129)-1)</f>
        <v>PASSED</v>
      </c>
      <c r="N129" s="1" t="s">
        <v>190</v>
      </c>
      <c r="O129" t="s">
        <v>67</v>
      </c>
      <c r="R129" t="s">
        <v>68</v>
      </c>
      <c r="T129" t="s">
        <v>69</v>
      </c>
      <c r="U129" t="s">
        <v>70</v>
      </c>
      <c r="W129" t="s">
        <v>71</v>
      </c>
      <c r="X129" s="1" t="s">
        <v>72</v>
      </c>
      <c r="Y129" t="s">
        <v>88</v>
      </c>
      <c r="Z129">
        <v>0</v>
      </c>
      <c r="AA129">
        <v>0</v>
      </c>
      <c r="AD129">
        <v>0</v>
      </c>
      <c r="AE129">
        <v>0</v>
      </c>
      <c r="AH129" t="s">
        <v>73</v>
      </c>
      <c r="AI129" t="s">
        <v>74</v>
      </c>
      <c r="AJ129" t="s">
        <v>75</v>
      </c>
      <c r="AK129" t="s">
        <v>76</v>
      </c>
      <c r="AN129" t="s">
        <v>77</v>
      </c>
      <c r="AO129" t="s">
        <v>78</v>
      </c>
      <c r="AP129" t="s">
        <v>191</v>
      </c>
      <c r="AQ129" t="s">
        <v>80</v>
      </c>
      <c r="AS129" t="b">
        <v>1</v>
      </c>
      <c r="AT129" t="s">
        <v>65</v>
      </c>
      <c r="AU129">
        <v>0</v>
      </c>
      <c r="AV129">
        <v>0</v>
      </c>
      <c r="AX129">
        <v>39</v>
      </c>
      <c r="AY129" t="s">
        <v>81</v>
      </c>
      <c r="AZ129" t="s">
        <v>90</v>
      </c>
      <c r="BB129" t="s">
        <v>91</v>
      </c>
      <c r="BC129" t="s">
        <v>92</v>
      </c>
      <c r="BD129" t="b">
        <v>0</v>
      </c>
      <c r="BE129" t="b">
        <v>0</v>
      </c>
      <c r="BF129" t="b">
        <v>0</v>
      </c>
      <c r="BG129" t="b">
        <v>0</v>
      </c>
      <c r="BH129" t="b">
        <v>0</v>
      </c>
      <c r="BI129" t="b">
        <v>0</v>
      </c>
      <c r="BJ129" t="b">
        <v>0</v>
      </c>
      <c r="BK129" t="b">
        <v>0</v>
      </c>
      <c r="BL129" t="b">
        <v>0</v>
      </c>
      <c r="BM129" t="b">
        <v>0</v>
      </c>
      <c r="BN129" t="b">
        <v>0</v>
      </c>
      <c r="BO129" t="b">
        <v>0</v>
      </c>
      <c r="BP129" t="b">
        <v>0</v>
      </c>
      <c r="BR129" t="str">
        <f>IF(M129="PASSED",VLOOKUP(J129,All_Potential!$J$1:$N$500,1,FALSE))</f>
        <v>1.0422</v>
      </c>
    </row>
    <row r="130" spans="1:70" ht="15" customHeight="1" x14ac:dyDescent="0.25">
      <c r="A130">
        <v>21156</v>
      </c>
      <c r="C130">
        <v>0</v>
      </c>
      <c r="D130" t="s">
        <v>65</v>
      </c>
      <c r="E130" t="s">
        <v>66</v>
      </c>
      <c r="F130" t="s">
        <v>84</v>
      </c>
      <c r="G130">
        <v>0</v>
      </c>
      <c r="H130" t="s">
        <v>85</v>
      </c>
      <c r="I130" t="s">
        <v>86</v>
      </c>
      <c r="J130" t="str">
        <f>MID($N130,FIND("1.",$N130),FIND("-",$N130)-FIND("1.",$N130)-1)</f>
        <v>1.0424</v>
      </c>
      <c r="K130" t="str">
        <f>MID($N130,FIND("MSWRK - ",$N130)+8,FIND(":",$N130)-FIND("MSWRK - ",$N130)-8)</f>
        <v>Ensure Windows Media Player Network Sharing Service (WMPNetworkSvc) is set to Disabled or Not Installed - Wmpnetworksvc</v>
      </c>
      <c r="L130" t="str">
        <f t="shared" si="2"/>
        <v>1.0424 - MSWRK - Ensure Windows Media Player Network Sharing Service (WMPNetworkSvc) is set to Disabled or Not Installed - Wmpnetworksvc</v>
      </c>
      <c r="M130" t="str">
        <f>MID($N130,FIND("[",$N130)+1,FIND("]",$N130)-FIND("[",$N130)-1)</f>
        <v>PASSED</v>
      </c>
      <c r="N130" s="1" t="s">
        <v>105</v>
      </c>
      <c r="O130" t="s">
        <v>67</v>
      </c>
      <c r="R130" t="s">
        <v>68</v>
      </c>
      <c r="T130" t="s">
        <v>69</v>
      </c>
      <c r="U130" t="s">
        <v>70</v>
      </c>
      <c r="W130" t="s">
        <v>71</v>
      </c>
      <c r="X130" s="1" t="s">
        <v>72</v>
      </c>
      <c r="Y130" t="s">
        <v>88</v>
      </c>
      <c r="Z130">
        <v>0</v>
      </c>
      <c r="AA130">
        <v>0</v>
      </c>
      <c r="AD130">
        <v>0</v>
      </c>
      <c r="AE130">
        <v>0</v>
      </c>
      <c r="AH130" t="s">
        <v>73</v>
      </c>
      <c r="AI130" t="s">
        <v>74</v>
      </c>
      <c r="AJ130" t="s">
        <v>75</v>
      </c>
      <c r="AK130" t="s">
        <v>76</v>
      </c>
      <c r="AN130" t="s">
        <v>77</v>
      </c>
      <c r="AO130" t="s">
        <v>78</v>
      </c>
      <c r="AP130" t="s">
        <v>106</v>
      </c>
      <c r="AQ130" t="s">
        <v>80</v>
      </c>
      <c r="AS130" t="b">
        <v>1</v>
      </c>
      <c r="AT130" t="s">
        <v>65</v>
      </c>
      <c r="AU130">
        <v>0</v>
      </c>
      <c r="AV130">
        <v>0</v>
      </c>
      <c r="AX130">
        <v>39</v>
      </c>
      <c r="AY130" t="s">
        <v>81</v>
      </c>
      <c r="AZ130" t="s">
        <v>90</v>
      </c>
      <c r="BB130" t="s">
        <v>91</v>
      </c>
      <c r="BC130" t="s">
        <v>92</v>
      </c>
      <c r="BD130" t="b">
        <v>0</v>
      </c>
      <c r="BE130" t="b">
        <v>0</v>
      </c>
      <c r="BF130" t="b">
        <v>0</v>
      </c>
      <c r="BG130" t="b">
        <v>0</v>
      </c>
      <c r="BH130" t="b">
        <v>0</v>
      </c>
      <c r="BI130" t="b">
        <v>0</v>
      </c>
      <c r="BJ130" t="b">
        <v>0</v>
      </c>
      <c r="BK130" t="b">
        <v>0</v>
      </c>
      <c r="BL130" t="b">
        <v>0</v>
      </c>
      <c r="BM130" t="b">
        <v>0</v>
      </c>
      <c r="BN130" t="b">
        <v>0</v>
      </c>
      <c r="BO130" t="b">
        <v>0</v>
      </c>
      <c r="BP130" t="b">
        <v>0</v>
      </c>
      <c r="BR130" t="str">
        <f>IF(M130="PASSED",VLOOKUP(J130,All_Potential!$J$1:$N$500,1,FALSE))</f>
        <v>1.0424</v>
      </c>
    </row>
    <row r="131" spans="1:70" ht="15" customHeight="1" x14ac:dyDescent="0.25">
      <c r="A131">
        <v>21156</v>
      </c>
      <c r="C131">
        <v>0</v>
      </c>
      <c r="D131" t="s">
        <v>65</v>
      </c>
      <c r="E131" t="s">
        <v>66</v>
      </c>
      <c r="F131" t="s">
        <v>84</v>
      </c>
      <c r="G131">
        <v>0</v>
      </c>
      <c r="H131" t="s">
        <v>85</v>
      </c>
      <c r="I131" t="s">
        <v>86</v>
      </c>
      <c r="J131" t="str">
        <f>MID($N131,FIND("1.",$N131),FIND("-",$N131)-FIND("1.",$N131)-1)</f>
        <v>1.0425</v>
      </c>
      <c r="K131" t="str">
        <f>MID($N131,FIND("MSWRK - ",$N131)+8,FIND(":",$N131)-FIND("MSWRK - ",$N131)-8)</f>
        <v>Ensure Windows Mobile Hotspot Service (icssvc) is set to Disabled - Icssvc</v>
      </c>
      <c r="L131" t="str">
        <f t="shared" si="2"/>
        <v>1.0425 - MSWRK - Ensure Windows Mobile Hotspot Service (icssvc) is set to Disabled - Icssvc</v>
      </c>
      <c r="M131" t="str">
        <f>MID($N131,FIND("[",$N131)+1,FIND("]",$N131)-FIND("[",$N131)-1)</f>
        <v>PASSED</v>
      </c>
      <c r="N131" s="1" t="s">
        <v>255</v>
      </c>
      <c r="O131" t="s">
        <v>67</v>
      </c>
      <c r="R131" t="s">
        <v>68</v>
      </c>
      <c r="T131" t="s">
        <v>69</v>
      </c>
      <c r="U131" t="s">
        <v>70</v>
      </c>
      <c r="W131" t="s">
        <v>71</v>
      </c>
      <c r="X131" s="1" t="s">
        <v>72</v>
      </c>
      <c r="Y131" t="s">
        <v>88</v>
      </c>
      <c r="Z131">
        <v>0</v>
      </c>
      <c r="AA131">
        <v>0</v>
      </c>
      <c r="AD131">
        <v>0</v>
      </c>
      <c r="AE131">
        <v>0</v>
      </c>
      <c r="AH131" t="s">
        <v>73</v>
      </c>
      <c r="AI131" t="s">
        <v>74</v>
      </c>
      <c r="AJ131" t="s">
        <v>75</v>
      </c>
      <c r="AK131" t="s">
        <v>76</v>
      </c>
      <c r="AN131" t="s">
        <v>77</v>
      </c>
      <c r="AO131" t="s">
        <v>78</v>
      </c>
      <c r="AP131" t="s">
        <v>254</v>
      </c>
      <c r="AQ131" t="s">
        <v>80</v>
      </c>
      <c r="AS131" t="b">
        <v>1</v>
      </c>
      <c r="AT131" t="s">
        <v>65</v>
      </c>
      <c r="AU131">
        <v>0</v>
      </c>
      <c r="AV131">
        <v>0</v>
      </c>
      <c r="AX131">
        <v>39</v>
      </c>
      <c r="AY131" t="s">
        <v>81</v>
      </c>
      <c r="AZ131" t="s">
        <v>90</v>
      </c>
      <c r="BB131" t="s">
        <v>91</v>
      </c>
      <c r="BC131" t="s">
        <v>92</v>
      </c>
      <c r="BD131" t="b">
        <v>0</v>
      </c>
      <c r="BE131" t="b">
        <v>0</v>
      </c>
      <c r="BF131" t="b">
        <v>0</v>
      </c>
      <c r="BG131" t="b">
        <v>0</v>
      </c>
      <c r="BH131" t="b">
        <v>0</v>
      </c>
      <c r="BI131" t="b">
        <v>0</v>
      </c>
      <c r="BJ131" t="b">
        <v>0</v>
      </c>
      <c r="BK131" t="b">
        <v>0</v>
      </c>
      <c r="BL131" t="b">
        <v>0</v>
      </c>
      <c r="BM131" t="b">
        <v>0</v>
      </c>
      <c r="BN131" t="b">
        <v>0</v>
      </c>
      <c r="BO131" t="b">
        <v>0</v>
      </c>
      <c r="BP131" t="b">
        <v>0</v>
      </c>
      <c r="BR131" t="str">
        <f>IF(M131="PASSED",VLOOKUP(J131,All_Potential!$J$1:$N$500,1,FALSE))</f>
        <v>1.0425</v>
      </c>
    </row>
    <row r="132" spans="1:70" ht="15" customHeight="1" x14ac:dyDescent="0.25">
      <c r="A132">
        <v>21156</v>
      </c>
      <c r="C132">
        <v>0</v>
      </c>
      <c r="D132" t="s">
        <v>65</v>
      </c>
      <c r="E132" t="s">
        <v>66</v>
      </c>
      <c r="F132" t="s">
        <v>84</v>
      </c>
      <c r="G132">
        <v>0</v>
      </c>
      <c r="H132" t="s">
        <v>85</v>
      </c>
      <c r="I132" t="s">
        <v>86</v>
      </c>
      <c r="J132" t="str">
        <f>MID($N132,FIND("1.",$N132),FIND("-",$N132)-FIND("1.",$N132)-1)</f>
        <v>1.0427</v>
      </c>
      <c r="K132" t="str">
        <f>MID($N132,FIND("MSWRK - ",$N132)+8,FIND(":",$N132)-FIND("MSWRK - ",$N132)-8)</f>
        <v>Ensure Xbox Accessory Management Service (XboxGipSvc) is set to Disabled - Xboxgipsvc</v>
      </c>
      <c r="L132" t="str">
        <f t="shared" si="2"/>
        <v>1.0427 - MSWRK - Ensure Xbox Accessory Management Service (XboxGipSvc) is set to Disabled - Xboxgipsvc</v>
      </c>
      <c r="M132" t="str">
        <f>MID($N132,FIND("[",$N132)+1,FIND("]",$N132)-FIND("[",$N132)-1)</f>
        <v>PASSED</v>
      </c>
      <c r="N132" s="1" t="s">
        <v>183</v>
      </c>
      <c r="O132" t="s">
        <v>67</v>
      </c>
      <c r="R132" t="s">
        <v>68</v>
      </c>
      <c r="T132" t="s">
        <v>69</v>
      </c>
      <c r="U132" t="s">
        <v>70</v>
      </c>
      <c r="W132" t="s">
        <v>71</v>
      </c>
      <c r="X132" s="1" t="s">
        <v>72</v>
      </c>
      <c r="Y132" t="s">
        <v>88</v>
      </c>
      <c r="Z132">
        <v>0</v>
      </c>
      <c r="AA132">
        <v>0</v>
      </c>
      <c r="AD132">
        <v>0</v>
      </c>
      <c r="AE132">
        <v>0</v>
      </c>
      <c r="AH132" t="s">
        <v>73</v>
      </c>
      <c r="AI132" t="s">
        <v>74</v>
      </c>
      <c r="AJ132" t="s">
        <v>75</v>
      </c>
      <c r="AK132" t="s">
        <v>76</v>
      </c>
      <c r="AN132" t="s">
        <v>77</v>
      </c>
      <c r="AO132" t="s">
        <v>78</v>
      </c>
      <c r="AP132" t="s">
        <v>182</v>
      </c>
      <c r="AQ132" t="s">
        <v>80</v>
      </c>
      <c r="AS132" t="b">
        <v>1</v>
      </c>
      <c r="AT132" t="s">
        <v>65</v>
      </c>
      <c r="AU132">
        <v>0</v>
      </c>
      <c r="AV132">
        <v>0</v>
      </c>
      <c r="AX132">
        <v>39</v>
      </c>
      <c r="AY132" t="s">
        <v>81</v>
      </c>
      <c r="AZ132" t="s">
        <v>90</v>
      </c>
      <c r="BB132" t="s">
        <v>91</v>
      </c>
      <c r="BC132" t="s">
        <v>92</v>
      </c>
      <c r="BD132" t="b">
        <v>0</v>
      </c>
      <c r="BE132" t="b">
        <v>0</v>
      </c>
      <c r="BF132" t="b">
        <v>0</v>
      </c>
      <c r="BG132" t="b">
        <v>0</v>
      </c>
      <c r="BH132" t="b">
        <v>0</v>
      </c>
      <c r="BI132" t="b">
        <v>0</v>
      </c>
      <c r="BJ132" t="b">
        <v>0</v>
      </c>
      <c r="BK132" t="b">
        <v>0</v>
      </c>
      <c r="BL132" t="b">
        <v>0</v>
      </c>
      <c r="BM132" t="b">
        <v>0</v>
      </c>
      <c r="BN132" t="b">
        <v>0</v>
      </c>
      <c r="BO132" t="b">
        <v>0</v>
      </c>
      <c r="BP132" t="b">
        <v>0</v>
      </c>
      <c r="BR132" t="str">
        <f>IF(M132="PASSED",VLOOKUP(J132,All_Potential!$J$1:$N$500,1,FALSE))</f>
        <v>1.0427</v>
      </c>
    </row>
    <row r="133" spans="1:70" ht="15" customHeight="1" x14ac:dyDescent="0.25">
      <c r="A133">
        <v>21156</v>
      </c>
      <c r="C133">
        <v>0</v>
      </c>
      <c r="D133" t="s">
        <v>65</v>
      </c>
      <c r="E133" t="s">
        <v>66</v>
      </c>
      <c r="F133" t="s">
        <v>84</v>
      </c>
      <c r="G133">
        <v>0</v>
      </c>
      <c r="H133" t="s">
        <v>85</v>
      </c>
      <c r="I133" t="s">
        <v>86</v>
      </c>
      <c r="J133" t="str">
        <f>MID($N133,FIND("1.",$N133),FIND("-",$N133)-FIND("1.",$N133)-1)</f>
        <v>1.0428</v>
      </c>
      <c r="K133" t="str">
        <f>MID($N133,FIND("MSWRK - ",$N133)+8,FIND(":",$N133)-FIND("MSWRK - ",$N133)-8)</f>
        <v>Ensure Xbox Live Auth Manager (XblAuthManager) is set to Disabled - Xblauthmanager</v>
      </c>
      <c r="L133" t="str">
        <f t="shared" si="2"/>
        <v>1.0428 - MSWRK - Ensure Xbox Live Auth Manager (XblAuthManager) is set to Disabled - Xblauthmanager</v>
      </c>
      <c r="M133" t="str">
        <f>MID($N133,FIND("[",$N133)+1,FIND("]",$N133)-FIND("[",$N133)-1)</f>
        <v>PASSED</v>
      </c>
      <c r="N133" s="1" t="s">
        <v>230</v>
      </c>
      <c r="O133" t="s">
        <v>67</v>
      </c>
      <c r="R133" t="s">
        <v>68</v>
      </c>
      <c r="T133" t="s">
        <v>69</v>
      </c>
      <c r="U133" t="s">
        <v>70</v>
      </c>
      <c r="W133" t="s">
        <v>71</v>
      </c>
      <c r="X133" s="1" t="s">
        <v>72</v>
      </c>
      <c r="Y133" t="s">
        <v>88</v>
      </c>
      <c r="Z133">
        <v>0</v>
      </c>
      <c r="AA133">
        <v>0</v>
      </c>
      <c r="AD133">
        <v>0</v>
      </c>
      <c r="AE133">
        <v>0</v>
      </c>
      <c r="AH133" t="s">
        <v>73</v>
      </c>
      <c r="AI133" t="s">
        <v>74</v>
      </c>
      <c r="AJ133" t="s">
        <v>75</v>
      </c>
      <c r="AK133" t="s">
        <v>76</v>
      </c>
      <c r="AN133" t="s">
        <v>77</v>
      </c>
      <c r="AO133" t="s">
        <v>78</v>
      </c>
      <c r="AP133" t="s">
        <v>229</v>
      </c>
      <c r="AQ133" t="s">
        <v>80</v>
      </c>
      <c r="AS133" t="b">
        <v>1</v>
      </c>
      <c r="AT133" t="s">
        <v>65</v>
      </c>
      <c r="AU133">
        <v>0</v>
      </c>
      <c r="AV133">
        <v>0</v>
      </c>
      <c r="AX133">
        <v>39</v>
      </c>
      <c r="AY133" t="s">
        <v>81</v>
      </c>
      <c r="AZ133" t="s">
        <v>90</v>
      </c>
      <c r="BB133" t="s">
        <v>91</v>
      </c>
      <c r="BC133" t="s">
        <v>92</v>
      </c>
      <c r="BD133" t="b">
        <v>0</v>
      </c>
      <c r="BE133" t="b">
        <v>0</v>
      </c>
      <c r="BF133" t="b">
        <v>0</v>
      </c>
      <c r="BG133" t="b">
        <v>0</v>
      </c>
      <c r="BH133" t="b">
        <v>0</v>
      </c>
      <c r="BI133" t="b">
        <v>0</v>
      </c>
      <c r="BJ133" t="b">
        <v>0</v>
      </c>
      <c r="BK133" t="b">
        <v>0</v>
      </c>
      <c r="BL133" t="b">
        <v>0</v>
      </c>
      <c r="BM133" t="b">
        <v>0</v>
      </c>
      <c r="BN133" t="b">
        <v>0</v>
      </c>
      <c r="BO133" t="b">
        <v>0</v>
      </c>
      <c r="BP133" t="b">
        <v>0</v>
      </c>
      <c r="BR133" t="str">
        <f>IF(M133="PASSED",VLOOKUP(J133,All_Potential!$J$1:$N$500,1,FALSE))</f>
        <v>1.0428</v>
      </c>
    </row>
    <row r="134" spans="1:70" ht="15" customHeight="1" x14ac:dyDescent="0.25">
      <c r="A134">
        <v>21156</v>
      </c>
      <c r="C134">
        <v>0</v>
      </c>
      <c r="D134" t="s">
        <v>65</v>
      </c>
      <c r="E134" t="s">
        <v>66</v>
      </c>
      <c r="F134" t="s">
        <v>84</v>
      </c>
      <c r="G134">
        <v>0</v>
      </c>
      <c r="H134" t="s">
        <v>85</v>
      </c>
      <c r="I134" t="s">
        <v>86</v>
      </c>
      <c r="J134" t="str">
        <f>MID($N134,FIND("1.",$N134),FIND("-",$N134)-FIND("1.",$N134)-1)</f>
        <v>1.0429</v>
      </c>
      <c r="K134" t="str">
        <f>MID($N134,FIND("MSWRK - ",$N134)+8,FIND(":",$N134)-FIND("MSWRK - ",$N134)-8)</f>
        <v>Ensure Xbox Live Game Save (XblGameSave) is set to Disabled - Xblgamesave</v>
      </c>
      <c r="L134" t="str">
        <f t="shared" si="2"/>
        <v>1.0429 - MSWRK - Ensure Xbox Live Game Save (XblGameSave) is set to Disabled - Xblgamesave</v>
      </c>
      <c r="M134" t="str">
        <f>MID($N134,FIND("[",$N134)+1,FIND("]",$N134)-FIND("[",$N134)-1)</f>
        <v>PASSED</v>
      </c>
      <c r="N134" s="1" t="s">
        <v>168</v>
      </c>
      <c r="O134" t="s">
        <v>67</v>
      </c>
      <c r="R134" t="s">
        <v>68</v>
      </c>
      <c r="T134" t="s">
        <v>69</v>
      </c>
      <c r="U134" t="s">
        <v>70</v>
      </c>
      <c r="W134" t="s">
        <v>71</v>
      </c>
      <c r="X134" s="1" t="s">
        <v>72</v>
      </c>
      <c r="Y134" t="s">
        <v>88</v>
      </c>
      <c r="Z134">
        <v>0</v>
      </c>
      <c r="AA134">
        <v>0</v>
      </c>
      <c r="AD134">
        <v>0</v>
      </c>
      <c r="AE134">
        <v>0</v>
      </c>
      <c r="AH134" t="s">
        <v>73</v>
      </c>
      <c r="AI134" t="s">
        <v>74</v>
      </c>
      <c r="AJ134" t="s">
        <v>75</v>
      </c>
      <c r="AK134" t="s">
        <v>76</v>
      </c>
      <c r="AN134" t="s">
        <v>77</v>
      </c>
      <c r="AO134" t="s">
        <v>78</v>
      </c>
      <c r="AP134" t="s">
        <v>169</v>
      </c>
      <c r="AQ134" t="s">
        <v>80</v>
      </c>
      <c r="AS134" t="b">
        <v>1</v>
      </c>
      <c r="AT134" t="s">
        <v>65</v>
      </c>
      <c r="AU134">
        <v>0</v>
      </c>
      <c r="AV134">
        <v>0</v>
      </c>
      <c r="AX134">
        <v>39</v>
      </c>
      <c r="AY134" t="s">
        <v>81</v>
      </c>
      <c r="AZ134" t="s">
        <v>90</v>
      </c>
      <c r="BB134" t="s">
        <v>91</v>
      </c>
      <c r="BC134" t="s">
        <v>92</v>
      </c>
      <c r="BD134" t="b">
        <v>0</v>
      </c>
      <c r="BE134" t="b">
        <v>0</v>
      </c>
      <c r="BF134" t="b">
        <v>0</v>
      </c>
      <c r="BG134" t="b">
        <v>0</v>
      </c>
      <c r="BH134" t="b">
        <v>0</v>
      </c>
      <c r="BI134" t="b">
        <v>0</v>
      </c>
      <c r="BJ134" t="b">
        <v>0</v>
      </c>
      <c r="BK134" t="b">
        <v>0</v>
      </c>
      <c r="BL134" t="b">
        <v>0</v>
      </c>
      <c r="BM134" t="b">
        <v>0</v>
      </c>
      <c r="BN134" t="b">
        <v>0</v>
      </c>
      <c r="BO134" t="b">
        <v>0</v>
      </c>
      <c r="BP134" t="b">
        <v>0</v>
      </c>
      <c r="BR134" t="str">
        <f>IF(M134="PASSED",VLOOKUP(J134,All_Potential!$J$1:$N$500,1,FALSE))</f>
        <v>1.0429</v>
      </c>
    </row>
    <row r="135" spans="1:70" ht="15" customHeight="1" x14ac:dyDescent="0.25">
      <c r="A135">
        <v>21156</v>
      </c>
      <c r="C135">
        <v>0</v>
      </c>
      <c r="D135" t="s">
        <v>65</v>
      </c>
      <c r="E135" t="s">
        <v>66</v>
      </c>
      <c r="F135" t="s">
        <v>84</v>
      </c>
      <c r="G135">
        <v>0</v>
      </c>
      <c r="H135" t="s">
        <v>85</v>
      </c>
      <c r="I135" t="s">
        <v>86</v>
      </c>
      <c r="J135" t="str">
        <f>MID($N135,FIND("1.",$N135),FIND("-",$N135)-FIND("1.",$N135)-1)</f>
        <v>1.0430</v>
      </c>
      <c r="K135" t="str">
        <f>MID($N135,FIND("MSWRK - ",$N135)+8,FIND(":",$N135)-FIND("MSWRK - ",$N135)-8)</f>
        <v>Ensure Xbox Live Networking Service (XboxNetApiSvc) is set to Disabled - Xboxnetapisvc</v>
      </c>
      <c r="L135" t="str">
        <f t="shared" si="2"/>
        <v>1.0430 - MSWRK - Ensure Xbox Live Networking Service (XboxNetApiSvc) is set to Disabled - Xboxnetapisvc</v>
      </c>
      <c r="M135" t="str">
        <f>MID($N135,FIND("[",$N135)+1,FIND("]",$N135)-FIND("[",$N135)-1)</f>
        <v>PASSED</v>
      </c>
      <c r="N135" s="1" t="s">
        <v>124</v>
      </c>
      <c r="O135" t="s">
        <v>67</v>
      </c>
      <c r="R135" t="s">
        <v>68</v>
      </c>
      <c r="T135" t="s">
        <v>69</v>
      </c>
      <c r="U135" t="s">
        <v>70</v>
      </c>
      <c r="W135" t="s">
        <v>71</v>
      </c>
      <c r="X135" s="1" t="s">
        <v>72</v>
      </c>
      <c r="Y135" t="s">
        <v>88</v>
      </c>
      <c r="Z135">
        <v>0</v>
      </c>
      <c r="AA135">
        <v>0</v>
      </c>
      <c r="AD135">
        <v>0</v>
      </c>
      <c r="AE135">
        <v>0</v>
      </c>
      <c r="AH135" t="s">
        <v>73</v>
      </c>
      <c r="AI135" t="s">
        <v>74</v>
      </c>
      <c r="AJ135" t="s">
        <v>75</v>
      </c>
      <c r="AK135" t="s">
        <v>76</v>
      </c>
      <c r="AN135" t="s">
        <v>77</v>
      </c>
      <c r="AO135" t="s">
        <v>78</v>
      </c>
      <c r="AP135" t="s">
        <v>123</v>
      </c>
      <c r="AQ135" t="s">
        <v>80</v>
      </c>
      <c r="AS135" t="b">
        <v>1</v>
      </c>
      <c r="AT135" t="s">
        <v>65</v>
      </c>
      <c r="AU135">
        <v>0</v>
      </c>
      <c r="AV135">
        <v>0</v>
      </c>
      <c r="AX135">
        <v>39</v>
      </c>
      <c r="AY135" t="s">
        <v>81</v>
      </c>
      <c r="AZ135" t="s">
        <v>90</v>
      </c>
      <c r="BB135" t="s">
        <v>91</v>
      </c>
      <c r="BC135" t="s">
        <v>92</v>
      </c>
      <c r="BD135" t="b">
        <v>0</v>
      </c>
      <c r="BE135" t="b">
        <v>0</v>
      </c>
      <c r="BF135" t="b">
        <v>0</v>
      </c>
      <c r="BG135" t="b">
        <v>0</v>
      </c>
      <c r="BH135" t="b">
        <v>0</v>
      </c>
      <c r="BI135" t="b">
        <v>0</v>
      </c>
      <c r="BJ135" t="b">
        <v>0</v>
      </c>
      <c r="BK135" t="b">
        <v>0</v>
      </c>
      <c r="BL135" t="b">
        <v>0</v>
      </c>
      <c r="BM135" t="b">
        <v>0</v>
      </c>
      <c r="BN135" t="b">
        <v>0</v>
      </c>
      <c r="BO135" t="b">
        <v>0</v>
      </c>
      <c r="BP135" t="b">
        <v>0</v>
      </c>
      <c r="BR135" t="str">
        <f>IF(M135="PASSED",VLOOKUP(J135,All_Potential!$J$1:$N$500,1,FALSE))</f>
        <v>1.0430</v>
      </c>
    </row>
    <row r="136" spans="1:70" ht="15" customHeight="1" x14ac:dyDescent="0.25">
      <c r="A136">
        <v>21156</v>
      </c>
      <c r="C136">
        <v>0</v>
      </c>
      <c r="D136" t="s">
        <v>65</v>
      </c>
      <c r="E136" t="s">
        <v>66</v>
      </c>
      <c r="F136" t="s">
        <v>84</v>
      </c>
      <c r="G136">
        <v>0</v>
      </c>
      <c r="H136" t="s">
        <v>85</v>
      </c>
      <c r="I136" t="s">
        <v>86</v>
      </c>
      <c r="J136" t="str">
        <f>MID($N136,FIND("1.",$N136),FIND("-",$N136)-FIND("1.",$N136)-1)</f>
        <v>1.0456</v>
      </c>
      <c r="K136" t="str">
        <f>MID($N136,FIND("MSWRK - ",$N136)+8,FIND(":",$N136)-FIND("MSWRK - ",$N136)-8)</f>
        <v>System/Domain Identification</v>
      </c>
      <c r="L136" t="str">
        <f t="shared" si="2"/>
        <v>1.0456 - MSWRK - System/Domain Identification</v>
      </c>
      <c r="M136" t="str">
        <f>MID($N136,FIND("[",$N136)+1,FIND("]",$N136)-FIND("[",$N136)-1)</f>
        <v>PASSED</v>
      </c>
      <c r="N136" s="1" t="s">
        <v>185</v>
      </c>
      <c r="O136" t="s">
        <v>67</v>
      </c>
      <c r="R136" t="s">
        <v>68</v>
      </c>
      <c r="T136" t="s">
        <v>69</v>
      </c>
      <c r="U136" t="s">
        <v>70</v>
      </c>
      <c r="W136" t="s">
        <v>71</v>
      </c>
      <c r="X136" s="1" t="s">
        <v>72</v>
      </c>
      <c r="Y136" t="s">
        <v>88</v>
      </c>
      <c r="Z136">
        <v>0</v>
      </c>
      <c r="AA136">
        <v>0</v>
      </c>
      <c r="AD136">
        <v>0</v>
      </c>
      <c r="AE136">
        <v>0</v>
      </c>
      <c r="AH136" t="s">
        <v>73</v>
      </c>
      <c r="AI136" t="s">
        <v>74</v>
      </c>
      <c r="AJ136" t="s">
        <v>75</v>
      </c>
      <c r="AK136" t="s">
        <v>76</v>
      </c>
      <c r="AN136" t="s">
        <v>77</v>
      </c>
      <c r="AO136" t="s">
        <v>78</v>
      </c>
      <c r="AP136" t="s">
        <v>186</v>
      </c>
      <c r="AQ136" t="s">
        <v>80</v>
      </c>
      <c r="AS136" t="b">
        <v>1</v>
      </c>
      <c r="AT136" t="s">
        <v>65</v>
      </c>
      <c r="AU136">
        <v>0</v>
      </c>
      <c r="AV136">
        <v>0</v>
      </c>
      <c r="AX136">
        <v>39</v>
      </c>
      <c r="AY136" t="s">
        <v>81</v>
      </c>
      <c r="AZ136" t="s">
        <v>90</v>
      </c>
      <c r="BB136" t="s">
        <v>91</v>
      </c>
      <c r="BC136" t="s">
        <v>92</v>
      </c>
      <c r="BD136" t="b">
        <v>0</v>
      </c>
      <c r="BE136" t="b">
        <v>0</v>
      </c>
      <c r="BF136" t="b">
        <v>0</v>
      </c>
      <c r="BG136" t="b">
        <v>0</v>
      </c>
      <c r="BH136" t="b">
        <v>0</v>
      </c>
      <c r="BI136" t="b">
        <v>0</v>
      </c>
      <c r="BJ136" t="b">
        <v>0</v>
      </c>
      <c r="BK136" t="b">
        <v>0</v>
      </c>
      <c r="BL136" t="b">
        <v>0</v>
      </c>
      <c r="BM136" t="b">
        <v>0</v>
      </c>
      <c r="BN136" t="b">
        <v>0</v>
      </c>
      <c r="BO136" t="b">
        <v>0</v>
      </c>
      <c r="BP136" t="b">
        <v>0</v>
      </c>
      <c r="BR136" t="str">
        <f>IF(M136="PASSED",VLOOKUP(J136,All_Potential!$J$1:$N$500,1,FALSE))</f>
        <v>1.0456</v>
      </c>
    </row>
    <row r="137" spans="1:70" ht="15" customHeight="1" x14ac:dyDescent="0.25">
      <c r="A137">
        <v>21156</v>
      </c>
      <c r="C137">
        <v>0</v>
      </c>
      <c r="D137" t="s">
        <v>65</v>
      </c>
      <c r="E137" t="s">
        <v>66</v>
      </c>
      <c r="F137" t="s">
        <v>84</v>
      </c>
      <c r="G137">
        <v>0</v>
      </c>
      <c r="H137" t="s">
        <v>85</v>
      </c>
      <c r="I137" t="s">
        <v>86</v>
      </c>
      <c r="J137" t="str">
        <f>MID($N137,FIND("1.",$N137),FIND("-",$N137)-FIND("1.",$N137)-1)</f>
        <v>1.0457</v>
      </c>
      <c r="K137" t="str">
        <f>MID($N137,FIND("MSWRK - ",$N137)+8,FIND(":",$N137)-FIND("MSWRK - ",$N137)-8)</f>
        <v>Network Information</v>
      </c>
      <c r="L137" t="str">
        <f t="shared" si="2"/>
        <v>1.0457 - MSWRK - Network Information</v>
      </c>
      <c r="M137" t="str">
        <f>MID($N137,FIND("[",$N137)+1,FIND("]",$N137)-FIND("[",$N137)-1)</f>
        <v>PASSED</v>
      </c>
      <c r="N137" s="1" t="s">
        <v>109</v>
      </c>
      <c r="O137" t="s">
        <v>67</v>
      </c>
      <c r="R137" t="s">
        <v>68</v>
      </c>
      <c r="T137" t="s">
        <v>69</v>
      </c>
      <c r="U137" t="s">
        <v>70</v>
      </c>
      <c r="W137" t="s">
        <v>71</v>
      </c>
      <c r="X137" s="1" t="s">
        <v>72</v>
      </c>
      <c r="Y137" t="s">
        <v>88</v>
      </c>
      <c r="Z137">
        <v>0</v>
      </c>
      <c r="AA137">
        <v>0</v>
      </c>
      <c r="AD137">
        <v>0</v>
      </c>
      <c r="AE137">
        <v>0</v>
      </c>
      <c r="AH137" t="s">
        <v>73</v>
      </c>
      <c r="AI137" t="s">
        <v>74</v>
      </c>
      <c r="AJ137" t="s">
        <v>75</v>
      </c>
      <c r="AK137" t="s">
        <v>76</v>
      </c>
      <c r="AN137" t="s">
        <v>77</v>
      </c>
      <c r="AO137" t="s">
        <v>78</v>
      </c>
      <c r="AP137" t="s">
        <v>110</v>
      </c>
      <c r="AQ137" t="s">
        <v>80</v>
      </c>
      <c r="AS137" t="b">
        <v>1</v>
      </c>
      <c r="AT137" t="s">
        <v>65</v>
      </c>
      <c r="AU137">
        <v>0</v>
      </c>
      <c r="AV137">
        <v>0</v>
      </c>
      <c r="AX137">
        <v>39</v>
      </c>
      <c r="AY137" t="s">
        <v>81</v>
      </c>
      <c r="AZ137" t="s">
        <v>90</v>
      </c>
      <c r="BB137" t="s">
        <v>91</v>
      </c>
      <c r="BC137" t="s">
        <v>92</v>
      </c>
      <c r="BD137" t="b">
        <v>0</v>
      </c>
      <c r="BE137" t="b">
        <v>0</v>
      </c>
      <c r="BF137" t="b">
        <v>0</v>
      </c>
      <c r="BG137" t="b">
        <v>0</v>
      </c>
      <c r="BH137" t="b">
        <v>0</v>
      </c>
      <c r="BI137" t="b">
        <v>0</v>
      </c>
      <c r="BJ137" t="b">
        <v>0</v>
      </c>
      <c r="BK137" t="b">
        <v>0</v>
      </c>
      <c r="BL137" t="b">
        <v>0</v>
      </c>
      <c r="BM137" t="b">
        <v>0</v>
      </c>
      <c r="BN137" t="b">
        <v>0</v>
      </c>
      <c r="BO137" t="b">
        <v>0</v>
      </c>
      <c r="BP137" t="b">
        <v>0</v>
      </c>
      <c r="BR137" t="str">
        <f>IF(M137="PASSED",VLOOKUP(J137,All_Potential!$J$1:$N$500,1,FALSE))</f>
        <v>1.0457</v>
      </c>
    </row>
    <row r="138" spans="1:70" ht="15" customHeight="1" x14ac:dyDescent="0.25">
      <c r="A138">
        <v>21156</v>
      </c>
      <c r="C138">
        <v>0</v>
      </c>
      <c r="D138" t="s">
        <v>65</v>
      </c>
      <c r="E138" t="s">
        <v>66</v>
      </c>
      <c r="F138" t="s">
        <v>84</v>
      </c>
      <c r="G138">
        <v>0</v>
      </c>
      <c r="H138" t="s">
        <v>85</v>
      </c>
      <c r="I138" t="s">
        <v>86</v>
      </c>
      <c r="J138" t="str">
        <f>MID($N138,FIND("1.",$N138),FIND("-",$N138)-FIND("1.",$N138)-1)</f>
        <v>1.0458</v>
      </c>
      <c r="K138" t="str">
        <f>MID($N138,FIND("MSWRK - ",$N138)+8,FIND(":",$N138)-FIND("MSWRK - ",$N138)-8)</f>
        <v>Windows 10 is installed</v>
      </c>
      <c r="L138" t="str">
        <f t="shared" si="2"/>
        <v>1.0458 - MSWRK - Windows 10 is installed</v>
      </c>
      <c r="M138" t="str">
        <f>MID($N138,FIND("[",$N138)+1,FIND("]",$N138)-FIND("[",$N138)-1)</f>
        <v>PASSED</v>
      </c>
      <c r="N138" s="1" t="s">
        <v>144</v>
      </c>
      <c r="O138" t="s">
        <v>67</v>
      </c>
      <c r="R138" t="s">
        <v>68</v>
      </c>
      <c r="T138" t="s">
        <v>69</v>
      </c>
      <c r="U138" t="s">
        <v>70</v>
      </c>
      <c r="W138" t="s">
        <v>71</v>
      </c>
      <c r="X138" s="1" t="s">
        <v>72</v>
      </c>
      <c r="Y138" t="s">
        <v>88</v>
      </c>
      <c r="Z138">
        <v>0</v>
      </c>
      <c r="AA138">
        <v>0</v>
      </c>
      <c r="AD138">
        <v>0</v>
      </c>
      <c r="AE138">
        <v>0</v>
      </c>
      <c r="AH138" t="s">
        <v>73</v>
      </c>
      <c r="AI138" t="s">
        <v>74</v>
      </c>
      <c r="AJ138" t="s">
        <v>75</v>
      </c>
      <c r="AK138" t="s">
        <v>76</v>
      </c>
      <c r="AN138" t="s">
        <v>77</v>
      </c>
      <c r="AO138" t="s">
        <v>78</v>
      </c>
      <c r="AP138" t="s">
        <v>143</v>
      </c>
      <c r="AQ138" t="s">
        <v>80</v>
      </c>
      <c r="AS138" t="b">
        <v>1</v>
      </c>
      <c r="AT138" t="s">
        <v>65</v>
      </c>
      <c r="AU138">
        <v>0</v>
      </c>
      <c r="AV138">
        <v>0</v>
      </c>
      <c r="AX138">
        <v>39</v>
      </c>
      <c r="AY138" t="s">
        <v>81</v>
      </c>
      <c r="AZ138" t="s">
        <v>90</v>
      </c>
      <c r="BB138" t="s">
        <v>91</v>
      </c>
      <c r="BC138" t="s">
        <v>92</v>
      </c>
      <c r="BD138" t="b">
        <v>0</v>
      </c>
      <c r="BE138" t="b">
        <v>0</v>
      </c>
      <c r="BF138" t="b">
        <v>0</v>
      </c>
      <c r="BG138" t="b">
        <v>0</v>
      </c>
      <c r="BH138" t="b">
        <v>0</v>
      </c>
      <c r="BI138" t="b">
        <v>0</v>
      </c>
      <c r="BJ138" t="b">
        <v>0</v>
      </c>
      <c r="BK138" t="b">
        <v>0</v>
      </c>
      <c r="BL138" t="b">
        <v>0</v>
      </c>
      <c r="BM138" t="b">
        <v>0</v>
      </c>
      <c r="BN138" t="b">
        <v>0</v>
      </c>
      <c r="BO138" t="b">
        <v>0</v>
      </c>
      <c r="BP138" t="b">
        <v>0</v>
      </c>
      <c r="BR138" t="str">
        <f>IF(M138="PASSED",VLOOKUP(J138,All_Potential!$J$1:$N$500,1,FALSE))</f>
        <v>1.0458</v>
      </c>
    </row>
    <row r="139" spans="1:70" ht="15" customHeight="1" x14ac:dyDescent="0.25">
      <c r="A139">
        <v>21156</v>
      </c>
      <c r="C139">
        <v>0</v>
      </c>
      <c r="D139" t="s">
        <v>65</v>
      </c>
      <c r="E139" t="s">
        <v>66</v>
      </c>
      <c r="F139" t="s">
        <v>84</v>
      </c>
      <c r="G139">
        <v>0</v>
      </c>
      <c r="H139" t="s">
        <v>85</v>
      </c>
      <c r="I139" t="s">
        <v>86</v>
      </c>
      <c r="J139" t="str">
        <f>MID($N139,FIND("1.",$N139),FIND("-",$N139)-FIND("1.",$N139)-1)</f>
        <v>1.0459</v>
      </c>
      <c r="K139" t="str">
        <f>MID($N139,FIND("MSWRK - ",$N139)+8,FIND(":",$N139)-FIND("MSWRK - ",$N139)-8)</f>
        <v>Windows 11 is installed</v>
      </c>
      <c r="L139" t="str">
        <f t="shared" si="2"/>
        <v>1.0459 - MSWRK - Windows 11 is installed</v>
      </c>
      <c r="M139" t="str">
        <f>MID($N139,FIND("[",$N139)+1,FIND("]",$N139)-FIND("[",$N139)-1)</f>
        <v>PASSED</v>
      </c>
      <c r="N139" s="1" t="s">
        <v>172</v>
      </c>
      <c r="O139" t="s">
        <v>67</v>
      </c>
      <c r="R139" t="s">
        <v>68</v>
      </c>
      <c r="T139" t="s">
        <v>69</v>
      </c>
      <c r="U139" t="s">
        <v>70</v>
      </c>
      <c r="W139" t="s">
        <v>71</v>
      </c>
      <c r="X139" s="1" t="s">
        <v>72</v>
      </c>
      <c r="Y139" t="s">
        <v>88</v>
      </c>
      <c r="Z139">
        <v>0</v>
      </c>
      <c r="AA139">
        <v>0</v>
      </c>
      <c r="AD139">
        <v>0</v>
      </c>
      <c r="AE139">
        <v>0</v>
      </c>
      <c r="AH139" t="s">
        <v>73</v>
      </c>
      <c r="AI139" t="s">
        <v>74</v>
      </c>
      <c r="AJ139" t="s">
        <v>75</v>
      </c>
      <c r="AK139" t="s">
        <v>76</v>
      </c>
      <c r="AN139" t="s">
        <v>77</v>
      </c>
      <c r="AO139" t="s">
        <v>78</v>
      </c>
      <c r="AP139" t="s">
        <v>169</v>
      </c>
      <c r="AQ139" t="s">
        <v>80</v>
      </c>
      <c r="AS139" t="b">
        <v>1</v>
      </c>
      <c r="AT139" t="s">
        <v>65</v>
      </c>
      <c r="AU139">
        <v>0</v>
      </c>
      <c r="AV139">
        <v>0</v>
      </c>
      <c r="AX139">
        <v>39</v>
      </c>
      <c r="AY139" t="s">
        <v>81</v>
      </c>
      <c r="AZ139" t="s">
        <v>90</v>
      </c>
      <c r="BB139" t="s">
        <v>91</v>
      </c>
      <c r="BC139" t="s">
        <v>92</v>
      </c>
      <c r="BD139" t="b">
        <v>0</v>
      </c>
      <c r="BE139" t="b">
        <v>0</v>
      </c>
      <c r="BF139" t="b">
        <v>0</v>
      </c>
      <c r="BG139" t="b">
        <v>0</v>
      </c>
      <c r="BH139" t="b">
        <v>0</v>
      </c>
      <c r="BI139" t="b">
        <v>0</v>
      </c>
      <c r="BJ139" t="b">
        <v>0</v>
      </c>
      <c r="BK139" t="b">
        <v>0</v>
      </c>
      <c r="BL139" t="b">
        <v>0</v>
      </c>
      <c r="BM139" t="b">
        <v>0</v>
      </c>
      <c r="BN139" t="b">
        <v>0</v>
      </c>
      <c r="BO139" t="b">
        <v>0</v>
      </c>
      <c r="BP139" t="b">
        <v>0</v>
      </c>
      <c r="BR139" t="str">
        <f>IF(M139="PASSED",VLOOKUP(J139,All_Potential!$J$1:$N$500,1,FALSE))</f>
        <v>1.0459</v>
      </c>
    </row>
    <row r="140" spans="1:70" ht="15" customHeight="1" x14ac:dyDescent="0.25">
      <c r="A140">
        <v>21156</v>
      </c>
      <c r="C140">
        <v>0</v>
      </c>
      <c r="D140" t="s">
        <v>65</v>
      </c>
      <c r="E140" t="s">
        <v>66</v>
      </c>
      <c r="F140" t="s">
        <v>84</v>
      </c>
      <c r="G140">
        <v>0</v>
      </c>
      <c r="H140" t="s">
        <v>85</v>
      </c>
      <c r="I140" t="s">
        <v>86</v>
      </c>
      <c r="J140" t="str">
        <f>MID($N140,FIND("1.",$N140),FIND("-",$N140)-FIND("1.",$N140)-1)</f>
        <v>1.0460</v>
      </c>
      <c r="K140" t="str">
        <f>MID($N140,FIND("MSWRK - ",$N140)+8,FIND(":",$N140)-FIND("MSWRK - ",$N140)-8)</f>
        <v>Ensure Only display the private store within the Microsoft Store is set to 'Disabled'</v>
      </c>
      <c r="L140" t="str">
        <f t="shared" si="2"/>
        <v>1.0460 - MSWRK - Ensure Only display the private store within the Microsoft Store is set to 'Disabled'</v>
      </c>
      <c r="M140" t="str">
        <f>MID($N140,FIND("[",$N140)+1,FIND("]",$N140)-FIND("[",$N140)-1)</f>
        <v>PASSED</v>
      </c>
      <c r="N140" s="1" t="s">
        <v>112</v>
      </c>
      <c r="O140" t="s">
        <v>67</v>
      </c>
      <c r="R140" t="s">
        <v>68</v>
      </c>
      <c r="T140" t="s">
        <v>69</v>
      </c>
      <c r="U140" t="s">
        <v>70</v>
      </c>
      <c r="W140" t="s">
        <v>71</v>
      </c>
      <c r="X140" s="1" t="s">
        <v>72</v>
      </c>
      <c r="Y140" t="s">
        <v>88</v>
      </c>
      <c r="Z140">
        <v>0</v>
      </c>
      <c r="AA140">
        <v>0</v>
      </c>
      <c r="AD140">
        <v>0</v>
      </c>
      <c r="AE140">
        <v>0</v>
      </c>
      <c r="AH140" t="s">
        <v>73</v>
      </c>
      <c r="AI140" t="s">
        <v>74</v>
      </c>
      <c r="AJ140" t="s">
        <v>75</v>
      </c>
      <c r="AK140" t="s">
        <v>76</v>
      </c>
      <c r="AN140" t="s">
        <v>77</v>
      </c>
      <c r="AO140" t="s">
        <v>78</v>
      </c>
      <c r="AP140" t="s">
        <v>110</v>
      </c>
      <c r="AQ140" t="s">
        <v>80</v>
      </c>
      <c r="AS140" t="b">
        <v>1</v>
      </c>
      <c r="AT140" t="s">
        <v>65</v>
      </c>
      <c r="AU140">
        <v>0</v>
      </c>
      <c r="AV140">
        <v>0</v>
      </c>
      <c r="AX140">
        <v>39</v>
      </c>
      <c r="AY140" t="s">
        <v>81</v>
      </c>
      <c r="AZ140" t="s">
        <v>90</v>
      </c>
      <c r="BB140" t="s">
        <v>91</v>
      </c>
      <c r="BC140" t="s">
        <v>92</v>
      </c>
      <c r="BD140" t="b">
        <v>0</v>
      </c>
      <c r="BE140" t="b">
        <v>0</v>
      </c>
      <c r="BF140" t="b">
        <v>0</v>
      </c>
      <c r="BG140" t="b">
        <v>0</v>
      </c>
      <c r="BH140" t="b">
        <v>0</v>
      </c>
      <c r="BI140" t="b">
        <v>0</v>
      </c>
      <c r="BJ140" t="b">
        <v>0</v>
      </c>
      <c r="BK140" t="b">
        <v>0</v>
      </c>
      <c r="BL140" t="b">
        <v>0</v>
      </c>
      <c r="BM140" t="b">
        <v>0</v>
      </c>
      <c r="BN140" t="b">
        <v>0</v>
      </c>
      <c r="BO140" t="b">
        <v>0</v>
      </c>
      <c r="BP140" t="b">
        <v>0</v>
      </c>
      <c r="BR140" t="str">
        <f>IF(M140="PASSED",VLOOKUP(J140,All_Potential!$J$1:$N$500,1,FALSE))</f>
        <v>1.0460</v>
      </c>
    </row>
    <row r="141" spans="1:70" ht="15" customHeight="1" x14ac:dyDescent="0.25">
      <c r="A141">
        <v>21156</v>
      </c>
      <c r="C141">
        <v>0</v>
      </c>
      <c r="D141" t="s">
        <v>65</v>
      </c>
      <c r="E141" t="s">
        <v>66</v>
      </c>
      <c r="F141" t="s">
        <v>84</v>
      </c>
      <c r="G141">
        <v>0</v>
      </c>
      <c r="H141" t="s">
        <v>85</v>
      </c>
      <c r="I141" t="s">
        <v>86</v>
      </c>
      <c r="J141" t="str">
        <f>MID($N141,FIND("1.",$N141),FIND("-",$N141)-FIND("1.",$N141)-1)</f>
        <v>1.0461</v>
      </c>
      <c r="K141" t="str">
        <f>MID($N141,FIND("MSWRK - ",$N141)+8,FIND(":",$N141)-FIND("MSWRK - ",$N141)-8)</f>
        <v>Allow widgets is set to Disabled</v>
      </c>
      <c r="L141" t="str">
        <f t="shared" si="2"/>
        <v>1.0461 - MSWRK - Allow widgets is set to Disabled</v>
      </c>
      <c r="M141" t="str">
        <f>MID($N141,FIND("[",$N141)+1,FIND("]",$N141)-FIND("[",$N141)-1)</f>
        <v>PASSED</v>
      </c>
      <c r="N141" s="1" t="s">
        <v>111</v>
      </c>
      <c r="O141" t="s">
        <v>67</v>
      </c>
      <c r="R141" t="s">
        <v>68</v>
      </c>
      <c r="T141" t="s">
        <v>69</v>
      </c>
      <c r="U141" t="s">
        <v>70</v>
      </c>
      <c r="W141" t="s">
        <v>71</v>
      </c>
      <c r="X141" s="1" t="s">
        <v>72</v>
      </c>
      <c r="Y141" t="s">
        <v>88</v>
      </c>
      <c r="Z141">
        <v>0</v>
      </c>
      <c r="AA141">
        <v>0</v>
      </c>
      <c r="AD141">
        <v>0</v>
      </c>
      <c r="AE141">
        <v>0</v>
      </c>
      <c r="AH141" t="s">
        <v>73</v>
      </c>
      <c r="AI141" t="s">
        <v>74</v>
      </c>
      <c r="AJ141" t="s">
        <v>75</v>
      </c>
      <c r="AK141" t="s">
        <v>76</v>
      </c>
      <c r="AN141" t="s">
        <v>77</v>
      </c>
      <c r="AO141" t="s">
        <v>78</v>
      </c>
      <c r="AP141" t="s">
        <v>110</v>
      </c>
      <c r="AQ141" t="s">
        <v>80</v>
      </c>
      <c r="AS141" t="b">
        <v>1</v>
      </c>
      <c r="AT141" t="s">
        <v>65</v>
      </c>
      <c r="AU141">
        <v>0</v>
      </c>
      <c r="AV141">
        <v>0</v>
      </c>
      <c r="AX141">
        <v>39</v>
      </c>
      <c r="AY141" t="s">
        <v>81</v>
      </c>
      <c r="AZ141" t="s">
        <v>90</v>
      </c>
      <c r="BB141" t="s">
        <v>91</v>
      </c>
      <c r="BC141" t="s">
        <v>92</v>
      </c>
      <c r="BD141" t="b">
        <v>0</v>
      </c>
      <c r="BE141" t="b">
        <v>0</v>
      </c>
      <c r="BF141" t="b">
        <v>0</v>
      </c>
      <c r="BG141" t="b">
        <v>0</v>
      </c>
      <c r="BH141" t="b">
        <v>0</v>
      </c>
      <c r="BI141" t="b">
        <v>0</v>
      </c>
      <c r="BJ141" t="b">
        <v>0</v>
      </c>
      <c r="BK141" t="b">
        <v>0</v>
      </c>
      <c r="BL141" t="b">
        <v>0</v>
      </c>
      <c r="BM141" t="b">
        <v>0</v>
      </c>
      <c r="BN141" t="b">
        <v>0</v>
      </c>
      <c r="BO141" t="b">
        <v>0</v>
      </c>
      <c r="BP141" t="b">
        <v>0</v>
      </c>
      <c r="BR141" t="str">
        <f>IF(M141="PASSED",VLOOKUP(J141,All_Potential!$J$1:$N$500,1,FALSE))</f>
        <v>1.0461</v>
      </c>
    </row>
    <row r="142" spans="1:70" ht="15" customHeight="1" x14ac:dyDescent="0.25">
      <c r="A142">
        <v>21156</v>
      </c>
      <c r="C142">
        <v>0</v>
      </c>
      <c r="D142" t="s">
        <v>65</v>
      </c>
      <c r="E142" t="s">
        <v>66</v>
      </c>
      <c r="F142" t="s">
        <v>84</v>
      </c>
      <c r="G142">
        <v>0</v>
      </c>
      <c r="H142" t="s">
        <v>85</v>
      </c>
      <c r="I142" t="s">
        <v>86</v>
      </c>
      <c r="J142" t="str">
        <f>MID($N142,FIND("1.",$N142),FIND("-",$N142)-FIND("1.",$N142)-1)</f>
        <v>1.0462</v>
      </c>
      <c r="K142" t="str">
        <f>MID($N142,FIND("MSWRK - ",$N142)+8,FIND(":",$N142)-FIND("MSWRK - ",$N142)-8)</f>
        <v>MSS</v>
      </c>
      <c r="L142" t="str">
        <f t="shared" si="2"/>
        <v>1.0462 - MSWRK - MSS: (ScreenSaverGracePeriod) The time in seconds before the screen saver grace period expires is set to Enabled: 5 or fewer seconds</v>
      </c>
      <c r="M142" t="str">
        <f>MID($N142,FIND("[",$N142)+1,FIND("]",$N142)-FIND("[",$N142)-1)</f>
        <v>PASSED</v>
      </c>
      <c r="N142" s="1" t="s">
        <v>307</v>
      </c>
      <c r="O142" t="s">
        <v>67</v>
      </c>
      <c r="R142" t="s">
        <v>68</v>
      </c>
      <c r="T142" t="s">
        <v>69</v>
      </c>
      <c r="U142" t="s">
        <v>70</v>
      </c>
      <c r="W142" t="s">
        <v>71</v>
      </c>
      <c r="X142" s="1" t="s">
        <v>72</v>
      </c>
      <c r="Y142" t="s">
        <v>88</v>
      </c>
      <c r="Z142">
        <v>0</v>
      </c>
      <c r="AA142">
        <v>0</v>
      </c>
      <c r="AD142">
        <v>0</v>
      </c>
      <c r="AE142">
        <v>0</v>
      </c>
      <c r="AH142" t="s">
        <v>73</v>
      </c>
      <c r="AI142" t="s">
        <v>74</v>
      </c>
      <c r="AJ142" t="s">
        <v>75</v>
      </c>
      <c r="AK142" t="s">
        <v>76</v>
      </c>
      <c r="AN142" t="s">
        <v>77</v>
      </c>
      <c r="AO142" t="s">
        <v>78</v>
      </c>
      <c r="AP142" t="s">
        <v>306</v>
      </c>
      <c r="AQ142" t="s">
        <v>80</v>
      </c>
      <c r="AS142" t="b">
        <v>1</v>
      </c>
      <c r="AT142" t="s">
        <v>65</v>
      </c>
      <c r="AU142">
        <v>0</v>
      </c>
      <c r="AV142">
        <v>0</v>
      </c>
      <c r="AX142">
        <v>39</v>
      </c>
      <c r="AY142" t="s">
        <v>81</v>
      </c>
      <c r="AZ142" t="s">
        <v>90</v>
      </c>
      <c r="BB142" t="s">
        <v>91</v>
      </c>
      <c r="BC142" t="s">
        <v>92</v>
      </c>
      <c r="BD142" t="b">
        <v>0</v>
      </c>
      <c r="BE142" t="b">
        <v>0</v>
      </c>
      <c r="BF142" t="b">
        <v>0</v>
      </c>
      <c r="BG142" t="b">
        <v>0</v>
      </c>
      <c r="BH142" t="b">
        <v>0</v>
      </c>
      <c r="BI142" t="b">
        <v>0</v>
      </c>
      <c r="BJ142" t="b">
        <v>0</v>
      </c>
      <c r="BK142" t="b">
        <v>0</v>
      </c>
      <c r="BL142" t="b">
        <v>0</v>
      </c>
      <c r="BM142" t="b">
        <v>0</v>
      </c>
      <c r="BN142" t="b">
        <v>0</v>
      </c>
      <c r="BO142" t="b">
        <v>0</v>
      </c>
      <c r="BP142" t="b">
        <v>0</v>
      </c>
      <c r="BR142" t="str">
        <f>IF(M142="PASSED",VLOOKUP(J142,All_Potential!$J$1:$N$500,1,FALSE))</f>
        <v>1.0462</v>
      </c>
    </row>
    <row r="143" spans="1:70" ht="15" customHeight="1" x14ac:dyDescent="0.25">
      <c r="A143">
        <v>21156</v>
      </c>
      <c r="C143">
        <v>0</v>
      </c>
      <c r="D143" t="s">
        <v>65</v>
      </c>
      <c r="E143" t="s">
        <v>66</v>
      </c>
      <c r="F143" t="s">
        <v>84</v>
      </c>
      <c r="G143">
        <v>0</v>
      </c>
      <c r="H143" t="s">
        <v>85</v>
      </c>
      <c r="I143" t="s">
        <v>86</v>
      </c>
      <c r="J143" t="str">
        <f>MID($N143,FIND("1.",$N143),FIND("-",$N143)-FIND("1.",$N143)-1)</f>
        <v>1.0463</v>
      </c>
      <c r="K143" t="str">
        <f>MID($N143,FIND("MSWRK - ",$N143)+8,FIND(":",$N143)-FIND("MSWRK - ",$N143)-8)</f>
        <v>Screensaver - Enabled</v>
      </c>
      <c r="L143" t="str">
        <f t="shared" si="2"/>
        <v>1.0463 - MSWRK - Screensaver - Enabled</v>
      </c>
      <c r="M143" t="str">
        <f>MID($N143,FIND("[",$N143)+1,FIND("]",$N143)-FIND("[",$N143)-1)</f>
        <v>PASSED</v>
      </c>
      <c r="N143" s="1" t="s">
        <v>221</v>
      </c>
      <c r="O143" t="s">
        <v>67</v>
      </c>
      <c r="R143" t="s">
        <v>68</v>
      </c>
      <c r="T143" t="s">
        <v>69</v>
      </c>
      <c r="U143" t="s">
        <v>70</v>
      </c>
      <c r="W143" t="s">
        <v>71</v>
      </c>
      <c r="X143" s="1" t="s">
        <v>72</v>
      </c>
      <c r="Y143" t="s">
        <v>88</v>
      </c>
      <c r="Z143">
        <v>0</v>
      </c>
      <c r="AA143">
        <v>0</v>
      </c>
      <c r="AD143">
        <v>0</v>
      </c>
      <c r="AE143">
        <v>0</v>
      </c>
      <c r="AH143" t="s">
        <v>73</v>
      </c>
      <c r="AI143" t="s">
        <v>74</v>
      </c>
      <c r="AJ143" t="s">
        <v>75</v>
      </c>
      <c r="AK143" t="s">
        <v>76</v>
      </c>
      <c r="AN143" t="s">
        <v>77</v>
      </c>
      <c r="AO143" t="s">
        <v>78</v>
      </c>
      <c r="AP143" t="s">
        <v>220</v>
      </c>
      <c r="AQ143" t="s">
        <v>80</v>
      </c>
      <c r="AS143" t="b">
        <v>1</v>
      </c>
      <c r="AT143" t="s">
        <v>65</v>
      </c>
      <c r="AU143">
        <v>0</v>
      </c>
      <c r="AV143">
        <v>0</v>
      </c>
      <c r="AX143">
        <v>39</v>
      </c>
      <c r="AY143" t="s">
        <v>81</v>
      </c>
      <c r="AZ143" t="s">
        <v>90</v>
      </c>
      <c r="BB143" t="s">
        <v>91</v>
      </c>
      <c r="BC143" t="s">
        <v>92</v>
      </c>
      <c r="BD143" t="b">
        <v>0</v>
      </c>
      <c r="BE143" t="b">
        <v>0</v>
      </c>
      <c r="BF143" t="b">
        <v>0</v>
      </c>
      <c r="BG143" t="b">
        <v>0</v>
      </c>
      <c r="BH143" t="b">
        <v>0</v>
      </c>
      <c r="BI143" t="b">
        <v>0</v>
      </c>
      <c r="BJ143" t="b">
        <v>0</v>
      </c>
      <c r="BK143" t="b">
        <v>0</v>
      </c>
      <c r="BL143" t="b">
        <v>0</v>
      </c>
      <c r="BM143" t="b">
        <v>0</v>
      </c>
      <c r="BN143" t="b">
        <v>0</v>
      </c>
      <c r="BO143" t="b">
        <v>0</v>
      </c>
      <c r="BP143" t="b">
        <v>0</v>
      </c>
      <c r="BR143" t="str">
        <f>IF(M143="PASSED",VLOOKUP(J143,All_Potential!$J$1:$N$500,1,FALSE))</f>
        <v>1.0463</v>
      </c>
    </row>
    <row r="144" spans="1:70" ht="15" customHeight="1" x14ac:dyDescent="0.25">
      <c r="A144">
        <v>21156</v>
      </c>
      <c r="C144">
        <v>0</v>
      </c>
      <c r="D144" t="s">
        <v>65</v>
      </c>
      <c r="E144" t="s">
        <v>66</v>
      </c>
      <c r="F144" t="s">
        <v>84</v>
      </c>
      <c r="G144">
        <v>0</v>
      </c>
      <c r="H144" t="s">
        <v>85</v>
      </c>
      <c r="I144" t="s">
        <v>86</v>
      </c>
      <c r="J144" t="str">
        <f>MID($N144,FIND("1.",$N144),FIND("-",$N144)-FIND("1.",$N144)-1)</f>
        <v>1.0464</v>
      </c>
      <c r="K144" t="str">
        <f>MID($N144,FIND("MSWRK - ",$N144)+8,FIND(":",$N144)-FIND("MSWRK - ",$N144)-8)</f>
        <v>Screensaver - Password protect the screen saver- Enabled</v>
      </c>
      <c r="L144" t="str">
        <f t="shared" si="2"/>
        <v>1.0464 - MSWRK - Screensaver - Password protect the screen saver- Enabled</v>
      </c>
      <c r="M144" t="str">
        <f>MID($N144,FIND("[",$N144)+1,FIND("]",$N144)-FIND("[",$N144)-1)</f>
        <v>PASSED</v>
      </c>
      <c r="N144" s="1" t="s">
        <v>245</v>
      </c>
      <c r="O144" t="s">
        <v>67</v>
      </c>
      <c r="R144" t="s">
        <v>68</v>
      </c>
      <c r="T144" t="s">
        <v>69</v>
      </c>
      <c r="U144" t="s">
        <v>70</v>
      </c>
      <c r="W144" t="s">
        <v>71</v>
      </c>
      <c r="X144" s="1" t="s">
        <v>72</v>
      </c>
      <c r="Y144" t="s">
        <v>88</v>
      </c>
      <c r="Z144">
        <v>0</v>
      </c>
      <c r="AA144">
        <v>0</v>
      </c>
      <c r="AD144">
        <v>0</v>
      </c>
      <c r="AE144">
        <v>0</v>
      </c>
      <c r="AH144" t="s">
        <v>73</v>
      </c>
      <c r="AI144" t="s">
        <v>74</v>
      </c>
      <c r="AJ144" t="s">
        <v>75</v>
      </c>
      <c r="AK144" t="s">
        <v>76</v>
      </c>
      <c r="AN144" t="s">
        <v>77</v>
      </c>
      <c r="AO144" t="s">
        <v>78</v>
      </c>
      <c r="AP144" t="s">
        <v>246</v>
      </c>
      <c r="AQ144" t="s">
        <v>80</v>
      </c>
      <c r="AS144" t="b">
        <v>1</v>
      </c>
      <c r="AT144" t="s">
        <v>65</v>
      </c>
      <c r="AU144">
        <v>0</v>
      </c>
      <c r="AV144">
        <v>0</v>
      </c>
      <c r="AX144">
        <v>39</v>
      </c>
      <c r="AY144" t="s">
        <v>81</v>
      </c>
      <c r="AZ144" t="s">
        <v>90</v>
      </c>
      <c r="BB144" t="s">
        <v>91</v>
      </c>
      <c r="BC144" t="s">
        <v>92</v>
      </c>
      <c r="BD144" t="b">
        <v>0</v>
      </c>
      <c r="BE144" t="b">
        <v>0</v>
      </c>
      <c r="BF144" t="b">
        <v>0</v>
      </c>
      <c r="BG144" t="b">
        <v>0</v>
      </c>
      <c r="BH144" t="b">
        <v>0</v>
      </c>
      <c r="BI144" t="b">
        <v>0</v>
      </c>
      <c r="BJ144" t="b">
        <v>0</v>
      </c>
      <c r="BK144" t="b">
        <v>0</v>
      </c>
      <c r="BL144" t="b">
        <v>0</v>
      </c>
      <c r="BM144" t="b">
        <v>0</v>
      </c>
      <c r="BN144" t="b">
        <v>0</v>
      </c>
      <c r="BO144" t="b">
        <v>0</v>
      </c>
      <c r="BP144" t="b">
        <v>0</v>
      </c>
      <c r="BR144" t="str">
        <f>IF(M144="PASSED",VLOOKUP(J144,All_Potential!$J$1:$N$500,1,FALSE))</f>
        <v>1.0464</v>
      </c>
    </row>
    <row r="145" spans="1:70" ht="15" customHeight="1" x14ac:dyDescent="0.25">
      <c r="A145">
        <v>21156</v>
      </c>
      <c r="C145">
        <v>0</v>
      </c>
      <c r="D145" t="s">
        <v>65</v>
      </c>
      <c r="E145" t="s">
        <v>66</v>
      </c>
      <c r="F145" t="s">
        <v>84</v>
      </c>
      <c r="G145">
        <v>0</v>
      </c>
      <c r="H145" t="s">
        <v>85</v>
      </c>
      <c r="I145" t="s">
        <v>86</v>
      </c>
      <c r="J145" t="str">
        <f>MID($N145,FIND("1.",$N145),FIND("-",$N145)-FIND("1.",$N145)-1)</f>
        <v>1.0465</v>
      </c>
      <c r="K145" t="str">
        <f>MID($N145,FIND("MSWRK - ",$N145)+8,FIND(":",$N145)-FIND("MSWRK - ",$N145)-8)</f>
        <v>Ensure Change the time zone is set to Administrators, LOCAL SERVICE'</v>
      </c>
      <c r="L145" t="str">
        <f t="shared" si="2"/>
        <v>1.0465 - MSWRK - Ensure Change the time zone is set to Administrators, LOCAL SERVICE'</v>
      </c>
      <c r="M145" t="str">
        <f>MID($N145,FIND("[",$N145)+1,FIND("]",$N145)-FIND("[",$N145)-1)</f>
        <v>PASSED</v>
      </c>
      <c r="N145" s="1" t="s">
        <v>253</v>
      </c>
      <c r="O145" t="s">
        <v>67</v>
      </c>
      <c r="R145" t="s">
        <v>68</v>
      </c>
      <c r="T145" t="s">
        <v>69</v>
      </c>
      <c r="U145" t="s">
        <v>70</v>
      </c>
      <c r="W145" t="s">
        <v>71</v>
      </c>
      <c r="X145" s="1" t="s">
        <v>72</v>
      </c>
      <c r="Y145" t="s">
        <v>88</v>
      </c>
      <c r="Z145">
        <v>0</v>
      </c>
      <c r="AA145">
        <v>0</v>
      </c>
      <c r="AD145">
        <v>0</v>
      </c>
      <c r="AE145">
        <v>0</v>
      </c>
      <c r="AH145" t="s">
        <v>73</v>
      </c>
      <c r="AI145" t="s">
        <v>74</v>
      </c>
      <c r="AJ145" t="s">
        <v>75</v>
      </c>
      <c r="AK145" t="s">
        <v>76</v>
      </c>
      <c r="AN145" t="s">
        <v>77</v>
      </c>
      <c r="AO145" t="s">
        <v>78</v>
      </c>
      <c r="AP145" t="s">
        <v>254</v>
      </c>
      <c r="AQ145" t="s">
        <v>80</v>
      </c>
      <c r="AS145" t="b">
        <v>1</v>
      </c>
      <c r="AT145" t="s">
        <v>65</v>
      </c>
      <c r="AU145">
        <v>0</v>
      </c>
      <c r="AV145">
        <v>0</v>
      </c>
      <c r="AX145">
        <v>39</v>
      </c>
      <c r="AY145" t="s">
        <v>81</v>
      </c>
      <c r="AZ145" t="s">
        <v>90</v>
      </c>
      <c r="BB145" t="s">
        <v>91</v>
      </c>
      <c r="BC145" t="s">
        <v>92</v>
      </c>
      <c r="BD145" t="b">
        <v>0</v>
      </c>
      <c r="BE145" t="b">
        <v>0</v>
      </c>
      <c r="BF145" t="b">
        <v>0</v>
      </c>
      <c r="BG145" t="b">
        <v>0</v>
      </c>
      <c r="BH145" t="b">
        <v>0</v>
      </c>
      <c r="BI145" t="b">
        <v>0</v>
      </c>
      <c r="BJ145" t="b">
        <v>0</v>
      </c>
      <c r="BK145" t="b">
        <v>0</v>
      </c>
      <c r="BL145" t="b">
        <v>0</v>
      </c>
      <c r="BM145" t="b">
        <v>0</v>
      </c>
      <c r="BN145" t="b">
        <v>0</v>
      </c>
      <c r="BO145" t="b">
        <v>0</v>
      </c>
      <c r="BP145" t="b">
        <v>0</v>
      </c>
      <c r="BR145" t="str">
        <f>IF(M145="PASSED",VLOOKUP(J145,All_Potential!$J$1:$N$500,1,FALSE))</f>
        <v>1.0465</v>
      </c>
    </row>
    <row r="146" spans="1:70" ht="15" customHeight="1" x14ac:dyDescent="0.25">
      <c r="A146">
        <v>21156</v>
      </c>
      <c r="C146">
        <v>0</v>
      </c>
      <c r="D146" t="s">
        <v>65</v>
      </c>
      <c r="E146" t="s">
        <v>66</v>
      </c>
      <c r="F146" t="s">
        <v>84</v>
      </c>
      <c r="G146">
        <v>0</v>
      </c>
      <c r="H146" t="s">
        <v>85</v>
      </c>
      <c r="I146" t="s">
        <v>86</v>
      </c>
      <c r="J146" t="str">
        <f>MID($N146,FIND("1.",$N146),FIND("-",$N146)-FIND("1.",$N146)-1)</f>
        <v>1.0466</v>
      </c>
      <c r="K146" t="str">
        <f>MID($N146,FIND("MSWRK - ",$N146)+8,FIND(":",$N146)-FIND("MSWRK - ",$N146)-8)</f>
        <v>Network access</v>
      </c>
      <c r="L146" t="str">
        <f t="shared" si="2"/>
        <v>1.0466 - MSWRK - Network access: Allow anonymous SID/Name translation is set to Disabled</v>
      </c>
      <c r="M146" t="str">
        <f>MID($N146,FIND("[",$N146)+1,FIND("]",$N146)-FIND("[",$N146)-1)</f>
        <v>PASSED</v>
      </c>
      <c r="N146" s="1" t="s">
        <v>236</v>
      </c>
      <c r="O146" t="s">
        <v>67</v>
      </c>
      <c r="R146" t="s">
        <v>68</v>
      </c>
      <c r="T146" t="s">
        <v>69</v>
      </c>
      <c r="U146" t="s">
        <v>70</v>
      </c>
      <c r="W146" t="s">
        <v>71</v>
      </c>
      <c r="X146" s="1" t="s">
        <v>72</v>
      </c>
      <c r="Y146" t="s">
        <v>88</v>
      </c>
      <c r="Z146">
        <v>0</v>
      </c>
      <c r="AA146">
        <v>0</v>
      </c>
      <c r="AD146">
        <v>0</v>
      </c>
      <c r="AE146">
        <v>0</v>
      </c>
      <c r="AH146" t="s">
        <v>73</v>
      </c>
      <c r="AI146" t="s">
        <v>74</v>
      </c>
      <c r="AJ146" t="s">
        <v>75</v>
      </c>
      <c r="AK146" t="s">
        <v>76</v>
      </c>
      <c r="AN146" t="s">
        <v>77</v>
      </c>
      <c r="AO146" t="s">
        <v>78</v>
      </c>
      <c r="AP146" t="s">
        <v>237</v>
      </c>
      <c r="AQ146" t="s">
        <v>80</v>
      </c>
      <c r="AS146" t="b">
        <v>1</v>
      </c>
      <c r="AT146" t="s">
        <v>65</v>
      </c>
      <c r="AU146">
        <v>0</v>
      </c>
      <c r="AV146">
        <v>0</v>
      </c>
      <c r="AX146">
        <v>39</v>
      </c>
      <c r="AY146" t="s">
        <v>81</v>
      </c>
      <c r="AZ146" t="s">
        <v>90</v>
      </c>
      <c r="BB146" t="s">
        <v>91</v>
      </c>
      <c r="BC146" t="s">
        <v>92</v>
      </c>
      <c r="BD146" t="b">
        <v>0</v>
      </c>
      <c r="BE146" t="b">
        <v>0</v>
      </c>
      <c r="BF146" t="b">
        <v>0</v>
      </c>
      <c r="BG146" t="b">
        <v>0</v>
      </c>
      <c r="BH146" t="b">
        <v>0</v>
      </c>
      <c r="BI146" t="b">
        <v>0</v>
      </c>
      <c r="BJ146" t="b">
        <v>0</v>
      </c>
      <c r="BK146" t="b">
        <v>0</v>
      </c>
      <c r="BL146" t="b">
        <v>0</v>
      </c>
      <c r="BM146" t="b">
        <v>0</v>
      </c>
      <c r="BN146" t="b">
        <v>0</v>
      </c>
      <c r="BO146" t="b">
        <v>0</v>
      </c>
      <c r="BP146" t="b">
        <v>0</v>
      </c>
      <c r="BR146" t="str">
        <f>IF(M146="PASSED",VLOOKUP(J146,All_Potential!$J$1:$N$500,1,FALSE))</f>
        <v>1.0466</v>
      </c>
    </row>
    <row r="147" spans="1:70" ht="15" customHeight="1" x14ac:dyDescent="0.25">
      <c r="A147">
        <v>21156</v>
      </c>
      <c r="C147">
        <v>0</v>
      </c>
      <c r="D147" t="s">
        <v>65</v>
      </c>
      <c r="E147" t="s">
        <v>66</v>
      </c>
      <c r="F147" t="s">
        <v>84</v>
      </c>
      <c r="G147">
        <v>0</v>
      </c>
      <c r="H147" t="s">
        <v>85</v>
      </c>
      <c r="I147" t="s">
        <v>86</v>
      </c>
      <c r="J147" t="str">
        <f>MID($N147,FIND("1.",$N147),FIND("-",$N147)-FIND("1.",$N147)-1)</f>
        <v>1.0467</v>
      </c>
      <c r="K147" t="str">
        <f>MID($N147,FIND("MSWRK - ",$N147)+8,FIND(":",$N147)-FIND("MSWRK - ",$N147)-8)</f>
        <v>Network access</v>
      </c>
      <c r="L147" t="str">
        <f t="shared" si="2"/>
        <v>1.0467 - MSWRK - Network access: Shares that can be accessed anonymously is set to None</v>
      </c>
      <c r="M147" t="str">
        <f>MID($N147,FIND("[",$N147)+1,FIND("]",$N147)-FIND("[",$N147)-1)</f>
        <v>PASSED</v>
      </c>
      <c r="N147" s="1" t="s">
        <v>95</v>
      </c>
      <c r="O147" t="s">
        <v>67</v>
      </c>
      <c r="R147" t="s">
        <v>68</v>
      </c>
      <c r="T147" t="s">
        <v>69</v>
      </c>
      <c r="U147" t="s">
        <v>70</v>
      </c>
      <c r="W147" t="s">
        <v>71</v>
      </c>
      <c r="X147" s="1" t="s">
        <v>72</v>
      </c>
      <c r="Y147" t="s">
        <v>88</v>
      </c>
      <c r="Z147">
        <v>0</v>
      </c>
      <c r="AA147">
        <v>0</v>
      </c>
      <c r="AD147">
        <v>0</v>
      </c>
      <c r="AE147">
        <v>0</v>
      </c>
      <c r="AH147" t="s">
        <v>73</v>
      </c>
      <c r="AI147" t="s">
        <v>74</v>
      </c>
      <c r="AJ147" t="s">
        <v>75</v>
      </c>
      <c r="AK147" t="s">
        <v>76</v>
      </c>
      <c r="AN147" t="s">
        <v>77</v>
      </c>
      <c r="AO147" t="s">
        <v>78</v>
      </c>
      <c r="AP147" t="s">
        <v>94</v>
      </c>
      <c r="AQ147" t="s">
        <v>80</v>
      </c>
      <c r="AS147" t="b">
        <v>1</v>
      </c>
      <c r="AT147" t="s">
        <v>65</v>
      </c>
      <c r="AU147">
        <v>0</v>
      </c>
      <c r="AV147">
        <v>0</v>
      </c>
      <c r="AX147">
        <v>39</v>
      </c>
      <c r="AY147" t="s">
        <v>81</v>
      </c>
      <c r="AZ147" t="s">
        <v>90</v>
      </c>
      <c r="BB147" t="s">
        <v>91</v>
      </c>
      <c r="BC147" t="s">
        <v>92</v>
      </c>
      <c r="BD147" t="b">
        <v>0</v>
      </c>
      <c r="BE147" t="b">
        <v>0</v>
      </c>
      <c r="BF147" t="b">
        <v>0</v>
      </c>
      <c r="BG147" t="b">
        <v>0</v>
      </c>
      <c r="BH147" t="b">
        <v>0</v>
      </c>
      <c r="BI147" t="b">
        <v>0</v>
      </c>
      <c r="BJ147" t="b">
        <v>0</v>
      </c>
      <c r="BK147" t="b">
        <v>0</v>
      </c>
      <c r="BL147" t="b">
        <v>0</v>
      </c>
      <c r="BM147" t="b">
        <v>0</v>
      </c>
      <c r="BN147" t="b">
        <v>0</v>
      </c>
      <c r="BO147" t="b">
        <v>0</v>
      </c>
      <c r="BP147" t="b">
        <v>0</v>
      </c>
      <c r="BR147" t="str">
        <f>IF(M147="PASSED",VLOOKUP(J147,All_Potential!$J$1:$N$500,1,FALSE))</f>
        <v>1.0467</v>
      </c>
    </row>
    <row r="148" spans="1:70" ht="15" customHeight="1" x14ac:dyDescent="0.25">
      <c r="A148">
        <v>21156</v>
      </c>
      <c r="C148">
        <v>0</v>
      </c>
      <c r="D148" t="s">
        <v>65</v>
      </c>
      <c r="E148" t="s">
        <v>66</v>
      </c>
      <c r="F148" t="s">
        <v>84</v>
      </c>
      <c r="G148">
        <v>0</v>
      </c>
      <c r="H148" t="s">
        <v>85</v>
      </c>
      <c r="I148" t="s">
        <v>86</v>
      </c>
      <c r="J148" t="str">
        <f>MID($N148,FIND("1.",$N148),FIND("-",$N148)-FIND("1.",$N148)-1)</f>
        <v>1.0468</v>
      </c>
      <c r="K148" t="str">
        <f>MID($N148,FIND("MSWRK - ",$N148)+8,FIND(":",$N148)-FIND("MSWRK - ",$N148)-8)</f>
        <v>Network access</v>
      </c>
      <c r="L148" t="str">
        <f t="shared" si="2"/>
        <v>1.0468 - MSWRK - Network access: Named Pipes that can be accessed anonymously is set to None</v>
      </c>
      <c r="M148" t="str">
        <f>MID($N148,FIND("[",$N148)+1,FIND("]",$N148)-FIND("[",$N148)-1)</f>
        <v>PASSED</v>
      </c>
      <c r="N148" s="1" t="s">
        <v>100</v>
      </c>
      <c r="O148" t="s">
        <v>67</v>
      </c>
      <c r="R148" t="s">
        <v>68</v>
      </c>
      <c r="T148" t="s">
        <v>69</v>
      </c>
      <c r="U148" t="s">
        <v>70</v>
      </c>
      <c r="W148" t="s">
        <v>71</v>
      </c>
      <c r="X148" s="1" t="s">
        <v>72</v>
      </c>
      <c r="Y148" t="s">
        <v>88</v>
      </c>
      <c r="Z148">
        <v>0</v>
      </c>
      <c r="AA148">
        <v>0</v>
      </c>
      <c r="AD148">
        <v>0</v>
      </c>
      <c r="AE148">
        <v>0</v>
      </c>
      <c r="AH148" t="s">
        <v>73</v>
      </c>
      <c r="AI148" t="s">
        <v>74</v>
      </c>
      <c r="AJ148" t="s">
        <v>75</v>
      </c>
      <c r="AK148" t="s">
        <v>76</v>
      </c>
      <c r="AN148" t="s">
        <v>77</v>
      </c>
      <c r="AO148" t="s">
        <v>78</v>
      </c>
      <c r="AP148" t="s">
        <v>101</v>
      </c>
      <c r="AQ148" t="s">
        <v>80</v>
      </c>
      <c r="AS148" t="b">
        <v>1</v>
      </c>
      <c r="AT148" t="s">
        <v>65</v>
      </c>
      <c r="AU148">
        <v>0</v>
      </c>
      <c r="AV148">
        <v>0</v>
      </c>
      <c r="AX148">
        <v>39</v>
      </c>
      <c r="AY148" t="s">
        <v>81</v>
      </c>
      <c r="AZ148" t="s">
        <v>90</v>
      </c>
      <c r="BB148" t="s">
        <v>91</v>
      </c>
      <c r="BC148" t="s">
        <v>92</v>
      </c>
      <c r="BD148" t="b">
        <v>0</v>
      </c>
      <c r="BE148" t="b">
        <v>0</v>
      </c>
      <c r="BF148" t="b">
        <v>0</v>
      </c>
      <c r="BG148" t="b">
        <v>0</v>
      </c>
      <c r="BH148" t="b">
        <v>0</v>
      </c>
      <c r="BI148" t="b">
        <v>0</v>
      </c>
      <c r="BJ148" t="b">
        <v>0</v>
      </c>
      <c r="BK148" t="b">
        <v>0</v>
      </c>
      <c r="BL148" t="b">
        <v>0</v>
      </c>
      <c r="BM148" t="b">
        <v>0</v>
      </c>
      <c r="BN148" t="b">
        <v>0</v>
      </c>
      <c r="BO148" t="b">
        <v>0</v>
      </c>
      <c r="BP148" t="b">
        <v>0</v>
      </c>
      <c r="BR148" t="str">
        <f>IF(M148="PASSED",VLOOKUP(J148,All_Potential!$J$1:$N$500,1,FALSE))</f>
        <v>1.0468</v>
      </c>
    </row>
    <row r="149" spans="1:70" ht="15" customHeight="1" x14ac:dyDescent="0.25">
      <c r="A149">
        <v>21156</v>
      </c>
      <c r="C149">
        <v>0</v>
      </c>
      <c r="D149" t="s">
        <v>65</v>
      </c>
      <c r="E149" t="s">
        <v>66</v>
      </c>
      <c r="F149" t="s">
        <v>84</v>
      </c>
      <c r="G149">
        <v>0</v>
      </c>
      <c r="H149" t="s">
        <v>85</v>
      </c>
      <c r="I149" t="s">
        <v>86</v>
      </c>
      <c r="J149" t="str">
        <f>MID($N149,FIND("1.",$N149),FIND("-",$N149)-FIND("1.",$N149)-1)</f>
        <v>1.0469</v>
      </c>
      <c r="K149" t="str">
        <f>MID($N149,FIND("MSWRK - ",$N149)+8,FIND(":",$N149)-FIND("MSWRK - ",$N149)-8)</f>
        <v>Network access</v>
      </c>
      <c r="L149" t="str">
        <f t="shared" si="2"/>
        <v>1.0469 - MSWRK - Network access: Remotely accessible registry paths is configured - Allowedexactpaths</v>
      </c>
      <c r="M149" t="str">
        <f>MID($N149,FIND("[",$N149)+1,FIND("]",$N149)-FIND("[",$N149)-1)</f>
        <v>PASSED</v>
      </c>
      <c r="N149" s="1" t="s">
        <v>108</v>
      </c>
      <c r="O149" t="s">
        <v>67</v>
      </c>
      <c r="R149" t="s">
        <v>68</v>
      </c>
      <c r="T149" t="s">
        <v>69</v>
      </c>
      <c r="U149" t="s">
        <v>70</v>
      </c>
      <c r="W149" t="s">
        <v>71</v>
      </c>
      <c r="X149" s="1" t="s">
        <v>72</v>
      </c>
      <c r="Y149" t="s">
        <v>88</v>
      </c>
      <c r="Z149">
        <v>0</v>
      </c>
      <c r="AA149">
        <v>0</v>
      </c>
      <c r="AD149">
        <v>0</v>
      </c>
      <c r="AE149">
        <v>0</v>
      </c>
      <c r="AH149" t="s">
        <v>73</v>
      </c>
      <c r="AI149" t="s">
        <v>74</v>
      </c>
      <c r="AJ149" t="s">
        <v>75</v>
      </c>
      <c r="AK149" t="s">
        <v>76</v>
      </c>
      <c r="AN149" t="s">
        <v>77</v>
      </c>
      <c r="AO149" t="s">
        <v>78</v>
      </c>
      <c r="AP149" t="s">
        <v>106</v>
      </c>
      <c r="AQ149" t="s">
        <v>80</v>
      </c>
      <c r="AS149" t="b">
        <v>1</v>
      </c>
      <c r="AT149" t="s">
        <v>65</v>
      </c>
      <c r="AU149">
        <v>0</v>
      </c>
      <c r="AV149">
        <v>0</v>
      </c>
      <c r="AX149">
        <v>39</v>
      </c>
      <c r="AY149" t="s">
        <v>81</v>
      </c>
      <c r="AZ149" t="s">
        <v>90</v>
      </c>
      <c r="BB149" t="s">
        <v>91</v>
      </c>
      <c r="BC149" t="s">
        <v>92</v>
      </c>
      <c r="BD149" t="b">
        <v>0</v>
      </c>
      <c r="BE149" t="b">
        <v>0</v>
      </c>
      <c r="BF149" t="b">
        <v>0</v>
      </c>
      <c r="BG149" t="b">
        <v>0</v>
      </c>
      <c r="BH149" t="b">
        <v>0</v>
      </c>
      <c r="BI149" t="b">
        <v>0</v>
      </c>
      <c r="BJ149" t="b">
        <v>0</v>
      </c>
      <c r="BK149" t="b">
        <v>0</v>
      </c>
      <c r="BL149" t="b">
        <v>0</v>
      </c>
      <c r="BM149" t="b">
        <v>0</v>
      </c>
      <c r="BN149" t="b">
        <v>0</v>
      </c>
      <c r="BO149" t="b">
        <v>0</v>
      </c>
      <c r="BP149" t="b">
        <v>0</v>
      </c>
      <c r="BR149" t="str">
        <f>IF(M149="PASSED",VLOOKUP(J149,All_Potential!$J$1:$N$500,1,FALSE))</f>
        <v>1.0469</v>
      </c>
    </row>
    <row r="150" spans="1:70" ht="15" customHeight="1" x14ac:dyDescent="0.25">
      <c r="A150">
        <v>21156</v>
      </c>
      <c r="C150">
        <v>0</v>
      </c>
      <c r="D150" t="s">
        <v>65</v>
      </c>
      <c r="E150" t="s">
        <v>66</v>
      </c>
      <c r="F150" t="s">
        <v>84</v>
      </c>
      <c r="G150">
        <v>0</v>
      </c>
      <c r="H150" t="s">
        <v>85</v>
      </c>
      <c r="I150" t="s">
        <v>86</v>
      </c>
      <c r="J150" t="str">
        <f>MID($N150,FIND("1.",$N150),FIND("-",$N150)-FIND("1.",$N150)-1)</f>
        <v>1.0470</v>
      </c>
      <c r="K150" t="str">
        <f>MID($N150,FIND("MSWRK - ",$N150)+8,FIND(":",$N150)-FIND("MSWRK - ",$N150)-8)</f>
        <v>Network access</v>
      </c>
      <c r="L150" t="str">
        <f t="shared" si="2"/>
        <v>1.0470 - MSWRK - Network access: Remotely accessible registry paths and sub-paths is configured - Allowedpaths</v>
      </c>
      <c r="M150" t="str">
        <f>MID($N150,FIND("[",$N150)+1,FIND("]",$N150)-FIND("[",$N150)-1)</f>
        <v>PASSED</v>
      </c>
      <c r="N150" s="1" t="s">
        <v>308</v>
      </c>
      <c r="O150" t="s">
        <v>67</v>
      </c>
      <c r="R150" t="s">
        <v>68</v>
      </c>
      <c r="T150" t="s">
        <v>69</v>
      </c>
      <c r="U150" t="s">
        <v>70</v>
      </c>
      <c r="W150" t="s">
        <v>71</v>
      </c>
      <c r="X150" s="1" t="s">
        <v>72</v>
      </c>
      <c r="Y150" t="s">
        <v>88</v>
      </c>
      <c r="Z150">
        <v>0</v>
      </c>
      <c r="AA150">
        <v>0</v>
      </c>
      <c r="AD150">
        <v>0</v>
      </c>
      <c r="AE150">
        <v>0</v>
      </c>
      <c r="AH150" t="s">
        <v>73</v>
      </c>
      <c r="AI150" t="s">
        <v>74</v>
      </c>
      <c r="AJ150" t="s">
        <v>75</v>
      </c>
      <c r="AK150" t="s">
        <v>76</v>
      </c>
      <c r="AN150" t="s">
        <v>77</v>
      </c>
      <c r="AO150" t="s">
        <v>78</v>
      </c>
      <c r="AP150" t="s">
        <v>306</v>
      </c>
      <c r="AQ150" t="s">
        <v>80</v>
      </c>
      <c r="AS150" t="b">
        <v>1</v>
      </c>
      <c r="AT150" t="s">
        <v>65</v>
      </c>
      <c r="AU150">
        <v>0</v>
      </c>
      <c r="AV150">
        <v>0</v>
      </c>
      <c r="AX150">
        <v>39</v>
      </c>
      <c r="AY150" t="s">
        <v>81</v>
      </c>
      <c r="AZ150" t="s">
        <v>90</v>
      </c>
      <c r="BB150" t="s">
        <v>91</v>
      </c>
      <c r="BC150" t="s">
        <v>92</v>
      </c>
      <c r="BD150" t="b">
        <v>0</v>
      </c>
      <c r="BE150" t="b">
        <v>0</v>
      </c>
      <c r="BF150" t="b">
        <v>0</v>
      </c>
      <c r="BG150" t="b">
        <v>0</v>
      </c>
      <c r="BH150" t="b">
        <v>0</v>
      </c>
      <c r="BI150" t="b">
        <v>0</v>
      </c>
      <c r="BJ150" t="b">
        <v>0</v>
      </c>
      <c r="BK150" t="b">
        <v>0</v>
      </c>
      <c r="BL150" t="b">
        <v>0</v>
      </c>
      <c r="BM150" t="b">
        <v>0</v>
      </c>
      <c r="BN150" t="b">
        <v>0</v>
      </c>
      <c r="BO150" t="b">
        <v>0</v>
      </c>
      <c r="BP150" t="b">
        <v>0</v>
      </c>
      <c r="BR150" t="str">
        <f>IF(M150="PASSED",VLOOKUP(J150,All_Potential!$J$1:$N$500,1,FALSE))</f>
        <v>1.0470</v>
      </c>
    </row>
    <row r="151" spans="1:70" ht="15" customHeight="1" x14ac:dyDescent="0.25">
      <c r="A151">
        <v>21156</v>
      </c>
      <c r="C151">
        <v>0</v>
      </c>
      <c r="D151" t="s">
        <v>65</v>
      </c>
      <c r="E151" t="s">
        <v>66</v>
      </c>
      <c r="F151" t="s">
        <v>84</v>
      </c>
      <c r="G151">
        <v>0</v>
      </c>
      <c r="H151" t="s">
        <v>85</v>
      </c>
      <c r="I151" t="s">
        <v>86</v>
      </c>
      <c r="J151" t="str">
        <f>MID($N151,FIND("1.",$N151),FIND("-",$N151)-FIND("1.",$N151)-1)</f>
        <v>1.0471</v>
      </c>
      <c r="K151" t="str">
        <f>MID($N151,FIND("MSWRK - ",$N151)+8,FIND(":",$N151)-FIND("MSWRK - ",$N151)-8)</f>
        <v>Network security</v>
      </c>
      <c r="L151" t="str">
        <f t="shared" si="2"/>
        <v>1.0471 - MSWRK - Network security: Do not store LAN Manager hash value on next password change is set to Enabled</v>
      </c>
      <c r="M151" t="str">
        <f>MID($N151,FIND("[",$N151)+1,FIND("]",$N151)-FIND("[",$N151)-1)</f>
        <v>PASSED</v>
      </c>
      <c r="N151" s="1" t="s">
        <v>277</v>
      </c>
      <c r="O151" t="s">
        <v>67</v>
      </c>
      <c r="R151" t="s">
        <v>68</v>
      </c>
      <c r="T151" t="s">
        <v>69</v>
      </c>
      <c r="U151" t="s">
        <v>70</v>
      </c>
      <c r="W151" t="s">
        <v>71</v>
      </c>
      <c r="X151" s="1" t="s">
        <v>72</v>
      </c>
      <c r="Y151" t="s">
        <v>88</v>
      </c>
      <c r="Z151">
        <v>0</v>
      </c>
      <c r="AA151">
        <v>0</v>
      </c>
      <c r="AD151">
        <v>0</v>
      </c>
      <c r="AE151">
        <v>0</v>
      </c>
      <c r="AH151" t="s">
        <v>73</v>
      </c>
      <c r="AI151" t="s">
        <v>74</v>
      </c>
      <c r="AJ151" t="s">
        <v>75</v>
      </c>
      <c r="AK151" t="s">
        <v>76</v>
      </c>
      <c r="AN151" t="s">
        <v>77</v>
      </c>
      <c r="AO151" t="s">
        <v>78</v>
      </c>
      <c r="AP151" t="s">
        <v>275</v>
      </c>
      <c r="AQ151" t="s">
        <v>80</v>
      </c>
      <c r="AS151" t="b">
        <v>1</v>
      </c>
      <c r="AT151" t="s">
        <v>65</v>
      </c>
      <c r="AU151">
        <v>0</v>
      </c>
      <c r="AV151">
        <v>0</v>
      </c>
      <c r="AX151">
        <v>39</v>
      </c>
      <c r="AY151" t="s">
        <v>81</v>
      </c>
      <c r="AZ151" t="s">
        <v>90</v>
      </c>
      <c r="BB151" t="s">
        <v>91</v>
      </c>
      <c r="BC151" t="s">
        <v>92</v>
      </c>
      <c r="BD151" t="b">
        <v>0</v>
      </c>
      <c r="BE151" t="b">
        <v>0</v>
      </c>
      <c r="BF151" t="b">
        <v>0</v>
      </c>
      <c r="BG151" t="b">
        <v>0</v>
      </c>
      <c r="BH151" t="b">
        <v>0</v>
      </c>
      <c r="BI151" t="b">
        <v>0</v>
      </c>
      <c r="BJ151" t="b">
        <v>0</v>
      </c>
      <c r="BK151" t="b">
        <v>0</v>
      </c>
      <c r="BL151" t="b">
        <v>0</v>
      </c>
      <c r="BM151" t="b">
        <v>0</v>
      </c>
      <c r="BN151" t="b">
        <v>0</v>
      </c>
      <c r="BO151" t="b">
        <v>0</v>
      </c>
      <c r="BP151" t="b">
        <v>0</v>
      </c>
      <c r="BR151" t="str">
        <f>IF(M151="PASSED",VLOOKUP(J151,All_Potential!$J$1:$N$500,1,FALSE))</f>
        <v>1.0471</v>
      </c>
    </row>
    <row r="152" spans="1:70" ht="15" customHeight="1" x14ac:dyDescent="0.25">
      <c r="A152">
        <v>21156</v>
      </c>
      <c r="C152">
        <v>0</v>
      </c>
      <c r="D152" t="s">
        <v>65</v>
      </c>
      <c r="E152" t="s">
        <v>66</v>
      </c>
      <c r="F152" t="s">
        <v>84</v>
      </c>
      <c r="G152">
        <v>0</v>
      </c>
      <c r="H152" t="s">
        <v>85</v>
      </c>
      <c r="I152" t="s">
        <v>86</v>
      </c>
      <c r="J152" t="str">
        <f>MID($N152,FIND("1.",$N152),FIND("-",$N152)-FIND("1.",$N152)-1)</f>
        <v>1.0472</v>
      </c>
      <c r="K152" t="str">
        <f>MID($N152,FIND("MSWRK - ",$N152)+8,FIND(":",$N152)-FIND("MSWRK - ",$N152)-8)</f>
        <v>Interactive logon</v>
      </c>
      <c r="L152" t="str">
        <f t="shared" si="2"/>
        <v>1.0472 - MSWRK - Interactive logon: Do not require CTRL+ALT+DEL is set to Disabled</v>
      </c>
      <c r="M152" t="str">
        <f>MID($N152,FIND("[",$N152)+1,FIND("]",$N152)-FIND("[",$N152)-1)</f>
        <v>PASSED</v>
      </c>
      <c r="N152" s="1" t="s">
        <v>273</v>
      </c>
      <c r="O152" t="s">
        <v>67</v>
      </c>
      <c r="R152" t="s">
        <v>68</v>
      </c>
      <c r="T152" t="s">
        <v>69</v>
      </c>
      <c r="U152" t="s">
        <v>70</v>
      </c>
      <c r="W152" t="s">
        <v>71</v>
      </c>
      <c r="X152" s="1" t="s">
        <v>72</v>
      </c>
      <c r="Y152" t="s">
        <v>88</v>
      </c>
      <c r="Z152">
        <v>0</v>
      </c>
      <c r="AA152">
        <v>0</v>
      </c>
      <c r="AD152">
        <v>0</v>
      </c>
      <c r="AE152">
        <v>0</v>
      </c>
      <c r="AH152" t="s">
        <v>73</v>
      </c>
      <c r="AI152" t="s">
        <v>74</v>
      </c>
      <c r="AJ152" t="s">
        <v>75</v>
      </c>
      <c r="AK152" t="s">
        <v>76</v>
      </c>
      <c r="AN152" t="s">
        <v>77</v>
      </c>
      <c r="AO152" t="s">
        <v>78</v>
      </c>
      <c r="AP152" t="s">
        <v>271</v>
      </c>
      <c r="AQ152" t="s">
        <v>80</v>
      </c>
      <c r="AS152" t="b">
        <v>1</v>
      </c>
      <c r="AT152" t="s">
        <v>65</v>
      </c>
      <c r="AU152">
        <v>0</v>
      </c>
      <c r="AV152">
        <v>0</v>
      </c>
      <c r="AX152">
        <v>39</v>
      </c>
      <c r="AY152" t="s">
        <v>81</v>
      </c>
      <c r="AZ152" t="s">
        <v>90</v>
      </c>
      <c r="BB152" t="s">
        <v>91</v>
      </c>
      <c r="BC152" t="s">
        <v>92</v>
      </c>
      <c r="BD152" t="b">
        <v>0</v>
      </c>
      <c r="BE152" t="b">
        <v>0</v>
      </c>
      <c r="BF152" t="b">
        <v>0</v>
      </c>
      <c r="BG152" t="b">
        <v>0</v>
      </c>
      <c r="BH152" t="b">
        <v>0</v>
      </c>
      <c r="BI152" t="b">
        <v>0</v>
      </c>
      <c r="BJ152" t="b">
        <v>0</v>
      </c>
      <c r="BK152" t="b">
        <v>0</v>
      </c>
      <c r="BL152" t="b">
        <v>0</v>
      </c>
      <c r="BM152" t="b">
        <v>0</v>
      </c>
      <c r="BN152" t="b">
        <v>0</v>
      </c>
      <c r="BO152" t="b">
        <v>0</v>
      </c>
      <c r="BP152" t="b">
        <v>0</v>
      </c>
      <c r="BR152" t="str">
        <f>IF(M152="PASSED",VLOOKUP(J152,All_Potential!$J$1:$N$500,1,FALSE))</f>
        <v>1.0472</v>
      </c>
    </row>
    <row r="153" spans="1:70" ht="15" customHeight="1" x14ac:dyDescent="0.25">
      <c r="A153">
        <v>21156</v>
      </c>
      <c r="C153">
        <v>0</v>
      </c>
      <c r="D153" t="s">
        <v>65</v>
      </c>
      <c r="E153" t="s">
        <v>66</v>
      </c>
      <c r="F153" t="s">
        <v>84</v>
      </c>
      <c r="G153">
        <v>0</v>
      </c>
      <c r="H153" t="s">
        <v>85</v>
      </c>
      <c r="I153" t="s">
        <v>86</v>
      </c>
      <c r="J153" t="str">
        <f>MID($N153,FIND("1.",$N153),FIND("-",$N153)-FIND("1.",$N153)-1)</f>
        <v>1.0473</v>
      </c>
      <c r="K153" t="str">
        <f>MID($N153,FIND("MSWRK - ",$N153)+8,FIND(":",$N153)-FIND("MSWRK - ",$N153)-8)</f>
        <v>Screensaver - Timeout is set to 900 seconds or fewer</v>
      </c>
      <c r="L153" t="str">
        <f t="shared" si="2"/>
        <v>1.0473 - MSWRK - Screensaver - Timeout is set to 900 seconds or fewer</v>
      </c>
      <c r="M153" t="str">
        <f>MID($N153,FIND("[",$N153)+1,FIND("]",$N153)-FIND("[",$N153)-1)</f>
        <v>PASSED</v>
      </c>
      <c r="N153" s="1" t="s">
        <v>179</v>
      </c>
      <c r="O153" t="s">
        <v>67</v>
      </c>
      <c r="R153" t="s">
        <v>68</v>
      </c>
      <c r="T153" t="s">
        <v>69</v>
      </c>
      <c r="U153" t="s">
        <v>70</v>
      </c>
      <c r="W153" t="s">
        <v>71</v>
      </c>
      <c r="X153" s="1" t="s">
        <v>72</v>
      </c>
      <c r="Y153" t="s">
        <v>88</v>
      </c>
      <c r="Z153">
        <v>0</v>
      </c>
      <c r="AA153">
        <v>0</v>
      </c>
      <c r="AD153">
        <v>0</v>
      </c>
      <c r="AE153">
        <v>0</v>
      </c>
      <c r="AH153" t="s">
        <v>73</v>
      </c>
      <c r="AI153" t="s">
        <v>74</v>
      </c>
      <c r="AJ153" t="s">
        <v>75</v>
      </c>
      <c r="AK153" t="s">
        <v>76</v>
      </c>
      <c r="AN153" t="s">
        <v>77</v>
      </c>
      <c r="AO153" t="s">
        <v>78</v>
      </c>
      <c r="AP153" t="s">
        <v>178</v>
      </c>
      <c r="AQ153" t="s">
        <v>80</v>
      </c>
      <c r="AS153" t="b">
        <v>1</v>
      </c>
      <c r="AT153" t="s">
        <v>65</v>
      </c>
      <c r="AU153">
        <v>0</v>
      </c>
      <c r="AV153">
        <v>0</v>
      </c>
      <c r="AX153">
        <v>39</v>
      </c>
      <c r="AY153" t="s">
        <v>81</v>
      </c>
      <c r="AZ153" t="s">
        <v>90</v>
      </c>
      <c r="BB153" t="s">
        <v>91</v>
      </c>
      <c r="BC153" t="s">
        <v>92</v>
      </c>
      <c r="BD153" t="b">
        <v>0</v>
      </c>
      <c r="BE153" t="b">
        <v>0</v>
      </c>
      <c r="BF153" t="b">
        <v>0</v>
      </c>
      <c r="BG153" t="b">
        <v>0</v>
      </c>
      <c r="BH153" t="b">
        <v>0</v>
      </c>
      <c r="BI153" t="b">
        <v>0</v>
      </c>
      <c r="BJ153" t="b">
        <v>0</v>
      </c>
      <c r="BK153" t="b">
        <v>0</v>
      </c>
      <c r="BL153" t="b">
        <v>0</v>
      </c>
      <c r="BM153" t="b">
        <v>0</v>
      </c>
      <c r="BN153" t="b">
        <v>0</v>
      </c>
      <c r="BO153" t="b">
        <v>0</v>
      </c>
      <c r="BP153" t="b">
        <v>0</v>
      </c>
      <c r="BR153" t="str">
        <f>IF(M153="PASSED",VLOOKUP(J153,All_Potential!$J$1:$N$500,1,FALSE))</f>
        <v>1.0473</v>
      </c>
    </row>
    <row r="154" spans="1:70" ht="15" customHeight="1" x14ac:dyDescent="0.25">
      <c r="A154">
        <v>21156</v>
      </c>
      <c r="C154">
        <v>0</v>
      </c>
      <c r="D154" t="s">
        <v>65</v>
      </c>
      <c r="E154" t="s">
        <v>66</v>
      </c>
      <c r="F154" t="s">
        <v>84</v>
      </c>
      <c r="G154">
        <v>0</v>
      </c>
      <c r="H154" t="s">
        <v>85</v>
      </c>
      <c r="I154" t="s">
        <v>86</v>
      </c>
      <c r="J154" t="str">
        <f>MID($N154,FIND("1.",$N154),FIND("-",$N154)-FIND("1.",$N154)-1)</f>
        <v>1.0474</v>
      </c>
      <c r="K154" t="str">
        <f>MID($N154,FIND("MSWRK - ",$N154)+8,FIND(":",$N154)-FIND("MSWRK - ",$N154)-8)</f>
        <v>Microsoft network client</v>
      </c>
      <c r="L154" t="str">
        <f t="shared" si="2"/>
        <v>1.0474 - MSWRK - Microsoft network client: Digitally sign communications (if server agrees) is set to Enabled</v>
      </c>
      <c r="M154" t="str">
        <f>MID($N154,FIND("[",$N154)+1,FIND("]",$N154)-FIND("[",$N154)-1)</f>
        <v>PASSED</v>
      </c>
      <c r="N154" s="1" t="s">
        <v>192</v>
      </c>
      <c r="O154" t="s">
        <v>67</v>
      </c>
      <c r="R154" t="s">
        <v>68</v>
      </c>
      <c r="T154" t="s">
        <v>69</v>
      </c>
      <c r="U154" t="s">
        <v>70</v>
      </c>
      <c r="W154" t="s">
        <v>71</v>
      </c>
      <c r="X154" s="1" t="s">
        <v>72</v>
      </c>
      <c r="Y154" t="s">
        <v>88</v>
      </c>
      <c r="Z154">
        <v>0</v>
      </c>
      <c r="AA154">
        <v>0</v>
      </c>
      <c r="AD154">
        <v>0</v>
      </c>
      <c r="AE154">
        <v>0</v>
      </c>
      <c r="AH154" t="s">
        <v>73</v>
      </c>
      <c r="AI154" t="s">
        <v>74</v>
      </c>
      <c r="AJ154" t="s">
        <v>75</v>
      </c>
      <c r="AK154" t="s">
        <v>76</v>
      </c>
      <c r="AN154" t="s">
        <v>77</v>
      </c>
      <c r="AO154" t="s">
        <v>78</v>
      </c>
      <c r="AP154" t="s">
        <v>191</v>
      </c>
      <c r="AQ154" t="s">
        <v>80</v>
      </c>
      <c r="AS154" t="b">
        <v>1</v>
      </c>
      <c r="AT154" t="s">
        <v>65</v>
      </c>
      <c r="AU154">
        <v>0</v>
      </c>
      <c r="AV154">
        <v>0</v>
      </c>
      <c r="AX154">
        <v>39</v>
      </c>
      <c r="AY154" t="s">
        <v>81</v>
      </c>
      <c r="AZ154" t="s">
        <v>90</v>
      </c>
      <c r="BB154" t="s">
        <v>91</v>
      </c>
      <c r="BC154" t="s">
        <v>92</v>
      </c>
      <c r="BD154" t="b">
        <v>0</v>
      </c>
      <c r="BE154" t="b">
        <v>0</v>
      </c>
      <c r="BF154" t="b">
        <v>0</v>
      </c>
      <c r="BG154" t="b">
        <v>0</v>
      </c>
      <c r="BH154" t="b">
        <v>0</v>
      </c>
      <c r="BI154" t="b">
        <v>0</v>
      </c>
      <c r="BJ154" t="b">
        <v>0</v>
      </c>
      <c r="BK154" t="b">
        <v>0</v>
      </c>
      <c r="BL154" t="b">
        <v>0</v>
      </c>
      <c r="BM154" t="b">
        <v>0</v>
      </c>
      <c r="BN154" t="b">
        <v>0</v>
      </c>
      <c r="BO154" t="b">
        <v>0</v>
      </c>
      <c r="BP154" t="b">
        <v>0</v>
      </c>
      <c r="BR154" t="str">
        <f>IF(M154="PASSED",VLOOKUP(J154,All_Potential!$J$1:$N$500,1,FALSE))</f>
        <v>1.0474</v>
      </c>
    </row>
    <row r="155" spans="1:70" ht="15" customHeight="1" x14ac:dyDescent="0.25">
      <c r="A155">
        <v>21156</v>
      </c>
      <c r="C155">
        <v>0</v>
      </c>
      <c r="D155" t="s">
        <v>65</v>
      </c>
      <c r="E155" t="s">
        <v>66</v>
      </c>
      <c r="F155" t="s">
        <v>84</v>
      </c>
      <c r="G155">
        <v>0</v>
      </c>
      <c r="H155" t="s">
        <v>85</v>
      </c>
      <c r="I155" t="s">
        <v>86</v>
      </c>
      <c r="J155" t="str">
        <f>MID($N155,FIND("1.",$N155),FIND("-",$N155)-FIND("1.",$N155)-1)</f>
        <v>1.0475</v>
      </c>
      <c r="K155" t="str">
        <f>MID($N155,FIND("MSWRK - ",$N155)+8,FIND(":",$N155)-FIND("MSWRK - ",$N155)-8)</f>
        <v>Services - Windows Firewall is enabled</v>
      </c>
      <c r="L155" t="str">
        <f t="shared" si="2"/>
        <v>1.0475 - MSWRK - Services - Windows Firewall is enabled</v>
      </c>
      <c r="M155" t="str">
        <f>MID($N155,FIND("[",$N155)+1,FIND("]",$N155)-FIND("[",$N155)-1)</f>
        <v>PASSED</v>
      </c>
      <c r="N155" s="1" t="s">
        <v>261</v>
      </c>
      <c r="O155" t="s">
        <v>67</v>
      </c>
      <c r="R155" t="s">
        <v>68</v>
      </c>
      <c r="T155" t="s">
        <v>69</v>
      </c>
      <c r="U155" t="s">
        <v>70</v>
      </c>
      <c r="W155" t="s">
        <v>71</v>
      </c>
      <c r="X155" s="1" t="s">
        <v>72</v>
      </c>
      <c r="Y155" t="s">
        <v>88</v>
      </c>
      <c r="Z155">
        <v>0</v>
      </c>
      <c r="AA155">
        <v>0</v>
      </c>
      <c r="AD155">
        <v>0</v>
      </c>
      <c r="AE155">
        <v>0</v>
      </c>
      <c r="AH155" t="s">
        <v>73</v>
      </c>
      <c r="AI155" t="s">
        <v>74</v>
      </c>
      <c r="AJ155" t="s">
        <v>75</v>
      </c>
      <c r="AK155" t="s">
        <v>76</v>
      </c>
      <c r="AN155" t="s">
        <v>77</v>
      </c>
      <c r="AO155" t="s">
        <v>78</v>
      </c>
      <c r="AP155" t="s">
        <v>262</v>
      </c>
      <c r="AQ155" t="s">
        <v>80</v>
      </c>
      <c r="AS155" t="b">
        <v>1</v>
      </c>
      <c r="AT155" t="s">
        <v>65</v>
      </c>
      <c r="AU155">
        <v>0</v>
      </c>
      <c r="AV155">
        <v>0</v>
      </c>
      <c r="AX155">
        <v>39</v>
      </c>
      <c r="AY155" t="s">
        <v>81</v>
      </c>
      <c r="AZ155" t="s">
        <v>90</v>
      </c>
      <c r="BB155" t="s">
        <v>91</v>
      </c>
      <c r="BC155" t="s">
        <v>92</v>
      </c>
      <c r="BD155" t="b">
        <v>0</v>
      </c>
      <c r="BE155" t="b">
        <v>0</v>
      </c>
      <c r="BF155" t="b">
        <v>0</v>
      </c>
      <c r="BG155" t="b">
        <v>0</v>
      </c>
      <c r="BH155" t="b">
        <v>0</v>
      </c>
      <c r="BI155" t="b">
        <v>0</v>
      </c>
      <c r="BJ155" t="b">
        <v>0</v>
      </c>
      <c r="BK155" t="b">
        <v>0</v>
      </c>
      <c r="BL155" t="b">
        <v>0</v>
      </c>
      <c r="BM155" t="b">
        <v>0</v>
      </c>
      <c r="BN155" t="b">
        <v>0</v>
      </c>
      <c r="BO155" t="b">
        <v>0</v>
      </c>
      <c r="BP155" t="b">
        <v>0</v>
      </c>
      <c r="BR155" t="str">
        <f>IF(M155="PASSED",VLOOKUP(J155,All_Potential!$J$1:$N$500,1,FALSE))</f>
        <v>1.0475</v>
      </c>
    </row>
    <row r="156" spans="1:70" ht="15" customHeight="1" x14ac:dyDescent="0.25">
      <c r="A156">
        <v>21156</v>
      </c>
      <c r="C156">
        <v>0</v>
      </c>
      <c r="D156" t="s">
        <v>65</v>
      </c>
      <c r="E156" t="s">
        <v>66</v>
      </c>
      <c r="F156" t="s">
        <v>84</v>
      </c>
      <c r="G156">
        <v>0</v>
      </c>
      <c r="H156" t="s">
        <v>85</v>
      </c>
      <c r="I156" t="s">
        <v>86</v>
      </c>
      <c r="J156" t="str">
        <f>MID($N156,FIND("1.",$N156),FIND("-",$N156)-FIND("1.",$N156)-1)</f>
        <v>1.0476</v>
      </c>
      <c r="K156" t="str">
        <f>MID($N156,FIND("MSWRK - ",$N156)+8,FIND(":",$N156)-FIND("MSWRK - ",$N156)-8)</f>
        <v>Services - Windows Defender</v>
      </c>
      <c r="L156" t="str">
        <f t="shared" si="2"/>
        <v>1.0476 - MSWRK - Services - Windows Defender</v>
      </c>
      <c r="M156" t="str">
        <f>MID($N156,FIND("[",$N156)+1,FIND("]",$N156)-FIND("[",$N156)-1)</f>
        <v>PASSED</v>
      </c>
      <c r="N156" s="1" t="s">
        <v>198</v>
      </c>
      <c r="O156" t="s">
        <v>67</v>
      </c>
      <c r="R156" t="s">
        <v>68</v>
      </c>
      <c r="T156" t="s">
        <v>69</v>
      </c>
      <c r="U156" t="s">
        <v>70</v>
      </c>
      <c r="W156" t="s">
        <v>71</v>
      </c>
      <c r="X156" s="1" t="s">
        <v>72</v>
      </c>
      <c r="Y156" t="s">
        <v>88</v>
      </c>
      <c r="Z156">
        <v>0</v>
      </c>
      <c r="AA156">
        <v>0</v>
      </c>
      <c r="AD156">
        <v>0</v>
      </c>
      <c r="AE156">
        <v>0</v>
      </c>
      <c r="AH156" t="s">
        <v>73</v>
      </c>
      <c r="AI156" t="s">
        <v>74</v>
      </c>
      <c r="AJ156" t="s">
        <v>75</v>
      </c>
      <c r="AK156" t="s">
        <v>76</v>
      </c>
      <c r="AN156" t="s">
        <v>77</v>
      </c>
      <c r="AO156" t="s">
        <v>78</v>
      </c>
      <c r="AP156" t="s">
        <v>199</v>
      </c>
      <c r="AQ156" t="s">
        <v>80</v>
      </c>
      <c r="AS156" t="b">
        <v>1</v>
      </c>
      <c r="AT156" t="s">
        <v>65</v>
      </c>
      <c r="AU156">
        <v>0</v>
      </c>
      <c r="AV156">
        <v>0</v>
      </c>
      <c r="AX156">
        <v>39</v>
      </c>
      <c r="AY156" t="s">
        <v>81</v>
      </c>
      <c r="AZ156" t="s">
        <v>90</v>
      </c>
      <c r="BB156" t="s">
        <v>91</v>
      </c>
      <c r="BC156" t="s">
        <v>92</v>
      </c>
      <c r="BD156" t="b">
        <v>0</v>
      </c>
      <c r="BE156" t="b">
        <v>0</v>
      </c>
      <c r="BF156" t="b">
        <v>0</v>
      </c>
      <c r="BG156" t="b">
        <v>0</v>
      </c>
      <c r="BH156" t="b">
        <v>0</v>
      </c>
      <c r="BI156" t="b">
        <v>0</v>
      </c>
      <c r="BJ156" t="b">
        <v>0</v>
      </c>
      <c r="BK156" t="b">
        <v>0</v>
      </c>
      <c r="BL156" t="b">
        <v>0</v>
      </c>
      <c r="BM156" t="b">
        <v>0</v>
      </c>
      <c r="BN156" t="b">
        <v>0</v>
      </c>
      <c r="BO156" t="b">
        <v>0</v>
      </c>
      <c r="BP156" t="b">
        <v>0</v>
      </c>
      <c r="BR156" t="str">
        <f>IF(M156="PASSED",VLOOKUP(J156,All_Potential!$J$1:$N$500,1,FALSE))</f>
        <v>1.0476</v>
      </c>
    </row>
    <row r="157" spans="1:70" ht="15" customHeight="1" x14ac:dyDescent="0.25">
      <c r="A157">
        <v>21156</v>
      </c>
      <c r="C157">
        <v>0</v>
      </c>
      <c r="D157" t="s">
        <v>65</v>
      </c>
      <c r="E157" t="s">
        <v>66</v>
      </c>
      <c r="F157" t="s">
        <v>84</v>
      </c>
      <c r="G157">
        <v>0</v>
      </c>
      <c r="H157" t="s">
        <v>85</v>
      </c>
      <c r="I157" t="s">
        <v>86</v>
      </c>
      <c r="J157" t="str">
        <f>MID($N157,FIND("1.",$N157),FIND("-",$N157)-FIND("1.",$N157)-1)</f>
        <v>1.0477</v>
      </c>
      <c r="K157" t="str">
        <f>MID($N157,FIND("MSWRK - ",$N157)+8,FIND(":",$N157)-FIND("MSWRK - ",$N157)-8)</f>
        <v>Services - BitLocker Drive Encryption Service</v>
      </c>
      <c r="L157" t="str">
        <f t="shared" si="2"/>
        <v>1.0477 - MSWRK - Services - BitLocker Drive Encryption Service</v>
      </c>
      <c r="M157" t="str">
        <f>MID($N157,FIND("[",$N157)+1,FIND("]",$N157)-FIND("[",$N157)-1)</f>
        <v>PASSED</v>
      </c>
      <c r="N157" s="1" t="s">
        <v>146</v>
      </c>
      <c r="O157" t="s">
        <v>67</v>
      </c>
      <c r="R157" t="s">
        <v>68</v>
      </c>
      <c r="T157" t="s">
        <v>69</v>
      </c>
      <c r="U157" t="s">
        <v>70</v>
      </c>
      <c r="W157" t="s">
        <v>71</v>
      </c>
      <c r="X157" s="1" t="s">
        <v>72</v>
      </c>
      <c r="Y157" t="s">
        <v>88</v>
      </c>
      <c r="Z157">
        <v>0</v>
      </c>
      <c r="AA157">
        <v>0</v>
      </c>
      <c r="AD157">
        <v>0</v>
      </c>
      <c r="AE157">
        <v>0</v>
      </c>
      <c r="AH157" t="s">
        <v>73</v>
      </c>
      <c r="AI157" t="s">
        <v>74</v>
      </c>
      <c r="AJ157" t="s">
        <v>75</v>
      </c>
      <c r="AK157" t="s">
        <v>76</v>
      </c>
      <c r="AN157" t="s">
        <v>77</v>
      </c>
      <c r="AO157" t="s">
        <v>78</v>
      </c>
      <c r="AP157" t="s">
        <v>143</v>
      </c>
      <c r="AQ157" t="s">
        <v>80</v>
      </c>
      <c r="AS157" t="b">
        <v>1</v>
      </c>
      <c r="AT157" t="s">
        <v>65</v>
      </c>
      <c r="AU157">
        <v>0</v>
      </c>
      <c r="AV157">
        <v>0</v>
      </c>
      <c r="AX157">
        <v>39</v>
      </c>
      <c r="AY157" t="s">
        <v>81</v>
      </c>
      <c r="AZ157" t="s">
        <v>90</v>
      </c>
      <c r="BB157" t="s">
        <v>91</v>
      </c>
      <c r="BC157" t="s">
        <v>92</v>
      </c>
      <c r="BD157" t="b">
        <v>0</v>
      </c>
      <c r="BE157" t="b">
        <v>0</v>
      </c>
      <c r="BF157" t="b">
        <v>0</v>
      </c>
      <c r="BG157" t="b">
        <v>0</v>
      </c>
      <c r="BH157" t="b">
        <v>0</v>
      </c>
      <c r="BI157" t="b">
        <v>0</v>
      </c>
      <c r="BJ157" t="b">
        <v>0</v>
      </c>
      <c r="BK157" t="b">
        <v>0</v>
      </c>
      <c r="BL157" t="b">
        <v>0</v>
      </c>
      <c r="BM157" t="b">
        <v>0</v>
      </c>
      <c r="BN157" t="b">
        <v>0</v>
      </c>
      <c r="BO157" t="b">
        <v>0</v>
      </c>
      <c r="BP157" t="b">
        <v>0</v>
      </c>
      <c r="BR157" t="str">
        <f>IF(M157="PASSED",VLOOKUP(J157,All_Potential!$J$1:$N$500,1,FALSE))</f>
        <v>1.0477</v>
      </c>
    </row>
    <row r="158" spans="1:70" ht="15" customHeight="1" x14ac:dyDescent="0.25">
      <c r="A158">
        <v>21156</v>
      </c>
      <c r="C158">
        <v>0</v>
      </c>
      <c r="D158" t="s">
        <v>65</v>
      </c>
      <c r="E158" t="s">
        <v>66</v>
      </c>
      <c r="F158" t="s">
        <v>84</v>
      </c>
      <c r="G158">
        <v>0</v>
      </c>
      <c r="H158" t="s">
        <v>85</v>
      </c>
      <c r="I158" t="s">
        <v>86</v>
      </c>
      <c r="J158" t="str">
        <f>MID($N158,FIND("1.",$N158),FIND("-",$N158)-FIND("1.",$N158)-1)</f>
        <v>1.0478</v>
      </c>
      <c r="K158" t="str">
        <f>MID($N158,FIND("MSWRK - ",$N158)+8,FIND(":",$N158)-FIND("MSWRK - ",$N158)-8)</f>
        <v>Services - Security Accounts Manager</v>
      </c>
      <c r="L158" t="str">
        <f t="shared" si="2"/>
        <v>1.0478 - MSWRK - Services - Security Accounts Manager</v>
      </c>
      <c r="M158" t="str">
        <f>MID($N158,FIND("[",$N158)+1,FIND("]",$N158)-FIND("[",$N158)-1)</f>
        <v>PASSED</v>
      </c>
      <c r="N158" s="1" t="s">
        <v>274</v>
      </c>
      <c r="O158" t="s">
        <v>67</v>
      </c>
      <c r="R158" t="s">
        <v>68</v>
      </c>
      <c r="T158" t="s">
        <v>69</v>
      </c>
      <c r="U158" t="s">
        <v>70</v>
      </c>
      <c r="W158" t="s">
        <v>71</v>
      </c>
      <c r="X158" s="1" t="s">
        <v>72</v>
      </c>
      <c r="Y158" t="s">
        <v>88</v>
      </c>
      <c r="Z158">
        <v>0</v>
      </c>
      <c r="AA158">
        <v>0</v>
      </c>
      <c r="AD158">
        <v>0</v>
      </c>
      <c r="AE158">
        <v>0</v>
      </c>
      <c r="AH158" t="s">
        <v>73</v>
      </c>
      <c r="AI158" t="s">
        <v>74</v>
      </c>
      <c r="AJ158" t="s">
        <v>75</v>
      </c>
      <c r="AK158" t="s">
        <v>76</v>
      </c>
      <c r="AN158" t="s">
        <v>77</v>
      </c>
      <c r="AO158" t="s">
        <v>78</v>
      </c>
      <c r="AP158" t="s">
        <v>275</v>
      </c>
      <c r="AQ158" t="s">
        <v>80</v>
      </c>
      <c r="AS158" t="b">
        <v>1</v>
      </c>
      <c r="AT158" t="s">
        <v>65</v>
      </c>
      <c r="AU158">
        <v>0</v>
      </c>
      <c r="AV158">
        <v>0</v>
      </c>
      <c r="AX158">
        <v>39</v>
      </c>
      <c r="AY158" t="s">
        <v>81</v>
      </c>
      <c r="AZ158" t="s">
        <v>90</v>
      </c>
      <c r="BB158" t="s">
        <v>91</v>
      </c>
      <c r="BC158" t="s">
        <v>92</v>
      </c>
      <c r="BD158" t="b">
        <v>0</v>
      </c>
      <c r="BE158" t="b">
        <v>0</v>
      </c>
      <c r="BF158" t="b">
        <v>0</v>
      </c>
      <c r="BG158" t="b">
        <v>0</v>
      </c>
      <c r="BH158" t="b">
        <v>0</v>
      </c>
      <c r="BI158" t="b">
        <v>0</v>
      </c>
      <c r="BJ158" t="b">
        <v>0</v>
      </c>
      <c r="BK158" t="b">
        <v>0</v>
      </c>
      <c r="BL158" t="b">
        <v>0</v>
      </c>
      <c r="BM158" t="b">
        <v>0</v>
      </c>
      <c r="BN158" t="b">
        <v>0</v>
      </c>
      <c r="BO158" t="b">
        <v>0</v>
      </c>
      <c r="BP158" t="b">
        <v>0</v>
      </c>
      <c r="BR158" t="str">
        <f>IF(M158="PASSED",VLOOKUP(J158,All_Potential!$J$1:$N$500,1,FALSE))</f>
        <v>1.0478</v>
      </c>
    </row>
    <row r="159" spans="1:70" ht="15" customHeight="1" x14ac:dyDescent="0.25">
      <c r="A159">
        <v>21156</v>
      </c>
      <c r="C159">
        <v>0</v>
      </c>
      <c r="D159" t="s">
        <v>65</v>
      </c>
      <c r="E159" t="s">
        <v>66</v>
      </c>
      <c r="F159" t="s">
        <v>84</v>
      </c>
      <c r="G159">
        <v>0</v>
      </c>
      <c r="H159" t="s">
        <v>85</v>
      </c>
      <c r="I159" t="s">
        <v>86</v>
      </c>
      <c r="J159" t="str">
        <f>MID($N159,FIND("1.",$N159),FIND("-",$N159)-FIND("1.",$N159)-1)</f>
        <v>1.0479</v>
      </c>
      <c r="K159" t="str">
        <f>MID($N159,FIND("MSWRK - ",$N159)+8,FIND(":",$N159)-FIND("MSWRK - ",$N159)-8)</f>
        <v>Services - Cisco VPN Secure Client</v>
      </c>
      <c r="L159" t="str">
        <f t="shared" si="2"/>
        <v>1.0479 - MSWRK - Services - Cisco VPN Secure Client</v>
      </c>
      <c r="M159" t="str">
        <f>MID($N159,FIND("[",$N159)+1,FIND("]",$N159)-FIND("[",$N159)-1)</f>
        <v>PASSED</v>
      </c>
      <c r="N159" s="1" t="s">
        <v>147</v>
      </c>
      <c r="O159" t="s">
        <v>67</v>
      </c>
      <c r="R159" t="s">
        <v>68</v>
      </c>
      <c r="T159" t="s">
        <v>69</v>
      </c>
      <c r="U159" t="s">
        <v>70</v>
      </c>
      <c r="W159" t="s">
        <v>71</v>
      </c>
      <c r="X159" s="1" t="s">
        <v>72</v>
      </c>
      <c r="Y159" t="s">
        <v>88</v>
      </c>
      <c r="Z159">
        <v>0</v>
      </c>
      <c r="AA159">
        <v>0</v>
      </c>
      <c r="AD159">
        <v>0</v>
      </c>
      <c r="AE159">
        <v>0</v>
      </c>
      <c r="AH159" t="s">
        <v>73</v>
      </c>
      <c r="AI159" t="s">
        <v>74</v>
      </c>
      <c r="AJ159" t="s">
        <v>75</v>
      </c>
      <c r="AK159" t="s">
        <v>76</v>
      </c>
      <c r="AN159" t="s">
        <v>77</v>
      </c>
      <c r="AO159" t="s">
        <v>78</v>
      </c>
      <c r="AP159" t="s">
        <v>148</v>
      </c>
      <c r="AQ159" t="s">
        <v>80</v>
      </c>
      <c r="AS159" t="b">
        <v>1</v>
      </c>
      <c r="AT159" t="s">
        <v>65</v>
      </c>
      <c r="AU159">
        <v>0</v>
      </c>
      <c r="AV159">
        <v>0</v>
      </c>
      <c r="AX159">
        <v>39</v>
      </c>
      <c r="AY159" t="s">
        <v>81</v>
      </c>
      <c r="AZ159" t="s">
        <v>90</v>
      </c>
      <c r="BB159" t="s">
        <v>91</v>
      </c>
      <c r="BC159" t="s">
        <v>92</v>
      </c>
      <c r="BD159" t="b">
        <v>0</v>
      </c>
      <c r="BE159" t="b">
        <v>0</v>
      </c>
      <c r="BF159" t="b">
        <v>0</v>
      </c>
      <c r="BG159" t="b">
        <v>0</v>
      </c>
      <c r="BH159" t="b">
        <v>0</v>
      </c>
      <c r="BI159" t="b">
        <v>0</v>
      </c>
      <c r="BJ159" t="b">
        <v>0</v>
      </c>
      <c r="BK159" t="b">
        <v>0</v>
      </c>
      <c r="BL159" t="b">
        <v>0</v>
      </c>
      <c r="BM159" t="b">
        <v>0</v>
      </c>
      <c r="BN159" t="b">
        <v>0</v>
      </c>
      <c r="BO159" t="b">
        <v>0</v>
      </c>
      <c r="BP159" t="b">
        <v>0</v>
      </c>
      <c r="BR159" t="str">
        <f>IF(M159="PASSED",VLOOKUP(J159,All_Potential!$J$1:$N$500,1,FALSE))</f>
        <v>1.0479</v>
      </c>
    </row>
    <row r="160" spans="1:70" ht="15" customHeight="1" x14ac:dyDescent="0.25">
      <c r="A160">
        <v>21156</v>
      </c>
      <c r="C160">
        <v>0</v>
      </c>
      <c r="D160" t="s">
        <v>65</v>
      </c>
      <c r="E160" t="s">
        <v>66</v>
      </c>
      <c r="F160" t="s">
        <v>84</v>
      </c>
      <c r="G160">
        <v>0</v>
      </c>
      <c r="H160" t="s">
        <v>85</v>
      </c>
      <c r="I160" t="s">
        <v>86</v>
      </c>
      <c r="J160" t="str">
        <f>MID($N160,FIND("1.",$N160),FIND("-",$N160)-FIND("1.",$N160)-1)</f>
        <v>1.0480</v>
      </c>
      <c r="K160" t="str">
        <f>MID($N160,FIND("MSWRK - ",$N160)+8,FIND(":",$N160)-FIND("MSWRK - ",$N160)-8)</f>
        <v>Services - Windows Event Log</v>
      </c>
      <c r="L160" t="str">
        <f t="shared" si="2"/>
        <v>1.0480 - MSWRK - Services - Windows Event Log</v>
      </c>
      <c r="M160" t="str">
        <f>MID($N160,FIND("[",$N160)+1,FIND("]",$N160)-FIND("[",$N160)-1)</f>
        <v>PASSED</v>
      </c>
      <c r="N160" s="1" t="s">
        <v>140</v>
      </c>
      <c r="O160" t="s">
        <v>67</v>
      </c>
      <c r="R160" t="s">
        <v>68</v>
      </c>
      <c r="T160" t="s">
        <v>69</v>
      </c>
      <c r="U160" t="s">
        <v>70</v>
      </c>
      <c r="W160" t="s">
        <v>71</v>
      </c>
      <c r="X160" s="1" t="s">
        <v>72</v>
      </c>
      <c r="Y160" t="s">
        <v>88</v>
      </c>
      <c r="Z160">
        <v>0</v>
      </c>
      <c r="AA160">
        <v>0</v>
      </c>
      <c r="AD160">
        <v>0</v>
      </c>
      <c r="AE160">
        <v>0</v>
      </c>
      <c r="AH160" t="s">
        <v>73</v>
      </c>
      <c r="AI160" t="s">
        <v>74</v>
      </c>
      <c r="AJ160" t="s">
        <v>75</v>
      </c>
      <c r="AK160" t="s">
        <v>76</v>
      </c>
      <c r="AN160" t="s">
        <v>77</v>
      </c>
      <c r="AO160" t="s">
        <v>78</v>
      </c>
      <c r="AP160" t="s">
        <v>139</v>
      </c>
      <c r="AQ160" t="s">
        <v>80</v>
      </c>
      <c r="AS160" t="b">
        <v>1</v>
      </c>
      <c r="AT160" t="s">
        <v>65</v>
      </c>
      <c r="AU160">
        <v>0</v>
      </c>
      <c r="AV160">
        <v>0</v>
      </c>
      <c r="AX160">
        <v>39</v>
      </c>
      <c r="AY160" t="s">
        <v>81</v>
      </c>
      <c r="AZ160" t="s">
        <v>90</v>
      </c>
      <c r="BB160" t="s">
        <v>91</v>
      </c>
      <c r="BC160" t="s">
        <v>92</v>
      </c>
      <c r="BD160" t="b">
        <v>0</v>
      </c>
      <c r="BE160" t="b">
        <v>0</v>
      </c>
      <c r="BF160" t="b">
        <v>0</v>
      </c>
      <c r="BG160" t="b">
        <v>0</v>
      </c>
      <c r="BH160" t="b">
        <v>0</v>
      </c>
      <c r="BI160" t="b">
        <v>0</v>
      </c>
      <c r="BJ160" t="b">
        <v>0</v>
      </c>
      <c r="BK160" t="b">
        <v>0</v>
      </c>
      <c r="BL160" t="b">
        <v>0</v>
      </c>
      <c r="BM160" t="b">
        <v>0</v>
      </c>
      <c r="BN160" t="b">
        <v>0</v>
      </c>
      <c r="BO160" t="b">
        <v>0</v>
      </c>
      <c r="BP160" t="b">
        <v>0</v>
      </c>
      <c r="BR160" t="str">
        <f>IF(M160="PASSED",VLOOKUP(J160,All_Potential!$J$1:$N$500,1,FALSE))</f>
        <v>1.0480</v>
      </c>
    </row>
    <row r="161" spans="1:70" ht="15" customHeight="1" x14ac:dyDescent="0.25">
      <c r="A161">
        <v>21156</v>
      </c>
      <c r="C161">
        <v>0</v>
      </c>
      <c r="D161" t="s">
        <v>65</v>
      </c>
      <c r="E161" t="s">
        <v>66</v>
      </c>
      <c r="F161" t="s">
        <v>84</v>
      </c>
      <c r="G161">
        <v>0</v>
      </c>
      <c r="H161" t="s">
        <v>85</v>
      </c>
      <c r="I161" t="s">
        <v>86</v>
      </c>
      <c r="J161" t="str">
        <f>MID($N161,FIND("1.",$N161),FIND("-",$N161)-FIND("1.",$N161)-1)</f>
        <v>1.0481</v>
      </c>
      <c r="K161" t="str">
        <f>MID($N161,FIND("MSWRK - ",$N161)+8,FIND(":",$N161)-FIND("MSWRK - ",$N161)-8)</f>
        <v>TCPIP6 is disabled</v>
      </c>
      <c r="L161" t="str">
        <f t="shared" si="2"/>
        <v>1.0481 - MSWRK - TCPIP6 is disabled</v>
      </c>
      <c r="M161" t="str">
        <f>MID($N161,FIND("[",$N161)+1,FIND("]",$N161)-FIND("[",$N161)-1)</f>
        <v>PASSED</v>
      </c>
      <c r="N161" s="1" t="s">
        <v>197</v>
      </c>
      <c r="O161" t="s">
        <v>67</v>
      </c>
      <c r="R161" t="s">
        <v>68</v>
      </c>
      <c r="T161" t="s">
        <v>69</v>
      </c>
      <c r="U161" t="s">
        <v>70</v>
      </c>
      <c r="W161" t="s">
        <v>71</v>
      </c>
      <c r="X161" s="1" t="s">
        <v>72</v>
      </c>
      <c r="Y161" t="s">
        <v>88</v>
      </c>
      <c r="Z161">
        <v>0</v>
      </c>
      <c r="AA161">
        <v>0</v>
      </c>
      <c r="AD161">
        <v>0</v>
      </c>
      <c r="AE161">
        <v>0</v>
      </c>
      <c r="AH161" t="s">
        <v>73</v>
      </c>
      <c r="AI161" t="s">
        <v>74</v>
      </c>
      <c r="AJ161" t="s">
        <v>75</v>
      </c>
      <c r="AK161" t="s">
        <v>76</v>
      </c>
      <c r="AN161" t="s">
        <v>77</v>
      </c>
      <c r="AO161" t="s">
        <v>78</v>
      </c>
      <c r="AP161" t="s">
        <v>195</v>
      </c>
      <c r="AQ161" t="s">
        <v>80</v>
      </c>
      <c r="AS161" t="b">
        <v>1</v>
      </c>
      <c r="AT161" t="s">
        <v>65</v>
      </c>
      <c r="AU161">
        <v>0</v>
      </c>
      <c r="AV161">
        <v>0</v>
      </c>
      <c r="AX161">
        <v>39</v>
      </c>
      <c r="AY161" t="s">
        <v>81</v>
      </c>
      <c r="AZ161" t="s">
        <v>90</v>
      </c>
      <c r="BB161" t="s">
        <v>91</v>
      </c>
      <c r="BC161" t="s">
        <v>92</v>
      </c>
      <c r="BD161" t="b">
        <v>0</v>
      </c>
      <c r="BE161" t="b">
        <v>0</v>
      </c>
      <c r="BF161" t="b">
        <v>0</v>
      </c>
      <c r="BG161" t="b">
        <v>0</v>
      </c>
      <c r="BH161" t="b">
        <v>0</v>
      </c>
      <c r="BI161" t="b">
        <v>0</v>
      </c>
      <c r="BJ161" t="b">
        <v>0</v>
      </c>
      <c r="BK161" t="b">
        <v>0</v>
      </c>
      <c r="BL161" t="b">
        <v>0</v>
      </c>
      <c r="BM161" t="b">
        <v>0</v>
      </c>
      <c r="BN161" t="b">
        <v>0</v>
      </c>
      <c r="BO161" t="b">
        <v>0</v>
      </c>
      <c r="BP161" t="b">
        <v>0</v>
      </c>
      <c r="BR161" t="str">
        <f>IF(M161="PASSED",VLOOKUP(J161,All_Potential!$J$1:$N$500,1,FALSE))</f>
        <v>1.0481</v>
      </c>
    </row>
    <row r="162" spans="1:70" ht="15" customHeight="1" x14ac:dyDescent="0.25">
      <c r="A162">
        <v>21156</v>
      </c>
      <c r="C162">
        <v>0</v>
      </c>
      <c r="D162" t="s">
        <v>65</v>
      </c>
      <c r="E162" t="s">
        <v>66</v>
      </c>
      <c r="F162" t="s">
        <v>84</v>
      </c>
      <c r="G162">
        <v>0</v>
      </c>
      <c r="H162" t="s">
        <v>85</v>
      </c>
      <c r="I162" t="s">
        <v>86</v>
      </c>
      <c r="J162" t="str">
        <f>MID($N162,FIND("1.",$N162),FIND("-",$N162)-FIND("1.",$N162)-1)</f>
        <v>1.0482</v>
      </c>
      <c r="K162" t="str">
        <f>MID($N162,FIND("MSWRK - ",$N162)+8,FIND(":",$N162)-FIND("MSWRK - ",$N162)-8)</f>
        <v>Check if WinRM service is running</v>
      </c>
      <c r="L162" t="str">
        <f t="shared" si="2"/>
        <v>1.0482 - MSWRK - Check if WinRM service is running</v>
      </c>
      <c r="M162" t="str">
        <f>MID($N162,FIND("[",$N162)+1,FIND("]",$N162)-FIND("[",$N162)-1)</f>
        <v>PASSED</v>
      </c>
      <c r="N162" s="1" t="s">
        <v>180</v>
      </c>
      <c r="O162" t="s">
        <v>67</v>
      </c>
      <c r="R162" t="s">
        <v>68</v>
      </c>
      <c r="T162" t="s">
        <v>69</v>
      </c>
      <c r="U162" t="s">
        <v>70</v>
      </c>
      <c r="W162" t="s">
        <v>71</v>
      </c>
      <c r="X162" s="1" t="s">
        <v>72</v>
      </c>
      <c r="Y162" t="s">
        <v>88</v>
      </c>
      <c r="Z162">
        <v>0</v>
      </c>
      <c r="AA162">
        <v>0</v>
      </c>
      <c r="AD162">
        <v>0</v>
      </c>
      <c r="AE162">
        <v>0</v>
      </c>
      <c r="AH162" t="s">
        <v>73</v>
      </c>
      <c r="AI162" t="s">
        <v>74</v>
      </c>
      <c r="AJ162" t="s">
        <v>75</v>
      </c>
      <c r="AK162" t="s">
        <v>76</v>
      </c>
      <c r="AN162" t="s">
        <v>77</v>
      </c>
      <c r="AO162" t="s">
        <v>78</v>
      </c>
      <c r="AP162" t="s">
        <v>178</v>
      </c>
      <c r="AQ162" t="s">
        <v>80</v>
      </c>
      <c r="AS162" t="b">
        <v>1</v>
      </c>
      <c r="AT162" t="s">
        <v>65</v>
      </c>
      <c r="AU162">
        <v>0</v>
      </c>
      <c r="AV162">
        <v>0</v>
      </c>
      <c r="AX162">
        <v>39</v>
      </c>
      <c r="AY162" t="s">
        <v>81</v>
      </c>
      <c r="AZ162" t="s">
        <v>90</v>
      </c>
      <c r="BB162" t="s">
        <v>91</v>
      </c>
      <c r="BC162" t="s">
        <v>92</v>
      </c>
      <c r="BD162" t="b">
        <v>0</v>
      </c>
      <c r="BE162" t="b">
        <v>0</v>
      </c>
      <c r="BF162" t="b">
        <v>0</v>
      </c>
      <c r="BG162" t="b">
        <v>0</v>
      </c>
      <c r="BH162" t="b">
        <v>0</v>
      </c>
      <c r="BI162" t="b">
        <v>0</v>
      </c>
      <c r="BJ162" t="b">
        <v>0</v>
      </c>
      <c r="BK162" t="b">
        <v>0</v>
      </c>
      <c r="BL162" t="b">
        <v>0</v>
      </c>
      <c r="BM162" t="b">
        <v>0</v>
      </c>
      <c r="BN162" t="b">
        <v>0</v>
      </c>
      <c r="BO162" t="b">
        <v>0</v>
      </c>
      <c r="BP162" t="b">
        <v>0</v>
      </c>
      <c r="BR162" t="str">
        <f>IF(M162="PASSED",VLOOKUP(J162,All_Potential!$J$1:$N$500,1,FALSE))</f>
        <v>1.0482</v>
      </c>
    </row>
    <row r="163" spans="1:70" ht="15" customHeight="1" x14ac:dyDescent="0.25">
      <c r="A163">
        <v>21156</v>
      </c>
      <c r="C163">
        <v>0</v>
      </c>
      <c r="D163" t="s">
        <v>83</v>
      </c>
      <c r="E163" t="s">
        <v>66</v>
      </c>
      <c r="F163" t="s">
        <v>84</v>
      </c>
      <c r="G163">
        <v>0</v>
      </c>
      <c r="H163" t="s">
        <v>85</v>
      </c>
      <c r="I163" t="s">
        <v>86</v>
      </c>
      <c r="J163" t="str">
        <f>MID($N163,FIND("1.",$N163),FIND("-",$N163)-FIND("1.",$N163)-1)</f>
        <v>1.0483</v>
      </c>
      <c r="K163" t="str">
        <f>MID($N163,FIND("MSWRK - ",$N163)+8,FIND(":",$N163)-FIND("MSWRK - ",$N163)-8)</f>
        <v>Computer Browser (Browser) is not Installed</v>
      </c>
      <c r="L163" t="str">
        <f t="shared" si="2"/>
        <v>1.0483 - MSWRK - Computer Browser (Browser) is not Installed</v>
      </c>
      <c r="M163" t="str">
        <f>MID($N163,FIND("[",$N163)+1,FIND("]",$N163)-FIND("[",$N163)-1)</f>
        <v>FAILED</v>
      </c>
      <c r="N163" s="1" t="s">
        <v>107</v>
      </c>
      <c r="O163" t="s">
        <v>67</v>
      </c>
      <c r="R163" t="s">
        <v>68</v>
      </c>
      <c r="T163" t="s">
        <v>69</v>
      </c>
      <c r="U163" t="s">
        <v>70</v>
      </c>
      <c r="W163" t="s">
        <v>71</v>
      </c>
      <c r="X163" s="1" t="s">
        <v>72</v>
      </c>
      <c r="Y163" t="s">
        <v>88</v>
      </c>
      <c r="Z163">
        <v>0</v>
      </c>
      <c r="AA163">
        <v>0</v>
      </c>
      <c r="AD163">
        <v>0</v>
      </c>
      <c r="AE163">
        <v>0</v>
      </c>
      <c r="AH163" t="s">
        <v>73</v>
      </c>
      <c r="AI163" t="s">
        <v>74</v>
      </c>
      <c r="AJ163" t="s">
        <v>75</v>
      </c>
      <c r="AK163" t="s">
        <v>76</v>
      </c>
      <c r="AN163" t="s">
        <v>77</v>
      </c>
      <c r="AO163" t="s">
        <v>78</v>
      </c>
      <c r="AP163" t="s">
        <v>106</v>
      </c>
      <c r="AQ163" t="s">
        <v>80</v>
      </c>
      <c r="AS163" t="b">
        <v>1</v>
      </c>
      <c r="AT163" t="s">
        <v>65</v>
      </c>
      <c r="AU163">
        <v>0</v>
      </c>
      <c r="AV163">
        <v>0</v>
      </c>
      <c r="AX163">
        <v>39</v>
      </c>
      <c r="AY163" t="s">
        <v>81</v>
      </c>
      <c r="AZ163" t="s">
        <v>90</v>
      </c>
      <c r="BB163" t="s">
        <v>91</v>
      </c>
      <c r="BC163" t="s">
        <v>92</v>
      </c>
      <c r="BD163" t="b">
        <v>0</v>
      </c>
      <c r="BE163" t="b">
        <v>0</v>
      </c>
      <c r="BF163" t="b">
        <v>0</v>
      </c>
      <c r="BG163" t="b">
        <v>0</v>
      </c>
      <c r="BH163" t="b">
        <v>0</v>
      </c>
      <c r="BI163" t="b">
        <v>0</v>
      </c>
      <c r="BJ163" t="b">
        <v>0</v>
      </c>
      <c r="BK163" t="b">
        <v>0</v>
      </c>
      <c r="BL163" t="b">
        <v>0</v>
      </c>
      <c r="BM163" t="b">
        <v>0</v>
      </c>
      <c r="BN163" t="b">
        <v>0</v>
      </c>
      <c r="BO163" t="b">
        <v>0</v>
      </c>
      <c r="BP163" t="b">
        <v>0</v>
      </c>
      <c r="BR163" t="b">
        <f>IF(M163="PASSED",VLOOKUP(J163,All_Potential!$J$1:$N$500,1,FALSE))</f>
        <v>0</v>
      </c>
    </row>
    <row r="164" spans="1:70" ht="15" customHeight="1" x14ac:dyDescent="0.25">
      <c r="A164">
        <v>21156</v>
      </c>
      <c r="C164">
        <v>0</v>
      </c>
      <c r="D164" t="s">
        <v>65</v>
      </c>
      <c r="E164" t="s">
        <v>66</v>
      </c>
      <c r="F164" t="s">
        <v>84</v>
      </c>
      <c r="G164">
        <v>0</v>
      </c>
      <c r="H164" t="s">
        <v>85</v>
      </c>
      <c r="I164" t="s">
        <v>86</v>
      </c>
      <c r="J164" t="str">
        <f>MID($N164,FIND("1.",$N164),FIND("-",$N164)-FIND("1.",$N164)-1)</f>
        <v>1.0484</v>
      </c>
      <c r="K164" t="str">
        <f>MID($N164,FIND("MSWRK - ",$N164)+8,FIND(":",$N164)-FIND("MSWRK - ",$N164)-8)</f>
        <v>Services - BitLocker Drive Encryption Management Service</v>
      </c>
      <c r="L164" t="str">
        <f t="shared" si="2"/>
        <v>1.0484 - MSWRK - Services - BitLocker Drive Encryption Management Service</v>
      </c>
      <c r="M164" t="str">
        <f>MID($N164,FIND("[",$N164)+1,FIND("]",$N164)-FIND("[",$N164)-1)</f>
        <v>PASSED</v>
      </c>
      <c r="N164" s="1" t="s">
        <v>234</v>
      </c>
      <c r="O164" t="s">
        <v>67</v>
      </c>
      <c r="R164" t="s">
        <v>68</v>
      </c>
      <c r="T164" t="s">
        <v>69</v>
      </c>
      <c r="U164" t="s">
        <v>70</v>
      </c>
      <c r="W164" t="s">
        <v>71</v>
      </c>
      <c r="X164" s="1" t="s">
        <v>72</v>
      </c>
      <c r="Y164" t="s">
        <v>88</v>
      </c>
      <c r="Z164">
        <v>0</v>
      </c>
      <c r="AA164">
        <v>0</v>
      </c>
      <c r="AD164">
        <v>0</v>
      </c>
      <c r="AE164">
        <v>0</v>
      </c>
      <c r="AH164" t="s">
        <v>73</v>
      </c>
      <c r="AI164" t="s">
        <v>74</v>
      </c>
      <c r="AJ164" t="s">
        <v>75</v>
      </c>
      <c r="AK164" t="s">
        <v>76</v>
      </c>
      <c r="AN164" t="s">
        <v>77</v>
      </c>
      <c r="AO164" t="s">
        <v>78</v>
      </c>
      <c r="AP164" t="s">
        <v>233</v>
      </c>
      <c r="AQ164" t="s">
        <v>80</v>
      </c>
      <c r="AS164" t="b">
        <v>1</v>
      </c>
      <c r="AT164" t="s">
        <v>65</v>
      </c>
      <c r="AU164">
        <v>0</v>
      </c>
      <c r="AV164">
        <v>0</v>
      </c>
      <c r="AX164">
        <v>39</v>
      </c>
      <c r="AY164" t="s">
        <v>81</v>
      </c>
      <c r="AZ164" t="s">
        <v>90</v>
      </c>
      <c r="BB164" t="s">
        <v>91</v>
      </c>
      <c r="BC164" t="s">
        <v>92</v>
      </c>
      <c r="BD164" t="b">
        <v>0</v>
      </c>
      <c r="BE164" t="b">
        <v>0</v>
      </c>
      <c r="BF164" t="b">
        <v>0</v>
      </c>
      <c r="BG164" t="b">
        <v>0</v>
      </c>
      <c r="BH164" t="b">
        <v>0</v>
      </c>
      <c r="BI164" t="b">
        <v>0</v>
      </c>
      <c r="BJ164" t="b">
        <v>0</v>
      </c>
      <c r="BK164" t="b">
        <v>0</v>
      </c>
      <c r="BL164" t="b">
        <v>0</v>
      </c>
      <c r="BM164" t="b">
        <v>0</v>
      </c>
      <c r="BN164" t="b">
        <v>0</v>
      </c>
      <c r="BO164" t="b">
        <v>0</v>
      </c>
      <c r="BP164" t="b">
        <v>0</v>
      </c>
      <c r="BR164" t="str">
        <f>IF(M164="PASSED",VLOOKUP(J164,All_Potential!$J$1:$N$500,1,FALSE))</f>
        <v>1.0484</v>
      </c>
    </row>
    <row r="165" spans="1:70" ht="15" customHeight="1" x14ac:dyDescent="0.25">
      <c r="A165">
        <v>21156</v>
      </c>
      <c r="C165">
        <v>0</v>
      </c>
      <c r="D165" t="s">
        <v>83</v>
      </c>
      <c r="E165" t="s">
        <v>66</v>
      </c>
      <c r="F165" t="s">
        <v>84</v>
      </c>
      <c r="G165">
        <v>0</v>
      </c>
      <c r="H165" t="s">
        <v>85</v>
      </c>
      <c r="I165" t="s">
        <v>86</v>
      </c>
      <c r="J165" t="str">
        <f>MID($N165,FIND("1.",$N165),FIND("-",$N165)-FIND("1.",$N165)-1)</f>
        <v>1.0485</v>
      </c>
      <c r="K165" t="str">
        <f>MID($N165,FIND("MSWRK - ",$N165)+8,FIND(":",$N165)-FIND("MSWRK - ",$N165)-8)</f>
        <v>Services - Rapid7 Insight Agent Service</v>
      </c>
      <c r="L165" t="str">
        <f t="shared" si="2"/>
        <v>1.0485 - MSWRK - Services - Rapid7 Insight Agent Service</v>
      </c>
      <c r="M165" t="str">
        <f>MID($N165,FIND("[",$N165)+1,FIND("]",$N165)-FIND("[",$N165)-1)</f>
        <v>FAILED</v>
      </c>
      <c r="N165" s="1" t="s">
        <v>115</v>
      </c>
      <c r="O165" t="s">
        <v>67</v>
      </c>
      <c r="R165" t="s">
        <v>68</v>
      </c>
      <c r="T165" t="s">
        <v>69</v>
      </c>
      <c r="U165" t="s">
        <v>70</v>
      </c>
      <c r="W165" t="s">
        <v>71</v>
      </c>
      <c r="X165" s="1" t="s">
        <v>72</v>
      </c>
      <c r="Y165" t="s">
        <v>88</v>
      </c>
      <c r="Z165">
        <v>0</v>
      </c>
      <c r="AA165">
        <v>0</v>
      </c>
      <c r="AD165">
        <v>0</v>
      </c>
      <c r="AE165">
        <v>0</v>
      </c>
      <c r="AH165" t="s">
        <v>73</v>
      </c>
      <c r="AI165" t="s">
        <v>74</v>
      </c>
      <c r="AJ165" t="s">
        <v>75</v>
      </c>
      <c r="AK165" t="s">
        <v>76</v>
      </c>
      <c r="AN165" t="s">
        <v>77</v>
      </c>
      <c r="AO165" t="s">
        <v>78</v>
      </c>
      <c r="AP165" t="s">
        <v>114</v>
      </c>
      <c r="AQ165" t="s">
        <v>80</v>
      </c>
      <c r="AS165" t="b">
        <v>1</v>
      </c>
      <c r="AT165" t="s">
        <v>65</v>
      </c>
      <c r="AU165">
        <v>0</v>
      </c>
      <c r="AV165">
        <v>0</v>
      </c>
      <c r="AX165">
        <v>39</v>
      </c>
      <c r="AY165" t="s">
        <v>81</v>
      </c>
      <c r="AZ165" t="s">
        <v>90</v>
      </c>
      <c r="BB165" t="s">
        <v>91</v>
      </c>
      <c r="BC165" t="s">
        <v>92</v>
      </c>
      <c r="BD165" t="b">
        <v>0</v>
      </c>
      <c r="BE165" t="b">
        <v>0</v>
      </c>
      <c r="BF165" t="b">
        <v>0</v>
      </c>
      <c r="BG165" t="b">
        <v>0</v>
      </c>
      <c r="BH165" t="b">
        <v>0</v>
      </c>
      <c r="BI165" t="b">
        <v>0</v>
      </c>
      <c r="BJ165" t="b">
        <v>0</v>
      </c>
      <c r="BK165" t="b">
        <v>0</v>
      </c>
      <c r="BL165" t="b">
        <v>0</v>
      </c>
      <c r="BM165" t="b">
        <v>0</v>
      </c>
      <c r="BN165" t="b">
        <v>0</v>
      </c>
      <c r="BO165" t="b">
        <v>0</v>
      </c>
      <c r="BP165" t="b">
        <v>0</v>
      </c>
      <c r="BR165" t="b">
        <f>IF(M165="PASSED",VLOOKUP(J165,All_Potential!$J$1:$N$500,1,FALSE))</f>
        <v>0</v>
      </c>
    </row>
    <row r="166" spans="1:70" ht="15" customHeight="1" x14ac:dyDescent="0.25">
      <c r="A166">
        <v>21156</v>
      </c>
      <c r="C166">
        <v>0</v>
      </c>
      <c r="D166" t="s">
        <v>65</v>
      </c>
      <c r="E166" t="s">
        <v>66</v>
      </c>
      <c r="F166" t="s">
        <v>84</v>
      </c>
      <c r="G166">
        <v>0</v>
      </c>
      <c r="H166" t="s">
        <v>85</v>
      </c>
      <c r="I166" t="s">
        <v>86</v>
      </c>
      <c r="J166" t="str">
        <f>MID($N166,FIND("1.",$N166),FIND("-",$N166)-FIND("1.",$N166)-1)</f>
        <v>1.0486</v>
      </c>
      <c r="K166" t="str">
        <f>MID($N166,FIND("MSWRK - ",$N166)+8,FIND(":",$N166)-FIND("MSWRK - ",$N166)-8)</f>
        <v>Sentinel Agent</v>
      </c>
      <c r="L166" t="str">
        <f t="shared" si="2"/>
        <v>1.0486 - MSWRK - Sentinel Agent</v>
      </c>
      <c r="M166" t="str">
        <f>MID($N166,FIND("[",$N166)+1,FIND("]",$N166)-FIND("[",$N166)-1)</f>
        <v>PASSED</v>
      </c>
      <c r="N166" s="1" t="s">
        <v>160</v>
      </c>
      <c r="O166" t="s">
        <v>67</v>
      </c>
      <c r="R166" t="s">
        <v>68</v>
      </c>
      <c r="T166" t="s">
        <v>69</v>
      </c>
      <c r="U166" t="s">
        <v>70</v>
      </c>
      <c r="W166" t="s">
        <v>71</v>
      </c>
      <c r="X166" s="1" t="s">
        <v>72</v>
      </c>
      <c r="Y166" t="s">
        <v>88</v>
      </c>
      <c r="Z166">
        <v>0</v>
      </c>
      <c r="AA166">
        <v>0</v>
      </c>
      <c r="AD166">
        <v>0</v>
      </c>
      <c r="AE166">
        <v>0</v>
      </c>
      <c r="AH166" t="s">
        <v>73</v>
      </c>
      <c r="AI166" t="s">
        <v>74</v>
      </c>
      <c r="AJ166" t="s">
        <v>75</v>
      </c>
      <c r="AK166" t="s">
        <v>76</v>
      </c>
      <c r="AN166" t="s">
        <v>77</v>
      </c>
      <c r="AO166" t="s">
        <v>78</v>
      </c>
      <c r="AP166" t="s">
        <v>161</v>
      </c>
      <c r="AQ166" t="s">
        <v>80</v>
      </c>
      <c r="AS166" t="b">
        <v>1</v>
      </c>
      <c r="AT166" t="s">
        <v>65</v>
      </c>
      <c r="AU166">
        <v>0</v>
      </c>
      <c r="AV166">
        <v>0</v>
      </c>
      <c r="AX166">
        <v>39</v>
      </c>
      <c r="AY166" t="s">
        <v>81</v>
      </c>
      <c r="AZ166" t="s">
        <v>90</v>
      </c>
      <c r="BB166" t="s">
        <v>91</v>
      </c>
      <c r="BC166" t="s">
        <v>92</v>
      </c>
      <c r="BD166" t="b">
        <v>0</v>
      </c>
      <c r="BE166" t="b">
        <v>0</v>
      </c>
      <c r="BF166" t="b">
        <v>0</v>
      </c>
      <c r="BG166" t="b">
        <v>0</v>
      </c>
      <c r="BH166" t="b">
        <v>0</v>
      </c>
      <c r="BI166" t="b">
        <v>0</v>
      </c>
      <c r="BJ166" t="b">
        <v>0</v>
      </c>
      <c r="BK166" t="b">
        <v>0</v>
      </c>
      <c r="BL166" t="b">
        <v>0</v>
      </c>
      <c r="BM166" t="b">
        <v>0</v>
      </c>
      <c r="BN166" t="b">
        <v>0</v>
      </c>
      <c r="BO166" t="b">
        <v>0</v>
      </c>
      <c r="BP166" t="b">
        <v>0</v>
      </c>
      <c r="BR166" t="str">
        <f>IF(M166="PASSED",VLOOKUP(J166,All_Potential!$J$1:$N$500,1,FALSE))</f>
        <v>1.0486</v>
      </c>
    </row>
    <row r="167" spans="1:70" ht="15" customHeight="1" x14ac:dyDescent="0.25">
      <c r="A167">
        <v>21156</v>
      </c>
      <c r="C167">
        <v>0</v>
      </c>
      <c r="D167" t="s">
        <v>65</v>
      </c>
      <c r="E167" t="s">
        <v>66</v>
      </c>
      <c r="F167" t="s">
        <v>84</v>
      </c>
      <c r="G167">
        <v>0</v>
      </c>
      <c r="H167" t="s">
        <v>85</v>
      </c>
      <c r="I167" t="s">
        <v>86</v>
      </c>
      <c r="J167" t="str">
        <f>MID($N167,FIND("1.",$N167),FIND("-",$N167)-FIND("1.",$N167)-1)</f>
        <v>1.0487</v>
      </c>
      <c r="K167" t="str">
        <f>MID($N167,FIND("MSWRK - ",$N167)+8,FIND(":",$N167)-FIND("MSWRK - ",$N167)-8)</f>
        <v>Services - Sentinel Helper Service</v>
      </c>
      <c r="L167" t="str">
        <f t="shared" si="2"/>
        <v>1.0487 - MSWRK - Services - Sentinel Helper Service</v>
      </c>
      <c r="M167" t="str">
        <f>MID($N167,FIND("[",$N167)+1,FIND("]",$N167)-FIND("[",$N167)-1)</f>
        <v>PASSED</v>
      </c>
      <c r="N167" s="1" t="s">
        <v>238</v>
      </c>
      <c r="O167" t="s">
        <v>67</v>
      </c>
      <c r="R167" t="s">
        <v>68</v>
      </c>
      <c r="T167" t="s">
        <v>69</v>
      </c>
      <c r="U167" t="s">
        <v>70</v>
      </c>
      <c r="W167" t="s">
        <v>71</v>
      </c>
      <c r="X167" s="1" t="s">
        <v>72</v>
      </c>
      <c r="Y167" t="s">
        <v>88</v>
      </c>
      <c r="Z167">
        <v>0</v>
      </c>
      <c r="AA167">
        <v>0</v>
      </c>
      <c r="AD167">
        <v>0</v>
      </c>
      <c r="AE167">
        <v>0</v>
      </c>
      <c r="AH167" t="s">
        <v>73</v>
      </c>
      <c r="AI167" t="s">
        <v>74</v>
      </c>
      <c r="AJ167" t="s">
        <v>75</v>
      </c>
      <c r="AK167" t="s">
        <v>76</v>
      </c>
      <c r="AN167" t="s">
        <v>77</v>
      </c>
      <c r="AO167" t="s">
        <v>78</v>
      </c>
      <c r="AP167" t="s">
        <v>237</v>
      </c>
      <c r="AQ167" t="s">
        <v>80</v>
      </c>
      <c r="AS167" t="b">
        <v>1</v>
      </c>
      <c r="AT167" t="s">
        <v>65</v>
      </c>
      <c r="AU167">
        <v>0</v>
      </c>
      <c r="AV167">
        <v>0</v>
      </c>
      <c r="AX167">
        <v>39</v>
      </c>
      <c r="AY167" t="s">
        <v>81</v>
      </c>
      <c r="AZ167" t="s">
        <v>90</v>
      </c>
      <c r="BB167" t="s">
        <v>91</v>
      </c>
      <c r="BC167" t="s">
        <v>92</v>
      </c>
      <c r="BD167" t="b">
        <v>0</v>
      </c>
      <c r="BE167" t="b">
        <v>0</v>
      </c>
      <c r="BF167" t="b">
        <v>0</v>
      </c>
      <c r="BG167" t="b">
        <v>0</v>
      </c>
      <c r="BH167" t="b">
        <v>0</v>
      </c>
      <c r="BI167" t="b">
        <v>0</v>
      </c>
      <c r="BJ167" t="b">
        <v>0</v>
      </c>
      <c r="BK167" t="b">
        <v>0</v>
      </c>
      <c r="BL167" t="b">
        <v>0</v>
      </c>
      <c r="BM167" t="b">
        <v>0</v>
      </c>
      <c r="BN167" t="b">
        <v>0</v>
      </c>
      <c r="BO167" t="b">
        <v>0</v>
      </c>
      <c r="BP167" t="b">
        <v>0</v>
      </c>
      <c r="BR167" t="str">
        <f>IF(M167="PASSED",VLOOKUP(J167,All_Potential!$J$1:$N$500,1,FALSE))</f>
        <v>1.0487</v>
      </c>
    </row>
    <row r="168" spans="1:70" ht="15" customHeight="1" x14ac:dyDescent="0.25">
      <c r="A168">
        <v>21156</v>
      </c>
      <c r="C168">
        <v>0</v>
      </c>
      <c r="D168" t="s">
        <v>65</v>
      </c>
      <c r="E168" t="s">
        <v>66</v>
      </c>
      <c r="F168" t="s">
        <v>84</v>
      </c>
      <c r="G168">
        <v>0</v>
      </c>
      <c r="H168" t="s">
        <v>85</v>
      </c>
      <c r="I168" t="s">
        <v>86</v>
      </c>
      <c r="J168" t="str">
        <f>MID($N168,FIND("1.",$N168),FIND("-",$N168)-FIND("1.",$N168)-1)</f>
        <v>1.0488</v>
      </c>
      <c r="K168" t="str">
        <f>MID($N168,FIND("MSWRK - ",$N168)+8,FIND(":",$N168)-FIND("MSWRK - ",$N168)-8)</f>
        <v>Services - SentinelOne Agent Log Processing Service</v>
      </c>
      <c r="L168" t="str">
        <f t="shared" si="2"/>
        <v>1.0488 - MSWRK - Services - SentinelOne Agent Log Processing Service</v>
      </c>
      <c r="M168" t="str">
        <f>MID($N168,FIND("[",$N168)+1,FIND("]",$N168)-FIND("[",$N168)-1)</f>
        <v>PASSED</v>
      </c>
      <c r="N168" s="1" t="s">
        <v>175</v>
      </c>
      <c r="O168" t="s">
        <v>67</v>
      </c>
      <c r="R168" t="s">
        <v>68</v>
      </c>
      <c r="T168" t="s">
        <v>69</v>
      </c>
      <c r="U168" t="s">
        <v>70</v>
      </c>
      <c r="W168" t="s">
        <v>71</v>
      </c>
      <c r="X168" s="1" t="s">
        <v>72</v>
      </c>
      <c r="Y168" t="s">
        <v>88</v>
      </c>
      <c r="Z168">
        <v>0</v>
      </c>
      <c r="AA168">
        <v>0</v>
      </c>
      <c r="AD168">
        <v>0</v>
      </c>
      <c r="AE168">
        <v>0</v>
      </c>
      <c r="AH168" t="s">
        <v>73</v>
      </c>
      <c r="AI168" t="s">
        <v>74</v>
      </c>
      <c r="AJ168" t="s">
        <v>75</v>
      </c>
      <c r="AK168" t="s">
        <v>76</v>
      </c>
      <c r="AN168" t="s">
        <v>77</v>
      </c>
      <c r="AO168" t="s">
        <v>78</v>
      </c>
      <c r="AP168" t="s">
        <v>174</v>
      </c>
      <c r="AQ168" t="s">
        <v>80</v>
      </c>
      <c r="AS168" t="b">
        <v>1</v>
      </c>
      <c r="AT168" t="s">
        <v>65</v>
      </c>
      <c r="AU168">
        <v>0</v>
      </c>
      <c r="AV168">
        <v>0</v>
      </c>
      <c r="AX168">
        <v>39</v>
      </c>
      <c r="AY168" t="s">
        <v>81</v>
      </c>
      <c r="AZ168" t="s">
        <v>90</v>
      </c>
      <c r="BB168" t="s">
        <v>91</v>
      </c>
      <c r="BC168" t="s">
        <v>92</v>
      </c>
      <c r="BD168" t="b">
        <v>0</v>
      </c>
      <c r="BE168" t="b">
        <v>0</v>
      </c>
      <c r="BF168" t="b">
        <v>0</v>
      </c>
      <c r="BG168" t="b">
        <v>0</v>
      </c>
      <c r="BH168" t="b">
        <v>0</v>
      </c>
      <c r="BI168" t="b">
        <v>0</v>
      </c>
      <c r="BJ168" t="b">
        <v>0</v>
      </c>
      <c r="BK168" t="b">
        <v>0</v>
      </c>
      <c r="BL168" t="b">
        <v>0</v>
      </c>
      <c r="BM168" t="b">
        <v>0</v>
      </c>
      <c r="BN168" t="b">
        <v>0</v>
      </c>
      <c r="BO168" t="b">
        <v>0</v>
      </c>
      <c r="BP168" t="b">
        <v>0</v>
      </c>
      <c r="BR168" t="str">
        <f>IF(M168="PASSED",VLOOKUP(J168,All_Potential!$J$1:$N$500,1,FALSE))</f>
        <v>1.0488</v>
      </c>
    </row>
    <row r="169" spans="1:70" ht="15" customHeight="1" x14ac:dyDescent="0.25">
      <c r="A169">
        <v>21156</v>
      </c>
      <c r="C169">
        <v>0</v>
      </c>
      <c r="D169" t="s">
        <v>65</v>
      </c>
      <c r="E169" t="s">
        <v>66</v>
      </c>
      <c r="F169" t="s">
        <v>84</v>
      </c>
      <c r="G169">
        <v>0</v>
      </c>
      <c r="H169" t="s">
        <v>85</v>
      </c>
      <c r="I169" t="s">
        <v>86</v>
      </c>
      <c r="J169" t="str">
        <f>MID($N169,FIND("1.",$N169),FIND("-",$N169)-FIND("1.",$N169)-1)</f>
        <v>1.0489</v>
      </c>
      <c r="K169" t="str">
        <f>MID($N169,FIND("MSWRK - ",$N169)+8,FIND(":",$N169)-FIND("MSWRK - ",$N169)-8)</f>
        <v>Services - SentinelOne Static Service</v>
      </c>
      <c r="L169" t="str">
        <f t="shared" si="2"/>
        <v>1.0489 - MSWRK - Services - SentinelOne Static Service</v>
      </c>
      <c r="M169" t="str">
        <f>MID($N169,FIND("[",$N169)+1,FIND("]",$N169)-FIND("[",$N169)-1)</f>
        <v>PASSED</v>
      </c>
      <c r="N169" s="1" t="s">
        <v>266</v>
      </c>
      <c r="O169" t="s">
        <v>67</v>
      </c>
      <c r="R169" t="s">
        <v>68</v>
      </c>
      <c r="T169" t="s">
        <v>69</v>
      </c>
      <c r="U169" t="s">
        <v>70</v>
      </c>
      <c r="W169" t="s">
        <v>71</v>
      </c>
      <c r="X169" s="1" t="s">
        <v>72</v>
      </c>
      <c r="Y169" t="s">
        <v>88</v>
      </c>
      <c r="Z169">
        <v>0</v>
      </c>
      <c r="AA169">
        <v>0</v>
      </c>
      <c r="AD169">
        <v>0</v>
      </c>
      <c r="AE169">
        <v>0</v>
      </c>
      <c r="AH169" t="s">
        <v>73</v>
      </c>
      <c r="AI169" t="s">
        <v>74</v>
      </c>
      <c r="AJ169" t="s">
        <v>75</v>
      </c>
      <c r="AK169" t="s">
        <v>76</v>
      </c>
      <c r="AN169" t="s">
        <v>77</v>
      </c>
      <c r="AO169" t="s">
        <v>78</v>
      </c>
      <c r="AP169" t="s">
        <v>267</v>
      </c>
      <c r="AQ169" t="s">
        <v>80</v>
      </c>
      <c r="AS169" t="b">
        <v>1</v>
      </c>
      <c r="AT169" t="s">
        <v>65</v>
      </c>
      <c r="AU169">
        <v>0</v>
      </c>
      <c r="AV169">
        <v>0</v>
      </c>
      <c r="AX169">
        <v>39</v>
      </c>
      <c r="AY169" t="s">
        <v>81</v>
      </c>
      <c r="AZ169" t="s">
        <v>90</v>
      </c>
      <c r="BB169" t="s">
        <v>91</v>
      </c>
      <c r="BC169" t="s">
        <v>92</v>
      </c>
      <c r="BD169" t="b">
        <v>0</v>
      </c>
      <c r="BE169" t="b">
        <v>0</v>
      </c>
      <c r="BF169" t="b">
        <v>0</v>
      </c>
      <c r="BG169" t="b">
        <v>0</v>
      </c>
      <c r="BH169" t="b">
        <v>0</v>
      </c>
      <c r="BI169" t="b">
        <v>0</v>
      </c>
      <c r="BJ169" t="b">
        <v>0</v>
      </c>
      <c r="BK169" t="b">
        <v>0</v>
      </c>
      <c r="BL169" t="b">
        <v>0</v>
      </c>
      <c r="BM169" t="b">
        <v>0</v>
      </c>
      <c r="BN169" t="b">
        <v>0</v>
      </c>
      <c r="BO169" t="b">
        <v>0</v>
      </c>
      <c r="BP169" t="b">
        <v>0</v>
      </c>
      <c r="BR169" t="str">
        <f>IF(M169="PASSED",VLOOKUP(J169,All_Potential!$J$1:$N$500,1,FALSE))</f>
        <v>1.0489</v>
      </c>
    </row>
    <row r="170" spans="1:70" ht="15" customHeight="1" x14ac:dyDescent="0.25">
      <c r="A170">
        <v>21156</v>
      </c>
      <c r="C170">
        <v>0</v>
      </c>
      <c r="D170" t="s">
        <v>65</v>
      </c>
      <c r="E170" t="s">
        <v>66</v>
      </c>
      <c r="F170" t="s">
        <v>84</v>
      </c>
      <c r="G170">
        <v>0</v>
      </c>
      <c r="H170" t="s">
        <v>85</v>
      </c>
      <c r="I170" t="s">
        <v>86</v>
      </c>
      <c r="J170" t="str">
        <f>MID($N170,FIND("1.",$N170),FIND("-",$N170)-FIND("1.",$N170)-1)</f>
        <v>1.0490</v>
      </c>
      <c r="K170" t="str">
        <f>MID($N170,FIND("MSWRK - ",$N170)+8,FIND(":",$N170)-FIND("MSWRK - ",$N170)-8)</f>
        <v>Services - Xbox Live Auth Manager</v>
      </c>
      <c r="L170" t="str">
        <f t="shared" si="2"/>
        <v>1.0490 - MSWRK - Services - Xbox Live Auth Manager</v>
      </c>
      <c r="M170" t="str">
        <f>MID($N170,FIND("[",$N170)+1,FIND("]",$N170)-FIND("[",$N170)-1)</f>
        <v>PASSED</v>
      </c>
      <c r="N170" s="1" t="s">
        <v>177</v>
      </c>
      <c r="O170" t="s">
        <v>67</v>
      </c>
      <c r="R170" t="s">
        <v>68</v>
      </c>
      <c r="T170" t="s">
        <v>69</v>
      </c>
      <c r="U170" t="s">
        <v>70</v>
      </c>
      <c r="W170" t="s">
        <v>71</v>
      </c>
      <c r="X170" s="1" t="s">
        <v>72</v>
      </c>
      <c r="Y170" t="s">
        <v>88</v>
      </c>
      <c r="Z170">
        <v>0</v>
      </c>
      <c r="AA170">
        <v>0</v>
      </c>
      <c r="AD170">
        <v>0</v>
      </c>
      <c r="AE170">
        <v>0</v>
      </c>
      <c r="AH170" t="s">
        <v>73</v>
      </c>
      <c r="AI170" t="s">
        <v>74</v>
      </c>
      <c r="AJ170" t="s">
        <v>75</v>
      </c>
      <c r="AK170" t="s">
        <v>76</v>
      </c>
      <c r="AN170" t="s">
        <v>77</v>
      </c>
      <c r="AO170" t="s">
        <v>78</v>
      </c>
      <c r="AP170" t="s">
        <v>178</v>
      </c>
      <c r="AQ170" t="s">
        <v>80</v>
      </c>
      <c r="AS170" t="b">
        <v>1</v>
      </c>
      <c r="AT170" t="s">
        <v>65</v>
      </c>
      <c r="AU170">
        <v>0</v>
      </c>
      <c r="AV170">
        <v>0</v>
      </c>
      <c r="AX170">
        <v>39</v>
      </c>
      <c r="AY170" t="s">
        <v>81</v>
      </c>
      <c r="AZ170" t="s">
        <v>90</v>
      </c>
      <c r="BB170" t="s">
        <v>91</v>
      </c>
      <c r="BC170" t="s">
        <v>92</v>
      </c>
      <c r="BD170" t="b">
        <v>0</v>
      </c>
      <c r="BE170" t="b">
        <v>0</v>
      </c>
      <c r="BF170" t="b">
        <v>0</v>
      </c>
      <c r="BG170" t="b">
        <v>0</v>
      </c>
      <c r="BH170" t="b">
        <v>0</v>
      </c>
      <c r="BI170" t="b">
        <v>0</v>
      </c>
      <c r="BJ170" t="b">
        <v>0</v>
      </c>
      <c r="BK170" t="b">
        <v>0</v>
      </c>
      <c r="BL170" t="b">
        <v>0</v>
      </c>
      <c r="BM170" t="b">
        <v>0</v>
      </c>
      <c r="BN170" t="b">
        <v>0</v>
      </c>
      <c r="BO170" t="b">
        <v>0</v>
      </c>
      <c r="BP170" t="b">
        <v>0</v>
      </c>
      <c r="BR170" t="str">
        <f>IF(M170="PASSED",VLOOKUP(J170,All_Potential!$J$1:$N$500,1,FALSE))</f>
        <v>1.0490</v>
      </c>
    </row>
    <row r="171" spans="1:70" ht="15" customHeight="1" x14ac:dyDescent="0.25">
      <c r="A171">
        <v>21156</v>
      </c>
      <c r="C171">
        <v>0</v>
      </c>
      <c r="D171" t="s">
        <v>65</v>
      </c>
      <c r="E171" t="s">
        <v>66</v>
      </c>
      <c r="F171" t="s">
        <v>84</v>
      </c>
      <c r="G171">
        <v>0</v>
      </c>
      <c r="H171" t="s">
        <v>85</v>
      </c>
      <c r="I171" t="s">
        <v>86</v>
      </c>
      <c r="J171" t="str">
        <f>MID($N171,FIND("1.",$N171),FIND("-",$N171)-FIND("1.",$N171)-1)</f>
        <v>1.0491</v>
      </c>
      <c r="K171" t="str">
        <f>MID($N171,FIND("MSWRK - ",$N171)+8,FIND(":",$N171)-FIND("MSWRK - ",$N171)-8)</f>
        <v>Services - Xbox Live Game Save Service</v>
      </c>
      <c r="L171" t="str">
        <f t="shared" si="2"/>
        <v>1.0491 - MSWRK - Services - Xbox Live Game Save Service</v>
      </c>
      <c r="M171" t="str">
        <f>MID($N171,FIND("[",$N171)+1,FIND("]",$N171)-FIND("[",$N171)-1)</f>
        <v>PASSED</v>
      </c>
      <c r="N171" s="1" t="s">
        <v>141</v>
      </c>
      <c r="O171" t="s">
        <v>67</v>
      </c>
      <c r="R171" t="s">
        <v>68</v>
      </c>
      <c r="T171" t="s">
        <v>69</v>
      </c>
      <c r="U171" t="s">
        <v>70</v>
      </c>
      <c r="W171" t="s">
        <v>71</v>
      </c>
      <c r="X171" s="1" t="s">
        <v>72</v>
      </c>
      <c r="Y171" t="s">
        <v>88</v>
      </c>
      <c r="Z171">
        <v>0</v>
      </c>
      <c r="AA171">
        <v>0</v>
      </c>
      <c r="AD171">
        <v>0</v>
      </c>
      <c r="AE171">
        <v>0</v>
      </c>
      <c r="AH171" t="s">
        <v>73</v>
      </c>
      <c r="AI171" t="s">
        <v>74</v>
      </c>
      <c r="AJ171" t="s">
        <v>75</v>
      </c>
      <c r="AK171" t="s">
        <v>76</v>
      </c>
      <c r="AN171" t="s">
        <v>77</v>
      </c>
      <c r="AO171" t="s">
        <v>78</v>
      </c>
      <c r="AP171" t="s">
        <v>139</v>
      </c>
      <c r="AQ171" t="s">
        <v>80</v>
      </c>
      <c r="AS171" t="b">
        <v>1</v>
      </c>
      <c r="AT171" t="s">
        <v>65</v>
      </c>
      <c r="AU171">
        <v>0</v>
      </c>
      <c r="AV171">
        <v>0</v>
      </c>
      <c r="AX171">
        <v>39</v>
      </c>
      <c r="AY171" t="s">
        <v>81</v>
      </c>
      <c r="AZ171" t="s">
        <v>90</v>
      </c>
      <c r="BB171" t="s">
        <v>91</v>
      </c>
      <c r="BC171" t="s">
        <v>92</v>
      </c>
      <c r="BD171" t="b">
        <v>0</v>
      </c>
      <c r="BE171" t="b">
        <v>0</v>
      </c>
      <c r="BF171" t="b">
        <v>0</v>
      </c>
      <c r="BG171" t="b">
        <v>0</v>
      </c>
      <c r="BH171" t="b">
        <v>0</v>
      </c>
      <c r="BI171" t="b">
        <v>0</v>
      </c>
      <c r="BJ171" t="b">
        <v>0</v>
      </c>
      <c r="BK171" t="b">
        <v>0</v>
      </c>
      <c r="BL171" t="b">
        <v>0</v>
      </c>
      <c r="BM171" t="b">
        <v>0</v>
      </c>
      <c r="BN171" t="b">
        <v>0</v>
      </c>
      <c r="BO171" t="b">
        <v>0</v>
      </c>
      <c r="BP171" t="b">
        <v>0</v>
      </c>
      <c r="BR171" t="str">
        <f>IF(M171="PASSED",VLOOKUP(J171,All_Potential!$J$1:$N$500,1,FALSE))</f>
        <v>1.0491</v>
      </c>
    </row>
    <row r="172" spans="1:70" ht="15" customHeight="1" x14ac:dyDescent="0.25">
      <c r="A172">
        <v>21156</v>
      </c>
      <c r="C172">
        <v>0</v>
      </c>
      <c r="D172" t="s">
        <v>65</v>
      </c>
      <c r="E172" t="s">
        <v>66</v>
      </c>
      <c r="F172" t="s">
        <v>84</v>
      </c>
      <c r="G172">
        <v>0</v>
      </c>
      <c r="H172" t="s">
        <v>85</v>
      </c>
      <c r="I172" t="s">
        <v>86</v>
      </c>
      <c r="J172" t="str">
        <f>MID($N172,FIND("1.",$N172),FIND("-",$N172)-FIND("1.",$N172)-1)</f>
        <v>1.0492</v>
      </c>
      <c r="K172" t="str">
        <f>MID($N172,FIND("MSWRK - ",$N172)+8,FIND(":",$N172)-FIND("MSWRK - ",$N172)-8)</f>
        <v>Services - Xbox Live Networking Service</v>
      </c>
      <c r="L172" t="str">
        <f t="shared" si="2"/>
        <v>1.0492 - MSWRK - Services - Xbox Live Networking Service</v>
      </c>
      <c r="M172" t="str">
        <f>MID($N172,FIND("[",$N172)+1,FIND("]",$N172)-FIND("[",$N172)-1)</f>
        <v>PASSED</v>
      </c>
      <c r="N172" s="1" t="s">
        <v>226</v>
      </c>
      <c r="O172" t="s">
        <v>67</v>
      </c>
      <c r="R172" t="s">
        <v>68</v>
      </c>
      <c r="T172" t="s">
        <v>69</v>
      </c>
      <c r="U172" t="s">
        <v>70</v>
      </c>
      <c r="W172" t="s">
        <v>71</v>
      </c>
      <c r="X172" s="1" t="s">
        <v>72</v>
      </c>
      <c r="Y172" t="s">
        <v>88</v>
      </c>
      <c r="Z172">
        <v>0</v>
      </c>
      <c r="AA172">
        <v>0</v>
      </c>
      <c r="AD172">
        <v>0</v>
      </c>
      <c r="AE172">
        <v>0</v>
      </c>
      <c r="AH172" t="s">
        <v>73</v>
      </c>
      <c r="AI172" t="s">
        <v>74</v>
      </c>
      <c r="AJ172" t="s">
        <v>75</v>
      </c>
      <c r="AK172" t="s">
        <v>76</v>
      </c>
      <c r="AN172" t="s">
        <v>77</v>
      </c>
      <c r="AO172" t="s">
        <v>78</v>
      </c>
      <c r="AP172" t="s">
        <v>225</v>
      </c>
      <c r="AQ172" t="s">
        <v>80</v>
      </c>
      <c r="AS172" t="b">
        <v>1</v>
      </c>
      <c r="AT172" t="s">
        <v>65</v>
      </c>
      <c r="AU172">
        <v>0</v>
      </c>
      <c r="AV172">
        <v>0</v>
      </c>
      <c r="AX172">
        <v>39</v>
      </c>
      <c r="AY172" t="s">
        <v>81</v>
      </c>
      <c r="AZ172" t="s">
        <v>90</v>
      </c>
      <c r="BB172" t="s">
        <v>91</v>
      </c>
      <c r="BC172" t="s">
        <v>92</v>
      </c>
      <c r="BD172" t="b">
        <v>0</v>
      </c>
      <c r="BE172" t="b">
        <v>0</v>
      </c>
      <c r="BF172" t="b">
        <v>0</v>
      </c>
      <c r="BG172" t="b">
        <v>0</v>
      </c>
      <c r="BH172" t="b">
        <v>0</v>
      </c>
      <c r="BI172" t="b">
        <v>0</v>
      </c>
      <c r="BJ172" t="b">
        <v>0</v>
      </c>
      <c r="BK172" t="b">
        <v>0</v>
      </c>
      <c r="BL172" t="b">
        <v>0</v>
      </c>
      <c r="BM172" t="b">
        <v>0</v>
      </c>
      <c r="BN172" t="b">
        <v>0</v>
      </c>
      <c r="BO172" t="b">
        <v>0</v>
      </c>
      <c r="BP172" t="b">
        <v>0</v>
      </c>
      <c r="BR172" t="str">
        <f>IF(M172="PASSED",VLOOKUP(J172,All_Potential!$J$1:$N$500,1,FALSE))</f>
        <v>1.0492</v>
      </c>
    </row>
    <row r="173" spans="1:70" ht="15" customHeight="1" x14ac:dyDescent="0.25">
      <c r="A173">
        <v>21156</v>
      </c>
      <c r="C173">
        <v>0</v>
      </c>
      <c r="D173" t="s">
        <v>65</v>
      </c>
      <c r="E173" t="s">
        <v>66</v>
      </c>
      <c r="F173" t="s">
        <v>84</v>
      </c>
      <c r="G173">
        <v>0</v>
      </c>
      <c r="H173" t="s">
        <v>85</v>
      </c>
      <c r="I173" t="s">
        <v>86</v>
      </c>
      <c r="J173" t="str">
        <f>MID($N173,FIND("1.",$N173),FIND("-",$N173)-FIND("1.",$N173)-1)</f>
        <v>1.0493</v>
      </c>
      <c r="K173" t="str">
        <f>MID($N173,FIND("MSWRK - ",$N173)+8,FIND(":",$N173)-FIND("MSWRK - ",$N173)-8)</f>
        <v>Simple TCP/IP Services (simptcp) is Not Installed</v>
      </c>
      <c r="L173" t="str">
        <f t="shared" si="2"/>
        <v>1.0493 - MSWRK - Simple TCP/IP Services (simptcp) is Not Installed</v>
      </c>
      <c r="M173" t="str">
        <f>MID($N173,FIND("[",$N173)+1,FIND("]",$N173)-FIND("[",$N173)-1)</f>
        <v>PASSED</v>
      </c>
      <c r="N173" s="1" t="s">
        <v>202</v>
      </c>
      <c r="O173" t="s">
        <v>67</v>
      </c>
      <c r="R173" t="s">
        <v>68</v>
      </c>
      <c r="T173" t="s">
        <v>69</v>
      </c>
      <c r="U173" t="s">
        <v>70</v>
      </c>
      <c r="W173" t="s">
        <v>71</v>
      </c>
      <c r="X173" s="1" t="s">
        <v>72</v>
      </c>
      <c r="Y173" t="s">
        <v>88</v>
      </c>
      <c r="Z173">
        <v>0</v>
      </c>
      <c r="AA173">
        <v>0</v>
      </c>
      <c r="AD173">
        <v>0</v>
      </c>
      <c r="AE173">
        <v>0</v>
      </c>
      <c r="AH173" t="s">
        <v>73</v>
      </c>
      <c r="AI173" t="s">
        <v>74</v>
      </c>
      <c r="AJ173" t="s">
        <v>75</v>
      </c>
      <c r="AK173" t="s">
        <v>76</v>
      </c>
      <c r="AN173" t="s">
        <v>77</v>
      </c>
      <c r="AO173" t="s">
        <v>78</v>
      </c>
      <c r="AP173" t="s">
        <v>199</v>
      </c>
      <c r="AQ173" t="s">
        <v>80</v>
      </c>
      <c r="AS173" t="b">
        <v>1</v>
      </c>
      <c r="AT173" t="s">
        <v>65</v>
      </c>
      <c r="AU173">
        <v>0</v>
      </c>
      <c r="AV173">
        <v>0</v>
      </c>
      <c r="AX173">
        <v>39</v>
      </c>
      <c r="AY173" t="s">
        <v>81</v>
      </c>
      <c r="AZ173" t="s">
        <v>90</v>
      </c>
      <c r="BB173" t="s">
        <v>91</v>
      </c>
      <c r="BC173" t="s">
        <v>92</v>
      </c>
      <c r="BD173" t="b">
        <v>0</v>
      </c>
      <c r="BE173" t="b">
        <v>0</v>
      </c>
      <c r="BF173" t="b">
        <v>0</v>
      </c>
      <c r="BG173" t="b">
        <v>0</v>
      </c>
      <c r="BH173" t="b">
        <v>0</v>
      </c>
      <c r="BI173" t="b">
        <v>0</v>
      </c>
      <c r="BJ173" t="b">
        <v>0</v>
      </c>
      <c r="BK173" t="b">
        <v>0</v>
      </c>
      <c r="BL173" t="b">
        <v>0</v>
      </c>
      <c r="BM173" t="b">
        <v>0</v>
      </c>
      <c r="BN173" t="b">
        <v>0</v>
      </c>
      <c r="BO173" t="b">
        <v>0</v>
      </c>
      <c r="BP173" t="b">
        <v>0</v>
      </c>
      <c r="BR173" t="str">
        <f>IF(M173="PASSED",VLOOKUP(J173,All_Potential!$J$1:$N$500,1,FALSE))</f>
        <v>1.0493</v>
      </c>
    </row>
    <row r="174" spans="1:70" ht="15" customHeight="1" x14ac:dyDescent="0.25">
      <c r="A174">
        <v>21156</v>
      </c>
      <c r="C174">
        <v>0</v>
      </c>
      <c r="D174" t="s">
        <v>83</v>
      </c>
      <c r="E174" t="s">
        <v>66</v>
      </c>
      <c r="F174" t="s">
        <v>84</v>
      </c>
      <c r="G174">
        <v>0</v>
      </c>
      <c r="H174" t="s">
        <v>85</v>
      </c>
      <c r="I174" t="s">
        <v>86</v>
      </c>
      <c r="J174" t="str">
        <f>MID($N174,FIND("1.",$N174),FIND("-",$N174)-FIND("1.",$N174)-1)</f>
        <v>1.0494</v>
      </c>
      <c r="K174" t="str">
        <f>MID($N174,FIND("MSWRK - ",$N174)+8,FIND(":",$N174)-FIND("MSWRK - ",$N174)-8)</f>
        <v>SMB v1 server is set to Disabled</v>
      </c>
      <c r="L174" t="str">
        <f t="shared" si="2"/>
        <v>1.0494 - MSWRK - SMB v1 server is set to Disabled</v>
      </c>
      <c r="M174" t="str">
        <f>MID($N174,FIND("[",$N174)+1,FIND("]",$N174)-FIND("[",$N174)-1)</f>
        <v>FAILED</v>
      </c>
      <c r="N174" s="1" t="s">
        <v>214</v>
      </c>
      <c r="O174" t="s">
        <v>67</v>
      </c>
      <c r="R174" t="s">
        <v>68</v>
      </c>
      <c r="T174" t="s">
        <v>69</v>
      </c>
      <c r="U174" t="s">
        <v>70</v>
      </c>
      <c r="W174" t="s">
        <v>71</v>
      </c>
      <c r="X174" s="1" t="s">
        <v>72</v>
      </c>
      <c r="Y174" t="s">
        <v>88</v>
      </c>
      <c r="Z174">
        <v>0</v>
      </c>
      <c r="AA174">
        <v>0</v>
      </c>
      <c r="AD174">
        <v>0</v>
      </c>
      <c r="AE174">
        <v>0</v>
      </c>
      <c r="AH174" t="s">
        <v>73</v>
      </c>
      <c r="AI174" t="s">
        <v>74</v>
      </c>
      <c r="AJ174" t="s">
        <v>75</v>
      </c>
      <c r="AK174" t="s">
        <v>76</v>
      </c>
      <c r="AN174" t="s">
        <v>77</v>
      </c>
      <c r="AO174" t="s">
        <v>78</v>
      </c>
      <c r="AP174" t="s">
        <v>212</v>
      </c>
      <c r="AQ174" t="s">
        <v>80</v>
      </c>
      <c r="AS174" t="b">
        <v>1</v>
      </c>
      <c r="AT174" t="s">
        <v>65</v>
      </c>
      <c r="AU174">
        <v>0</v>
      </c>
      <c r="AV174">
        <v>0</v>
      </c>
      <c r="AX174">
        <v>39</v>
      </c>
      <c r="AY174" t="s">
        <v>81</v>
      </c>
      <c r="AZ174" t="s">
        <v>90</v>
      </c>
      <c r="BB174" t="s">
        <v>91</v>
      </c>
      <c r="BC174" t="s">
        <v>92</v>
      </c>
      <c r="BD174" t="b">
        <v>0</v>
      </c>
      <c r="BE174" t="b">
        <v>0</v>
      </c>
      <c r="BF174" t="b">
        <v>0</v>
      </c>
      <c r="BG174" t="b">
        <v>0</v>
      </c>
      <c r="BH174" t="b">
        <v>0</v>
      </c>
      <c r="BI174" t="b">
        <v>0</v>
      </c>
      <c r="BJ174" t="b">
        <v>0</v>
      </c>
      <c r="BK174" t="b">
        <v>0</v>
      </c>
      <c r="BL174" t="b">
        <v>0</v>
      </c>
      <c r="BM174" t="b">
        <v>0</v>
      </c>
      <c r="BN174" t="b">
        <v>0</v>
      </c>
      <c r="BO174" t="b">
        <v>0</v>
      </c>
      <c r="BP174" t="b">
        <v>0</v>
      </c>
      <c r="BR174" t="b">
        <f>IF(M174="PASSED",VLOOKUP(J174,All_Potential!$J$1:$N$500,1,FALSE))</f>
        <v>0</v>
      </c>
    </row>
  </sheetData>
  <sortState xmlns:xlrd2="http://schemas.microsoft.com/office/spreadsheetml/2017/richdata2" ref="A2:BQ177">
    <sortCondition ref="J2:J17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CFFA7-685A-4DA9-97F9-3DAEC036D017}">
  <sheetPr filterMode="1"/>
  <dimension ref="A1:BR500"/>
  <sheetViews>
    <sheetView topLeftCell="K1" workbookViewId="0">
      <selection activeCell="K1" sqref="A1:XFD1048576"/>
    </sheetView>
  </sheetViews>
  <sheetFormatPr defaultRowHeight="15" customHeight="1" x14ac:dyDescent="0.25"/>
  <cols>
    <col min="1" max="1" width="8.85546875" hidden="1" customWidth="1"/>
    <col min="2" max="2" width="4.28515625" hidden="1" customWidth="1"/>
    <col min="3" max="3" width="5.28515625" hidden="1" customWidth="1"/>
    <col min="4" max="4" width="5.7109375" hidden="1" customWidth="1"/>
    <col min="5" max="5" width="10.85546875" hidden="1" customWidth="1"/>
    <col min="6" max="6" width="8.42578125" hidden="1" customWidth="1"/>
    <col min="7" max="7" width="4.5703125" hidden="1" customWidth="1"/>
    <col min="8" max="8" width="27.42578125" hidden="1" customWidth="1"/>
    <col min="9" max="9" width="38.7109375" hidden="1" customWidth="1"/>
    <col min="10" max="10" width="6.5703125" bestFit="1" customWidth="1"/>
    <col min="11" max="11" width="70.7109375" customWidth="1"/>
    <col min="12" max="12" width="75.7109375" customWidth="1"/>
    <col min="13" max="13" width="7.5703125" bestFit="1" customWidth="1"/>
    <col min="14" max="14" width="85.7109375" customWidth="1"/>
    <col min="15" max="16" width="8.28515625" hidden="1" customWidth="1"/>
    <col min="17" max="17" width="13.140625" hidden="1" customWidth="1"/>
    <col min="18" max="18" width="36.5703125" hidden="1" customWidth="1"/>
    <col min="19" max="19" width="17" hidden="1" customWidth="1"/>
    <col min="20" max="20" width="10.7109375" hidden="1" customWidth="1"/>
    <col min="21" max="21" width="23.7109375" hidden="1" customWidth="1"/>
    <col min="22" max="22" width="7.85546875" hidden="1" customWidth="1"/>
    <col min="23" max="23" width="41" hidden="1" customWidth="1"/>
    <col min="24" max="24" width="12.42578125" hidden="1" customWidth="1"/>
    <col min="25" max="25" width="17.5703125" hidden="1" customWidth="1"/>
    <col min="26" max="26" width="15.42578125" hidden="1" customWidth="1"/>
    <col min="27" max="27" width="19.7109375" hidden="1" customWidth="1"/>
    <col min="28" max="28" width="20.42578125" hidden="1" customWidth="1"/>
    <col min="29" max="29" width="11.28515625" hidden="1" customWidth="1"/>
    <col min="30" max="30" width="16.42578125" hidden="1" customWidth="1"/>
    <col min="31" max="31" width="20.7109375" hidden="1" customWidth="1"/>
    <col min="32" max="32" width="21.5703125" hidden="1" customWidth="1"/>
    <col min="33" max="33" width="12.28515625" hidden="1" customWidth="1"/>
    <col min="34" max="34" width="15.7109375" hidden="1" customWidth="1"/>
    <col min="35" max="36" width="23.5703125" hidden="1" customWidth="1"/>
    <col min="37" max="37" width="30.85546875" hidden="1" customWidth="1"/>
    <col min="38" max="38" width="10.85546875" hidden="1" customWidth="1"/>
    <col min="39" max="39" width="10.5703125" hidden="1" customWidth="1"/>
    <col min="40" max="40" width="61.5703125" hidden="1" customWidth="1"/>
    <col min="41" max="41" width="36.28515625" hidden="1" customWidth="1"/>
    <col min="42" max="42" width="23.5703125" hidden="1" customWidth="1"/>
    <col min="43" max="43" width="29" hidden="1" customWidth="1"/>
    <col min="44" max="44" width="31.5703125" hidden="1" customWidth="1"/>
    <col min="45" max="45" width="8" hidden="1" customWidth="1"/>
    <col min="46" max="46" width="10.7109375" hidden="1" customWidth="1"/>
    <col min="47" max="47" width="7.5703125" hidden="1" customWidth="1"/>
    <col min="48" max="48" width="15.28515625" hidden="1" customWidth="1"/>
    <col min="49" max="49" width="12.140625" hidden="1" customWidth="1"/>
    <col min="50" max="50" width="15.28515625" hidden="1" customWidth="1"/>
    <col min="51" max="51" width="11" hidden="1" customWidth="1"/>
    <col min="52" max="52" width="16.5703125" hidden="1" customWidth="1"/>
    <col min="53" max="53" width="7.140625" hidden="1" customWidth="1"/>
    <col min="54" max="54" width="23" hidden="1" customWidth="1"/>
    <col min="55" max="55" width="22" hidden="1" customWidth="1"/>
    <col min="56" max="56" width="18.42578125" hidden="1" customWidth="1"/>
    <col min="57" max="57" width="15.5703125" hidden="1" customWidth="1"/>
    <col min="58" max="58" width="19.7109375" hidden="1" customWidth="1"/>
    <col min="59" max="59" width="18.7109375" hidden="1" customWidth="1"/>
    <col min="60" max="60" width="8" hidden="1" customWidth="1"/>
    <col min="61" max="61" width="8.140625" hidden="1" customWidth="1"/>
    <col min="62" max="62" width="10.28515625" hidden="1" customWidth="1"/>
    <col min="63" max="63" width="12.28515625" hidden="1" customWidth="1"/>
    <col min="64" max="64" width="10.42578125" hidden="1" customWidth="1"/>
    <col min="65" max="65" width="15" hidden="1" customWidth="1"/>
    <col min="66" max="66" width="14.7109375" hidden="1" customWidth="1"/>
    <col min="67" max="67" width="11.5703125" hidden="1" customWidth="1"/>
    <col min="68" max="68" width="22" hidden="1" customWidth="1"/>
    <col min="69" max="69" width="9.5703125" hidden="1" customWidth="1"/>
    <col min="70" max="70" width="25.7109375" customWidth="1"/>
  </cols>
  <sheetData>
    <row r="1" spans="1:70" ht="15" customHeight="1" x14ac:dyDescent="0.25">
      <c r="A1" t="s">
        <v>0</v>
      </c>
      <c r="B1" t="s">
        <v>1</v>
      </c>
      <c r="C1" t="s">
        <v>2</v>
      </c>
      <c r="D1" t="s">
        <v>3</v>
      </c>
      <c r="E1" t="s">
        <v>4</v>
      </c>
      <c r="F1" t="s">
        <v>5</v>
      </c>
      <c r="G1" t="s">
        <v>6</v>
      </c>
      <c r="H1" t="s">
        <v>7</v>
      </c>
      <c r="I1" t="s">
        <v>8</v>
      </c>
      <c r="J1" t="s">
        <v>821</v>
      </c>
      <c r="K1" t="s">
        <v>824</v>
      </c>
      <c r="L1" t="s">
        <v>822</v>
      </c>
      <c r="M1" t="s">
        <v>823</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825</v>
      </c>
    </row>
    <row r="2" spans="1:70" ht="15" hidden="1" customHeight="1" x14ac:dyDescent="0.25">
      <c r="A2">
        <v>21156</v>
      </c>
      <c r="C2">
        <v>0</v>
      </c>
      <c r="D2" t="s">
        <v>65</v>
      </c>
      <c r="E2" t="s">
        <v>66</v>
      </c>
      <c r="F2" t="s">
        <v>84</v>
      </c>
      <c r="G2">
        <v>0</v>
      </c>
      <c r="H2" t="s">
        <v>85</v>
      </c>
      <c r="I2" t="s">
        <v>86</v>
      </c>
      <c r="J2" t="str">
        <f>MID($N2,FIND("1.",$N2),FIND("-",$N2)-FIND("1.",$N2)-1)</f>
        <v>1.0001</v>
      </c>
      <c r="K2" t="str">
        <f>MID($N2,FIND("MSWRK - ",$N2)+8,FIND(":",$N2,40)-FIND("MSWRK - ",$N2)-8)</f>
        <v>Ensure Enforce password history is set to 24 or more password(s)</v>
      </c>
      <c r="L2" t="str">
        <f>MID($N2,FIND("1.",$N2),FIND("[",$N2)-1-FIND("1.",$N2)-1)</f>
        <v>1.0001 - MSWRK - Ensure Enforce password history is set to 24 or more password(s)</v>
      </c>
      <c r="M2" t="str">
        <f>MID($N2,FIND("[",$N2)+1,FIND("]",$N2)-FIND("[",$N2)-1)</f>
        <v>PASSED</v>
      </c>
      <c r="N2" s="1" t="s">
        <v>206</v>
      </c>
      <c r="O2" t="s">
        <v>67</v>
      </c>
      <c r="R2" t="s">
        <v>68</v>
      </c>
      <c r="T2" t="s">
        <v>69</v>
      </c>
      <c r="U2" t="s">
        <v>70</v>
      </c>
      <c r="W2" t="s">
        <v>71</v>
      </c>
      <c r="X2" s="1" t="s">
        <v>72</v>
      </c>
      <c r="Y2" t="s">
        <v>88</v>
      </c>
      <c r="Z2">
        <v>0</v>
      </c>
      <c r="AA2">
        <v>0</v>
      </c>
      <c r="AD2">
        <v>0</v>
      </c>
      <c r="AE2">
        <v>0</v>
      </c>
      <c r="AH2" t="s">
        <v>73</v>
      </c>
      <c r="AI2" t="s">
        <v>318</v>
      </c>
      <c r="AJ2" t="s">
        <v>319</v>
      </c>
      <c r="AK2" t="s">
        <v>76</v>
      </c>
      <c r="AN2" t="s">
        <v>77</v>
      </c>
      <c r="AO2" t="s">
        <v>320</v>
      </c>
      <c r="AP2" t="s">
        <v>774</v>
      </c>
      <c r="AQ2" t="s">
        <v>322</v>
      </c>
      <c r="AS2" t="b">
        <v>1</v>
      </c>
      <c r="AT2" t="s">
        <v>65</v>
      </c>
      <c r="AU2">
        <v>0</v>
      </c>
      <c r="AV2">
        <v>0</v>
      </c>
      <c r="AX2">
        <v>39</v>
      </c>
      <c r="AY2" t="s">
        <v>81</v>
      </c>
      <c r="AZ2" t="s">
        <v>90</v>
      </c>
      <c r="BB2" t="s">
        <v>91</v>
      </c>
      <c r="BC2" t="s">
        <v>92</v>
      </c>
      <c r="BD2" t="b">
        <v>0</v>
      </c>
      <c r="BE2" t="b">
        <v>0</v>
      </c>
      <c r="BF2" t="b">
        <v>0</v>
      </c>
      <c r="BG2" t="b">
        <v>0</v>
      </c>
      <c r="BH2" t="b">
        <v>0</v>
      </c>
      <c r="BI2" t="b">
        <v>0</v>
      </c>
      <c r="BJ2" t="b">
        <v>0</v>
      </c>
      <c r="BK2" t="b">
        <v>0</v>
      </c>
      <c r="BL2" t="b">
        <v>0</v>
      </c>
      <c r="BM2" t="b">
        <v>0</v>
      </c>
      <c r="BN2" t="b">
        <v>0</v>
      </c>
      <c r="BO2" t="b">
        <v>0</v>
      </c>
      <c r="BP2" t="b">
        <v>0</v>
      </c>
      <c r="BR2" t="str">
        <f>IF(M2="PASSED",VLOOKUP(J2,Current!$J$1:$N$500,1,FALSE))</f>
        <v>1.0001</v>
      </c>
    </row>
    <row r="3" spans="1:70" ht="15" hidden="1" customHeight="1" x14ac:dyDescent="0.25">
      <c r="A3">
        <v>21156</v>
      </c>
      <c r="C3">
        <v>0</v>
      </c>
      <c r="D3" t="s">
        <v>65</v>
      </c>
      <c r="E3" t="s">
        <v>66</v>
      </c>
      <c r="F3" t="s">
        <v>84</v>
      </c>
      <c r="G3">
        <v>0</v>
      </c>
      <c r="H3" t="s">
        <v>85</v>
      </c>
      <c r="I3" t="s">
        <v>86</v>
      </c>
      <c r="J3" t="str">
        <f>MID($N3,FIND("1.",$N3),FIND("-",$N3)-FIND("1.",$N3)-1)</f>
        <v>1.0002</v>
      </c>
      <c r="K3" t="str">
        <f t="shared" ref="K3:K66" si="0">MID($N3,FIND("MSWRK - ",$N3)+8,FIND(":",$N3,40)-FIND("MSWRK - ",$N3)-8)</f>
        <v>Ensure Maximum password age is set to 365 or fewer days, but not 0</v>
      </c>
      <c r="L3" t="str">
        <f t="shared" ref="L3:L66" si="1">MID($N3,FIND("1.",$N3),FIND("[",$N3)-1-FIND("1.",$N3)-1)</f>
        <v>1.0002 - MSWRK - Ensure Maximum password age is set to 365 or fewer days, but not 0</v>
      </c>
      <c r="M3" t="str">
        <f t="shared" ref="M3:M66" si="2">MID($N3,FIND("[",$N3)+1,FIND("]",$N3)-FIND("[",$N3)-1)</f>
        <v>PASSED</v>
      </c>
      <c r="N3" s="1" t="s">
        <v>315</v>
      </c>
      <c r="O3" t="s">
        <v>67</v>
      </c>
      <c r="R3" t="s">
        <v>68</v>
      </c>
      <c r="T3" t="s">
        <v>69</v>
      </c>
      <c r="U3" t="s">
        <v>70</v>
      </c>
      <c r="W3" t="s">
        <v>71</v>
      </c>
      <c r="X3" s="1" t="s">
        <v>72</v>
      </c>
      <c r="Y3" t="s">
        <v>88</v>
      </c>
      <c r="Z3">
        <v>0</v>
      </c>
      <c r="AA3">
        <v>0</v>
      </c>
      <c r="AD3">
        <v>0</v>
      </c>
      <c r="AE3">
        <v>0</v>
      </c>
      <c r="AH3" t="s">
        <v>73</v>
      </c>
      <c r="AI3" t="s">
        <v>318</v>
      </c>
      <c r="AJ3" t="s">
        <v>319</v>
      </c>
      <c r="AK3" t="s">
        <v>76</v>
      </c>
      <c r="AN3" t="s">
        <v>77</v>
      </c>
      <c r="AO3" t="s">
        <v>320</v>
      </c>
      <c r="AP3" t="s">
        <v>611</v>
      </c>
      <c r="AQ3" t="s">
        <v>322</v>
      </c>
      <c r="AS3" t="b">
        <v>1</v>
      </c>
      <c r="AT3" t="s">
        <v>65</v>
      </c>
      <c r="AU3">
        <v>0</v>
      </c>
      <c r="AV3">
        <v>0</v>
      </c>
      <c r="AX3">
        <v>39</v>
      </c>
      <c r="AY3" t="s">
        <v>81</v>
      </c>
      <c r="AZ3" t="s">
        <v>90</v>
      </c>
      <c r="BB3" t="s">
        <v>91</v>
      </c>
      <c r="BC3" t="s">
        <v>92</v>
      </c>
      <c r="BD3" t="b">
        <v>0</v>
      </c>
      <c r="BE3" t="b">
        <v>0</v>
      </c>
      <c r="BF3" t="b">
        <v>0</v>
      </c>
      <c r="BG3" t="b">
        <v>0</v>
      </c>
      <c r="BH3" t="b">
        <v>0</v>
      </c>
      <c r="BI3" t="b">
        <v>0</v>
      </c>
      <c r="BJ3" t="b">
        <v>0</v>
      </c>
      <c r="BK3" t="b">
        <v>0</v>
      </c>
      <c r="BL3" t="b">
        <v>0</v>
      </c>
      <c r="BM3" t="b">
        <v>0</v>
      </c>
      <c r="BN3" t="b">
        <v>0</v>
      </c>
      <c r="BO3" t="b">
        <v>0</v>
      </c>
      <c r="BP3" t="b">
        <v>0</v>
      </c>
      <c r="BR3" t="str">
        <f>IF(M3="PASSED",VLOOKUP(J3,Current!$J$1:$N$500,1,FALSE))</f>
        <v>1.0002</v>
      </c>
    </row>
    <row r="4" spans="1:70" ht="15" hidden="1" customHeight="1" x14ac:dyDescent="0.25">
      <c r="A4">
        <v>21156</v>
      </c>
      <c r="C4">
        <v>0</v>
      </c>
      <c r="D4" t="s">
        <v>65</v>
      </c>
      <c r="E4" t="s">
        <v>66</v>
      </c>
      <c r="F4" t="s">
        <v>84</v>
      </c>
      <c r="G4">
        <v>0</v>
      </c>
      <c r="H4" t="s">
        <v>85</v>
      </c>
      <c r="I4" t="s">
        <v>86</v>
      </c>
      <c r="J4" t="str">
        <f>MID($N4,FIND("1.",$N4),FIND("-",$N4)-FIND("1.",$N4)-1)</f>
        <v>1.0003</v>
      </c>
      <c r="K4" t="str">
        <f t="shared" si="0"/>
        <v>Ensure Minimum password age is set to 1 or more day(s)</v>
      </c>
      <c r="L4" t="str">
        <f t="shared" si="1"/>
        <v>1.0003 - MSWRK - Ensure Minimum password age is set to 1 or more day(s)</v>
      </c>
      <c r="M4" t="str">
        <f t="shared" si="2"/>
        <v>PASSED</v>
      </c>
      <c r="N4" s="1" t="s">
        <v>117</v>
      </c>
      <c r="O4" t="s">
        <v>67</v>
      </c>
      <c r="R4" t="s">
        <v>68</v>
      </c>
      <c r="T4" t="s">
        <v>69</v>
      </c>
      <c r="U4" t="s">
        <v>70</v>
      </c>
      <c r="W4" t="s">
        <v>71</v>
      </c>
      <c r="X4" s="1" t="s">
        <v>72</v>
      </c>
      <c r="Y4" t="s">
        <v>88</v>
      </c>
      <c r="Z4">
        <v>0</v>
      </c>
      <c r="AA4">
        <v>0</v>
      </c>
      <c r="AD4">
        <v>0</v>
      </c>
      <c r="AE4">
        <v>0</v>
      </c>
      <c r="AH4" t="s">
        <v>73</v>
      </c>
      <c r="AI4" t="s">
        <v>318</v>
      </c>
      <c r="AJ4" t="s">
        <v>319</v>
      </c>
      <c r="AK4" t="s">
        <v>76</v>
      </c>
      <c r="AN4" t="s">
        <v>77</v>
      </c>
      <c r="AO4" t="s">
        <v>320</v>
      </c>
      <c r="AP4" t="s">
        <v>663</v>
      </c>
      <c r="AQ4" t="s">
        <v>322</v>
      </c>
      <c r="AS4" t="b">
        <v>1</v>
      </c>
      <c r="AT4" t="s">
        <v>65</v>
      </c>
      <c r="AU4">
        <v>0</v>
      </c>
      <c r="AV4">
        <v>0</v>
      </c>
      <c r="AX4">
        <v>39</v>
      </c>
      <c r="AY4" t="s">
        <v>81</v>
      </c>
      <c r="AZ4" t="s">
        <v>90</v>
      </c>
      <c r="BB4" t="s">
        <v>91</v>
      </c>
      <c r="BC4" t="s">
        <v>92</v>
      </c>
      <c r="BD4" t="b">
        <v>0</v>
      </c>
      <c r="BE4" t="b">
        <v>0</v>
      </c>
      <c r="BF4" t="b">
        <v>0</v>
      </c>
      <c r="BG4" t="b">
        <v>0</v>
      </c>
      <c r="BH4" t="b">
        <v>0</v>
      </c>
      <c r="BI4" t="b">
        <v>0</v>
      </c>
      <c r="BJ4" t="b">
        <v>0</v>
      </c>
      <c r="BK4" t="b">
        <v>0</v>
      </c>
      <c r="BL4" t="b">
        <v>0</v>
      </c>
      <c r="BM4" t="b">
        <v>0</v>
      </c>
      <c r="BN4" t="b">
        <v>0</v>
      </c>
      <c r="BO4" t="b">
        <v>0</v>
      </c>
      <c r="BP4" t="b">
        <v>0</v>
      </c>
      <c r="BR4" t="str">
        <f>IF(M4="PASSED",VLOOKUP(J4,Current!$J$1:$N$500,1,FALSE))</f>
        <v>1.0003</v>
      </c>
    </row>
    <row r="5" spans="1:70" ht="15" hidden="1" customHeight="1" x14ac:dyDescent="0.25">
      <c r="A5">
        <v>21156</v>
      </c>
      <c r="C5">
        <v>0</v>
      </c>
      <c r="D5" t="s">
        <v>65</v>
      </c>
      <c r="E5" t="s">
        <v>66</v>
      </c>
      <c r="F5" t="s">
        <v>84</v>
      </c>
      <c r="G5">
        <v>0</v>
      </c>
      <c r="H5" t="s">
        <v>85</v>
      </c>
      <c r="I5" t="s">
        <v>86</v>
      </c>
      <c r="J5" t="str">
        <f>MID($N5,FIND("1.",$N5),FIND("-",$N5)-FIND("1.",$N5)-1)</f>
        <v>1.0004</v>
      </c>
      <c r="K5" t="str">
        <f t="shared" si="0"/>
        <v>Ensure Minimum password length is set to 14 or more character(s)</v>
      </c>
      <c r="L5" t="str">
        <f t="shared" si="1"/>
        <v>1.0004 - MSWRK - Ensure Minimum password length is set to 14 or more character(s)</v>
      </c>
      <c r="M5" t="str">
        <f t="shared" si="2"/>
        <v>PASSED</v>
      </c>
      <c r="N5" s="1" t="s">
        <v>203</v>
      </c>
      <c r="O5" t="s">
        <v>67</v>
      </c>
      <c r="R5" t="s">
        <v>68</v>
      </c>
      <c r="T5" t="s">
        <v>69</v>
      </c>
      <c r="U5" t="s">
        <v>70</v>
      </c>
      <c r="W5" t="s">
        <v>71</v>
      </c>
      <c r="X5" s="1" t="s">
        <v>72</v>
      </c>
      <c r="Y5" t="s">
        <v>88</v>
      </c>
      <c r="Z5">
        <v>0</v>
      </c>
      <c r="AA5">
        <v>0</v>
      </c>
      <c r="AD5">
        <v>0</v>
      </c>
      <c r="AE5">
        <v>0</v>
      </c>
      <c r="AH5" t="s">
        <v>73</v>
      </c>
      <c r="AI5" t="s">
        <v>318</v>
      </c>
      <c r="AJ5" t="s">
        <v>319</v>
      </c>
      <c r="AK5" t="s">
        <v>76</v>
      </c>
      <c r="AN5" t="s">
        <v>77</v>
      </c>
      <c r="AO5" t="s">
        <v>320</v>
      </c>
      <c r="AP5" t="s">
        <v>502</v>
      </c>
      <c r="AQ5" t="s">
        <v>322</v>
      </c>
      <c r="AS5" t="b">
        <v>1</v>
      </c>
      <c r="AT5" t="s">
        <v>65</v>
      </c>
      <c r="AU5">
        <v>0</v>
      </c>
      <c r="AV5">
        <v>0</v>
      </c>
      <c r="AX5">
        <v>39</v>
      </c>
      <c r="AY5" t="s">
        <v>81</v>
      </c>
      <c r="AZ5" t="s">
        <v>90</v>
      </c>
      <c r="BB5" t="s">
        <v>91</v>
      </c>
      <c r="BC5" t="s">
        <v>92</v>
      </c>
      <c r="BD5" t="b">
        <v>0</v>
      </c>
      <c r="BE5" t="b">
        <v>0</v>
      </c>
      <c r="BF5" t="b">
        <v>0</v>
      </c>
      <c r="BG5" t="b">
        <v>0</v>
      </c>
      <c r="BH5" t="b">
        <v>0</v>
      </c>
      <c r="BI5" t="b">
        <v>0</v>
      </c>
      <c r="BJ5" t="b">
        <v>0</v>
      </c>
      <c r="BK5" t="b">
        <v>0</v>
      </c>
      <c r="BL5" t="b">
        <v>0</v>
      </c>
      <c r="BM5" t="b">
        <v>0</v>
      </c>
      <c r="BN5" t="b">
        <v>0</v>
      </c>
      <c r="BO5" t="b">
        <v>0</v>
      </c>
      <c r="BP5" t="b">
        <v>0</v>
      </c>
      <c r="BR5" t="str">
        <f>IF(M5="PASSED",VLOOKUP(J5,Current!$J$1:$N$500,1,FALSE))</f>
        <v>1.0004</v>
      </c>
    </row>
    <row r="6" spans="1:70" ht="15" hidden="1" customHeight="1" x14ac:dyDescent="0.25">
      <c r="A6">
        <v>21156</v>
      </c>
      <c r="C6">
        <v>0</v>
      </c>
      <c r="D6" t="s">
        <v>65</v>
      </c>
      <c r="E6" t="s">
        <v>66</v>
      </c>
      <c r="F6" t="s">
        <v>84</v>
      </c>
      <c r="G6">
        <v>0</v>
      </c>
      <c r="H6" t="s">
        <v>85</v>
      </c>
      <c r="I6" t="s">
        <v>86</v>
      </c>
      <c r="J6" t="str">
        <f>MID($N6,FIND("1.",$N6),FIND("-",$N6)-FIND("1.",$N6)-1)</f>
        <v>1.0005</v>
      </c>
      <c r="K6" t="str">
        <f t="shared" si="0"/>
        <v>Ensure Password must meet complexity requirements is set to Enabled</v>
      </c>
      <c r="L6" t="str">
        <f t="shared" si="1"/>
        <v>1.0005 - MSWRK - Ensure Password must meet complexity requirements is set to Enabled</v>
      </c>
      <c r="M6" t="str">
        <f t="shared" si="2"/>
        <v>PASSED</v>
      </c>
      <c r="N6" s="1" t="s">
        <v>249</v>
      </c>
      <c r="O6" t="s">
        <v>67</v>
      </c>
      <c r="R6" t="s">
        <v>68</v>
      </c>
      <c r="T6" t="s">
        <v>69</v>
      </c>
      <c r="U6" t="s">
        <v>70</v>
      </c>
      <c r="W6" t="s">
        <v>71</v>
      </c>
      <c r="X6" s="1" t="s">
        <v>72</v>
      </c>
      <c r="Y6" t="s">
        <v>88</v>
      </c>
      <c r="Z6">
        <v>0</v>
      </c>
      <c r="AA6">
        <v>0</v>
      </c>
      <c r="AD6">
        <v>0</v>
      </c>
      <c r="AE6">
        <v>0</v>
      </c>
      <c r="AH6" t="s">
        <v>73</v>
      </c>
      <c r="AI6" t="s">
        <v>318</v>
      </c>
      <c r="AJ6" t="s">
        <v>319</v>
      </c>
      <c r="AK6" t="s">
        <v>76</v>
      </c>
      <c r="AN6" t="s">
        <v>77</v>
      </c>
      <c r="AO6" t="s">
        <v>320</v>
      </c>
      <c r="AP6" t="s">
        <v>761</v>
      </c>
      <c r="AQ6" t="s">
        <v>322</v>
      </c>
      <c r="AS6" t="b">
        <v>1</v>
      </c>
      <c r="AT6" t="s">
        <v>65</v>
      </c>
      <c r="AU6">
        <v>0</v>
      </c>
      <c r="AV6">
        <v>0</v>
      </c>
      <c r="AX6">
        <v>39</v>
      </c>
      <c r="AY6" t="s">
        <v>81</v>
      </c>
      <c r="AZ6" t="s">
        <v>90</v>
      </c>
      <c r="BB6" t="s">
        <v>91</v>
      </c>
      <c r="BC6" t="s">
        <v>92</v>
      </c>
      <c r="BD6" t="b">
        <v>0</v>
      </c>
      <c r="BE6" t="b">
        <v>0</v>
      </c>
      <c r="BF6" t="b">
        <v>0</v>
      </c>
      <c r="BG6" t="b">
        <v>0</v>
      </c>
      <c r="BH6" t="b">
        <v>0</v>
      </c>
      <c r="BI6" t="b">
        <v>0</v>
      </c>
      <c r="BJ6" t="b">
        <v>0</v>
      </c>
      <c r="BK6" t="b">
        <v>0</v>
      </c>
      <c r="BL6" t="b">
        <v>0</v>
      </c>
      <c r="BM6" t="b">
        <v>0</v>
      </c>
      <c r="BN6" t="b">
        <v>0</v>
      </c>
      <c r="BO6" t="b">
        <v>0</v>
      </c>
      <c r="BP6" t="b">
        <v>0</v>
      </c>
      <c r="BR6" t="str">
        <f>IF(M6="PASSED",VLOOKUP(J6,Current!$J$1:$N$500,1,FALSE))</f>
        <v>1.0005</v>
      </c>
    </row>
    <row r="7" spans="1:70" ht="15" hidden="1" customHeight="1" x14ac:dyDescent="0.25">
      <c r="A7">
        <v>21156</v>
      </c>
      <c r="C7">
        <v>0</v>
      </c>
      <c r="D7" t="s">
        <v>83</v>
      </c>
      <c r="E7" t="s">
        <v>66</v>
      </c>
      <c r="F7" t="s">
        <v>84</v>
      </c>
      <c r="G7">
        <v>0</v>
      </c>
      <c r="H7" t="s">
        <v>85</v>
      </c>
      <c r="I7" t="s">
        <v>86</v>
      </c>
      <c r="J7" t="str">
        <f>MID($N7,FIND("1.",$N7),FIND("-",$N7)-FIND("1.",$N7)-1)</f>
        <v>1.0006</v>
      </c>
      <c r="K7" t="str">
        <f t="shared" si="0"/>
        <v>Ensure Relax minimum password length limits is set to Enabled</v>
      </c>
      <c r="L7" t="str">
        <f t="shared" si="1"/>
        <v>1.0006 - MSWRK - Ensure Relax minimum password length limits is set to Enabled</v>
      </c>
      <c r="M7" t="str">
        <f t="shared" si="2"/>
        <v>FAILED</v>
      </c>
      <c r="N7" s="1" t="s">
        <v>682</v>
      </c>
      <c r="O7" t="s">
        <v>67</v>
      </c>
      <c r="R7" t="s">
        <v>68</v>
      </c>
      <c r="T7" t="s">
        <v>69</v>
      </c>
      <c r="U7" t="s">
        <v>70</v>
      </c>
      <c r="W7" t="s">
        <v>71</v>
      </c>
      <c r="X7" s="1" t="s">
        <v>72</v>
      </c>
      <c r="Y7" t="s">
        <v>88</v>
      </c>
      <c r="Z7">
        <v>0</v>
      </c>
      <c r="AA7">
        <v>0</v>
      </c>
      <c r="AD7">
        <v>0</v>
      </c>
      <c r="AE7">
        <v>0</v>
      </c>
      <c r="AH7" t="s">
        <v>73</v>
      </c>
      <c r="AI7" t="s">
        <v>318</v>
      </c>
      <c r="AJ7" t="s">
        <v>319</v>
      </c>
      <c r="AK7" t="s">
        <v>76</v>
      </c>
      <c r="AN7" t="s">
        <v>77</v>
      </c>
      <c r="AO7" t="s">
        <v>320</v>
      </c>
      <c r="AP7" t="s">
        <v>681</v>
      </c>
      <c r="AQ7" t="s">
        <v>322</v>
      </c>
      <c r="AS7" t="b">
        <v>1</v>
      </c>
      <c r="AT7" t="s">
        <v>65</v>
      </c>
      <c r="AU7">
        <v>0</v>
      </c>
      <c r="AV7">
        <v>0</v>
      </c>
      <c r="AX7">
        <v>39</v>
      </c>
      <c r="AY7" t="s">
        <v>81</v>
      </c>
      <c r="AZ7" t="s">
        <v>90</v>
      </c>
      <c r="BB7" t="s">
        <v>91</v>
      </c>
      <c r="BC7" t="s">
        <v>92</v>
      </c>
      <c r="BD7" t="b">
        <v>0</v>
      </c>
      <c r="BE7" t="b">
        <v>0</v>
      </c>
      <c r="BF7" t="b">
        <v>0</v>
      </c>
      <c r="BG7" t="b">
        <v>0</v>
      </c>
      <c r="BH7" t="b">
        <v>0</v>
      </c>
      <c r="BI7" t="b">
        <v>0</v>
      </c>
      <c r="BJ7" t="b">
        <v>0</v>
      </c>
      <c r="BK7" t="b">
        <v>0</v>
      </c>
      <c r="BL7" t="b">
        <v>0</v>
      </c>
      <c r="BM7" t="b">
        <v>0</v>
      </c>
      <c r="BN7" t="b">
        <v>0</v>
      </c>
      <c r="BO7" t="b">
        <v>0</v>
      </c>
      <c r="BP7" t="b">
        <v>0</v>
      </c>
      <c r="BR7" t="b">
        <f>IF(M7="PASSED",VLOOKUP(J7,Current!$J$1:$N$500,1,FALSE))</f>
        <v>0</v>
      </c>
    </row>
    <row r="8" spans="1:70" ht="15" hidden="1" customHeight="1" x14ac:dyDescent="0.25">
      <c r="A8">
        <v>21156</v>
      </c>
      <c r="C8">
        <v>0</v>
      </c>
      <c r="D8" t="s">
        <v>65</v>
      </c>
      <c r="E8" t="s">
        <v>66</v>
      </c>
      <c r="F8" t="s">
        <v>84</v>
      </c>
      <c r="G8">
        <v>0</v>
      </c>
      <c r="H8" t="s">
        <v>85</v>
      </c>
      <c r="I8" t="s">
        <v>86</v>
      </c>
      <c r="J8" t="str">
        <f>MID($N8,FIND("1.",$N8),FIND("-",$N8)-FIND("1.",$N8)-1)</f>
        <v>1.0007</v>
      </c>
      <c r="K8" t="str">
        <f t="shared" si="0"/>
        <v>Ensure Store passwords using reversible encryption is set to Disabled</v>
      </c>
      <c r="L8" t="str">
        <f t="shared" si="1"/>
        <v>1.0007 - MSWRK - Ensure Store passwords using reversible encryption is set to Disabled</v>
      </c>
      <c r="M8" t="str">
        <f t="shared" si="2"/>
        <v>PASSED</v>
      </c>
      <c r="N8" s="1" t="s">
        <v>290</v>
      </c>
      <c r="O8" t="s">
        <v>67</v>
      </c>
      <c r="R8" t="s">
        <v>68</v>
      </c>
      <c r="T8" t="s">
        <v>69</v>
      </c>
      <c r="U8" t="s">
        <v>70</v>
      </c>
      <c r="W8" t="s">
        <v>71</v>
      </c>
      <c r="X8" s="1" t="s">
        <v>72</v>
      </c>
      <c r="Y8" t="s">
        <v>88</v>
      </c>
      <c r="Z8">
        <v>0</v>
      </c>
      <c r="AA8">
        <v>0</v>
      </c>
      <c r="AD8">
        <v>0</v>
      </c>
      <c r="AE8">
        <v>0</v>
      </c>
      <c r="AH8" t="s">
        <v>73</v>
      </c>
      <c r="AI8" t="s">
        <v>318</v>
      </c>
      <c r="AJ8" t="s">
        <v>319</v>
      </c>
      <c r="AK8" t="s">
        <v>76</v>
      </c>
      <c r="AN8" t="s">
        <v>77</v>
      </c>
      <c r="AO8" t="s">
        <v>320</v>
      </c>
      <c r="AP8" t="s">
        <v>381</v>
      </c>
      <c r="AQ8" t="s">
        <v>322</v>
      </c>
      <c r="AS8" t="b">
        <v>1</v>
      </c>
      <c r="AT8" t="s">
        <v>65</v>
      </c>
      <c r="AU8">
        <v>0</v>
      </c>
      <c r="AV8">
        <v>0</v>
      </c>
      <c r="AX8">
        <v>39</v>
      </c>
      <c r="AY8" t="s">
        <v>81</v>
      </c>
      <c r="AZ8" t="s">
        <v>90</v>
      </c>
      <c r="BB8" t="s">
        <v>91</v>
      </c>
      <c r="BC8" t="s">
        <v>92</v>
      </c>
      <c r="BD8" t="b">
        <v>0</v>
      </c>
      <c r="BE8" t="b">
        <v>0</v>
      </c>
      <c r="BF8" t="b">
        <v>0</v>
      </c>
      <c r="BG8" t="b">
        <v>0</v>
      </c>
      <c r="BH8" t="b">
        <v>0</v>
      </c>
      <c r="BI8" t="b">
        <v>0</v>
      </c>
      <c r="BJ8" t="b">
        <v>0</v>
      </c>
      <c r="BK8" t="b">
        <v>0</v>
      </c>
      <c r="BL8" t="b">
        <v>0</v>
      </c>
      <c r="BM8" t="b">
        <v>0</v>
      </c>
      <c r="BN8" t="b">
        <v>0</v>
      </c>
      <c r="BO8" t="b">
        <v>0</v>
      </c>
      <c r="BP8" t="b">
        <v>0</v>
      </c>
      <c r="BR8" t="str">
        <f>IFERROR(IF(M8="PASSED",VLOOKUP(J8,Current!$J$1:$N$500,1,FALSE)),N8)</f>
        <v>1.0007</v>
      </c>
    </row>
    <row r="9" spans="1:70" ht="15" hidden="1" customHeight="1" x14ac:dyDescent="0.25">
      <c r="A9">
        <v>21156</v>
      </c>
      <c r="C9">
        <v>0</v>
      </c>
      <c r="D9" t="s">
        <v>65</v>
      </c>
      <c r="E9" t="s">
        <v>66</v>
      </c>
      <c r="F9" t="s">
        <v>84</v>
      </c>
      <c r="G9">
        <v>0</v>
      </c>
      <c r="H9" t="s">
        <v>85</v>
      </c>
      <c r="I9" t="s">
        <v>86</v>
      </c>
      <c r="J9" t="str">
        <f>MID($N9,FIND("1.",$N9),FIND("-",$N9)-FIND("1.",$N9)-1)</f>
        <v>1.0008</v>
      </c>
      <c r="K9" t="str">
        <f t="shared" si="0"/>
        <v>Ensure Account lockout duration is set to 15 or more minute(s)</v>
      </c>
      <c r="L9" t="str">
        <f t="shared" si="1"/>
        <v>1.0008 - MSWRK - Ensure Account lockout duration is set to 15 or more minute(s)</v>
      </c>
      <c r="M9" t="str">
        <f t="shared" si="2"/>
        <v>PASSED</v>
      </c>
      <c r="N9" s="1" t="s">
        <v>257</v>
      </c>
      <c r="O9" t="s">
        <v>67</v>
      </c>
      <c r="R9" t="s">
        <v>68</v>
      </c>
      <c r="T9" t="s">
        <v>69</v>
      </c>
      <c r="U9" t="s">
        <v>70</v>
      </c>
      <c r="W9" t="s">
        <v>71</v>
      </c>
      <c r="X9" s="1" t="s">
        <v>72</v>
      </c>
      <c r="Y9" t="s">
        <v>88</v>
      </c>
      <c r="Z9">
        <v>0</v>
      </c>
      <c r="AA9">
        <v>0</v>
      </c>
      <c r="AD9">
        <v>0</v>
      </c>
      <c r="AE9">
        <v>0</v>
      </c>
      <c r="AH9" t="s">
        <v>73</v>
      </c>
      <c r="AI9" t="s">
        <v>318</v>
      </c>
      <c r="AJ9" t="s">
        <v>319</v>
      </c>
      <c r="AK9" t="s">
        <v>76</v>
      </c>
      <c r="AN9" t="s">
        <v>77</v>
      </c>
      <c r="AO9" t="s">
        <v>320</v>
      </c>
      <c r="AP9" t="s">
        <v>344</v>
      </c>
      <c r="AQ9" t="s">
        <v>322</v>
      </c>
      <c r="AS9" t="b">
        <v>1</v>
      </c>
      <c r="AT9" t="s">
        <v>65</v>
      </c>
      <c r="AU9">
        <v>0</v>
      </c>
      <c r="AV9">
        <v>0</v>
      </c>
      <c r="AX9">
        <v>39</v>
      </c>
      <c r="AY9" t="s">
        <v>81</v>
      </c>
      <c r="AZ9" t="s">
        <v>90</v>
      </c>
      <c r="BB9" t="s">
        <v>91</v>
      </c>
      <c r="BC9" t="s">
        <v>92</v>
      </c>
      <c r="BD9" t="b">
        <v>0</v>
      </c>
      <c r="BE9" t="b">
        <v>0</v>
      </c>
      <c r="BF9" t="b">
        <v>0</v>
      </c>
      <c r="BG9" t="b">
        <v>0</v>
      </c>
      <c r="BH9" t="b">
        <v>0</v>
      </c>
      <c r="BI9" t="b">
        <v>0</v>
      </c>
      <c r="BJ9" t="b">
        <v>0</v>
      </c>
      <c r="BK9" t="b">
        <v>0</v>
      </c>
      <c r="BL9" t="b">
        <v>0</v>
      </c>
      <c r="BM9" t="b">
        <v>0</v>
      </c>
      <c r="BN9" t="b">
        <v>0</v>
      </c>
      <c r="BO9" t="b">
        <v>0</v>
      </c>
      <c r="BP9" t="b">
        <v>0</v>
      </c>
      <c r="BR9" t="str">
        <f>IFERROR(IF(M9="PASSED",VLOOKUP(J9,Current!$J$1:$N$500,1,FALSE)),N9)</f>
        <v>1.0008</v>
      </c>
    </row>
    <row r="10" spans="1:70" ht="15" hidden="1" customHeight="1" x14ac:dyDescent="0.25">
      <c r="A10">
        <v>21156</v>
      </c>
      <c r="C10">
        <v>0</v>
      </c>
      <c r="D10" t="s">
        <v>65</v>
      </c>
      <c r="E10" t="s">
        <v>66</v>
      </c>
      <c r="F10" t="s">
        <v>84</v>
      </c>
      <c r="G10">
        <v>0</v>
      </c>
      <c r="H10" t="s">
        <v>85</v>
      </c>
      <c r="I10" t="s">
        <v>86</v>
      </c>
      <c r="J10" t="str">
        <f>MID($N10,FIND("1.",$N10),FIND("-",$N10)-FIND("1.",$N10)-1)</f>
        <v>1.0009</v>
      </c>
      <c r="K10" t="str">
        <f t="shared" si="0"/>
        <v>Ensure Account lockout threshold is set to 5 or fewer invalid logon attempt(s), but not 0</v>
      </c>
      <c r="L10" t="str">
        <f t="shared" si="1"/>
        <v>1.0009 - MSWRK - Ensure Account lockout threshold is set to 5 or fewer invalid logon attempt(s), but not 0</v>
      </c>
      <c r="M10" t="str">
        <f t="shared" si="2"/>
        <v>PASSED</v>
      </c>
      <c r="N10" s="1" t="s">
        <v>248</v>
      </c>
      <c r="O10" t="s">
        <v>67</v>
      </c>
      <c r="R10" t="s">
        <v>68</v>
      </c>
      <c r="T10" t="s">
        <v>69</v>
      </c>
      <c r="U10" t="s">
        <v>70</v>
      </c>
      <c r="W10" t="s">
        <v>71</v>
      </c>
      <c r="X10" s="1" t="s">
        <v>72</v>
      </c>
      <c r="Y10" t="s">
        <v>88</v>
      </c>
      <c r="Z10">
        <v>0</v>
      </c>
      <c r="AA10">
        <v>0</v>
      </c>
      <c r="AD10">
        <v>0</v>
      </c>
      <c r="AE10">
        <v>0</v>
      </c>
      <c r="AH10" t="s">
        <v>73</v>
      </c>
      <c r="AI10" t="s">
        <v>318</v>
      </c>
      <c r="AJ10" t="s">
        <v>319</v>
      </c>
      <c r="AK10" t="s">
        <v>76</v>
      </c>
      <c r="AN10" t="s">
        <v>77</v>
      </c>
      <c r="AO10" t="s">
        <v>320</v>
      </c>
      <c r="AP10" t="s">
        <v>624</v>
      </c>
      <c r="AQ10" t="s">
        <v>322</v>
      </c>
      <c r="AS10" t="b">
        <v>1</v>
      </c>
      <c r="AT10" t="s">
        <v>65</v>
      </c>
      <c r="AU10">
        <v>0</v>
      </c>
      <c r="AV10">
        <v>0</v>
      </c>
      <c r="AX10">
        <v>39</v>
      </c>
      <c r="AY10" t="s">
        <v>81</v>
      </c>
      <c r="AZ10" t="s">
        <v>90</v>
      </c>
      <c r="BB10" t="s">
        <v>91</v>
      </c>
      <c r="BC10" t="s">
        <v>92</v>
      </c>
      <c r="BD10" t="b">
        <v>0</v>
      </c>
      <c r="BE10" t="b">
        <v>0</v>
      </c>
      <c r="BF10" t="b">
        <v>0</v>
      </c>
      <c r="BG10" t="b">
        <v>0</v>
      </c>
      <c r="BH10" t="b">
        <v>0</v>
      </c>
      <c r="BI10" t="b">
        <v>0</v>
      </c>
      <c r="BJ10" t="b">
        <v>0</v>
      </c>
      <c r="BK10" t="b">
        <v>0</v>
      </c>
      <c r="BL10" t="b">
        <v>0</v>
      </c>
      <c r="BM10" t="b">
        <v>0</v>
      </c>
      <c r="BN10" t="b">
        <v>0</v>
      </c>
      <c r="BO10" t="b">
        <v>0</v>
      </c>
      <c r="BP10" t="b">
        <v>0</v>
      </c>
      <c r="BR10" t="str">
        <f>IFERROR(IF(M10="PASSED",VLOOKUP(J10,Current!$J$1:$N$500,1,FALSE)),N10)</f>
        <v>1.0009</v>
      </c>
    </row>
    <row r="11" spans="1:70" ht="15" hidden="1" customHeight="1" x14ac:dyDescent="0.25">
      <c r="A11">
        <v>21156</v>
      </c>
      <c r="C11">
        <v>0</v>
      </c>
      <c r="D11" t="s">
        <v>65</v>
      </c>
      <c r="E11" t="s">
        <v>66</v>
      </c>
      <c r="F11" t="s">
        <v>84</v>
      </c>
      <c r="G11">
        <v>0</v>
      </c>
      <c r="H11" t="s">
        <v>85</v>
      </c>
      <c r="I11" t="s">
        <v>86</v>
      </c>
      <c r="J11" t="str">
        <f>MID($N11,FIND("1.",$N11),FIND("-",$N11)-FIND("1.",$N11)-1)</f>
        <v>1.0010</v>
      </c>
      <c r="K11" t="str">
        <f t="shared" si="0"/>
        <v>Ensure Allow Administrator account lockout is set to Enabled</v>
      </c>
      <c r="L11" t="str">
        <f t="shared" si="1"/>
        <v>1.0010 - MSWRK - Ensure Allow Administrator account lockout is set to Enabled</v>
      </c>
      <c r="M11" t="str">
        <f t="shared" si="2"/>
        <v>PASSED</v>
      </c>
      <c r="N11" s="1" t="s">
        <v>102</v>
      </c>
      <c r="O11" t="s">
        <v>67</v>
      </c>
      <c r="R11" t="s">
        <v>68</v>
      </c>
      <c r="T11" t="s">
        <v>69</v>
      </c>
      <c r="U11" t="s">
        <v>70</v>
      </c>
      <c r="W11" t="s">
        <v>71</v>
      </c>
      <c r="X11" s="1" t="s">
        <v>72</v>
      </c>
      <c r="Y11" t="s">
        <v>88</v>
      </c>
      <c r="Z11">
        <v>0</v>
      </c>
      <c r="AA11">
        <v>0</v>
      </c>
      <c r="AD11">
        <v>0</v>
      </c>
      <c r="AE11">
        <v>0</v>
      </c>
      <c r="AH11" t="s">
        <v>73</v>
      </c>
      <c r="AI11" t="s">
        <v>318</v>
      </c>
      <c r="AJ11" t="s">
        <v>319</v>
      </c>
      <c r="AK11" t="s">
        <v>76</v>
      </c>
      <c r="AN11" t="s">
        <v>77</v>
      </c>
      <c r="AO11" t="s">
        <v>320</v>
      </c>
      <c r="AP11" t="s">
        <v>749</v>
      </c>
      <c r="AQ11" t="s">
        <v>322</v>
      </c>
      <c r="AS11" t="b">
        <v>1</v>
      </c>
      <c r="AT11" t="s">
        <v>65</v>
      </c>
      <c r="AU11">
        <v>0</v>
      </c>
      <c r="AV11">
        <v>0</v>
      </c>
      <c r="AX11">
        <v>39</v>
      </c>
      <c r="AY11" t="s">
        <v>81</v>
      </c>
      <c r="AZ11" t="s">
        <v>90</v>
      </c>
      <c r="BB11" t="s">
        <v>91</v>
      </c>
      <c r="BC11" t="s">
        <v>92</v>
      </c>
      <c r="BD11" t="b">
        <v>0</v>
      </c>
      <c r="BE11" t="b">
        <v>0</v>
      </c>
      <c r="BF11" t="b">
        <v>0</v>
      </c>
      <c r="BG11" t="b">
        <v>0</v>
      </c>
      <c r="BH11" t="b">
        <v>0</v>
      </c>
      <c r="BI11" t="b">
        <v>0</v>
      </c>
      <c r="BJ11" t="b">
        <v>0</v>
      </c>
      <c r="BK11" t="b">
        <v>0</v>
      </c>
      <c r="BL11" t="b">
        <v>0</v>
      </c>
      <c r="BM11" t="b">
        <v>0</v>
      </c>
      <c r="BN11" t="b">
        <v>0</v>
      </c>
      <c r="BO11" t="b">
        <v>0</v>
      </c>
      <c r="BP11" t="b">
        <v>0</v>
      </c>
      <c r="BR11" t="str">
        <f>IFERROR(IF(M11="PASSED",VLOOKUP(J11,Current!$J$1:$N$500,1,FALSE)),N11)</f>
        <v>1.0010</v>
      </c>
    </row>
    <row r="12" spans="1:70" ht="15" hidden="1" customHeight="1" x14ac:dyDescent="0.25">
      <c r="A12">
        <v>21156</v>
      </c>
      <c r="C12">
        <v>0</v>
      </c>
      <c r="D12" t="s">
        <v>65</v>
      </c>
      <c r="E12" t="s">
        <v>66</v>
      </c>
      <c r="F12" t="s">
        <v>84</v>
      </c>
      <c r="G12">
        <v>0</v>
      </c>
      <c r="H12" t="s">
        <v>85</v>
      </c>
      <c r="I12" t="s">
        <v>86</v>
      </c>
      <c r="J12" t="str">
        <f>MID($N12,FIND("1.",$N12),FIND("-",$N12)-FIND("1.",$N12)-1)</f>
        <v>1.0011</v>
      </c>
      <c r="K12" t="str">
        <f t="shared" si="0"/>
        <v>Ensure Reset account lockout counter after is set to 15 or more minute(s)</v>
      </c>
      <c r="L12" t="str">
        <f t="shared" si="1"/>
        <v>1.0011 - MSWRK - Ensure Reset account lockout counter after is set to 15 or more minute(s)</v>
      </c>
      <c r="M12" t="str">
        <f t="shared" si="2"/>
        <v>PASSED</v>
      </c>
      <c r="N12" s="1" t="s">
        <v>145</v>
      </c>
      <c r="O12" t="s">
        <v>67</v>
      </c>
      <c r="R12" t="s">
        <v>68</v>
      </c>
      <c r="T12" t="s">
        <v>69</v>
      </c>
      <c r="U12" t="s">
        <v>70</v>
      </c>
      <c r="W12" t="s">
        <v>71</v>
      </c>
      <c r="X12" s="1" t="s">
        <v>72</v>
      </c>
      <c r="Y12" t="s">
        <v>88</v>
      </c>
      <c r="Z12">
        <v>0</v>
      </c>
      <c r="AA12">
        <v>0</v>
      </c>
      <c r="AD12">
        <v>0</v>
      </c>
      <c r="AE12">
        <v>0</v>
      </c>
      <c r="AH12" t="s">
        <v>73</v>
      </c>
      <c r="AI12" t="s">
        <v>318</v>
      </c>
      <c r="AJ12" t="s">
        <v>319</v>
      </c>
      <c r="AK12" t="s">
        <v>76</v>
      </c>
      <c r="AN12" t="s">
        <v>77</v>
      </c>
      <c r="AO12" t="s">
        <v>320</v>
      </c>
      <c r="AP12" t="s">
        <v>761</v>
      </c>
      <c r="AQ12" t="s">
        <v>322</v>
      </c>
      <c r="AS12" t="b">
        <v>1</v>
      </c>
      <c r="AT12" t="s">
        <v>65</v>
      </c>
      <c r="AU12">
        <v>0</v>
      </c>
      <c r="AV12">
        <v>0</v>
      </c>
      <c r="AX12">
        <v>39</v>
      </c>
      <c r="AY12" t="s">
        <v>81</v>
      </c>
      <c r="AZ12" t="s">
        <v>90</v>
      </c>
      <c r="BB12" t="s">
        <v>91</v>
      </c>
      <c r="BC12" t="s">
        <v>92</v>
      </c>
      <c r="BD12" t="b">
        <v>0</v>
      </c>
      <c r="BE12" t="b">
        <v>0</v>
      </c>
      <c r="BF12" t="b">
        <v>0</v>
      </c>
      <c r="BG12" t="b">
        <v>0</v>
      </c>
      <c r="BH12" t="b">
        <v>0</v>
      </c>
      <c r="BI12" t="b">
        <v>0</v>
      </c>
      <c r="BJ12" t="b">
        <v>0</v>
      </c>
      <c r="BK12" t="b">
        <v>0</v>
      </c>
      <c r="BL12" t="b">
        <v>0</v>
      </c>
      <c r="BM12" t="b">
        <v>0</v>
      </c>
      <c r="BN12" t="b">
        <v>0</v>
      </c>
      <c r="BO12" t="b">
        <v>0</v>
      </c>
      <c r="BP12" t="b">
        <v>0</v>
      </c>
      <c r="BR12" t="str">
        <f>IFERROR(IF(M12="PASSED",VLOOKUP(J12,Current!$J$1:$N$500,1,FALSE)),N12)</f>
        <v>1.0011</v>
      </c>
    </row>
    <row r="13" spans="1:70" ht="15" customHeight="1" x14ac:dyDescent="0.25">
      <c r="A13">
        <v>21156</v>
      </c>
      <c r="C13">
        <v>0</v>
      </c>
      <c r="D13" t="s">
        <v>65</v>
      </c>
      <c r="E13" t="s">
        <v>66</v>
      </c>
      <c r="F13" t="s">
        <v>84</v>
      </c>
      <c r="G13">
        <v>0</v>
      </c>
      <c r="H13" t="s">
        <v>85</v>
      </c>
      <c r="I13" t="s">
        <v>86</v>
      </c>
      <c r="J13" t="str">
        <f>MID($N13,FIND("1.",$N13),FIND("-",$N13)-FIND("1.",$N13)-1)</f>
        <v>1.0012</v>
      </c>
      <c r="K13" t="str">
        <f t="shared" si="0"/>
        <v>Ensure Audit Credential Validation is set to Success and Failure</v>
      </c>
      <c r="L13" t="str">
        <f t="shared" si="1"/>
        <v>1.0012 - MSWRK - Ensure Audit Credential Validation is set to Success and Failure</v>
      </c>
      <c r="M13" t="str">
        <f t="shared" si="2"/>
        <v>PASSED</v>
      </c>
      <c r="N13" s="1" t="s">
        <v>652</v>
      </c>
      <c r="O13" t="s">
        <v>67</v>
      </c>
      <c r="R13" t="s">
        <v>68</v>
      </c>
      <c r="T13" t="s">
        <v>69</v>
      </c>
      <c r="U13" t="s">
        <v>70</v>
      </c>
      <c r="W13" t="s">
        <v>71</v>
      </c>
      <c r="X13" s="1" t="s">
        <v>72</v>
      </c>
      <c r="Y13" t="s">
        <v>88</v>
      </c>
      <c r="Z13">
        <v>0</v>
      </c>
      <c r="AA13">
        <v>0</v>
      </c>
      <c r="AD13">
        <v>0</v>
      </c>
      <c r="AE13">
        <v>0</v>
      </c>
      <c r="AH13" t="s">
        <v>73</v>
      </c>
      <c r="AI13" t="s">
        <v>318</v>
      </c>
      <c r="AJ13" t="s">
        <v>319</v>
      </c>
      <c r="AK13" t="s">
        <v>76</v>
      </c>
      <c r="AN13" t="s">
        <v>77</v>
      </c>
      <c r="AO13" t="s">
        <v>320</v>
      </c>
      <c r="AP13" t="s">
        <v>651</v>
      </c>
      <c r="AQ13" t="s">
        <v>322</v>
      </c>
      <c r="AS13" t="b">
        <v>1</v>
      </c>
      <c r="AT13" t="s">
        <v>65</v>
      </c>
      <c r="AU13">
        <v>0</v>
      </c>
      <c r="AV13">
        <v>0</v>
      </c>
      <c r="AX13">
        <v>39</v>
      </c>
      <c r="AY13" t="s">
        <v>81</v>
      </c>
      <c r="AZ13" t="s">
        <v>90</v>
      </c>
      <c r="BB13" t="s">
        <v>91</v>
      </c>
      <c r="BC13" t="s">
        <v>92</v>
      </c>
      <c r="BD13" t="b">
        <v>0</v>
      </c>
      <c r="BE13" t="b">
        <v>0</v>
      </c>
      <c r="BF13" t="b">
        <v>0</v>
      </c>
      <c r="BG13" t="b">
        <v>0</v>
      </c>
      <c r="BH13" t="b">
        <v>0</v>
      </c>
      <c r="BI13" t="b">
        <v>0</v>
      </c>
      <c r="BJ13" t="b">
        <v>0</v>
      </c>
      <c r="BK13" t="b">
        <v>0</v>
      </c>
      <c r="BL13" t="b">
        <v>0</v>
      </c>
      <c r="BM13" t="b">
        <v>0</v>
      </c>
      <c r="BN13" t="b">
        <v>0</v>
      </c>
      <c r="BO13" t="b">
        <v>0</v>
      </c>
      <c r="BP13" t="b">
        <v>0</v>
      </c>
      <c r="BR13" t="str">
        <f>IFERROR(IF(M13="PASSED",VLOOKUP(J13,Current!$J$1:$N$500,1,FALSE)),N13)</f>
        <v>"1.0012 - MSWRK - Ensure Audit Credential Validation is set to Success and Failure: [PASSED]"
This subcategory reports the results of validation tests on credentials submitted for a user account logon request.
See Also:
See HTH Policies and Standards
Reference:
NIST 800-53r5|AU-3 AU-3(1) AU-7 AU-12
Policy Value:
'Success and Failure'
Actual Value:
'Success and Failure'</v>
      </c>
    </row>
    <row r="14" spans="1:70" ht="15" customHeight="1" x14ac:dyDescent="0.25">
      <c r="A14">
        <v>21156</v>
      </c>
      <c r="C14">
        <v>0</v>
      </c>
      <c r="D14" t="s">
        <v>65</v>
      </c>
      <c r="E14" t="s">
        <v>66</v>
      </c>
      <c r="F14" t="s">
        <v>84</v>
      </c>
      <c r="G14">
        <v>0</v>
      </c>
      <c r="H14" t="s">
        <v>85</v>
      </c>
      <c r="I14" t="s">
        <v>86</v>
      </c>
      <c r="J14" t="str">
        <f>MID($N14,FIND("1.",$N14),FIND("-",$N14)-FIND("1.",$N14)-1)</f>
        <v>1.0013</v>
      </c>
      <c r="K14" t="str">
        <f t="shared" si="0"/>
        <v>Ensure Audit Application Group Management is set to Success and Failure</v>
      </c>
      <c r="L14" t="str">
        <f t="shared" si="1"/>
        <v>1.0013 - MSWRK - Ensure Audit Application Group Management is set to Success and Failure</v>
      </c>
      <c r="M14" t="str">
        <f t="shared" si="2"/>
        <v>PASSED</v>
      </c>
      <c r="N14" s="1" t="s">
        <v>373</v>
      </c>
      <c r="O14" t="s">
        <v>67</v>
      </c>
      <c r="R14" t="s">
        <v>68</v>
      </c>
      <c r="T14" t="s">
        <v>69</v>
      </c>
      <c r="U14" t="s">
        <v>70</v>
      </c>
      <c r="W14" t="s">
        <v>71</v>
      </c>
      <c r="X14" s="1" t="s">
        <v>72</v>
      </c>
      <c r="Y14" t="s">
        <v>88</v>
      </c>
      <c r="Z14">
        <v>0</v>
      </c>
      <c r="AA14">
        <v>0</v>
      </c>
      <c r="AD14">
        <v>0</v>
      </c>
      <c r="AE14">
        <v>0</v>
      </c>
      <c r="AH14" t="s">
        <v>73</v>
      </c>
      <c r="AI14" t="s">
        <v>318</v>
      </c>
      <c r="AJ14" t="s">
        <v>319</v>
      </c>
      <c r="AK14" t="s">
        <v>76</v>
      </c>
      <c r="AN14" t="s">
        <v>77</v>
      </c>
      <c r="AO14" t="s">
        <v>320</v>
      </c>
      <c r="AP14" t="s">
        <v>372</v>
      </c>
      <c r="AQ14" t="s">
        <v>322</v>
      </c>
      <c r="AS14" t="b">
        <v>1</v>
      </c>
      <c r="AT14" t="s">
        <v>65</v>
      </c>
      <c r="AU14">
        <v>0</v>
      </c>
      <c r="AV14">
        <v>0</v>
      </c>
      <c r="AX14">
        <v>39</v>
      </c>
      <c r="AY14" t="s">
        <v>81</v>
      </c>
      <c r="AZ14" t="s">
        <v>90</v>
      </c>
      <c r="BB14" t="s">
        <v>91</v>
      </c>
      <c r="BC14" t="s">
        <v>92</v>
      </c>
      <c r="BD14" t="b">
        <v>0</v>
      </c>
      <c r="BE14" t="b">
        <v>0</v>
      </c>
      <c r="BF14" t="b">
        <v>0</v>
      </c>
      <c r="BG14" t="b">
        <v>0</v>
      </c>
      <c r="BH14" t="b">
        <v>0</v>
      </c>
      <c r="BI14" t="b">
        <v>0</v>
      </c>
      <c r="BJ14" t="b">
        <v>0</v>
      </c>
      <c r="BK14" t="b">
        <v>0</v>
      </c>
      <c r="BL14" t="b">
        <v>0</v>
      </c>
      <c r="BM14" t="b">
        <v>0</v>
      </c>
      <c r="BN14" t="b">
        <v>0</v>
      </c>
      <c r="BO14" t="b">
        <v>0</v>
      </c>
      <c r="BP14" t="b">
        <v>0</v>
      </c>
      <c r="BR14" t="str">
        <f>IFERROR(IF(M14="PASSED",VLOOKUP(J14,Current!$J$1:$N$500,1,FALSE)),N14)</f>
        <v>"1.0013 - MSWRK - Ensure Audit Application Group Management is set to Success and Failure: [PASSED]"
This policy setting allows you to audit events generated by changes to application groups such as the following: - Application group is created, changed, or deleted.
See Also:
See HTH Policies and Standards
Reference:
NIST 800-53r5|AU-3 AU-3(1) AU-7 AU-12
Policy Value:
'Success and Failure'
Actual Value:
'Success and Failure'</v>
      </c>
    </row>
    <row r="15" spans="1:70" ht="15" customHeight="1" x14ac:dyDescent="0.25">
      <c r="A15">
        <v>21156</v>
      </c>
      <c r="C15">
        <v>0</v>
      </c>
      <c r="D15" t="s">
        <v>65</v>
      </c>
      <c r="E15" t="s">
        <v>66</v>
      </c>
      <c r="F15" t="s">
        <v>84</v>
      </c>
      <c r="G15">
        <v>0</v>
      </c>
      <c r="H15" t="s">
        <v>85</v>
      </c>
      <c r="I15" t="s">
        <v>86</v>
      </c>
      <c r="J15" t="str">
        <f>MID($N15,FIND("1.",$N15),FIND("-",$N15)-FIND("1.",$N15)-1)</f>
        <v>1.0014</v>
      </c>
      <c r="K15" t="str">
        <f t="shared" si="0"/>
        <v>Ensure Audit Security Group Management is set to include Success</v>
      </c>
      <c r="L15" t="str">
        <f t="shared" si="1"/>
        <v>1.0014 - MSWRK - Ensure Audit Security Group Management is set to include Success</v>
      </c>
      <c r="M15" t="str">
        <f t="shared" si="2"/>
        <v>PASSED</v>
      </c>
      <c r="N15" s="1" t="s">
        <v>660</v>
      </c>
      <c r="O15" t="s">
        <v>67</v>
      </c>
      <c r="R15" t="s">
        <v>68</v>
      </c>
      <c r="T15" t="s">
        <v>69</v>
      </c>
      <c r="U15" t="s">
        <v>70</v>
      </c>
      <c r="W15" t="s">
        <v>71</v>
      </c>
      <c r="X15" s="1" t="s">
        <v>72</v>
      </c>
      <c r="Y15" t="s">
        <v>88</v>
      </c>
      <c r="Z15">
        <v>0</v>
      </c>
      <c r="AA15">
        <v>0</v>
      </c>
      <c r="AD15">
        <v>0</v>
      </c>
      <c r="AE15">
        <v>0</v>
      </c>
      <c r="AH15" t="s">
        <v>73</v>
      </c>
      <c r="AI15" t="s">
        <v>318</v>
      </c>
      <c r="AJ15" t="s">
        <v>319</v>
      </c>
      <c r="AK15" t="s">
        <v>76</v>
      </c>
      <c r="AN15" t="s">
        <v>77</v>
      </c>
      <c r="AO15" t="s">
        <v>320</v>
      </c>
      <c r="AP15" t="s">
        <v>659</v>
      </c>
      <c r="AQ15" t="s">
        <v>322</v>
      </c>
      <c r="AS15" t="b">
        <v>1</v>
      </c>
      <c r="AT15" t="s">
        <v>65</v>
      </c>
      <c r="AU15">
        <v>0</v>
      </c>
      <c r="AV15">
        <v>0</v>
      </c>
      <c r="AX15">
        <v>39</v>
      </c>
      <c r="AY15" t="s">
        <v>81</v>
      </c>
      <c r="AZ15" t="s">
        <v>90</v>
      </c>
      <c r="BB15" t="s">
        <v>91</v>
      </c>
      <c r="BC15" t="s">
        <v>92</v>
      </c>
      <c r="BD15" t="b">
        <v>0</v>
      </c>
      <c r="BE15" t="b">
        <v>0</v>
      </c>
      <c r="BF15" t="b">
        <v>0</v>
      </c>
      <c r="BG15" t="b">
        <v>0</v>
      </c>
      <c r="BH15" t="b">
        <v>0</v>
      </c>
      <c r="BI15" t="b">
        <v>0</v>
      </c>
      <c r="BJ15" t="b">
        <v>0</v>
      </c>
      <c r="BK15" t="b">
        <v>0</v>
      </c>
      <c r="BL15" t="b">
        <v>0</v>
      </c>
      <c r="BM15" t="b">
        <v>0</v>
      </c>
      <c r="BN15" t="b">
        <v>0</v>
      </c>
      <c r="BO15" t="b">
        <v>0</v>
      </c>
      <c r="BP15" t="b">
        <v>0</v>
      </c>
      <c r="BR15" t="str">
        <f>IFERROR(IF(M15="PASSED",VLOOKUP(J15,Current!$J$1:$N$500,1,FALSE)),N15)</f>
        <v>"1.0014 - MSWRK - Ensure Audit Security Group Management is set to include Success: [PASSED]"
This subcategory reports each event of security group management, such as when a security group is created, changed, or deleted or when a member is added to or removed from a security group.
See Also:
See HTH Policies and Standards
Reference:
NIST 800-53r5|AU-3 AU-3(1) AU-7 AU-12
Policy Value:
'^(Success|Success\ and\ Failure)$'
Actual Value:
'Success'</v>
      </c>
    </row>
    <row r="16" spans="1:70" ht="15" customHeight="1" x14ac:dyDescent="0.25">
      <c r="A16">
        <v>21156</v>
      </c>
      <c r="C16">
        <v>0</v>
      </c>
      <c r="D16" t="s">
        <v>65</v>
      </c>
      <c r="E16" t="s">
        <v>66</v>
      </c>
      <c r="F16" t="s">
        <v>84</v>
      </c>
      <c r="G16">
        <v>0</v>
      </c>
      <c r="H16" t="s">
        <v>85</v>
      </c>
      <c r="I16" t="s">
        <v>86</v>
      </c>
      <c r="J16" t="str">
        <f>MID($N16,FIND("1.",$N16),FIND("-",$N16)-FIND("1.",$N16)-1)</f>
        <v>1.0015</v>
      </c>
      <c r="K16" t="str">
        <f t="shared" si="0"/>
        <v>Ensure Audit User Account Management is set to Success and Failure</v>
      </c>
      <c r="L16" t="str">
        <f t="shared" si="1"/>
        <v>1.0015 - MSWRK - Ensure Audit User Account Management is set to Success and Failure</v>
      </c>
      <c r="M16" t="str">
        <f t="shared" si="2"/>
        <v>PASSED</v>
      </c>
      <c r="N16" s="1" t="s">
        <v>653</v>
      </c>
      <c r="O16" t="s">
        <v>67</v>
      </c>
      <c r="R16" t="s">
        <v>68</v>
      </c>
      <c r="T16" t="s">
        <v>69</v>
      </c>
      <c r="U16" t="s">
        <v>70</v>
      </c>
      <c r="W16" t="s">
        <v>71</v>
      </c>
      <c r="X16" s="1" t="s">
        <v>72</v>
      </c>
      <c r="Y16" t="s">
        <v>88</v>
      </c>
      <c r="Z16">
        <v>0</v>
      </c>
      <c r="AA16">
        <v>0</v>
      </c>
      <c r="AD16">
        <v>0</v>
      </c>
      <c r="AE16">
        <v>0</v>
      </c>
      <c r="AH16" t="s">
        <v>73</v>
      </c>
      <c r="AI16" t="s">
        <v>318</v>
      </c>
      <c r="AJ16" t="s">
        <v>319</v>
      </c>
      <c r="AK16" t="s">
        <v>76</v>
      </c>
      <c r="AN16" t="s">
        <v>77</v>
      </c>
      <c r="AO16" t="s">
        <v>320</v>
      </c>
      <c r="AP16" t="s">
        <v>651</v>
      </c>
      <c r="AQ16" t="s">
        <v>322</v>
      </c>
      <c r="AS16" t="b">
        <v>1</v>
      </c>
      <c r="AT16" t="s">
        <v>65</v>
      </c>
      <c r="AU16">
        <v>0</v>
      </c>
      <c r="AV16">
        <v>0</v>
      </c>
      <c r="AX16">
        <v>39</v>
      </c>
      <c r="AY16" t="s">
        <v>81</v>
      </c>
      <c r="AZ16" t="s">
        <v>90</v>
      </c>
      <c r="BB16" t="s">
        <v>91</v>
      </c>
      <c r="BC16" t="s">
        <v>92</v>
      </c>
      <c r="BD16" t="b">
        <v>0</v>
      </c>
      <c r="BE16" t="b">
        <v>0</v>
      </c>
      <c r="BF16" t="b">
        <v>0</v>
      </c>
      <c r="BG16" t="b">
        <v>0</v>
      </c>
      <c r="BH16" t="b">
        <v>0</v>
      </c>
      <c r="BI16" t="b">
        <v>0</v>
      </c>
      <c r="BJ16" t="b">
        <v>0</v>
      </c>
      <c r="BK16" t="b">
        <v>0</v>
      </c>
      <c r="BL16" t="b">
        <v>0</v>
      </c>
      <c r="BM16" t="b">
        <v>0</v>
      </c>
      <c r="BN16" t="b">
        <v>0</v>
      </c>
      <c r="BO16" t="b">
        <v>0</v>
      </c>
      <c r="BP16" t="b">
        <v>0</v>
      </c>
      <c r="BR16" t="str">
        <f>IFERROR(IF(M16="PASSED",VLOOKUP(J16,Current!$J$1:$N$500,1,FALSE)),N16)</f>
        <v>"1.0015 - MSWRK - Ensure Audit User Account Management is set to Success and Failure: [PASSED]"
This subcategory reports each event of user account management, such as when a user account is created, changed, or deleted; a user account is renamed, disabled, or enabled; or a password is set or changed.
See Also:
See HTH Policies and Standards
Reference:
NIST 800-53r5|AU-3 AU-3(1) AU-7 AU-12
Policy Value:
'Success and Failure'
Actual Value:
'Success and Failure'</v>
      </c>
    </row>
    <row r="17" spans="1:70" ht="15" customHeight="1" x14ac:dyDescent="0.25">
      <c r="A17">
        <v>21156</v>
      </c>
      <c r="C17">
        <v>0</v>
      </c>
      <c r="D17" t="s">
        <v>65</v>
      </c>
      <c r="E17" t="s">
        <v>66</v>
      </c>
      <c r="F17" t="s">
        <v>84</v>
      </c>
      <c r="G17">
        <v>0</v>
      </c>
      <c r="H17" t="s">
        <v>85</v>
      </c>
      <c r="I17" t="s">
        <v>86</v>
      </c>
      <c r="J17" t="str">
        <f>MID($N17,FIND("1.",$N17),FIND("-",$N17)-FIND("1.",$N17)-1)</f>
        <v>1.0016</v>
      </c>
      <c r="K17" t="str">
        <f t="shared" si="0"/>
        <v>Ensure Audit PNP Activity is set to include Success</v>
      </c>
      <c r="L17" t="str">
        <f t="shared" si="1"/>
        <v>1.0016 - MSWRK - Ensure Audit PNP Activity is set to include Success</v>
      </c>
      <c r="M17" t="str">
        <f t="shared" si="2"/>
        <v>PASSED</v>
      </c>
      <c r="N17" s="1" t="s">
        <v>750</v>
      </c>
      <c r="O17" t="s">
        <v>67</v>
      </c>
      <c r="R17" t="s">
        <v>68</v>
      </c>
      <c r="T17" t="s">
        <v>69</v>
      </c>
      <c r="U17" t="s">
        <v>70</v>
      </c>
      <c r="W17" t="s">
        <v>71</v>
      </c>
      <c r="X17" s="1" t="s">
        <v>72</v>
      </c>
      <c r="Y17" t="s">
        <v>88</v>
      </c>
      <c r="Z17">
        <v>0</v>
      </c>
      <c r="AA17">
        <v>0</v>
      </c>
      <c r="AD17">
        <v>0</v>
      </c>
      <c r="AE17">
        <v>0</v>
      </c>
      <c r="AH17" t="s">
        <v>73</v>
      </c>
      <c r="AI17" t="s">
        <v>318</v>
      </c>
      <c r="AJ17" t="s">
        <v>319</v>
      </c>
      <c r="AK17" t="s">
        <v>76</v>
      </c>
      <c r="AN17" t="s">
        <v>77</v>
      </c>
      <c r="AO17" t="s">
        <v>320</v>
      </c>
      <c r="AP17" t="s">
        <v>749</v>
      </c>
      <c r="AQ17" t="s">
        <v>322</v>
      </c>
      <c r="AS17" t="b">
        <v>1</v>
      </c>
      <c r="AT17" t="s">
        <v>65</v>
      </c>
      <c r="AU17">
        <v>0</v>
      </c>
      <c r="AV17">
        <v>0</v>
      </c>
      <c r="AX17">
        <v>39</v>
      </c>
      <c r="AY17" t="s">
        <v>81</v>
      </c>
      <c r="AZ17" t="s">
        <v>90</v>
      </c>
      <c r="BB17" t="s">
        <v>91</v>
      </c>
      <c r="BC17" t="s">
        <v>92</v>
      </c>
      <c r="BD17" t="b">
        <v>0</v>
      </c>
      <c r="BE17" t="b">
        <v>0</v>
      </c>
      <c r="BF17" t="b">
        <v>0</v>
      </c>
      <c r="BG17" t="b">
        <v>0</v>
      </c>
      <c r="BH17" t="b">
        <v>0</v>
      </c>
      <c r="BI17" t="b">
        <v>0</v>
      </c>
      <c r="BJ17" t="b">
        <v>0</v>
      </c>
      <c r="BK17" t="b">
        <v>0</v>
      </c>
      <c r="BL17" t="b">
        <v>0</v>
      </c>
      <c r="BM17" t="b">
        <v>0</v>
      </c>
      <c r="BN17" t="b">
        <v>0</v>
      </c>
      <c r="BO17" t="b">
        <v>0</v>
      </c>
      <c r="BP17" t="b">
        <v>0</v>
      </c>
      <c r="BR17" t="str">
        <f>IFERROR(IF(M17="PASSED",VLOOKUP(J17,Current!$J$1:$N$500,1,FALSE)),N17)</f>
        <v>"1.0016 - MSWRK - Ensure Audit PNP Activity is set to include Success: [PASSED]"
This policy setting allows you to audit when plug and play detects an external device.
See Also:
See HTH Policies and Standards
Reference:
NIST 800-53r5|AU-3 AU-3(1) AU-7 AU-12
Policy Value:
'^(Success|Success\ and\ Failure)$'
Actual Value:
'Success'</v>
      </c>
    </row>
    <row r="18" spans="1:70" ht="15" customHeight="1" x14ac:dyDescent="0.25">
      <c r="A18">
        <v>21156</v>
      </c>
      <c r="C18">
        <v>0</v>
      </c>
      <c r="D18" t="s">
        <v>65</v>
      </c>
      <c r="E18" t="s">
        <v>66</v>
      </c>
      <c r="F18" t="s">
        <v>84</v>
      </c>
      <c r="G18">
        <v>0</v>
      </c>
      <c r="H18" t="s">
        <v>85</v>
      </c>
      <c r="I18" t="s">
        <v>86</v>
      </c>
      <c r="J18" t="str">
        <f>MID($N18,FIND("1.",$N18),FIND("-",$N18)-FIND("1.",$N18)-1)</f>
        <v>1.0017</v>
      </c>
      <c r="K18" t="str">
        <f t="shared" si="0"/>
        <v>Ensure Audit Process Creation is set to include Success</v>
      </c>
      <c r="L18" t="str">
        <f t="shared" si="1"/>
        <v>1.0017 - MSWRK - Ensure Audit Process Creation is set to include Success</v>
      </c>
      <c r="M18" t="str">
        <f t="shared" si="2"/>
        <v>PASSED</v>
      </c>
      <c r="N18" s="1" t="s">
        <v>572</v>
      </c>
      <c r="O18" t="s">
        <v>67</v>
      </c>
      <c r="R18" t="s">
        <v>68</v>
      </c>
      <c r="T18" t="s">
        <v>69</v>
      </c>
      <c r="U18" t="s">
        <v>70</v>
      </c>
      <c r="W18" t="s">
        <v>71</v>
      </c>
      <c r="X18" s="1" t="s">
        <v>72</v>
      </c>
      <c r="Y18" t="s">
        <v>88</v>
      </c>
      <c r="Z18">
        <v>0</v>
      </c>
      <c r="AA18">
        <v>0</v>
      </c>
      <c r="AD18">
        <v>0</v>
      </c>
      <c r="AE18">
        <v>0</v>
      </c>
      <c r="AH18" t="s">
        <v>73</v>
      </c>
      <c r="AI18" t="s">
        <v>318</v>
      </c>
      <c r="AJ18" t="s">
        <v>319</v>
      </c>
      <c r="AK18" t="s">
        <v>76</v>
      </c>
      <c r="AN18" t="s">
        <v>77</v>
      </c>
      <c r="AO18" t="s">
        <v>320</v>
      </c>
      <c r="AP18" t="s">
        <v>571</v>
      </c>
      <c r="AQ18" t="s">
        <v>322</v>
      </c>
      <c r="AS18" t="b">
        <v>1</v>
      </c>
      <c r="AT18" t="s">
        <v>65</v>
      </c>
      <c r="AU18">
        <v>0</v>
      </c>
      <c r="AV18">
        <v>0</v>
      </c>
      <c r="AX18">
        <v>39</v>
      </c>
      <c r="AY18" t="s">
        <v>81</v>
      </c>
      <c r="AZ18" t="s">
        <v>90</v>
      </c>
      <c r="BB18" t="s">
        <v>91</v>
      </c>
      <c r="BC18" t="s">
        <v>92</v>
      </c>
      <c r="BD18" t="b">
        <v>0</v>
      </c>
      <c r="BE18" t="b">
        <v>0</v>
      </c>
      <c r="BF18" t="b">
        <v>0</v>
      </c>
      <c r="BG18" t="b">
        <v>0</v>
      </c>
      <c r="BH18" t="b">
        <v>0</v>
      </c>
      <c r="BI18" t="b">
        <v>0</v>
      </c>
      <c r="BJ18" t="b">
        <v>0</v>
      </c>
      <c r="BK18" t="b">
        <v>0</v>
      </c>
      <c r="BL18" t="b">
        <v>0</v>
      </c>
      <c r="BM18" t="b">
        <v>0</v>
      </c>
      <c r="BN18" t="b">
        <v>0</v>
      </c>
      <c r="BO18" t="b">
        <v>0</v>
      </c>
      <c r="BP18" t="b">
        <v>0</v>
      </c>
      <c r="BR18" t="str">
        <f>IFERROR(IF(M18="PASSED",VLOOKUP(J18,Current!$J$1:$N$500,1,FALSE)),N18)</f>
        <v>"1.0017 - MSWRK - Ensure Audit Process Creation is set to include Success: [PASSED]"
This subcategory reports the creation of a process and the name of the program or user that created it.
See Also:
See HTH Policies and Standards
Reference:
NIST 800-53r5|AU-3 AU-3(1) AU-7 AU-12
Policy Value:
'^(Success|Success\ and\ Failure)$'
Actual Value:
'Success'</v>
      </c>
    </row>
    <row r="19" spans="1:70" ht="15" hidden="1" customHeight="1" x14ac:dyDescent="0.25">
      <c r="A19">
        <v>21156</v>
      </c>
      <c r="C19">
        <v>0</v>
      </c>
      <c r="D19" t="s">
        <v>65</v>
      </c>
      <c r="E19" t="s">
        <v>66</v>
      </c>
      <c r="F19" t="s">
        <v>84</v>
      </c>
      <c r="G19">
        <v>0</v>
      </c>
      <c r="H19" t="s">
        <v>85</v>
      </c>
      <c r="I19" t="s">
        <v>86</v>
      </c>
      <c r="J19" t="str">
        <f>MID($N19,FIND("1.",$N19),FIND("-",$N19)-FIND("1.",$N19)-1)</f>
        <v>1.0018</v>
      </c>
      <c r="K19" t="str">
        <f t="shared" si="0"/>
        <v>Ensure Audit Account Lockout is set to include Failure</v>
      </c>
      <c r="L19" t="str">
        <f t="shared" si="1"/>
        <v>1.0018 - MSWRK - Ensure Audit Account Lockout is set to include Failure</v>
      </c>
      <c r="M19" t="str">
        <f t="shared" si="2"/>
        <v>PASSED</v>
      </c>
      <c r="N19" s="1" t="s">
        <v>159</v>
      </c>
      <c r="O19" t="s">
        <v>67</v>
      </c>
      <c r="R19" t="s">
        <v>68</v>
      </c>
      <c r="T19" t="s">
        <v>69</v>
      </c>
      <c r="U19" t="s">
        <v>70</v>
      </c>
      <c r="W19" t="s">
        <v>71</v>
      </c>
      <c r="X19" s="1" t="s">
        <v>72</v>
      </c>
      <c r="Y19" t="s">
        <v>88</v>
      </c>
      <c r="Z19">
        <v>0</v>
      </c>
      <c r="AA19">
        <v>0</v>
      </c>
      <c r="AD19">
        <v>0</v>
      </c>
      <c r="AE19">
        <v>0</v>
      </c>
      <c r="AH19" t="s">
        <v>73</v>
      </c>
      <c r="AI19" t="s">
        <v>318</v>
      </c>
      <c r="AJ19" t="s">
        <v>319</v>
      </c>
      <c r="AK19" t="s">
        <v>76</v>
      </c>
      <c r="AN19" t="s">
        <v>77</v>
      </c>
      <c r="AO19" t="s">
        <v>320</v>
      </c>
      <c r="AP19" t="s">
        <v>410</v>
      </c>
      <c r="AQ19" t="s">
        <v>322</v>
      </c>
      <c r="AS19" t="b">
        <v>1</v>
      </c>
      <c r="AT19" t="s">
        <v>65</v>
      </c>
      <c r="AU19">
        <v>0</v>
      </c>
      <c r="AV19">
        <v>0</v>
      </c>
      <c r="AX19">
        <v>39</v>
      </c>
      <c r="AY19" t="s">
        <v>81</v>
      </c>
      <c r="AZ19" t="s">
        <v>90</v>
      </c>
      <c r="BB19" t="s">
        <v>91</v>
      </c>
      <c r="BC19" t="s">
        <v>92</v>
      </c>
      <c r="BD19" t="b">
        <v>0</v>
      </c>
      <c r="BE19" t="b">
        <v>0</v>
      </c>
      <c r="BF19" t="b">
        <v>0</v>
      </c>
      <c r="BG19" t="b">
        <v>0</v>
      </c>
      <c r="BH19" t="b">
        <v>0</v>
      </c>
      <c r="BI19" t="b">
        <v>0</v>
      </c>
      <c r="BJ19" t="b">
        <v>0</v>
      </c>
      <c r="BK19" t="b">
        <v>0</v>
      </c>
      <c r="BL19" t="b">
        <v>0</v>
      </c>
      <c r="BM19" t="b">
        <v>0</v>
      </c>
      <c r="BN19" t="b">
        <v>0</v>
      </c>
      <c r="BO19" t="b">
        <v>0</v>
      </c>
      <c r="BP19" t="b">
        <v>0</v>
      </c>
      <c r="BR19" t="str">
        <f>IFERROR(IF(M19="PASSED",VLOOKUP(J19,Current!$J$1:$N$500,1,FALSE)),N19)</f>
        <v>1.0018</v>
      </c>
    </row>
    <row r="20" spans="1:70" ht="15" customHeight="1" x14ac:dyDescent="0.25">
      <c r="A20">
        <v>21156</v>
      </c>
      <c r="C20">
        <v>0</v>
      </c>
      <c r="D20" t="s">
        <v>65</v>
      </c>
      <c r="E20" t="s">
        <v>66</v>
      </c>
      <c r="F20" t="s">
        <v>84</v>
      </c>
      <c r="G20">
        <v>0</v>
      </c>
      <c r="H20" t="s">
        <v>85</v>
      </c>
      <c r="I20" t="s">
        <v>86</v>
      </c>
      <c r="J20" t="str">
        <f>MID($N20,FIND("1.",$N20),FIND("-",$N20)-FIND("1.",$N20)-1)</f>
        <v>1.0019</v>
      </c>
      <c r="K20" t="str">
        <f t="shared" si="0"/>
        <v>Ensure Audit Group Membership is set to include Success</v>
      </c>
      <c r="L20" t="str">
        <f t="shared" si="1"/>
        <v>1.0019 - MSWRK - Ensure Audit Group Membership is set to include Success</v>
      </c>
      <c r="M20" t="str">
        <f t="shared" si="2"/>
        <v>PASSED</v>
      </c>
      <c r="N20" s="1" t="s">
        <v>582</v>
      </c>
      <c r="O20" t="s">
        <v>67</v>
      </c>
      <c r="R20" t="s">
        <v>68</v>
      </c>
      <c r="T20" t="s">
        <v>69</v>
      </c>
      <c r="U20" t="s">
        <v>70</v>
      </c>
      <c r="W20" t="s">
        <v>71</v>
      </c>
      <c r="X20" s="1" t="s">
        <v>72</v>
      </c>
      <c r="Y20" t="s">
        <v>88</v>
      </c>
      <c r="Z20">
        <v>0</v>
      </c>
      <c r="AA20">
        <v>0</v>
      </c>
      <c r="AD20">
        <v>0</v>
      </c>
      <c r="AE20">
        <v>0</v>
      </c>
      <c r="AH20" t="s">
        <v>73</v>
      </c>
      <c r="AI20" t="s">
        <v>318</v>
      </c>
      <c r="AJ20" t="s">
        <v>319</v>
      </c>
      <c r="AK20" t="s">
        <v>76</v>
      </c>
      <c r="AN20" t="s">
        <v>77</v>
      </c>
      <c r="AO20" t="s">
        <v>320</v>
      </c>
      <c r="AP20" t="s">
        <v>583</v>
      </c>
      <c r="AQ20" t="s">
        <v>322</v>
      </c>
      <c r="AS20" t="b">
        <v>1</v>
      </c>
      <c r="AT20" t="s">
        <v>65</v>
      </c>
      <c r="AU20">
        <v>0</v>
      </c>
      <c r="AV20">
        <v>0</v>
      </c>
      <c r="AX20">
        <v>39</v>
      </c>
      <c r="AY20" t="s">
        <v>81</v>
      </c>
      <c r="AZ20" t="s">
        <v>90</v>
      </c>
      <c r="BB20" t="s">
        <v>91</v>
      </c>
      <c r="BC20" t="s">
        <v>92</v>
      </c>
      <c r="BD20" t="b">
        <v>0</v>
      </c>
      <c r="BE20" t="b">
        <v>0</v>
      </c>
      <c r="BF20" t="b">
        <v>0</v>
      </c>
      <c r="BG20" t="b">
        <v>0</v>
      </c>
      <c r="BH20" t="b">
        <v>0</v>
      </c>
      <c r="BI20" t="b">
        <v>0</v>
      </c>
      <c r="BJ20" t="b">
        <v>0</v>
      </c>
      <c r="BK20" t="b">
        <v>0</v>
      </c>
      <c r="BL20" t="b">
        <v>0</v>
      </c>
      <c r="BM20" t="b">
        <v>0</v>
      </c>
      <c r="BN20" t="b">
        <v>0</v>
      </c>
      <c r="BO20" t="b">
        <v>0</v>
      </c>
      <c r="BP20" t="b">
        <v>0</v>
      </c>
      <c r="BR20" t="str">
        <f>IFERROR(IF(M20="PASSED",VLOOKUP(J20,Current!$J$1:$N$500,1,FALSE)),N20)</f>
        <v>"1.0019 - MSWRK - Ensure Audit Group Membership is set to include Success: [PASSED]"
This policy allows you to audit the group membership information in the user's logon token.
See Also:
See HTH Policies and Standards
Reference:
NIST 800-53r5|AU-3 AU-3(1) AU-7 AU-12
Policy Value:
'^(Success|Success\ and\ Failure)$'
Actual Value:
'Success'</v>
      </c>
    </row>
    <row r="21" spans="1:70" ht="15" hidden="1" customHeight="1" x14ac:dyDescent="0.25">
      <c r="A21">
        <v>21156</v>
      </c>
      <c r="C21">
        <v>0</v>
      </c>
      <c r="D21" t="s">
        <v>65</v>
      </c>
      <c r="E21" t="s">
        <v>66</v>
      </c>
      <c r="F21" t="s">
        <v>84</v>
      </c>
      <c r="G21">
        <v>0</v>
      </c>
      <c r="H21" t="s">
        <v>85</v>
      </c>
      <c r="I21" t="s">
        <v>86</v>
      </c>
      <c r="J21" t="str">
        <f>MID($N21,FIND("1.",$N21),FIND("-",$N21)-FIND("1.",$N21)-1)</f>
        <v>1.0020</v>
      </c>
      <c r="K21" t="str">
        <f t="shared" si="0"/>
        <v>Ensure Audit Logoff is set to include Success</v>
      </c>
      <c r="L21" t="str">
        <f t="shared" si="1"/>
        <v>1.0020 - MSWRK - Ensure Audit Logoff is set to include Success</v>
      </c>
      <c r="M21" t="str">
        <f t="shared" si="2"/>
        <v>PASSED</v>
      </c>
      <c r="N21" s="1" t="s">
        <v>176</v>
      </c>
      <c r="O21" t="s">
        <v>67</v>
      </c>
      <c r="R21" t="s">
        <v>68</v>
      </c>
      <c r="T21" t="s">
        <v>69</v>
      </c>
      <c r="U21" t="s">
        <v>70</v>
      </c>
      <c r="W21" t="s">
        <v>71</v>
      </c>
      <c r="X21" s="1" t="s">
        <v>72</v>
      </c>
      <c r="Y21" t="s">
        <v>88</v>
      </c>
      <c r="Z21">
        <v>0</v>
      </c>
      <c r="AA21">
        <v>0</v>
      </c>
      <c r="AD21">
        <v>0</v>
      </c>
      <c r="AE21">
        <v>0</v>
      </c>
      <c r="AH21" t="s">
        <v>73</v>
      </c>
      <c r="AI21" t="s">
        <v>318</v>
      </c>
      <c r="AJ21" t="s">
        <v>319</v>
      </c>
      <c r="AK21" t="s">
        <v>76</v>
      </c>
      <c r="AN21" t="s">
        <v>77</v>
      </c>
      <c r="AO21" t="s">
        <v>320</v>
      </c>
      <c r="AP21" t="s">
        <v>670</v>
      </c>
      <c r="AQ21" t="s">
        <v>322</v>
      </c>
      <c r="AS21" t="b">
        <v>1</v>
      </c>
      <c r="AT21" t="s">
        <v>65</v>
      </c>
      <c r="AU21">
        <v>0</v>
      </c>
      <c r="AV21">
        <v>0</v>
      </c>
      <c r="AX21">
        <v>39</v>
      </c>
      <c r="AY21" t="s">
        <v>81</v>
      </c>
      <c r="AZ21" t="s">
        <v>90</v>
      </c>
      <c r="BB21" t="s">
        <v>91</v>
      </c>
      <c r="BC21" t="s">
        <v>92</v>
      </c>
      <c r="BD21" t="b">
        <v>0</v>
      </c>
      <c r="BE21" t="b">
        <v>0</v>
      </c>
      <c r="BF21" t="b">
        <v>0</v>
      </c>
      <c r="BG21" t="b">
        <v>0</v>
      </c>
      <c r="BH21" t="b">
        <v>0</v>
      </c>
      <c r="BI21" t="b">
        <v>0</v>
      </c>
      <c r="BJ21" t="b">
        <v>0</v>
      </c>
      <c r="BK21" t="b">
        <v>0</v>
      </c>
      <c r="BL21" t="b">
        <v>0</v>
      </c>
      <c r="BM21" t="b">
        <v>0</v>
      </c>
      <c r="BN21" t="b">
        <v>0</v>
      </c>
      <c r="BO21" t="b">
        <v>0</v>
      </c>
      <c r="BP21" t="b">
        <v>0</v>
      </c>
      <c r="BR21" t="str">
        <f>IFERROR(IF(M21="PASSED",VLOOKUP(J21,Current!$J$1:$N$500,1,FALSE)),N21)</f>
        <v>1.0020</v>
      </c>
    </row>
    <row r="22" spans="1:70" ht="15" hidden="1" customHeight="1" x14ac:dyDescent="0.25">
      <c r="A22">
        <v>21156</v>
      </c>
      <c r="C22">
        <v>0</v>
      </c>
      <c r="D22" t="s">
        <v>65</v>
      </c>
      <c r="E22" t="s">
        <v>66</v>
      </c>
      <c r="F22" t="s">
        <v>84</v>
      </c>
      <c r="G22">
        <v>0</v>
      </c>
      <c r="H22" t="s">
        <v>85</v>
      </c>
      <c r="I22" t="s">
        <v>86</v>
      </c>
      <c r="J22" t="str">
        <f>MID($N22,FIND("1.",$N22),FIND("-",$N22)-FIND("1.",$N22)-1)</f>
        <v>1.0021</v>
      </c>
      <c r="K22" t="str">
        <f t="shared" si="0"/>
        <v>Ensure Audit Logon is set to Success and Failure</v>
      </c>
      <c r="L22" t="str">
        <f t="shared" si="1"/>
        <v>1.0021 - MSWRK - Ensure Audit Logon is set to Success and Failure</v>
      </c>
      <c r="M22" t="str">
        <f t="shared" si="2"/>
        <v>PASSED</v>
      </c>
      <c r="N22" s="1" t="s">
        <v>126</v>
      </c>
      <c r="O22" t="s">
        <v>67</v>
      </c>
      <c r="R22" t="s">
        <v>68</v>
      </c>
      <c r="T22" t="s">
        <v>69</v>
      </c>
      <c r="U22" t="s">
        <v>70</v>
      </c>
      <c r="W22" t="s">
        <v>71</v>
      </c>
      <c r="X22" s="1" t="s">
        <v>72</v>
      </c>
      <c r="Y22" t="s">
        <v>88</v>
      </c>
      <c r="Z22">
        <v>0</v>
      </c>
      <c r="AA22">
        <v>0</v>
      </c>
      <c r="AD22">
        <v>0</v>
      </c>
      <c r="AE22">
        <v>0</v>
      </c>
      <c r="AH22" t="s">
        <v>73</v>
      </c>
      <c r="AI22" t="s">
        <v>318</v>
      </c>
      <c r="AJ22" t="s">
        <v>319</v>
      </c>
      <c r="AK22" t="s">
        <v>76</v>
      </c>
      <c r="AN22" t="s">
        <v>77</v>
      </c>
      <c r="AO22" t="s">
        <v>320</v>
      </c>
      <c r="AP22" t="s">
        <v>716</v>
      </c>
      <c r="AQ22" t="s">
        <v>322</v>
      </c>
      <c r="AS22" t="b">
        <v>1</v>
      </c>
      <c r="AT22" t="s">
        <v>65</v>
      </c>
      <c r="AU22">
        <v>0</v>
      </c>
      <c r="AV22">
        <v>0</v>
      </c>
      <c r="AX22">
        <v>39</v>
      </c>
      <c r="AY22" t="s">
        <v>81</v>
      </c>
      <c r="AZ22" t="s">
        <v>90</v>
      </c>
      <c r="BB22" t="s">
        <v>91</v>
      </c>
      <c r="BC22" t="s">
        <v>92</v>
      </c>
      <c r="BD22" t="b">
        <v>0</v>
      </c>
      <c r="BE22" t="b">
        <v>0</v>
      </c>
      <c r="BF22" t="b">
        <v>0</v>
      </c>
      <c r="BG22" t="b">
        <v>0</v>
      </c>
      <c r="BH22" t="b">
        <v>0</v>
      </c>
      <c r="BI22" t="b">
        <v>0</v>
      </c>
      <c r="BJ22" t="b">
        <v>0</v>
      </c>
      <c r="BK22" t="b">
        <v>0</v>
      </c>
      <c r="BL22" t="b">
        <v>0</v>
      </c>
      <c r="BM22" t="b">
        <v>0</v>
      </c>
      <c r="BN22" t="b">
        <v>0</v>
      </c>
      <c r="BO22" t="b">
        <v>0</v>
      </c>
      <c r="BP22" t="b">
        <v>0</v>
      </c>
      <c r="BR22" t="str">
        <f>IFERROR(IF(M22="PASSED",VLOOKUP(J22,Current!$J$1:$N$500,1,FALSE)),N22)</f>
        <v>1.0021</v>
      </c>
    </row>
    <row r="23" spans="1:70" ht="15" hidden="1" customHeight="1" x14ac:dyDescent="0.25">
      <c r="A23">
        <v>21156</v>
      </c>
      <c r="C23">
        <v>0</v>
      </c>
      <c r="D23" t="s">
        <v>65</v>
      </c>
      <c r="E23" t="s">
        <v>66</v>
      </c>
      <c r="F23" t="s">
        <v>84</v>
      </c>
      <c r="G23">
        <v>0</v>
      </c>
      <c r="H23" t="s">
        <v>85</v>
      </c>
      <c r="I23" t="s">
        <v>86</v>
      </c>
      <c r="J23" t="str">
        <f>MID($N23,FIND("1.",$N23),FIND("-",$N23)-FIND("1.",$N23)-1)</f>
        <v>1.0022</v>
      </c>
      <c r="K23" t="str">
        <f t="shared" si="0"/>
        <v>Ensure Audit Other Logon/Logoff Events is set to Success and Failure</v>
      </c>
      <c r="L23" t="str">
        <f t="shared" si="1"/>
        <v>1.0022 - MSWRK - Ensure Audit Other Logon/Logoff Events is set to Success and Failure</v>
      </c>
      <c r="M23" t="str">
        <f t="shared" si="2"/>
        <v>PASSED</v>
      </c>
      <c r="N23" s="1" t="s">
        <v>149</v>
      </c>
      <c r="O23" t="s">
        <v>67</v>
      </c>
      <c r="R23" t="s">
        <v>68</v>
      </c>
      <c r="T23" t="s">
        <v>69</v>
      </c>
      <c r="U23" t="s">
        <v>70</v>
      </c>
      <c r="W23" t="s">
        <v>71</v>
      </c>
      <c r="X23" s="1" t="s">
        <v>72</v>
      </c>
      <c r="Y23" t="s">
        <v>88</v>
      </c>
      <c r="Z23">
        <v>0</v>
      </c>
      <c r="AA23">
        <v>0</v>
      </c>
      <c r="AD23">
        <v>0</v>
      </c>
      <c r="AE23">
        <v>0</v>
      </c>
      <c r="AH23" t="s">
        <v>73</v>
      </c>
      <c r="AI23" t="s">
        <v>318</v>
      </c>
      <c r="AJ23" t="s">
        <v>319</v>
      </c>
      <c r="AK23" t="s">
        <v>76</v>
      </c>
      <c r="AN23" t="s">
        <v>77</v>
      </c>
      <c r="AO23" t="s">
        <v>320</v>
      </c>
      <c r="AP23" t="s">
        <v>377</v>
      </c>
      <c r="AQ23" t="s">
        <v>322</v>
      </c>
      <c r="AS23" t="b">
        <v>1</v>
      </c>
      <c r="AT23" t="s">
        <v>65</v>
      </c>
      <c r="AU23">
        <v>0</v>
      </c>
      <c r="AV23">
        <v>0</v>
      </c>
      <c r="AX23">
        <v>39</v>
      </c>
      <c r="AY23" t="s">
        <v>81</v>
      </c>
      <c r="AZ23" t="s">
        <v>90</v>
      </c>
      <c r="BB23" t="s">
        <v>91</v>
      </c>
      <c r="BC23" t="s">
        <v>92</v>
      </c>
      <c r="BD23" t="b">
        <v>0</v>
      </c>
      <c r="BE23" t="b">
        <v>0</v>
      </c>
      <c r="BF23" t="b">
        <v>0</v>
      </c>
      <c r="BG23" t="b">
        <v>0</v>
      </c>
      <c r="BH23" t="b">
        <v>0</v>
      </c>
      <c r="BI23" t="b">
        <v>0</v>
      </c>
      <c r="BJ23" t="b">
        <v>0</v>
      </c>
      <c r="BK23" t="b">
        <v>0</v>
      </c>
      <c r="BL23" t="b">
        <v>0</v>
      </c>
      <c r="BM23" t="b">
        <v>0</v>
      </c>
      <c r="BN23" t="b">
        <v>0</v>
      </c>
      <c r="BO23" t="b">
        <v>0</v>
      </c>
      <c r="BP23" t="b">
        <v>0</v>
      </c>
      <c r="BR23" t="str">
        <f>IFERROR(IF(M23="PASSED",VLOOKUP(J23,Current!$J$1:$N$500,1,FALSE)),N23)</f>
        <v>1.0022</v>
      </c>
    </row>
    <row r="24" spans="1:70" ht="15" hidden="1" customHeight="1" x14ac:dyDescent="0.25">
      <c r="A24">
        <v>21156</v>
      </c>
      <c r="C24">
        <v>0</v>
      </c>
      <c r="D24" t="s">
        <v>65</v>
      </c>
      <c r="E24" t="s">
        <v>66</v>
      </c>
      <c r="F24" t="s">
        <v>84</v>
      </c>
      <c r="G24">
        <v>0</v>
      </c>
      <c r="H24" t="s">
        <v>85</v>
      </c>
      <c r="I24" t="s">
        <v>86</v>
      </c>
      <c r="J24" t="str">
        <f>MID($N24,FIND("1.",$N24),FIND("-",$N24)-FIND("1.",$N24)-1)</f>
        <v>1.0023</v>
      </c>
      <c r="K24" t="str">
        <f t="shared" si="0"/>
        <v>Ensure Audit Special Logon is set to include Success</v>
      </c>
      <c r="L24" t="str">
        <f t="shared" si="1"/>
        <v>1.0023 - MSWRK - Ensure Audit Special Logon is set to include Success</v>
      </c>
      <c r="M24" t="str">
        <f t="shared" si="2"/>
        <v>PASSED</v>
      </c>
      <c r="N24" s="1" t="s">
        <v>163</v>
      </c>
      <c r="O24" t="s">
        <v>67</v>
      </c>
      <c r="R24" t="s">
        <v>68</v>
      </c>
      <c r="T24" t="s">
        <v>69</v>
      </c>
      <c r="U24" t="s">
        <v>70</v>
      </c>
      <c r="W24" t="s">
        <v>71</v>
      </c>
      <c r="X24" s="1" t="s">
        <v>72</v>
      </c>
      <c r="Y24" t="s">
        <v>88</v>
      </c>
      <c r="Z24">
        <v>0</v>
      </c>
      <c r="AA24">
        <v>0</v>
      </c>
      <c r="AD24">
        <v>0</v>
      </c>
      <c r="AE24">
        <v>0</v>
      </c>
      <c r="AH24" t="s">
        <v>73</v>
      </c>
      <c r="AI24" t="s">
        <v>318</v>
      </c>
      <c r="AJ24" t="s">
        <v>319</v>
      </c>
      <c r="AK24" t="s">
        <v>76</v>
      </c>
      <c r="AN24" t="s">
        <v>77</v>
      </c>
      <c r="AO24" t="s">
        <v>320</v>
      </c>
      <c r="AP24" t="s">
        <v>784</v>
      </c>
      <c r="AQ24" t="s">
        <v>322</v>
      </c>
      <c r="AS24" t="b">
        <v>1</v>
      </c>
      <c r="AT24" t="s">
        <v>65</v>
      </c>
      <c r="AU24">
        <v>0</v>
      </c>
      <c r="AV24">
        <v>0</v>
      </c>
      <c r="AX24">
        <v>39</v>
      </c>
      <c r="AY24" t="s">
        <v>81</v>
      </c>
      <c r="AZ24" t="s">
        <v>90</v>
      </c>
      <c r="BB24" t="s">
        <v>91</v>
      </c>
      <c r="BC24" t="s">
        <v>92</v>
      </c>
      <c r="BD24" t="b">
        <v>0</v>
      </c>
      <c r="BE24" t="b">
        <v>0</v>
      </c>
      <c r="BF24" t="b">
        <v>0</v>
      </c>
      <c r="BG24" t="b">
        <v>0</v>
      </c>
      <c r="BH24" t="b">
        <v>0</v>
      </c>
      <c r="BI24" t="b">
        <v>0</v>
      </c>
      <c r="BJ24" t="b">
        <v>0</v>
      </c>
      <c r="BK24" t="b">
        <v>0</v>
      </c>
      <c r="BL24" t="b">
        <v>0</v>
      </c>
      <c r="BM24" t="b">
        <v>0</v>
      </c>
      <c r="BN24" t="b">
        <v>0</v>
      </c>
      <c r="BO24" t="b">
        <v>0</v>
      </c>
      <c r="BP24" t="b">
        <v>0</v>
      </c>
      <c r="BR24" t="str">
        <f>IFERROR(IF(M24="PASSED",VLOOKUP(J24,Current!$J$1:$N$500,1,FALSE)),N24)</f>
        <v>1.0023</v>
      </c>
    </row>
    <row r="25" spans="1:70" ht="15" customHeight="1" x14ac:dyDescent="0.25">
      <c r="A25">
        <v>21156</v>
      </c>
      <c r="C25">
        <v>0</v>
      </c>
      <c r="D25" t="s">
        <v>65</v>
      </c>
      <c r="E25" t="s">
        <v>66</v>
      </c>
      <c r="F25" t="s">
        <v>84</v>
      </c>
      <c r="G25">
        <v>0</v>
      </c>
      <c r="H25" t="s">
        <v>85</v>
      </c>
      <c r="I25" t="s">
        <v>86</v>
      </c>
      <c r="J25" t="str">
        <f>MID($N25,FIND("1.",$N25),FIND("-",$N25)-FIND("1.",$N25)-1)</f>
        <v>1.0024</v>
      </c>
      <c r="K25" t="str">
        <f t="shared" si="0"/>
        <v>Ensure Audit Detailed File Share is set to include Failure</v>
      </c>
      <c r="L25" t="str">
        <f t="shared" si="1"/>
        <v>1.0024 - MSWRK - Ensure Audit Detailed File Share is set to include Failure</v>
      </c>
      <c r="M25" t="str">
        <f t="shared" si="2"/>
        <v>PASSED</v>
      </c>
      <c r="N25" s="1" t="s">
        <v>408</v>
      </c>
      <c r="O25" t="s">
        <v>67</v>
      </c>
      <c r="R25" t="s">
        <v>68</v>
      </c>
      <c r="T25" t="s">
        <v>69</v>
      </c>
      <c r="U25" t="s">
        <v>70</v>
      </c>
      <c r="W25" t="s">
        <v>71</v>
      </c>
      <c r="X25" s="1" t="s">
        <v>72</v>
      </c>
      <c r="Y25" t="s">
        <v>88</v>
      </c>
      <c r="Z25">
        <v>0</v>
      </c>
      <c r="AA25">
        <v>0</v>
      </c>
      <c r="AD25">
        <v>0</v>
      </c>
      <c r="AE25">
        <v>0</v>
      </c>
      <c r="AH25" t="s">
        <v>73</v>
      </c>
      <c r="AI25" t="s">
        <v>318</v>
      </c>
      <c r="AJ25" t="s">
        <v>319</v>
      </c>
      <c r="AK25" t="s">
        <v>76</v>
      </c>
      <c r="AN25" t="s">
        <v>77</v>
      </c>
      <c r="AO25" t="s">
        <v>320</v>
      </c>
      <c r="AP25" t="s">
        <v>406</v>
      </c>
      <c r="AQ25" t="s">
        <v>322</v>
      </c>
      <c r="AS25" t="b">
        <v>1</v>
      </c>
      <c r="AT25" t="s">
        <v>65</v>
      </c>
      <c r="AU25">
        <v>0</v>
      </c>
      <c r="AV25">
        <v>0</v>
      </c>
      <c r="AX25">
        <v>39</v>
      </c>
      <c r="AY25" t="s">
        <v>81</v>
      </c>
      <c r="AZ25" t="s">
        <v>90</v>
      </c>
      <c r="BB25" t="s">
        <v>91</v>
      </c>
      <c r="BC25" t="s">
        <v>92</v>
      </c>
      <c r="BD25" t="b">
        <v>0</v>
      </c>
      <c r="BE25" t="b">
        <v>0</v>
      </c>
      <c r="BF25" t="b">
        <v>0</v>
      </c>
      <c r="BG25" t="b">
        <v>0</v>
      </c>
      <c r="BH25" t="b">
        <v>0</v>
      </c>
      <c r="BI25" t="b">
        <v>0</v>
      </c>
      <c r="BJ25" t="b">
        <v>0</v>
      </c>
      <c r="BK25" t="b">
        <v>0</v>
      </c>
      <c r="BL25" t="b">
        <v>0</v>
      </c>
      <c r="BM25" t="b">
        <v>0</v>
      </c>
      <c r="BN25" t="b">
        <v>0</v>
      </c>
      <c r="BO25" t="b">
        <v>0</v>
      </c>
      <c r="BP25" t="b">
        <v>0</v>
      </c>
      <c r="BR25" t="str">
        <f>IFERROR(IF(M25="PASSED",VLOOKUP(J25,Current!$J$1:$N$500,1,FALSE)),N25)</f>
        <v>"1.0024 - MSWRK - Ensure Audit Detailed File Share is set to include Failure: [PASSED]"
This subcategory allows you to audit attempts to access files and folders on a shared folder.
See Also:
See HTH Policies and Standards
Reference:
NIST 800-53r5|AU-3 AU-3(1) AU-7 AU-12
Policy Value:
'^(Failure|Success\ and\ Failure)$'
Actual Value:
'Failure'</v>
      </c>
    </row>
    <row r="26" spans="1:70" ht="15" customHeight="1" x14ac:dyDescent="0.25">
      <c r="A26">
        <v>21156</v>
      </c>
      <c r="C26">
        <v>0</v>
      </c>
      <c r="D26" t="s">
        <v>65</v>
      </c>
      <c r="E26" t="s">
        <v>66</v>
      </c>
      <c r="F26" t="s">
        <v>84</v>
      </c>
      <c r="G26">
        <v>0</v>
      </c>
      <c r="H26" t="s">
        <v>85</v>
      </c>
      <c r="I26" t="s">
        <v>86</v>
      </c>
      <c r="J26" t="str">
        <f>MID($N26,FIND("1.",$N26),FIND("-",$N26)-FIND("1.",$N26)-1)</f>
        <v>1.0025</v>
      </c>
      <c r="K26" t="str">
        <f t="shared" si="0"/>
        <v>Ensure Audit File Share is set to Success and Failure</v>
      </c>
      <c r="L26" t="str">
        <f t="shared" si="1"/>
        <v>1.0025 - MSWRK - Ensure Audit File Share is set to Success and Failure</v>
      </c>
      <c r="M26" t="str">
        <f t="shared" si="2"/>
        <v>PASSED</v>
      </c>
      <c r="N26" s="1" t="s">
        <v>812</v>
      </c>
      <c r="O26" t="s">
        <v>67</v>
      </c>
      <c r="R26" t="s">
        <v>68</v>
      </c>
      <c r="T26" t="s">
        <v>69</v>
      </c>
      <c r="U26" t="s">
        <v>70</v>
      </c>
      <c r="W26" t="s">
        <v>71</v>
      </c>
      <c r="X26" s="1" t="s">
        <v>72</v>
      </c>
      <c r="Y26" t="s">
        <v>88</v>
      </c>
      <c r="Z26">
        <v>0</v>
      </c>
      <c r="AA26">
        <v>0</v>
      </c>
      <c r="AD26">
        <v>0</v>
      </c>
      <c r="AE26">
        <v>0</v>
      </c>
      <c r="AH26" t="s">
        <v>73</v>
      </c>
      <c r="AI26" t="s">
        <v>318</v>
      </c>
      <c r="AJ26" t="s">
        <v>319</v>
      </c>
      <c r="AK26" t="s">
        <v>76</v>
      </c>
      <c r="AN26" t="s">
        <v>77</v>
      </c>
      <c r="AO26" t="s">
        <v>320</v>
      </c>
      <c r="AP26" t="s">
        <v>811</v>
      </c>
      <c r="AQ26" t="s">
        <v>322</v>
      </c>
      <c r="AS26" t="b">
        <v>1</v>
      </c>
      <c r="AT26" t="s">
        <v>65</v>
      </c>
      <c r="AU26">
        <v>0</v>
      </c>
      <c r="AV26">
        <v>0</v>
      </c>
      <c r="AX26">
        <v>39</v>
      </c>
      <c r="AY26" t="s">
        <v>81</v>
      </c>
      <c r="AZ26" t="s">
        <v>90</v>
      </c>
      <c r="BB26" t="s">
        <v>91</v>
      </c>
      <c r="BC26" t="s">
        <v>92</v>
      </c>
      <c r="BD26" t="b">
        <v>0</v>
      </c>
      <c r="BE26" t="b">
        <v>0</v>
      </c>
      <c r="BF26" t="b">
        <v>0</v>
      </c>
      <c r="BG26" t="b">
        <v>0</v>
      </c>
      <c r="BH26" t="b">
        <v>0</v>
      </c>
      <c r="BI26" t="b">
        <v>0</v>
      </c>
      <c r="BJ26" t="b">
        <v>0</v>
      </c>
      <c r="BK26" t="b">
        <v>0</v>
      </c>
      <c r="BL26" t="b">
        <v>0</v>
      </c>
      <c r="BM26" t="b">
        <v>0</v>
      </c>
      <c r="BN26" t="b">
        <v>0</v>
      </c>
      <c r="BO26" t="b">
        <v>0</v>
      </c>
      <c r="BP26" t="b">
        <v>0</v>
      </c>
      <c r="BR26" t="str">
        <f>IFERROR(IF(M26="PASSED",VLOOKUP(J26,Current!$J$1:$N$500,1,FALSE)),N26)</f>
        <v>"1.0025 - MSWRK - Ensure Audit File Share is set to Success and Failure: [PASSED]"
This policy setting allows you to audit attempts to access a shared folder.
See Also:
See HTH Policies and Standards
Reference:
NIST 800-53r5|AU-3 AU-3(1) AU-7 AU-12
Policy Value:
'Success and Failure'
Actual Value:
'Success and Failure'</v>
      </c>
    </row>
    <row r="27" spans="1:70" ht="15" customHeight="1" x14ac:dyDescent="0.25">
      <c r="A27">
        <v>21156</v>
      </c>
      <c r="C27">
        <v>0</v>
      </c>
      <c r="D27" t="s">
        <v>65</v>
      </c>
      <c r="E27" t="s">
        <v>66</v>
      </c>
      <c r="F27" t="s">
        <v>84</v>
      </c>
      <c r="G27">
        <v>0</v>
      </c>
      <c r="H27" t="s">
        <v>85</v>
      </c>
      <c r="I27" t="s">
        <v>86</v>
      </c>
      <c r="J27" t="str">
        <f>MID($N27,FIND("1.",$N27),FIND("-",$N27)-FIND("1.",$N27)-1)</f>
        <v>1.0026</v>
      </c>
      <c r="K27" t="str">
        <f t="shared" si="0"/>
        <v>Ensure Audit Other Object Access Events is set to Success and Failure</v>
      </c>
      <c r="L27" t="str">
        <f t="shared" si="1"/>
        <v>1.0026 - MSWRK - Ensure Audit Other Object Access Events is set to Success and Failure</v>
      </c>
      <c r="M27" t="str">
        <f t="shared" si="2"/>
        <v>PASSED</v>
      </c>
      <c r="N27" s="1" t="s">
        <v>688</v>
      </c>
      <c r="O27" t="s">
        <v>67</v>
      </c>
      <c r="R27" t="s">
        <v>68</v>
      </c>
      <c r="T27" t="s">
        <v>69</v>
      </c>
      <c r="U27" t="s">
        <v>70</v>
      </c>
      <c r="W27" t="s">
        <v>71</v>
      </c>
      <c r="X27" s="1" t="s">
        <v>72</v>
      </c>
      <c r="Y27" t="s">
        <v>88</v>
      </c>
      <c r="Z27">
        <v>0</v>
      </c>
      <c r="AA27">
        <v>0</v>
      </c>
      <c r="AD27">
        <v>0</v>
      </c>
      <c r="AE27">
        <v>0</v>
      </c>
      <c r="AH27" t="s">
        <v>73</v>
      </c>
      <c r="AI27" t="s">
        <v>318</v>
      </c>
      <c r="AJ27" t="s">
        <v>319</v>
      </c>
      <c r="AK27" t="s">
        <v>76</v>
      </c>
      <c r="AN27" t="s">
        <v>77</v>
      </c>
      <c r="AO27" t="s">
        <v>320</v>
      </c>
      <c r="AP27" t="s">
        <v>686</v>
      </c>
      <c r="AQ27" t="s">
        <v>322</v>
      </c>
      <c r="AS27" t="b">
        <v>1</v>
      </c>
      <c r="AT27" t="s">
        <v>65</v>
      </c>
      <c r="AU27">
        <v>0</v>
      </c>
      <c r="AV27">
        <v>0</v>
      </c>
      <c r="AX27">
        <v>39</v>
      </c>
      <c r="AY27" t="s">
        <v>81</v>
      </c>
      <c r="AZ27" t="s">
        <v>90</v>
      </c>
      <c r="BB27" t="s">
        <v>91</v>
      </c>
      <c r="BC27" t="s">
        <v>92</v>
      </c>
      <c r="BD27" t="b">
        <v>0</v>
      </c>
      <c r="BE27" t="b">
        <v>0</v>
      </c>
      <c r="BF27" t="b">
        <v>0</v>
      </c>
      <c r="BG27" t="b">
        <v>0</v>
      </c>
      <c r="BH27" t="b">
        <v>0</v>
      </c>
      <c r="BI27" t="b">
        <v>0</v>
      </c>
      <c r="BJ27" t="b">
        <v>0</v>
      </c>
      <c r="BK27" t="b">
        <v>0</v>
      </c>
      <c r="BL27" t="b">
        <v>0</v>
      </c>
      <c r="BM27" t="b">
        <v>0</v>
      </c>
      <c r="BN27" t="b">
        <v>0</v>
      </c>
      <c r="BO27" t="b">
        <v>0</v>
      </c>
      <c r="BP27" t="b">
        <v>0</v>
      </c>
      <c r="BR27" t="str">
        <f>IFERROR(IF(M27="PASSED",VLOOKUP(J27,Current!$J$1:$N$500,1,FALSE)),N27)</f>
        <v>"1.0026 - MSWRK - Ensure Audit Other Object Access Events is set to Success and Failure: [PASSED]"
This policy setting allows you to audit events generated by the management of task scheduler jobs or COM+ objects.
See Also:
See HTH Policies and Standards
Reference:
NIST 800-53r5|AU-3 AU-3(1) AU-7 AU-12
Policy Value:
'Success and Failure'
Actual Value:
'Success and Failure'</v>
      </c>
    </row>
    <row r="28" spans="1:70" ht="15" customHeight="1" x14ac:dyDescent="0.25">
      <c r="A28">
        <v>21156</v>
      </c>
      <c r="C28">
        <v>0</v>
      </c>
      <c r="D28" t="s">
        <v>65</v>
      </c>
      <c r="E28" t="s">
        <v>66</v>
      </c>
      <c r="F28" t="s">
        <v>84</v>
      </c>
      <c r="G28">
        <v>0</v>
      </c>
      <c r="H28" t="s">
        <v>85</v>
      </c>
      <c r="I28" t="s">
        <v>86</v>
      </c>
      <c r="J28" t="str">
        <f>MID($N28,FIND("1.",$N28),FIND("-",$N28)-FIND("1.",$N28)-1)</f>
        <v>1.0027</v>
      </c>
      <c r="K28" t="str">
        <f t="shared" si="0"/>
        <v>Ensure Audit Removable Storage is set to Success and Failure</v>
      </c>
      <c r="L28" t="str">
        <f t="shared" si="1"/>
        <v>1.0027 - MSWRK - Ensure Audit Removable Storage is set to Success and Failure</v>
      </c>
      <c r="M28" t="str">
        <f t="shared" si="2"/>
        <v>PASSED</v>
      </c>
      <c r="N28" s="1" t="s">
        <v>728</v>
      </c>
      <c r="O28" t="s">
        <v>67</v>
      </c>
      <c r="R28" t="s">
        <v>68</v>
      </c>
      <c r="T28" t="s">
        <v>69</v>
      </c>
      <c r="U28" t="s">
        <v>70</v>
      </c>
      <c r="W28" t="s">
        <v>71</v>
      </c>
      <c r="X28" s="1" t="s">
        <v>72</v>
      </c>
      <c r="Y28" t="s">
        <v>88</v>
      </c>
      <c r="Z28">
        <v>0</v>
      </c>
      <c r="AA28">
        <v>0</v>
      </c>
      <c r="AD28">
        <v>0</v>
      </c>
      <c r="AE28">
        <v>0</v>
      </c>
      <c r="AH28" t="s">
        <v>73</v>
      </c>
      <c r="AI28" t="s">
        <v>318</v>
      </c>
      <c r="AJ28" t="s">
        <v>319</v>
      </c>
      <c r="AK28" t="s">
        <v>76</v>
      </c>
      <c r="AN28" t="s">
        <v>77</v>
      </c>
      <c r="AO28" t="s">
        <v>320</v>
      </c>
      <c r="AP28" t="s">
        <v>726</v>
      </c>
      <c r="AQ28" t="s">
        <v>322</v>
      </c>
      <c r="AS28" t="b">
        <v>1</v>
      </c>
      <c r="AT28" t="s">
        <v>65</v>
      </c>
      <c r="AU28">
        <v>0</v>
      </c>
      <c r="AV28">
        <v>0</v>
      </c>
      <c r="AX28">
        <v>39</v>
      </c>
      <c r="AY28" t="s">
        <v>81</v>
      </c>
      <c r="AZ28" t="s">
        <v>90</v>
      </c>
      <c r="BB28" t="s">
        <v>91</v>
      </c>
      <c r="BC28" t="s">
        <v>92</v>
      </c>
      <c r="BD28" t="b">
        <v>0</v>
      </c>
      <c r="BE28" t="b">
        <v>0</v>
      </c>
      <c r="BF28" t="b">
        <v>0</v>
      </c>
      <c r="BG28" t="b">
        <v>0</v>
      </c>
      <c r="BH28" t="b">
        <v>0</v>
      </c>
      <c r="BI28" t="b">
        <v>0</v>
      </c>
      <c r="BJ28" t="b">
        <v>0</v>
      </c>
      <c r="BK28" t="b">
        <v>0</v>
      </c>
      <c r="BL28" t="b">
        <v>0</v>
      </c>
      <c r="BM28" t="b">
        <v>0</v>
      </c>
      <c r="BN28" t="b">
        <v>0</v>
      </c>
      <c r="BO28" t="b">
        <v>0</v>
      </c>
      <c r="BP28" t="b">
        <v>0</v>
      </c>
      <c r="BR28" t="str">
        <f>IFERROR(IF(M28="PASSED",VLOOKUP(J28,Current!$J$1:$N$500,1,FALSE)),N28)</f>
        <v>"1.0027 - MSWRK - Ensure Audit Removable Storage is set to Success and Failure: [PASSED]"
This policy setting allows you to audit user attempts to access file system objects on a removable storage device.
See Also:
See HTH Policies and Standards
Reference:
NIST 800-53r5|AU-3 AU-3(1) AU-7 AU-12
Policy Value:
'Success and Failure'
Actual Value:
'Success and Failure'</v>
      </c>
    </row>
    <row r="29" spans="1:70" ht="15" hidden="1" customHeight="1" x14ac:dyDescent="0.25">
      <c r="A29">
        <v>21156</v>
      </c>
      <c r="C29">
        <v>0</v>
      </c>
      <c r="D29" t="s">
        <v>65</v>
      </c>
      <c r="E29" t="s">
        <v>66</v>
      </c>
      <c r="F29" t="s">
        <v>84</v>
      </c>
      <c r="G29">
        <v>0</v>
      </c>
      <c r="H29" t="s">
        <v>85</v>
      </c>
      <c r="I29" t="s">
        <v>86</v>
      </c>
      <c r="J29" t="str">
        <f>MID($N29,FIND("1.",$N29),FIND("-",$N29)-FIND("1.",$N29)-1)</f>
        <v>1.0028</v>
      </c>
      <c r="K29" t="str">
        <f t="shared" si="0"/>
        <v>Ensure Audit Audit Policy Change is set to include Success</v>
      </c>
      <c r="L29" t="str">
        <f t="shared" si="1"/>
        <v>1.0028 - MSWRK - Ensure Audit Audit Policy Change is set to include Success</v>
      </c>
      <c r="M29" t="str">
        <f t="shared" si="2"/>
        <v>PASSED</v>
      </c>
      <c r="N29" s="1" t="s">
        <v>217</v>
      </c>
      <c r="O29" t="s">
        <v>67</v>
      </c>
      <c r="R29" t="s">
        <v>68</v>
      </c>
      <c r="T29" t="s">
        <v>69</v>
      </c>
      <c r="U29" t="s">
        <v>70</v>
      </c>
      <c r="W29" t="s">
        <v>71</v>
      </c>
      <c r="X29" s="1" t="s">
        <v>72</v>
      </c>
      <c r="Y29" t="s">
        <v>88</v>
      </c>
      <c r="Z29">
        <v>0</v>
      </c>
      <c r="AA29">
        <v>0</v>
      </c>
      <c r="AD29">
        <v>0</v>
      </c>
      <c r="AE29">
        <v>0</v>
      </c>
      <c r="AH29" t="s">
        <v>73</v>
      </c>
      <c r="AI29" t="s">
        <v>318</v>
      </c>
      <c r="AJ29" t="s">
        <v>319</v>
      </c>
      <c r="AK29" t="s">
        <v>76</v>
      </c>
      <c r="AN29" t="s">
        <v>77</v>
      </c>
      <c r="AO29" t="s">
        <v>320</v>
      </c>
      <c r="AP29" t="s">
        <v>463</v>
      </c>
      <c r="AQ29" t="s">
        <v>322</v>
      </c>
      <c r="AS29" t="b">
        <v>1</v>
      </c>
      <c r="AT29" t="s">
        <v>65</v>
      </c>
      <c r="AU29">
        <v>0</v>
      </c>
      <c r="AV29">
        <v>0</v>
      </c>
      <c r="AX29">
        <v>39</v>
      </c>
      <c r="AY29" t="s">
        <v>81</v>
      </c>
      <c r="AZ29" t="s">
        <v>90</v>
      </c>
      <c r="BB29" t="s">
        <v>91</v>
      </c>
      <c r="BC29" t="s">
        <v>92</v>
      </c>
      <c r="BD29" t="b">
        <v>0</v>
      </c>
      <c r="BE29" t="b">
        <v>0</v>
      </c>
      <c r="BF29" t="b">
        <v>0</v>
      </c>
      <c r="BG29" t="b">
        <v>0</v>
      </c>
      <c r="BH29" t="b">
        <v>0</v>
      </c>
      <c r="BI29" t="b">
        <v>0</v>
      </c>
      <c r="BJ29" t="b">
        <v>0</v>
      </c>
      <c r="BK29" t="b">
        <v>0</v>
      </c>
      <c r="BL29" t="b">
        <v>0</v>
      </c>
      <c r="BM29" t="b">
        <v>0</v>
      </c>
      <c r="BN29" t="b">
        <v>0</v>
      </c>
      <c r="BO29" t="b">
        <v>0</v>
      </c>
      <c r="BP29" t="b">
        <v>0</v>
      </c>
      <c r="BR29" t="str">
        <f>IFERROR(IF(M29="PASSED",VLOOKUP(J29,Current!$J$1:$N$500,1,FALSE)),N29)</f>
        <v>1.0028</v>
      </c>
    </row>
    <row r="30" spans="1:70" ht="15" hidden="1" customHeight="1" x14ac:dyDescent="0.25">
      <c r="A30">
        <v>21156</v>
      </c>
      <c r="C30">
        <v>0</v>
      </c>
      <c r="D30" t="s">
        <v>65</v>
      </c>
      <c r="E30" t="s">
        <v>66</v>
      </c>
      <c r="F30" t="s">
        <v>84</v>
      </c>
      <c r="G30">
        <v>0</v>
      </c>
      <c r="H30" t="s">
        <v>85</v>
      </c>
      <c r="I30" t="s">
        <v>86</v>
      </c>
      <c r="J30" t="str">
        <f>MID($N30,FIND("1.",$N30),FIND("-",$N30)-FIND("1.",$N30)-1)</f>
        <v>1.0029</v>
      </c>
      <c r="K30" t="str">
        <f t="shared" si="0"/>
        <v>Ensure Audit Authentication Policy Change is set to include Success</v>
      </c>
      <c r="L30" t="str">
        <f t="shared" si="1"/>
        <v>1.0029 - MSWRK - Ensure Audit Authentication Policy Change is set to include Success</v>
      </c>
      <c r="M30" t="str">
        <f t="shared" si="2"/>
        <v>PASSED</v>
      </c>
      <c r="N30" s="1" t="s">
        <v>263</v>
      </c>
      <c r="O30" t="s">
        <v>67</v>
      </c>
      <c r="R30" t="s">
        <v>68</v>
      </c>
      <c r="T30" t="s">
        <v>69</v>
      </c>
      <c r="U30" t="s">
        <v>70</v>
      </c>
      <c r="W30" t="s">
        <v>71</v>
      </c>
      <c r="X30" s="1" t="s">
        <v>72</v>
      </c>
      <c r="Y30" t="s">
        <v>88</v>
      </c>
      <c r="Z30">
        <v>0</v>
      </c>
      <c r="AA30">
        <v>0</v>
      </c>
      <c r="AD30">
        <v>0</v>
      </c>
      <c r="AE30">
        <v>0</v>
      </c>
      <c r="AH30" t="s">
        <v>73</v>
      </c>
      <c r="AI30" t="s">
        <v>318</v>
      </c>
      <c r="AJ30" t="s">
        <v>319</v>
      </c>
      <c r="AK30" t="s">
        <v>76</v>
      </c>
      <c r="AN30" t="s">
        <v>77</v>
      </c>
      <c r="AO30" t="s">
        <v>320</v>
      </c>
      <c r="AP30" t="s">
        <v>763</v>
      </c>
      <c r="AQ30" t="s">
        <v>322</v>
      </c>
      <c r="AS30" t="b">
        <v>1</v>
      </c>
      <c r="AT30" t="s">
        <v>65</v>
      </c>
      <c r="AU30">
        <v>0</v>
      </c>
      <c r="AV30">
        <v>0</v>
      </c>
      <c r="AX30">
        <v>39</v>
      </c>
      <c r="AY30" t="s">
        <v>81</v>
      </c>
      <c r="AZ30" t="s">
        <v>90</v>
      </c>
      <c r="BB30" t="s">
        <v>91</v>
      </c>
      <c r="BC30" t="s">
        <v>92</v>
      </c>
      <c r="BD30" t="b">
        <v>0</v>
      </c>
      <c r="BE30" t="b">
        <v>0</v>
      </c>
      <c r="BF30" t="b">
        <v>0</v>
      </c>
      <c r="BG30" t="b">
        <v>0</v>
      </c>
      <c r="BH30" t="b">
        <v>0</v>
      </c>
      <c r="BI30" t="b">
        <v>0</v>
      </c>
      <c r="BJ30" t="b">
        <v>0</v>
      </c>
      <c r="BK30" t="b">
        <v>0</v>
      </c>
      <c r="BL30" t="b">
        <v>0</v>
      </c>
      <c r="BM30" t="b">
        <v>0</v>
      </c>
      <c r="BN30" t="b">
        <v>0</v>
      </c>
      <c r="BO30" t="b">
        <v>0</v>
      </c>
      <c r="BP30" t="b">
        <v>0</v>
      </c>
      <c r="BR30" t="str">
        <f>IFERROR(IF(M30="PASSED",VLOOKUP(J30,Current!$J$1:$N$500,1,FALSE)),N30)</f>
        <v>1.0029</v>
      </c>
    </row>
    <row r="31" spans="1:70" ht="15" customHeight="1" x14ac:dyDescent="0.25">
      <c r="A31">
        <v>21156</v>
      </c>
      <c r="C31">
        <v>0</v>
      </c>
      <c r="D31" t="s">
        <v>65</v>
      </c>
      <c r="E31" t="s">
        <v>66</v>
      </c>
      <c r="F31" t="s">
        <v>84</v>
      </c>
      <c r="G31">
        <v>0</v>
      </c>
      <c r="H31" t="s">
        <v>85</v>
      </c>
      <c r="I31" t="s">
        <v>86</v>
      </c>
      <c r="J31" t="str">
        <f>MID($N31,FIND("1.",$N31),FIND("-",$N31)-FIND("1.",$N31)-1)</f>
        <v>1.0030</v>
      </c>
      <c r="K31" t="str">
        <f t="shared" si="0"/>
        <v>Ensure Audit Authorization Policy Change is set to include Success</v>
      </c>
      <c r="L31" t="str">
        <f t="shared" si="1"/>
        <v>1.0030 - MSWRK - Ensure Audit Authorization Policy Change is set to include Success</v>
      </c>
      <c r="M31" t="str">
        <f t="shared" si="2"/>
        <v>PASSED</v>
      </c>
      <c r="N31" s="1" t="s">
        <v>461</v>
      </c>
      <c r="O31" t="s">
        <v>67</v>
      </c>
      <c r="R31" t="s">
        <v>68</v>
      </c>
      <c r="T31" t="s">
        <v>69</v>
      </c>
      <c r="U31" t="s">
        <v>70</v>
      </c>
      <c r="W31" t="s">
        <v>71</v>
      </c>
      <c r="X31" s="1" t="s">
        <v>72</v>
      </c>
      <c r="Y31" t="s">
        <v>88</v>
      </c>
      <c r="Z31">
        <v>0</v>
      </c>
      <c r="AA31">
        <v>0</v>
      </c>
      <c r="AD31">
        <v>0</v>
      </c>
      <c r="AE31">
        <v>0</v>
      </c>
      <c r="AH31" t="s">
        <v>73</v>
      </c>
      <c r="AI31" t="s">
        <v>318</v>
      </c>
      <c r="AJ31" t="s">
        <v>319</v>
      </c>
      <c r="AK31" t="s">
        <v>76</v>
      </c>
      <c r="AN31" t="s">
        <v>77</v>
      </c>
      <c r="AO31" t="s">
        <v>320</v>
      </c>
      <c r="AP31" t="s">
        <v>460</v>
      </c>
      <c r="AQ31" t="s">
        <v>322</v>
      </c>
      <c r="AS31" t="b">
        <v>1</v>
      </c>
      <c r="AT31" t="s">
        <v>65</v>
      </c>
      <c r="AU31">
        <v>0</v>
      </c>
      <c r="AV31">
        <v>0</v>
      </c>
      <c r="AX31">
        <v>39</v>
      </c>
      <c r="AY31" t="s">
        <v>81</v>
      </c>
      <c r="AZ31" t="s">
        <v>90</v>
      </c>
      <c r="BB31" t="s">
        <v>91</v>
      </c>
      <c r="BC31" t="s">
        <v>92</v>
      </c>
      <c r="BD31" t="b">
        <v>0</v>
      </c>
      <c r="BE31" t="b">
        <v>0</v>
      </c>
      <c r="BF31" t="b">
        <v>0</v>
      </c>
      <c r="BG31" t="b">
        <v>0</v>
      </c>
      <c r="BH31" t="b">
        <v>0</v>
      </c>
      <c r="BI31" t="b">
        <v>0</v>
      </c>
      <c r="BJ31" t="b">
        <v>0</v>
      </c>
      <c r="BK31" t="b">
        <v>0</v>
      </c>
      <c r="BL31" t="b">
        <v>0</v>
      </c>
      <c r="BM31" t="b">
        <v>0</v>
      </c>
      <c r="BN31" t="b">
        <v>0</v>
      </c>
      <c r="BO31" t="b">
        <v>0</v>
      </c>
      <c r="BP31" t="b">
        <v>0</v>
      </c>
      <c r="BR31" t="str">
        <f>IFERROR(IF(M31="PASSED",VLOOKUP(J31,Current!$J$1:$N$500,1,FALSE)),N31)</f>
        <v>"1.0030 - MSWRK - Ensure Audit Authorization Policy Change is set to include Success: [PASSED]"
This subcategory reports changes in authorization policy.
See Also:
See HTH Policies and Standards
Reference:
NIST 800-53r5|AU-3 AU-3(1) AU-7 AU-12
Policy Value:
'^(Success|Success\ and\ Failure)$'
Actual Value:
'Success'</v>
      </c>
    </row>
    <row r="32" spans="1:70" ht="15" customHeight="1" x14ac:dyDescent="0.25">
      <c r="A32">
        <v>21156</v>
      </c>
      <c r="C32">
        <v>0</v>
      </c>
      <c r="D32" t="s">
        <v>65</v>
      </c>
      <c r="E32" t="s">
        <v>66</v>
      </c>
      <c r="F32" t="s">
        <v>84</v>
      </c>
      <c r="G32">
        <v>0</v>
      </c>
      <c r="H32" t="s">
        <v>85</v>
      </c>
      <c r="I32" t="s">
        <v>86</v>
      </c>
      <c r="J32" t="str">
        <f>MID($N32,FIND("1.",$N32),FIND("-",$N32)-FIND("1.",$N32)-1)</f>
        <v>1.0031</v>
      </c>
      <c r="K32" t="str">
        <f t="shared" si="0"/>
        <v>Ensure Audit MPSSVC Rule-Level Policy Change is set to Success and Failure</v>
      </c>
      <c r="L32" t="str">
        <f t="shared" si="1"/>
        <v>1.0031 - MSWRK - Ensure Audit MPSSVC Rule-Level Policy Change is set to Success and Failure</v>
      </c>
      <c r="M32" t="str">
        <f t="shared" si="2"/>
        <v>PASSED</v>
      </c>
      <c r="N32" s="1" t="s">
        <v>724</v>
      </c>
      <c r="O32" t="s">
        <v>67</v>
      </c>
      <c r="R32" t="s">
        <v>68</v>
      </c>
      <c r="T32" t="s">
        <v>69</v>
      </c>
      <c r="U32" t="s">
        <v>70</v>
      </c>
      <c r="W32" t="s">
        <v>71</v>
      </c>
      <c r="X32" s="1" t="s">
        <v>72</v>
      </c>
      <c r="Y32" t="s">
        <v>88</v>
      </c>
      <c r="Z32">
        <v>0</v>
      </c>
      <c r="AA32">
        <v>0</v>
      </c>
      <c r="AD32">
        <v>0</v>
      </c>
      <c r="AE32">
        <v>0</v>
      </c>
      <c r="AH32" t="s">
        <v>73</v>
      </c>
      <c r="AI32" t="s">
        <v>318</v>
      </c>
      <c r="AJ32" t="s">
        <v>319</v>
      </c>
      <c r="AK32" t="s">
        <v>76</v>
      </c>
      <c r="AN32" t="s">
        <v>77</v>
      </c>
      <c r="AO32" t="s">
        <v>320</v>
      </c>
      <c r="AP32" t="s">
        <v>723</v>
      </c>
      <c r="AQ32" t="s">
        <v>322</v>
      </c>
      <c r="AS32" t="b">
        <v>1</v>
      </c>
      <c r="AT32" t="s">
        <v>65</v>
      </c>
      <c r="AU32">
        <v>0</v>
      </c>
      <c r="AV32">
        <v>0</v>
      </c>
      <c r="AX32">
        <v>39</v>
      </c>
      <c r="AY32" t="s">
        <v>81</v>
      </c>
      <c r="AZ32" t="s">
        <v>90</v>
      </c>
      <c r="BB32" t="s">
        <v>91</v>
      </c>
      <c r="BC32" t="s">
        <v>92</v>
      </c>
      <c r="BD32" t="b">
        <v>0</v>
      </c>
      <c r="BE32" t="b">
        <v>0</v>
      </c>
      <c r="BF32" t="b">
        <v>0</v>
      </c>
      <c r="BG32" t="b">
        <v>0</v>
      </c>
      <c r="BH32" t="b">
        <v>0</v>
      </c>
      <c r="BI32" t="b">
        <v>0</v>
      </c>
      <c r="BJ32" t="b">
        <v>0</v>
      </c>
      <c r="BK32" t="b">
        <v>0</v>
      </c>
      <c r="BL32" t="b">
        <v>0</v>
      </c>
      <c r="BM32" t="b">
        <v>0</v>
      </c>
      <c r="BN32" t="b">
        <v>0</v>
      </c>
      <c r="BO32" t="b">
        <v>0</v>
      </c>
      <c r="BP32" t="b">
        <v>0</v>
      </c>
      <c r="BR32" t="str">
        <f>IFERROR(IF(M32="PASSED",VLOOKUP(J32,Current!$J$1:$N$500,1,FALSE)),N32)</f>
        <v>"1.0031 - MSWRK - Ensure Audit MPSSVC Rule-Level Policy Change is set to Success and Failure: [PASSED]"
This subcategory determines whether the operating system generates audit events when changes are made to policy rules for the Microsoft Protection Service (MPSSVC.
See Also:
See HTH Policies and Standards
Reference:
NIST 800-53r5|AU-3 AU-3(1) AU-7 AU-12
Policy Value:
'Success and Failure'
Actual Value:
'Success and Failure'</v>
      </c>
    </row>
    <row r="33" spans="1:70" ht="15" customHeight="1" x14ac:dyDescent="0.25">
      <c r="A33">
        <v>21156</v>
      </c>
      <c r="C33">
        <v>0</v>
      </c>
      <c r="D33" t="s">
        <v>65</v>
      </c>
      <c r="E33" t="s">
        <v>66</v>
      </c>
      <c r="F33" t="s">
        <v>84</v>
      </c>
      <c r="G33">
        <v>0</v>
      </c>
      <c r="H33" t="s">
        <v>85</v>
      </c>
      <c r="I33" t="s">
        <v>86</v>
      </c>
      <c r="J33" t="str">
        <f>MID($N33,FIND("1.",$N33),FIND("-",$N33)-FIND("1.",$N33)-1)</f>
        <v>1.0032</v>
      </c>
      <c r="K33" t="str">
        <f t="shared" si="0"/>
        <v>Ensure Audit Other Policy Change Events is set to include Failure</v>
      </c>
      <c r="L33" t="str">
        <f t="shared" si="1"/>
        <v>1.0032 - MSWRK - Ensure Audit Other Policy Change Events is set to include Failure</v>
      </c>
      <c r="M33" t="str">
        <f t="shared" si="2"/>
        <v>PASSED</v>
      </c>
      <c r="N33" s="1" t="s">
        <v>622</v>
      </c>
      <c r="O33" t="s">
        <v>67</v>
      </c>
      <c r="R33" t="s">
        <v>68</v>
      </c>
      <c r="T33" t="s">
        <v>69</v>
      </c>
      <c r="U33" t="s">
        <v>70</v>
      </c>
      <c r="W33" t="s">
        <v>71</v>
      </c>
      <c r="X33" s="1" t="s">
        <v>72</v>
      </c>
      <c r="Y33" t="s">
        <v>88</v>
      </c>
      <c r="Z33">
        <v>0</v>
      </c>
      <c r="AA33">
        <v>0</v>
      </c>
      <c r="AD33">
        <v>0</v>
      </c>
      <c r="AE33">
        <v>0</v>
      </c>
      <c r="AH33" t="s">
        <v>73</v>
      </c>
      <c r="AI33" t="s">
        <v>318</v>
      </c>
      <c r="AJ33" t="s">
        <v>319</v>
      </c>
      <c r="AK33" t="s">
        <v>76</v>
      </c>
      <c r="AN33" t="s">
        <v>77</v>
      </c>
      <c r="AO33" t="s">
        <v>320</v>
      </c>
      <c r="AP33" t="s">
        <v>619</v>
      </c>
      <c r="AQ33" t="s">
        <v>322</v>
      </c>
      <c r="AS33" t="b">
        <v>1</v>
      </c>
      <c r="AT33" t="s">
        <v>65</v>
      </c>
      <c r="AU33">
        <v>0</v>
      </c>
      <c r="AV33">
        <v>0</v>
      </c>
      <c r="AX33">
        <v>39</v>
      </c>
      <c r="AY33" t="s">
        <v>81</v>
      </c>
      <c r="AZ33" t="s">
        <v>90</v>
      </c>
      <c r="BB33" t="s">
        <v>91</v>
      </c>
      <c r="BC33" t="s">
        <v>92</v>
      </c>
      <c r="BD33" t="b">
        <v>0</v>
      </c>
      <c r="BE33" t="b">
        <v>0</v>
      </c>
      <c r="BF33" t="b">
        <v>0</v>
      </c>
      <c r="BG33" t="b">
        <v>0</v>
      </c>
      <c r="BH33" t="b">
        <v>0</v>
      </c>
      <c r="BI33" t="b">
        <v>0</v>
      </c>
      <c r="BJ33" t="b">
        <v>0</v>
      </c>
      <c r="BK33" t="b">
        <v>0</v>
      </c>
      <c r="BL33" t="b">
        <v>0</v>
      </c>
      <c r="BM33" t="b">
        <v>0</v>
      </c>
      <c r="BN33" t="b">
        <v>0</v>
      </c>
      <c r="BO33" t="b">
        <v>0</v>
      </c>
      <c r="BP33" t="b">
        <v>0</v>
      </c>
      <c r="BR33" t="str">
        <f>IFERROR(IF(M33="PASSED",VLOOKUP(J33,Current!$J$1:$N$500,1,FALSE)),N33)</f>
        <v>"1.0032 - MSWRK - Ensure Audit Other Policy Change Events is set to include Failure: [PASSED]"
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See Also:
See HTH Policies and Standards
Reference:
NIST 800-53r5|AU-3 AU-3(1) AU-7 AU-12
Policy Value:
'^(Failure|Success\ and\ Failure)$'
Actual Value:
'Failure'</v>
      </c>
    </row>
    <row r="34" spans="1:70" ht="15" customHeight="1" x14ac:dyDescent="0.25">
      <c r="A34">
        <v>21156</v>
      </c>
      <c r="C34">
        <v>0</v>
      </c>
      <c r="D34" t="s">
        <v>65</v>
      </c>
      <c r="E34" t="s">
        <v>66</v>
      </c>
      <c r="F34" t="s">
        <v>84</v>
      </c>
      <c r="G34">
        <v>0</v>
      </c>
      <c r="H34" t="s">
        <v>85</v>
      </c>
      <c r="I34" t="s">
        <v>86</v>
      </c>
      <c r="J34" t="str">
        <f>MID($N34,FIND("1.",$N34),FIND("-",$N34)-FIND("1.",$N34)-1)</f>
        <v>1.0033</v>
      </c>
      <c r="K34" t="str">
        <f t="shared" si="0"/>
        <v>Ensure Audit Sensitive Privilege Use is set to Success</v>
      </c>
      <c r="L34" t="str">
        <f t="shared" si="1"/>
        <v>1.0033 - MSWRK - Ensure Audit Sensitive Privilege Use is set to Success</v>
      </c>
      <c r="M34" t="str">
        <f t="shared" si="2"/>
        <v>PASSED</v>
      </c>
      <c r="N34" s="1" t="s">
        <v>413</v>
      </c>
      <c r="O34" t="s">
        <v>67</v>
      </c>
      <c r="R34" t="s">
        <v>68</v>
      </c>
      <c r="T34" t="s">
        <v>69</v>
      </c>
      <c r="U34" t="s">
        <v>70</v>
      </c>
      <c r="W34" t="s">
        <v>71</v>
      </c>
      <c r="X34" s="1" t="s">
        <v>72</v>
      </c>
      <c r="Y34" t="s">
        <v>88</v>
      </c>
      <c r="Z34">
        <v>0</v>
      </c>
      <c r="AA34">
        <v>0</v>
      </c>
      <c r="AD34">
        <v>0</v>
      </c>
      <c r="AE34">
        <v>0</v>
      </c>
      <c r="AH34" t="s">
        <v>73</v>
      </c>
      <c r="AI34" t="s">
        <v>318</v>
      </c>
      <c r="AJ34" t="s">
        <v>319</v>
      </c>
      <c r="AK34" t="s">
        <v>76</v>
      </c>
      <c r="AN34" t="s">
        <v>77</v>
      </c>
      <c r="AO34" t="s">
        <v>320</v>
      </c>
      <c r="AP34" t="s">
        <v>414</v>
      </c>
      <c r="AQ34" t="s">
        <v>322</v>
      </c>
      <c r="AS34" t="b">
        <v>1</v>
      </c>
      <c r="AT34" t="s">
        <v>65</v>
      </c>
      <c r="AU34">
        <v>0</v>
      </c>
      <c r="AV34">
        <v>0</v>
      </c>
      <c r="AX34">
        <v>39</v>
      </c>
      <c r="AY34" t="s">
        <v>81</v>
      </c>
      <c r="AZ34" t="s">
        <v>90</v>
      </c>
      <c r="BB34" t="s">
        <v>91</v>
      </c>
      <c r="BC34" t="s">
        <v>92</v>
      </c>
      <c r="BD34" t="b">
        <v>0</v>
      </c>
      <c r="BE34" t="b">
        <v>0</v>
      </c>
      <c r="BF34" t="b">
        <v>0</v>
      </c>
      <c r="BG34" t="b">
        <v>0</v>
      </c>
      <c r="BH34" t="b">
        <v>0</v>
      </c>
      <c r="BI34" t="b">
        <v>0</v>
      </c>
      <c r="BJ34" t="b">
        <v>0</v>
      </c>
      <c r="BK34" t="b">
        <v>0</v>
      </c>
      <c r="BL34" t="b">
        <v>0</v>
      </c>
      <c r="BM34" t="b">
        <v>0</v>
      </c>
      <c r="BN34" t="b">
        <v>0</v>
      </c>
      <c r="BO34" t="b">
        <v>0</v>
      </c>
      <c r="BP34" t="b">
        <v>0</v>
      </c>
      <c r="BR34" t="str">
        <f>IFERROR(IF(M34="PASSED",VLOOKUP(J34,Current!$J$1:$N$500,1,FALSE)),N34)</f>
        <v>"1.0033 - MSWRK - Ensure Audit Sensitive Privilege Use is set to Success: [PASSED]"
This subcategory reports when a user account or service uses a sensitive privilege.
See Also:
See HTH Policies and Standards
Reference:
NIST 800-53r5|AU-3 AU-3(1) AU-7 AU-12
Policy Value:
'^(Success|Success\ and\ Failure)$'
Actual Value:
'Success and Failure'</v>
      </c>
    </row>
    <row r="35" spans="1:70" ht="15" customHeight="1" x14ac:dyDescent="0.25">
      <c r="A35">
        <v>21156</v>
      </c>
      <c r="C35">
        <v>0</v>
      </c>
      <c r="D35" t="s">
        <v>65</v>
      </c>
      <c r="E35" t="s">
        <v>66</v>
      </c>
      <c r="F35" t="s">
        <v>84</v>
      </c>
      <c r="G35">
        <v>0</v>
      </c>
      <c r="H35" t="s">
        <v>85</v>
      </c>
      <c r="I35" t="s">
        <v>86</v>
      </c>
      <c r="J35" t="str">
        <f>MID($N35,FIND("1.",$N35),FIND("-",$N35)-FIND("1.",$N35)-1)</f>
        <v>1.0034</v>
      </c>
      <c r="K35" t="str">
        <f t="shared" si="0"/>
        <v>Ensure Audit IPsec Driver is set to Success and Failure</v>
      </c>
      <c r="L35" t="str">
        <f t="shared" si="1"/>
        <v>1.0034 - MSWRK - Ensure Audit IPsec Driver is set to Success and Failure</v>
      </c>
      <c r="M35" t="str">
        <f t="shared" si="2"/>
        <v>PASSED</v>
      </c>
      <c r="N35" s="1" t="s">
        <v>737</v>
      </c>
      <c r="O35" t="s">
        <v>67</v>
      </c>
      <c r="R35" t="s">
        <v>68</v>
      </c>
      <c r="T35" t="s">
        <v>69</v>
      </c>
      <c r="U35" t="s">
        <v>70</v>
      </c>
      <c r="W35" t="s">
        <v>71</v>
      </c>
      <c r="X35" s="1" t="s">
        <v>72</v>
      </c>
      <c r="Y35" t="s">
        <v>88</v>
      </c>
      <c r="Z35">
        <v>0</v>
      </c>
      <c r="AA35">
        <v>0</v>
      </c>
      <c r="AD35">
        <v>0</v>
      </c>
      <c r="AE35">
        <v>0</v>
      </c>
      <c r="AH35" t="s">
        <v>73</v>
      </c>
      <c r="AI35" t="s">
        <v>318</v>
      </c>
      <c r="AJ35" t="s">
        <v>319</v>
      </c>
      <c r="AK35" t="s">
        <v>76</v>
      </c>
      <c r="AN35" t="s">
        <v>77</v>
      </c>
      <c r="AO35" t="s">
        <v>320</v>
      </c>
      <c r="AP35" t="s">
        <v>735</v>
      </c>
      <c r="AQ35" t="s">
        <v>322</v>
      </c>
      <c r="AS35" t="b">
        <v>1</v>
      </c>
      <c r="AT35" t="s">
        <v>65</v>
      </c>
      <c r="AU35">
        <v>0</v>
      </c>
      <c r="AV35">
        <v>0</v>
      </c>
      <c r="AX35">
        <v>39</v>
      </c>
      <c r="AY35" t="s">
        <v>81</v>
      </c>
      <c r="AZ35" t="s">
        <v>90</v>
      </c>
      <c r="BB35" t="s">
        <v>91</v>
      </c>
      <c r="BC35" t="s">
        <v>92</v>
      </c>
      <c r="BD35" t="b">
        <v>0</v>
      </c>
      <c r="BE35" t="b">
        <v>0</v>
      </c>
      <c r="BF35" t="b">
        <v>0</v>
      </c>
      <c r="BG35" t="b">
        <v>0</v>
      </c>
      <c r="BH35" t="b">
        <v>0</v>
      </c>
      <c r="BI35" t="b">
        <v>0</v>
      </c>
      <c r="BJ35" t="b">
        <v>0</v>
      </c>
      <c r="BK35" t="b">
        <v>0</v>
      </c>
      <c r="BL35" t="b">
        <v>0</v>
      </c>
      <c r="BM35" t="b">
        <v>0</v>
      </c>
      <c r="BN35" t="b">
        <v>0</v>
      </c>
      <c r="BO35" t="b">
        <v>0</v>
      </c>
      <c r="BP35" t="b">
        <v>0</v>
      </c>
      <c r="BR35" t="str">
        <f>IFERROR(IF(M35="PASSED",VLOOKUP(J35,Current!$J$1:$N$500,1,FALSE)),N35)</f>
        <v>"1.0034 - MSWRK - Ensure Audit IPsec Driver is set to Success and Failure: [PASSED]"
This subcategory reports on the activities of the Internet Protocol security (IPsec) driver.
See Also:
See HTH Policies and Standards
Reference:
NIST 800-53r5|AU-3 AU-3(1) AU-7 AU-12
Policy Value:
'Success and Failure'
Actual Value:
'Success and Failure'</v>
      </c>
    </row>
    <row r="36" spans="1:70" ht="15" hidden="1" customHeight="1" x14ac:dyDescent="0.25">
      <c r="A36">
        <v>21156</v>
      </c>
      <c r="C36">
        <v>0</v>
      </c>
      <c r="D36" t="s">
        <v>65</v>
      </c>
      <c r="E36" t="s">
        <v>66</v>
      </c>
      <c r="F36" t="s">
        <v>84</v>
      </c>
      <c r="G36">
        <v>0</v>
      </c>
      <c r="H36" t="s">
        <v>85</v>
      </c>
      <c r="I36" t="s">
        <v>86</v>
      </c>
      <c r="J36" t="str">
        <f>MID($N36,FIND("1.",$N36),FIND("-",$N36)-FIND("1.",$N36)-1)</f>
        <v>1.0035</v>
      </c>
      <c r="K36" t="str">
        <f t="shared" si="0"/>
        <v>Ensure Audit Other System Events is set to Success and Failure</v>
      </c>
      <c r="L36" t="str">
        <f t="shared" si="1"/>
        <v>1.0035 - MSWRK - Ensure Audit Other System Events is set to Success and Failure</v>
      </c>
      <c r="M36" t="str">
        <f t="shared" si="2"/>
        <v>PASSED</v>
      </c>
      <c r="N36" s="1" t="s">
        <v>285</v>
      </c>
      <c r="O36" t="s">
        <v>67</v>
      </c>
      <c r="R36" t="s">
        <v>68</v>
      </c>
      <c r="T36" t="s">
        <v>69</v>
      </c>
      <c r="U36" t="s">
        <v>70</v>
      </c>
      <c r="W36" t="s">
        <v>71</v>
      </c>
      <c r="X36" s="1" t="s">
        <v>72</v>
      </c>
      <c r="Y36" t="s">
        <v>88</v>
      </c>
      <c r="Z36">
        <v>0</v>
      </c>
      <c r="AA36">
        <v>0</v>
      </c>
      <c r="AD36">
        <v>0</v>
      </c>
      <c r="AE36">
        <v>0</v>
      </c>
      <c r="AH36" t="s">
        <v>73</v>
      </c>
      <c r="AI36" t="s">
        <v>318</v>
      </c>
      <c r="AJ36" t="s">
        <v>319</v>
      </c>
      <c r="AK36" t="s">
        <v>76</v>
      </c>
      <c r="AN36" t="s">
        <v>77</v>
      </c>
      <c r="AO36" t="s">
        <v>320</v>
      </c>
      <c r="AP36" t="s">
        <v>586</v>
      </c>
      <c r="AQ36" t="s">
        <v>322</v>
      </c>
      <c r="AS36" t="b">
        <v>1</v>
      </c>
      <c r="AT36" t="s">
        <v>65</v>
      </c>
      <c r="AU36">
        <v>0</v>
      </c>
      <c r="AV36">
        <v>0</v>
      </c>
      <c r="AX36">
        <v>39</v>
      </c>
      <c r="AY36" t="s">
        <v>81</v>
      </c>
      <c r="AZ36" t="s">
        <v>90</v>
      </c>
      <c r="BB36" t="s">
        <v>91</v>
      </c>
      <c r="BC36" t="s">
        <v>92</v>
      </c>
      <c r="BD36" t="b">
        <v>0</v>
      </c>
      <c r="BE36" t="b">
        <v>0</v>
      </c>
      <c r="BF36" t="b">
        <v>0</v>
      </c>
      <c r="BG36" t="b">
        <v>0</v>
      </c>
      <c r="BH36" t="b">
        <v>0</v>
      </c>
      <c r="BI36" t="b">
        <v>0</v>
      </c>
      <c r="BJ36" t="b">
        <v>0</v>
      </c>
      <c r="BK36" t="b">
        <v>0</v>
      </c>
      <c r="BL36" t="b">
        <v>0</v>
      </c>
      <c r="BM36" t="b">
        <v>0</v>
      </c>
      <c r="BN36" t="b">
        <v>0</v>
      </c>
      <c r="BO36" t="b">
        <v>0</v>
      </c>
      <c r="BP36" t="b">
        <v>0</v>
      </c>
      <c r="BR36" t="str">
        <f>IFERROR(IF(M36="PASSED",VLOOKUP(J36,Current!$J$1:$N$500,1,FALSE)),N36)</f>
        <v>1.0035</v>
      </c>
    </row>
    <row r="37" spans="1:70" ht="15" hidden="1" customHeight="1" x14ac:dyDescent="0.25">
      <c r="A37">
        <v>21156</v>
      </c>
      <c r="C37">
        <v>0</v>
      </c>
      <c r="D37" t="s">
        <v>65</v>
      </c>
      <c r="E37" t="s">
        <v>66</v>
      </c>
      <c r="F37" t="s">
        <v>84</v>
      </c>
      <c r="G37">
        <v>0</v>
      </c>
      <c r="H37" t="s">
        <v>85</v>
      </c>
      <c r="I37" t="s">
        <v>86</v>
      </c>
      <c r="J37" t="str">
        <f>MID($N37,FIND("1.",$N37),FIND("-",$N37)-FIND("1.",$N37)-1)</f>
        <v>1.0036</v>
      </c>
      <c r="K37" t="str">
        <f t="shared" si="0"/>
        <v>Ensure Audit Security State Change is set to include Success</v>
      </c>
      <c r="L37" t="str">
        <f t="shared" si="1"/>
        <v>1.0036 - MSWRK - Ensure Audit Security State Change is set to include Success</v>
      </c>
      <c r="M37" t="str">
        <f t="shared" si="2"/>
        <v>PASSED</v>
      </c>
      <c r="N37" s="1" t="s">
        <v>132</v>
      </c>
      <c r="O37" t="s">
        <v>67</v>
      </c>
      <c r="R37" t="s">
        <v>68</v>
      </c>
      <c r="T37" t="s">
        <v>69</v>
      </c>
      <c r="U37" t="s">
        <v>70</v>
      </c>
      <c r="W37" t="s">
        <v>71</v>
      </c>
      <c r="X37" s="1" t="s">
        <v>72</v>
      </c>
      <c r="Y37" t="s">
        <v>88</v>
      </c>
      <c r="Z37">
        <v>0</v>
      </c>
      <c r="AA37">
        <v>0</v>
      </c>
      <c r="AD37">
        <v>0</v>
      </c>
      <c r="AE37">
        <v>0</v>
      </c>
      <c r="AH37" t="s">
        <v>73</v>
      </c>
      <c r="AI37" t="s">
        <v>318</v>
      </c>
      <c r="AJ37" t="s">
        <v>319</v>
      </c>
      <c r="AK37" t="s">
        <v>76</v>
      </c>
      <c r="AN37" t="s">
        <v>77</v>
      </c>
      <c r="AO37" t="s">
        <v>320</v>
      </c>
      <c r="AP37" t="s">
        <v>701</v>
      </c>
      <c r="AQ37" t="s">
        <v>322</v>
      </c>
      <c r="AS37" t="b">
        <v>1</v>
      </c>
      <c r="AT37" t="s">
        <v>65</v>
      </c>
      <c r="AU37">
        <v>0</v>
      </c>
      <c r="AV37">
        <v>0</v>
      </c>
      <c r="AX37">
        <v>39</v>
      </c>
      <c r="AY37" t="s">
        <v>81</v>
      </c>
      <c r="AZ37" t="s">
        <v>90</v>
      </c>
      <c r="BB37" t="s">
        <v>91</v>
      </c>
      <c r="BC37" t="s">
        <v>92</v>
      </c>
      <c r="BD37" t="b">
        <v>0</v>
      </c>
      <c r="BE37" t="b">
        <v>0</v>
      </c>
      <c r="BF37" t="b">
        <v>0</v>
      </c>
      <c r="BG37" t="b">
        <v>0</v>
      </c>
      <c r="BH37" t="b">
        <v>0</v>
      </c>
      <c r="BI37" t="b">
        <v>0</v>
      </c>
      <c r="BJ37" t="b">
        <v>0</v>
      </c>
      <c r="BK37" t="b">
        <v>0</v>
      </c>
      <c r="BL37" t="b">
        <v>0</v>
      </c>
      <c r="BM37" t="b">
        <v>0</v>
      </c>
      <c r="BN37" t="b">
        <v>0</v>
      </c>
      <c r="BO37" t="b">
        <v>0</v>
      </c>
      <c r="BP37" t="b">
        <v>0</v>
      </c>
      <c r="BR37" t="str">
        <f>IFERROR(IF(M37="PASSED",VLOOKUP(J37,Current!$J$1:$N$500,1,FALSE)),N37)</f>
        <v>1.0036</v>
      </c>
    </row>
    <row r="38" spans="1:70" ht="15" hidden="1" customHeight="1" x14ac:dyDescent="0.25">
      <c r="A38">
        <v>21156</v>
      </c>
      <c r="C38">
        <v>0</v>
      </c>
      <c r="D38" t="s">
        <v>65</v>
      </c>
      <c r="E38" t="s">
        <v>66</v>
      </c>
      <c r="F38" t="s">
        <v>84</v>
      </c>
      <c r="G38">
        <v>0</v>
      </c>
      <c r="H38" t="s">
        <v>85</v>
      </c>
      <c r="I38" t="s">
        <v>86</v>
      </c>
      <c r="J38" t="str">
        <f>MID($N38,FIND("1.",$N38),FIND("-",$N38)-FIND("1.",$N38)-1)</f>
        <v>1.0037</v>
      </c>
      <c r="K38" t="str">
        <f t="shared" si="0"/>
        <v>Ensure Audit Security System Extension is set to include Success</v>
      </c>
      <c r="L38" t="str">
        <f t="shared" si="1"/>
        <v>1.0037 - MSWRK - Ensure Audit Security System Extension is set to include Success</v>
      </c>
      <c r="M38" t="str">
        <f t="shared" si="2"/>
        <v>PASSED</v>
      </c>
      <c r="N38" s="1" t="s">
        <v>311</v>
      </c>
      <c r="O38" t="s">
        <v>67</v>
      </c>
      <c r="R38" t="s">
        <v>68</v>
      </c>
      <c r="T38" t="s">
        <v>69</v>
      </c>
      <c r="U38" t="s">
        <v>70</v>
      </c>
      <c r="W38" t="s">
        <v>71</v>
      </c>
      <c r="X38" s="1" t="s">
        <v>72</v>
      </c>
      <c r="Y38" t="s">
        <v>88</v>
      </c>
      <c r="Z38">
        <v>0</v>
      </c>
      <c r="AA38">
        <v>0</v>
      </c>
      <c r="AD38">
        <v>0</v>
      </c>
      <c r="AE38">
        <v>0</v>
      </c>
      <c r="AH38" t="s">
        <v>73</v>
      </c>
      <c r="AI38" t="s">
        <v>318</v>
      </c>
      <c r="AJ38" t="s">
        <v>319</v>
      </c>
      <c r="AK38" t="s">
        <v>76</v>
      </c>
      <c r="AN38" t="s">
        <v>77</v>
      </c>
      <c r="AO38" t="s">
        <v>320</v>
      </c>
      <c r="AP38" t="s">
        <v>463</v>
      </c>
      <c r="AQ38" t="s">
        <v>322</v>
      </c>
      <c r="AS38" t="b">
        <v>1</v>
      </c>
      <c r="AT38" t="s">
        <v>65</v>
      </c>
      <c r="AU38">
        <v>0</v>
      </c>
      <c r="AV38">
        <v>0</v>
      </c>
      <c r="AX38">
        <v>39</v>
      </c>
      <c r="AY38" t="s">
        <v>81</v>
      </c>
      <c r="AZ38" t="s">
        <v>90</v>
      </c>
      <c r="BB38" t="s">
        <v>91</v>
      </c>
      <c r="BC38" t="s">
        <v>92</v>
      </c>
      <c r="BD38" t="b">
        <v>0</v>
      </c>
      <c r="BE38" t="b">
        <v>0</v>
      </c>
      <c r="BF38" t="b">
        <v>0</v>
      </c>
      <c r="BG38" t="b">
        <v>0</v>
      </c>
      <c r="BH38" t="b">
        <v>0</v>
      </c>
      <c r="BI38" t="b">
        <v>0</v>
      </c>
      <c r="BJ38" t="b">
        <v>0</v>
      </c>
      <c r="BK38" t="b">
        <v>0</v>
      </c>
      <c r="BL38" t="b">
        <v>0</v>
      </c>
      <c r="BM38" t="b">
        <v>0</v>
      </c>
      <c r="BN38" t="b">
        <v>0</v>
      </c>
      <c r="BO38" t="b">
        <v>0</v>
      </c>
      <c r="BP38" t="b">
        <v>0</v>
      </c>
      <c r="BR38" t="str">
        <f>IFERROR(IF(M38="PASSED",VLOOKUP(J38,Current!$J$1:$N$500,1,FALSE)),N38)</f>
        <v>1.0037</v>
      </c>
    </row>
    <row r="39" spans="1:70" ht="15" hidden="1" customHeight="1" x14ac:dyDescent="0.25">
      <c r="A39">
        <v>21156</v>
      </c>
      <c r="C39">
        <v>0</v>
      </c>
      <c r="D39" t="s">
        <v>65</v>
      </c>
      <c r="E39" t="s">
        <v>66</v>
      </c>
      <c r="F39" t="s">
        <v>84</v>
      </c>
      <c r="G39">
        <v>0</v>
      </c>
      <c r="H39" t="s">
        <v>85</v>
      </c>
      <c r="I39" t="s">
        <v>86</v>
      </c>
      <c r="J39" t="str">
        <f>MID($N39,FIND("1.",$N39),FIND("-",$N39)-FIND("1.",$N39)-1)</f>
        <v>1.0038</v>
      </c>
      <c r="K39" t="str">
        <f t="shared" si="0"/>
        <v>Ensure Audit System Integrity is set to Success and Failure</v>
      </c>
      <c r="L39" t="str">
        <f t="shared" si="1"/>
        <v>1.0038 - MSWRK - Ensure Audit System Integrity is set to Success and Failure</v>
      </c>
      <c r="M39" t="str">
        <f t="shared" si="2"/>
        <v>PASSED</v>
      </c>
      <c r="N39" s="1" t="s">
        <v>205</v>
      </c>
      <c r="O39" t="s">
        <v>67</v>
      </c>
      <c r="R39" t="s">
        <v>68</v>
      </c>
      <c r="T39" t="s">
        <v>69</v>
      </c>
      <c r="U39" t="s">
        <v>70</v>
      </c>
      <c r="W39" t="s">
        <v>71</v>
      </c>
      <c r="X39" s="1" t="s">
        <v>72</v>
      </c>
      <c r="Y39" t="s">
        <v>88</v>
      </c>
      <c r="Z39">
        <v>0</v>
      </c>
      <c r="AA39">
        <v>0</v>
      </c>
      <c r="AD39">
        <v>0</v>
      </c>
      <c r="AE39">
        <v>0</v>
      </c>
      <c r="AH39" t="s">
        <v>73</v>
      </c>
      <c r="AI39" t="s">
        <v>318</v>
      </c>
      <c r="AJ39" t="s">
        <v>319</v>
      </c>
      <c r="AK39" t="s">
        <v>76</v>
      </c>
      <c r="AN39" t="s">
        <v>77</v>
      </c>
      <c r="AO39" t="s">
        <v>320</v>
      </c>
      <c r="AP39" t="s">
        <v>768</v>
      </c>
      <c r="AQ39" t="s">
        <v>322</v>
      </c>
      <c r="AS39" t="b">
        <v>1</v>
      </c>
      <c r="AT39" t="s">
        <v>65</v>
      </c>
      <c r="AU39">
        <v>0</v>
      </c>
      <c r="AV39">
        <v>0</v>
      </c>
      <c r="AX39">
        <v>39</v>
      </c>
      <c r="AY39" t="s">
        <v>81</v>
      </c>
      <c r="AZ39" t="s">
        <v>90</v>
      </c>
      <c r="BB39" t="s">
        <v>91</v>
      </c>
      <c r="BC39" t="s">
        <v>92</v>
      </c>
      <c r="BD39" t="b">
        <v>0</v>
      </c>
      <c r="BE39" t="b">
        <v>0</v>
      </c>
      <c r="BF39" t="b">
        <v>0</v>
      </c>
      <c r="BG39" t="b">
        <v>0</v>
      </c>
      <c r="BH39" t="b">
        <v>0</v>
      </c>
      <c r="BI39" t="b">
        <v>0</v>
      </c>
      <c r="BJ39" t="b">
        <v>0</v>
      </c>
      <c r="BK39" t="b">
        <v>0</v>
      </c>
      <c r="BL39" t="b">
        <v>0</v>
      </c>
      <c r="BM39" t="b">
        <v>0</v>
      </c>
      <c r="BN39" t="b">
        <v>0</v>
      </c>
      <c r="BO39" t="b">
        <v>0</v>
      </c>
      <c r="BP39" t="b">
        <v>0</v>
      </c>
      <c r="BR39" t="str">
        <f>IFERROR(IF(M39="PASSED",VLOOKUP(J39,Current!$J$1:$N$500,1,FALSE)),N39)</f>
        <v>1.0038</v>
      </c>
    </row>
    <row r="40" spans="1:70" ht="15" customHeight="1" x14ac:dyDescent="0.25">
      <c r="A40">
        <v>21156</v>
      </c>
      <c r="C40">
        <v>0</v>
      </c>
      <c r="D40" t="s">
        <v>65</v>
      </c>
      <c r="E40" t="s">
        <v>66</v>
      </c>
      <c r="F40" t="s">
        <v>84</v>
      </c>
      <c r="G40">
        <v>0</v>
      </c>
      <c r="H40" t="s">
        <v>85</v>
      </c>
      <c r="I40" t="s">
        <v>86</v>
      </c>
      <c r="J40" t="str">
        <f>MID($N40,FIND("1.",$N40),FIND("-",$N40)-FIND("1.",$N40)-1)</f>
        <v>1.0039</v>
      </c>
      <c r="K40" t="str">
        <f t="shared" si="0"/>
        <v>Ensure Allow access to BitLocker-protected fixed data drives from earlier versions of Windows is set to Disabled</v>
      </c>
      <c r="L40" t="str">
        <f t="shared" si="1"/>
        <v>1.0039 - MSWRK - Ensure Allow access to BitLocker-protected fixed data drives from earlier versions of Windows is set to Disabled</v>
      </c>
      <c r="M40" t="str">
        <f t="shared" si="2"/>
        <v>PASSED</v>
      </c>
      <c r="N40" s="1" t="s">
        <v>776</v>
      </c>
      <c r="O40" t="s">
        <v>67</v>
      </c>
      <c r="R40" t="s">
        <v>68</v>
      </c>
      <c r="T40" t="s">
        <v>69</v>
      </c>
      <c r="U40" t="s">
        <v>70</v>
      </c>
      <c r="W40" t="s">
        <v>71</v>
      </c>
      <c r="X40" s="1" t="s">
        <v>72</v>
      </c>
      <c r="Y40" t="s">
        <v>88</v>
      </c>
      <c r="Z40">
        <v>0</v>
      </c>
      <c r="AA40">
        <v>0</v>
      </c>
      <c r="AD40">
        <v>0</v>
      </c>
      <c r="AE40">
        <v>0</v>
      </c>
      <c r="AH40" t="s">
        <v>73</v>
      </c>
      <c r="AI40" t="s">
        <v>318</v>
      </c>
      <c r="AJ40" t="s">
        <v>319</v>
      </c>
      <c r="AK40" t="s">
        <v>76</v>
      </c>
      <c r="AN40" t="s">
        <v>77</v>
      </c>
      <c r="AO40" t="s">
        <v>320</v>
      </c>
      <c r="AP40" t="s">
        <v>774</v>
      </c>
      <c r="AQ40" t="s">
        <v>322</v>
      </c>
      <c r="AS40" t="b">
        <v>1</v>
      </c>
      <c r="AT40" t="s">
        <v>65</v>
      </c>
      <c r="AU40">
        <v>0</v>
      </c>
      <c r="AV40">
        <v>0</v>
      </c>
      <c r="AX40">
        <v>39</v>
      </c>
      <c r="AY40" t="s">
        <v>81</v>
      </c>
      <c r="AZ40" t="s">
        <v>90</v>
      </c>
      <c r="BB40" t="s">
        <v>91</v>
      </c>
      <c r="BC40" t="s">
        <v>92</v>
      </c>
      <c r="BD40" t="b">
        <v>0</v>
      </c>
      <c r="BE40" t="b">
        <v>0</v>
      </c>
      <c r="BF40" t="b">
        <v>0</v>
      </c>
      <c r="BG40" t="b">
        <v>0</v>
      </c>
      <c r="BH40" t="b">
        <v>0</v>
      </c>
      <c r="BI40" t="b">
        <v>0</v>
      </c>
      <c r="BJ40" t="b">
        <v>0</v>
      </c>
      <c r="BK40" t="b">
        <v>0</v>
      </c>
      <c r="BL40" t="b">
        <v>0</v>
      </c>
      <c r="BM40" t="b">
        <v>0</v>
      </c>
      <c r="BN40" t="b">
        <v>0</v>
      </c>
      <c r="BO40" t="b">
        <v>0</v>
      </c>
      <c r="BP40" t="b">
        <v>0</v>
      </c>
      <c r="BR40" t="str">
        <f>IFERROR(IF(M40="PASSED",VLOOKUP(J40,Current!$J$1:$N$500,1,FALSE)),N40)</f>
        <v>"1.0039 - MSWRK - Ensure Allow access to BitLocker-protected fixed data drives from earlier versions of Windows is set to Disabled: [PASSED]"
This policy setting configures whether or not fixed data drives formatted with the FAT file system can be unlocked and viewed on computers running Windows Server 2008 (non-R2), Windows Vista, Windows XP with Service Pack 3 (SP3), or Windows XP with Service Pack 2 (SP2) operating systems.
See Also:
See HTH Policies and Standards
Reference:
NIST 800-53r5|AC-19(5)
Policy Value:
'NOT_EXISTS'
Actual Value:
'NOT_EXISTS'</v>
      </c>
    </row>
    <row r="41" spans="1:70" ht="15" customHeight="1" x14ac:dyDescent="0.25">
      <c r="A41">
        <v>21156</v>
      </c>
      <c r="C41">
        <v>0</v>
      </c>
      <c r="D41" t="s">
        <v>65</v>
      </c>
      <c r="E41" t="s">
        <v>66</v>
      </c>
      <c r="F41" t="s">
        <v>84</v>
      </c>
      <c r="G41">
        <v>0</v>
      </c>
      <c r="H41" t="s">
        <v>85</v>
      </c>
      <c r="I41" t="s">
        <v>86</v>
      </c>
      <c r="J41" t="str">
        <f>MID($N41,FIND("1.",$N41),FIND("-",$N41)-FIND("1.",$N41)-1)</f>
        <v>1.0040</v>
      </c>
      <c r="K41" t="str">
        <f t="shared" si="0"/>
        <v>Ensure Configure use of hardware-based encryption for fixed data drives is set to Disabled</v>
      </c>
      <c r="L41" t="str">
        <f t="shared" si="1"/>
        <v>1.0040 - MSWRK - Ensure Configure use of hardware-based encryption for fixed data drives is set to Disabled</v>
      </c>
      <c r="M41" t="str">
        <f t="shared" si="2"/>
        <v>PASSED</v>
      </c>
      <c r="N41" s="1" t="s">
        <v>465</v>
      </c>
      <c r="O41" t="s">
        <v>67</v>
      </c>
      <c r="R41" t="s">
        <v>68</v>
      </c>
      <c r="T41" t="s">
        <v>69</v>
      </c>
      <c r="U41" t="s">
        <v>70</v>
      </c>
      <c r="W41" t="s">
        <v>71</v>
      </c>
      <c r="X41" s="1" t="s">
        <v>72</v>
      </c>
      <c r="Y41" t="s">
        <v>88</v>
      </c>
      <c r="Z41">
        <v>0</v>
      </c>
      <c r="AA41">
        <v>0</v>
      </c>
      <c r="AD41">
        <v>0</v>
      </c>
      <c r="AE41">
        <v>0</v>
      </c>
      <c r="AH41" t="s">
        <v>73</v>
      </c>
      <c r="AI41" t="s">
        <v>318</v>
      </c>
      <c r="AJ41" t="s">
        <v>319</v>
      </c>
      <c r="AK41" t="s">
        <v>76</v>
      </c>
      <c r="AN41" t="s">
        <v>77</v>
      </c>
      <c r="AO41" t="s">
        <v>320</v>
      </c>
      <c r="AP41" t="s">
        <v>466</v>
      </c>
      <c r="AQ41" t="s">
        <v>322</v>
      </c>
      <c r="AS41" t="b">
        <v>1</v>
      </c>
      <c r="AT41" t="s">
        <v>65</v>
      </c>
      <c r="AU41">
        <v>0</v>
      </c>
      <c r="AV41">
        <v>0</v>
      </c>
      <c r="AX41">
        <v>39</v>
      </c>
      <c r="AY41" t="s">
        <v>81</v>
      </c>
      <c r="AZ41" t="s">
        <v>90</v>
      </c>
      <c r="BB41" t="s">
        <v>91</v>
      </c>
      <c r="BC41" t="s">
        <v>92</v>
      </c>
      <c r="BD41" t="b">
        <v>0</v>
      </c>
      <c r="BE41" t="b">
        <v>0</v>
      </c>
      <c r="BF41" t="b">
        <v>0</v>
      </c>
      <c r="BG41" t="b">
        <v>0</v>
      </c>
      <c r="BH41" t="b">
        <v>0</v>
      </c>
      <c r="BI41" t="b">
        <v>0</v>
      </c>
      <c r="BJ41" t="b">
        <v>0</v>
      </c>
      <c r="BK41" t="b">
        <v>0</v>
      </c>
      <c r="BL41" t="b">
        <v>0</v>
      </c>
      <c r="BM41" t="b">
        <v>0</v>
      </c>
      <c r="BN41" t="b">
        <v>0</v>
      </c>
      <c r="BO41" t="b">
        <v>0</v>
      </c>
      <c r="BP41" t="b">
        <v>0</v>
      </c>
      <c r="BR41" t="str">
        <f>IFERROR(IF(M41="PASSED",VLOOKUP(J41,Current!$J$1:$N$500,1,FALSE)),N41)</f>
        <v>"1.0040 - MSWRK - Ensure Configure use of hardware-based encryption for fixed data drives is set to Disabled: [PASSED]"
This policy setting allows you to manage BitLocker's use of hardware-based encryption on fixed data drives and specify which encryption algorithms it can use with hardware-based encryption.
See Also:
See HTH Policies and Standards
Reference:
NIST 800-53r5|AC-19(5)
Policy Value:
'0'
Actual Value:
'0'</v>
      </c>
    </row>
    <row r="42" spans="1:70" ht="15" customHeight="1" x14ac:dyDescent="0.25">
      <c r="A42">
        <v>21156</v>
      </c>
      <c r="C42">
        <v>0</v>
      </c>
      <c r="D42" t="s">
        <v>65</v>
      </c>
      <c r="E42" t="s">
        <v>66</v>
      </c>
      <c r="F42" t="s">
        <v>84</v>
      </c>
      <c r="G42">
        <v>0</v>
      </c>
      <c r="H42" t="s">
        <v>85</v>
      </c>
      <c r="I42" t="s">
        <v>86</v>
      </c>
      <c r="J42" t="str">
        <f>MID($N42,FIND("1.",$N42),FIND("-",$N42)-FIND("1.",$N42)-1)</f>
        <v>1.0041</v>
      </c>
      <c r="K42" t="str">
        <f t="shared" si="0"/>
        <v>Ensure Configure use of passwords for fixed data drives is set to Disabled</v>
      </c>
      <c r="L42" t="str">
        <f t="shared" si="1"/>
        <v>1.0041 - MSWRK - Ensure Configure use of passwords for fixed data drives is set to Disabled</v>
      </c>
      <c r="M42" t="str">
        <f t="shared" si="2"/>
        <v>PASSED</v>
      </c>
      <c r="N42" s="1" t="s">
        <v>485</v>
      </c>
      <c r="O42" t="s">
        <v>67</v>
      </c>
      <c r="R42" t="s">
        <v>68</v>
      </c>
      <c r="T42" t="s">
        <v>69</v>
      </c>
      <c r="U42" t="s">
        <v>70</v>
      </c>
      <c r="W42" t="s">
        <v>71</v>
      </c>
      <c r="X42" s="1" t="s">
        <v>72</v>
      </c>
      <c r="Y42" t="s">
        <v>88</v>
      </c>
      <c r="Z42">
        <v>0</v>
      </c>
      <c r="AA42">
        <v>0</v>
      </c>
      <c r="AD42">
        <v>0</v>
      </c>
      <c r="AE42">
        <v>0</v>
      </c>
      <c r="AH42" t="s">
        <v>73</v>
      </c>
      <c r="AI42" t="s">
        <v>318</v>
      </c>
      <c r="AJ42" t="s">
        <v>319</v>
      </c>
      <c r="AK42" t="s">
        <v>76</v>
      </c>
      <c r="AN42" t="s">
        <v>77</v>
      </c>
      <c r="AO42" t="s">
        <v>320</v>
      </c>
      <c r="AP42" t="s">
        <v>483</v>
      </c>
      <c r="AQ42" t="s">
        <v>322</v>
      </c>
      <c r="AS42" t="b">
        <v>1</v>
      </c>
      <c r="AT42" t="s">
        <v>65</v>
      </c>
      <c r="AU42">
        <v>0</v>
      </c>
      <c r="AV42">
        <v>0</v>
      </c>
      <c r="AX42">
        <v>39</v>
      </c>
      <c r="AY42" t="s">
        <v>81</v>
      </c>
      <c r="AZ42" t="s">
        <v>90</v>
      </c>
      <c r="BB42" t="s">
        <v>91</v>
      </c>
      <c r="BC42" t="s">
        <v>92</v>
      </c>
      <c r="BD42" t="b">
        <v>0</v>
      </c>
      <c r="BE42" t="b">
        <v>0</v>
      </c>
      <c r="BF42" t="b">
        <v>0</v>
      </c>
      <c r="BG42" t="b">
        <v>0</v>
      </c>
      <c r="BH42" t="b">
        <v>0</v>
      </c>
      <c r="BI42" t="b">
        <v>0</v>
      </c>
      <c r="BJ42" t="b">
        <v>0</v>
      </c>
      <c r="BK42" t="b">
        <v>0</v>
      </c>
      <c r="BL42" t="b">
        <v>0</v>
      </c>
      <c r="BM42" t="b">
        <v>0</v>
      </c>
      <c r="BN42" t="b">
        <v>0</v>
      </c>
      <c r="BO42" t="b">
        <v>0</v>
      </c>
      <c r="BP42" t="b">
        <v>0</v>
      </c>
      <c r="BR42" t="str">
        <f>IFERROR(IF(M42="PASSED",VLOOKUP(J42,Current!$J$1:$N$500,1,FALSE)),N42)</f>
        <v>"1.0041 - MSWRK - Ensure Configure use of passwords for fixed data drives is set to Disabled: [PASSED]"
This policy setting specifies whether a password is required to unlock BitLocker-protected fixed data drives.
See Also:
See HTH Policies and Standards
Reference:
NIST 800-53r5|IA-5(1)
Policy Value:
'0'
Actual Value:
'0'</v>
      </c>
    </row>
    <row r="43" spans="1:70" ht="15" hidden="1" customHeight="1" x14ac:dyDescent="0.25">
      <c r="A43">
        <v>21156</v>
      </c>
      <c r="C43">
        <v>0</v>
      </c>
      <c r="D43" t="s">
        <v>83</v>
      </c>
      <c r="E43" t="s">
        <v>66</v>
      </c>
      <c r="F43" t="s">
        <v>84</v>
      </c>
      <c r="G43">
        <v>0</v>
      </c>
      <c r="H43" t="s">
        <v>85</v>
      </c>
      <c r="I43" t="s">
        <v>86</v>
      </c>
      <c r="J43" t="str">
        <f>MID($N43,FIND("1.",$N43),FIND("-",$N43)-FIND("1.",$N43)-1)</f>
        <v>1.0042</v>
      </c>
      <c r="K43" t="str">
        <f t="shared" si="0"/>
        <v>Ensure Configure use of smart cards on fixed data drives is set to Enabled</v>
      </c>
      <c r="L43" t="str">
        <f t="shared" si="1"/>
        <v>1.0042 - MSWRK - Ensure Configure use of smart cards on fixed data drives is set to Enabled</v>
      </c>
      <c r="M43" t="str">
        <f t="shared" si="2"/>
        <v>FAILED</v>
      </c>
      <c r="N43" s="1" t="s">
        <v>722</v>
      </c>
      <c r="O43" t="s">
        <v>67</v>
      </c>
      <c r="R43" t="s">
        <v>68</v>
      </c>
      <c r="T43" t="s">
        <v>69</v>
      </c>
      <c r="U43" t="s">
        <v>70</v>
      </c>
      <c r="W43" t="s">
        <v>71</v>
      </c>
      <c r="X43" s="1" t="s">
        <v>72</v>
      </c>
      <c r="Y43" t="s">
        <v>88</v>
      </c>
      <c r="Z43">
        <v>0</v>
      </c>
      <c r="AA43">
        <v>0</v>
      </c>
      <c r="AD43">
        <v>0</v>
      </c>
      <c r="AE43">
        <v>0</v>
      </c>
      <c r="AH43" t="s">
        <v>73</v>
      </c>
      <c r="AI43" t="s">
        <v>318</v>
      </c>
      <c r="AJ43" t="s">
        <v>319</v>
      </c>
      <c r="AK43" t="s">
        <v>76</v>
      </c>
      <c r="AN43" t="s">
        <v>77</v>
      </c>
      <c r="AO43" t="s">
        <v>320</v>
      </c>
      <c r="AP43" t="s">
        <v>723</v>
      </c>
      <c r="AQ43" t="s">
        <v>322</v>
      </c>
      <c r="AS43" t="b">
        <v>1</v>
      </c>
      <c r="AT43" t="s">
        <v>65</v>
      </c>
      <c r="AU43">
        <v>0</v>
      </c>
      <c r="AV43">
        <v>0</v>
      </c>
      <c r="AX43">
        <v>39</v>
      </c>
      <c r="AY43" t="s">
        <v>81</v>
      </c>
      <c r="AZ43" t="s">
        <v>90</v>
      </c>
      <c r="BB43" t="s">
        <v>91</v>
      </c>
      <c r="BC43" t="s">
        <v>92</v>
      </c>
      <c r="BD43" t="b">
        <v>0</v>
      </c>
      <c r="BE43" t="b">
        <v>0</v>
      </c>
      <c r="BF43" t="b">
        <v>0</v>
      </c>
      <c r="BG43" t="b">
        <v>0</v>
      </c>
      <c r="BH43" t="b">
        <v>0</v>
      </c>
      <c r="BI43" t="b">
        <v>0</v>
      </c>
      <c r="BJ43" t="b">
        <v>0</v>
      </c>
      <c r="BK43" t="b">
        <v>0</v>
      </c>
      <c r="BL43" t="b">
        <v>0</v>
      </c>
      <c r="BM43" t="b">
        <v>0</v>
      </c>
      <c r="BN43" t="b">
        <v>0</v>
      </c>
      <c r="BO43" t="b">
        <v>0</v>
      </c>
      <c r="BP43" t="b">
        <v>0</v>
      </c>
      <c r="BR43" t="b">
        <f>IFERROR(IF(M43="PASSED",VLOOKUP(J43,Current!$J$1:$N$500,1,FALSE)),N43)</f>
        <v>0</v>
      </c>
    </row>
    <row r="44" spans="1:70" ht="15" hidden="1" customHeight="1" x14ac:dyDescent="0.25">
      <c r="A44">
        <v>21156</v>
      </c>
      <c r="C44">
        <v>0</v>
      </c>
      <c r="D44" t="s">
        <v>83</v>
      </c>
      <c r="E44" t="s">
        <v>66</v>
      </c>
      <c r="F44" t="s">
        <v>84</v>
      </c>
      <c r="G44">
        <v>0</v>
      </c>
      <c r="H44" t="s">
        <v>85</v>
      </c>
      <c r="I44" t="s">
        <v>86</v>
      </c>
      <c r="J44" t="str">
        <f>MID($N44,FIND("1.",$N44),FIND("-",$N44)-FIND("1.",$N44)-1)</f>
        <v>1.0043</v>
      </c>
      <c r="K44" t="str">
        <f t="shared" si="0"/>
        <v>Ensure Configure use of smart cards on fixed data drives</v>
      </c>
      <c r="L44" t="str">
        <f t="shared" si="1"/>
        <v>1.0043 - MSWRK - Ensure Configure use of smart cards on fixed data drives: Require use of smart cards on fixed data drives is set to Enabled: True</v>
      </c>
      <c r="M44" t="str">
        <f t="shared" si="2"/>
        <v>FAILED</v>
      </c>
      <c r="N44" s="1" t="s">
        <v>618</v>
      </c>
      <c r="O44" t="s">
        <v>67</v>
      </c>
      <c r="R44" t="s">
        <v>68</v>
      </c>
      <c r="T44" t="s">
        <v>69</v>
      </c>
      <c r="U44" t="s">
        <v>70</v>
      </c>
      <c r="W44" t="s">
        <v>71</v>
      </c>
      <c r="X44" s="1" t="s">
        <v>72</v>
      </c>
      <c r="Y44" t="s">
        <v>88</v>
      </c>
      <c r="Z44">
        <v>0</v>
      </c>
      <c r="AA44">
        <v>0</v>
      </c>
      <c r="AD44">
        <v>0</v>
      </c>
      <c r="AE44">
        <v>0</v>
      </c>
      <c r="AH44" t="s">
        <v>73</v>
      </c>
      <c r="AI44" t="s">
        <v>318</v>
      </c>
      <c r="AJ44" t="s">
        <v>319</v>
      </c>
      <c r="AK44" t="s">
        <v>76</v>
      </c>
      <c r="AN44" t="s">
        <v>77</v>
      </c>
      <c r="AO44" t="s">
        <v>320</v>
      </c>
      <c r="AP44" t="s">
        <v>619</v>
      </c>
      <c r="AQ44" t="s">
        <v>322</v>
      </c>
      <c r="AS44" t="b">
        <v>1</v>
      </c>
      <c r="AT44" t="s">
        <v>65</v>
      </c>
      <c r="AU44">
        <v>0</v>
      </c>
      <c r="AV44">
        <v>0</v>
      </c>
      <c r="AX44">
        <v>39</v>
      </c>
      <c r="AY44" t="s">
        <v>81</v>
      </c>
      <c r="AZ44" t="s">
        <v>90</v>
      </c>
      <c r="BB44" t="s">
        <v>91</v>
      </c>
      <c r="BC44" t="s">
        <v>92</v>
      </c>
      <c r="BD44" t="b">
        <v>0</v>
      </c>
      <c r="BE44" t="b">
        <v>0</v>
      </c>
      <c r="BF44" t="b">
        <v>0</v>
      </c>
      <c r="BG44" t="b">
        <v>0</v>
      </c>
      <c r="BH44" t="b">
        <v>0</v>
      </c>
      <c r="BI44" t="b">
        <v>0</v>
      </c>
      <c r="BJ44" t="b">
        <v>0</v>
      </c>
      <c r="BK44" t="b">
        <v>0</v>
      </c>
      <c r="BL44" t="b">
        <v>0</v>
      </c>
      <c r="BM44" t="b">
        <v>0</v>
      </c>
      <c r="BN44" t="b">
        <v>0</v>
      </c>
      <c r="BO44" t="b">
        <v>0</v>
      </c>
      <c r="BP44" t="b">
        <v>0</v>
      </c>
      <c r="BR44" t="b">
        <f>IFERROR(IF(M44="PASSED",VLOOKUP(J44,Current!$J$1:$N$500,1,FALSE)),N44)</f>
        <v>0</v>
      </c>
    </row>
    <row r="45" spans="1:70" ht="15" hidden="1" customHeight="1" x14ac:dyDescent="0.25">
      <c r="A45">
        <v>21156</v>
      </c>
      <c r="C45">
        <v>0</v>
      </c>
      <c r="D45" t="s">
        <v>83</v>
      </c>
      <c r="E45" t="s">
        <v>66</v>
      </c>
      <c r="F45" t="s">
        <v>84</v>
      </c>
      <c r="G45">
        <v>0</v>
      </c>
      <c r="H45" t="s">
        <v>85</v>
      </c>
      <c r="I45" t="s">
        <v>86</v>
      </c>
      <c r="J45" t="str">
        <f>MID($N45,FIND("1.",$N45),FIND("-",$N45)-FIND("1.",$N45)-1)</f>
        <v>1.0044</v>
      </c>
      <c r="K45" t="str">
        <f t="shared" si="0"/>
        <v>Ensure Choose how BitLocker-protected fixed drives can be recovered is set to Enabled</v>
      </c>
      <c r="L45" t="str">
        <f t="shared" si="1"/>
        <v>1.0044 - MSWRK - Ensure Choose how BitLocker-protected fixed drives can be recovered is set to Enabled</v>
      </c>
      <c r="M45" t="str">
        <f t="shared" si="2"/>
        <v>FAILED</v>
      </c>
      <c r="N45" s="1" t="s">
        <v>810</v>
      </c>
      <c r="O45" t="s">
        <v>67</v>
      </c>
      <c r="R45" t="s">
        <v>68</v>
      </c>
      <c r="T45" t="s">
        <v>69</v>
      </c>
      <c r="U45" t="s">
        <v>70</v>
      </c>
      <c r="W45" t="s">
        <v>71</v>
      </c>
      <c r="X45" s="1" t="s">
        <v>72</v>
      </c>
      <c r="Y45" t="s">
        <v>88</v>
      </c>
      <c r="Z45">
        <v>0</v>
      </c>
      <c r="AA45">
        <v>0</v>
      </c>
      <c r="AD45">
        <v>0</v>
      </c>
      <c r="AE45">
        <v>0</v>
      </c>
      <c r="AH45" t="s">
        <v>73</v>
      </c>
      <c r="AI45" t="s">
        <v>318</v>
      </c>
      <c r="AJ45" t="s">
        <v>319</v>
      </c>
      <c r="AK45" t="s">
        <v>76</v>
      </c>
      <c r="AN45" t="s">
        <v>77</v>
      </c>
      <c r="AO45" t="s">
        <v>320</v>
      </c>
      <c r="AP45" t="s">
        <v>811</v>
      </c>
      <c r="AQ45" t="s">
        <v>322</v>
      </c>
      <c r="AS45" t="b">
        <v>1</v>
      </c>
      <c r="AT45" t="s">
        <v>65</v>
      </c>
      <c r="AU45">
        <v>0</v>
      </c>
      <c r="AV45">
        <v>0</v>
      </c>
      <c r="AX45">
        <v>39</v>
      </c>
      <c r="AY45" t="s">
        <v>81</v>
      </c>
      <c r="AZ45" t="s">
        <v>90</v>
      </c>
      <c r="BB45" t="s">
        <v>91</v>
      </c>
      <c r="BC45" t="s">
        <v>92</v>
      </c>
      <c r="BD45" t="b">
        <v>0</v>
      </c>
      <c r="BE45" t="b">
        <v>0</v>
      </c>
      <c r="BF45" t="b">
        <v>0</v>
      </c>
      <c r="BG45" t="b">
        <v>0</v>
      </c>
      <c r="BH45" t="b">
        <v>0</v>
      </c>
      <c r="BI45" t="b">
        <v>0</v>
      </c>
      <c r="BJ45" t="b">
        <v>0</v>
      </c>
      <c r="BK45" t="b">
        <v>0</v>
      </c>
      <c r="BL45" t="b">
        <v>0</v>
      </c>
      <c r="BM45" t="b">
        <v>0</v>
      </c>
      <c r="BN45" t="b">
        <v>0</v>
      </c>
      <c r="BO45" t="b">
        <v>0</v>
      </c>
      <c r="BP45" t="b">
        <v>0</v>
      </c>
      <c r="BR45" t="b">
        <f>IFERROR(IF(M45="PASSED",VLOOKUP(J45,Current!$J$1:$N$500,1,FALSE)),N45)</f>
        <v>0</v>
      </c>
    </row>
    <row r="46" spans="1:70" ht="15" hidden="1" customHeight="1" x14ac:dyDescent="0.25">
      <c r="A46">
        <v>21156</v>
      </c>
      <c r="C46">
        <v>0</v>
      </c>
      <c r="D46" t="s">
        <v>83</v>
      </c>
      <c r="E46" t="s">
        <v>66</v>
      </c>
      <c r="F46" t="s">
        <v>84</v>
      </c>
      <c r="G46">
        <v>0</v>
      </c>
      <c r="H46" t="s">
        <v>85</v>
      </c>
      <c r="I46" t="s">
        <v>86</v>
      </c>
      <c r="J46" t="str">
        <f>MID($N46,FIND("1.",$N46),FIND("-",$N46)-FIND("1.",$N46)-1)</f>
        <v>1.0045</v>
      </c>
      <c r="K46" t="str">
        <f t="shared" si="0"/>
        <v>Ensure Choose how BitLocker-protected fixed drives can be recovered</v>
      </c>
      <c r="L46" t="str">
        <f t="shared" si="1"/>
        <v>1.0045 - MSWRK - Ensure Choose how BitLocker-protected fixed drives can be recovered: Allow data recovery agent is set to Enabled: True</v>
      </c>
      <c r="M46" t="str">
        <f t="shared" si="2"/>
        <v>FAILED</v>
      </c>
      <c r="N46" s="1" t="s">
        <v>585</v>
      </c>
      <c r="O46" t="s">
        <v>67</v>
      </c>
      <c r="R46" t="s">
        <v>68</v>
      </c>
      <c r="T46" t="s">
        <v>69</v>
      </c>
      <c r="U46" t="s">
        <v>70</v>
      </c>
      <c r="W46" t="s">
        <v>71</v>
      </c>
      <c r="X46" s="1" t="s">
        <v>72</v>
      </c>
      <c r="Y46" t="s">
        <v>88</v>
      </c>
      <c r="Z46">
        <v>0</v>
      </c>
      <c r="AA46">
        <v>0</v>
      </c>
      <c r="AD46">
        <v>0</v>
      </c>
      <c r="AE46">
        <v>0</v>
      </c>
      <c r="AH46" t="s">
        <v>73</v>
      </c>
      <c r="AI46" t="s">
        <v>318</v>
      </c>
      <c r="AJ46" t="s">
        <v>319</v>
      </c>
      <c r="AK46" t="s">
        <v>76</v>
      </c>
      <c r="AN46" t="s">
        <v>77</v>
      </c>
      <c r="AO46" t="s">
        <v>320</v>
      </c>
      <c r="AP46" t="s">
        <v>584</v>
      </c>
      <c r="AQ46" t="s">
        <v>322</v>
      </c>
      <c r="AS46" t="b">
        <v>1</v>
      </c>
      <c r="AT46" t="s">
        <v>65</v>
      </c>
      <c r="AU46">
        <v>0</v>
      </c>
      <c r="AV46">
        <v>0</v>
      </c>
      <c r="AX46">
        <v>39</v>
      </c>
      <c r="AY46" t="s">
        <v>81</v>
      </c>
      <c r="AZ46" t="s">
        <v>90</v>
      </c>
      <c r="BB46" t="s">
        <v>91</v>
      </c>
      <c r="BC46" t="s">
        <v>92</v>
      </c>
      <c r="BD46" t="b">
        <v>0</v>
      </c>
      <c r="BE46" t="b">
        <v>0</v>
      </c>
      <c r="BF46" t="b">
        <v>0</v>
      </c>
      <c r="BG46" t="b">
        <v>0</v>
      </c>
      <c r="BH46" t="b">
        <v>0</v>
      </c>
      <c r="BI46" t="b">
        <v>0</v>
      </c>
      <c r="BJ46" t="b">
        <v>0</v>
      </c>
      <c r="BK46" t="b">
        <v>0</v>
      </c>
      <c r="BL46" t="b">
        <v>0</v>
      </c>
      <c r="BM46" t="b">
        <v>0</v>
      </c>
      <c r="BN46" t="b">
        <v>0</v>
      </c>
      <c r="BO46" t="b">
        <v>0</v>
      </c>
      <c r="BP46" t="b">
        <v>0</v>
      </c>
      <c r="BR46" t="b">
        <f>IFERROR(IF(M46="PASSED",VLOOKUP(J46,Current!$J$1:$N$500,1,FALSE)),N46)</f>
        <v>0</v>
      </c>
    </row>
    <row r="47" spans="1:70" ht="15" hidden="1" customHeight="1" x14ac:dyDescent="0.25">
      <c r="A47">
        <v>21156</v>
      </c>
      <c r="C47">
        <v>0</v>
      </c>
      <c r="D47" t="s">
        <v>83</v>
      </c>
      <c r="E47" t="s">
        <v>66</v>
      </c>
      <c r="F47" t="s">
        <v>84</v>
      </c>
      <c r="G47">
        <v>0</v>
      </c>
      <c r="H47" t="s">
        <v>85</v>
      </c>
      <c r="I47" t="s">
        <v>86</v>
      </c>
      <c r="J47" t="str">
        <f>MID($N47,FIND("1.",$N47),FIND("-",$N47)-FIND("1.",$N47)-1)</f>
        <v>1.0046</v>
      </c>
      <c r="K47" t="str">
        <f t="shared" si="0"/>
        <v>Ensure Choose how BitLocker-protected fixed drives can be recovered</v>
      </c>
      <c r="L47" t="str">
        <f t="shared" si="1"/>
        <v>1.0046 - MSWRK - Ensure Choose how BitLocker-protected fixed drives can be recovered: Recovery Password is set to Enabled: Allow 48-digit recovery password or higher</v>
      </c>
      <c r="M47" t="str">
        <f t="shared" si="2"/>
        <v>FAILED</v>
      </c>
      <c r="N47" s="1" t="s">
        <v>343</v>
      </c>
      <c r="O47" t="s">
        <v>67</v>
      </c>
      <c r="R47" t="s">
        <v>68</v>
      </c>
      <c r="T47" t="s">
        <v>69</v>
      </c>
      <c r="U47" t="s">
        <v>70</v>
      </c>
      <c r="W47" t="s">
        <v>71</v>
      </c>
      <c r="X47" s="1" t="s">
        <v>72</v>
      </c>
      <c r="Y47" t="s">
        <v>88</v>
      </c>
      <c r="Z47">
        <v>0</v>
      </c>
      <c r="AA47">
        <v>0</v>
      </c>
      <c r="AD47">
        <v>0</v>
      </c>
      <c r="AE47">
        <v>0</v>
      </c>
      <c r="AH47" t="s">
        <v>73</v>
      </c>
      <c r="AI47" t="s">
        <v>318</v>
      </c>
      <c r="AJ47" t="s">
        <v>319</v>
      </c>
      <c r="AK47" t="s">
        <v>76</v>
      </c>
      <c r="AN47" t="s">
        <v>77</v>
      </c>
      <c r="AO47" t="s">
        <v>320</v>
      </c>
      <c r="AP47" t="s">
        <v>344</v>
      </c>
      <c r="AQ47" t="s">
        <v>322</v>
      </c>
      <c r="AS47" t="b">
        <v>1</v>
      </c>
      <c r="AT47" t="s">
        <v>65</v>
      </c>
      <c r="AU47">
        <v>0</v>
      </c>
      <c r="AV47">
        <v>0</v>
      </c>
      <c r="AX47">
        <v>39</v>
      </c>
      <c r="AY47" t="s">
        <v>81</v>
      </c>
      <c r="AZ47" t="s">
        <v>90</v>
      </c>
      <c r="BB47" t="s">
        <v>91</v>
      </c>
      <c r="BC47" t="s">
        <v>92</v>
      </c>
      <c r="BD47" t="b">
        <v>0</v>
      </c>
      <c r="BE47" t="b">
        <v>0</v>
      </c>
      <c r="BF47" t="b">
        <v>0</v>
      </c>
      <c r="BG47" t="b">
        <v>0</v>
      </c>
      <c r="BH47" t="b">
        <v>0</v>
      </c>
      <c r="BI47" t="b">
        <v>0</v>
      </c>
      <c r="BJ47" t="b">
        <v>0</v>
      </c>
      <c r="BK47" t="b">
        <v>0</v>
      </c>
      <c r="BL47" t="b">
        <v>0</v>
      </c>
      <c r="BM47" t="b">
        <v>0</v>
      </c>
      <c r="BN47" t="b">
        <v>0</v>
      </c>
      <c r="BO47" t="b">
        <v>0</v>
      </c>
      <c r="BP47" t="b">
        <v>0</v>
      </c>
      <c r="BR47" t="b">
        <f>IFERROR(IF(M47="PASSED",VLOOKUP(J47,Current!$J$1:$N$500,1,FALSE)),N47)</f>
        <v>0</v>
      </c>
    </row>
    <row r="48" spans="1:70" ht="15" hidden="1" customHeight="1" x14ac:dyDescent="0.25">
      <c r="A48">
        <v>21156</v>
      </c>
      <c r="C48">
        <v>0</v>
      </c>
      <c r="D48" t="s">
        <v>83</v>
      </c>
      <c r="E48" t="s">
        <v>66</v>
      </c>
      <c r="F48" t="s">
        <v>84</v>
      </c>
      <c r="G48">
        <v>0</v>
      </c>
      <c r="H48" t="s">
        <v>85</v>
      </c>
      <c r="I48" t="s">
        <v>86</v>
      </c>
      <c r="J48" t="str">
        <f>MID($N48,FIND("1.",$N48),FIND("-",$N48)-FIND("1.",$N48)-1)</f>
        <v>1.0047</v>
      </c>
      <c r="K48" t="str">
        <f t="shared" si="0"/>
        <v>Ensure Choose how BitLocker-protected fixed drives can be recovered</v>
      </c>
      <c r="L48" t="str">
        <f t="shared" si="1"/>
        <v>1.0047 - MSWRK - Ensure Choose how BitLocker-protected fixed drives can be recovered: Recovery Key is set to Enabled: Allow 256-bit recovery key or higher</v>
      </c>
      <c r="M48" t="str">
        <f t="shared" si="2"/>
        <v>FAILED</v>
      </c>
      <c r="N48" s="1" t="s">
        <v>348</v>
      </c>
      <c r="O48" t="s">
        <v>67</v>
      </c>
      <c r="R48" t="s">
        <v>68</v>
      </c>
      <c r="T48" t="s">
        <v>69</v>
      </c>
      <c r="U48" t="s">
        <v>70</v>
      </c>
      <c r="W48" t="s">
        <v>71</v>
      </c>
      <c r="X48" s="1" t="s">
        <v>72</v>
      </c>
      <c r="Y48" t="s">
        <v>88</v>
      </c>
      <c r="Z48">
        <v>0</v>
      </c>
      <c r="AA48">
        <v>0</v>
      </c>
      <c r="AD48">
        <v>0</v>
      </c>
      <c r="AE48">
        <v>0</v>
      </c>
      <c r="AH48" t="s">
        <v>73</v>
      </c>
      <c r="AI48" t="s">
        <v>318</v>
      </c>
      <c r="AJ48" t="s">
        <v>319</v>
      </c>
      <c r="AK48" t="s">
        <v>76</v>
      </c>
      <c r="AN48" t="s">
        <v>77</v>
      </c>
      <c r="AO48" t="s">
        <v>320</v>
      </c>
      <c r="AP48" t="s">
        <v>349</v>
      </c>
      <c r="AQ48" t="s">
        <v>322</v>
      </c>
      <c r="AS48" t="b">
        <v>1</v>
      </c>
      <c r="AT48" t="s">
        <v>65</v>
      </c>
      <c r="AU48">
        <v>0</v>
      </c>
      <c r="AV48">
        <v>0</v>
      </c>
      <c r="AX48">
        <v>39</v>
      </c>
      <c r="AY48" t="s">
        <v>81</v>
      </c>
      <c r="AZ48" t="s">
        <v>90</v>
      </c>
      <c r="BB48" t="s">
        <v>91</v>
      </c>
      <c r="BC48" t="s">
        <v>92</v>
      </c>
      <c r="BD48" t="b">
        <v>0</v>
      </c>
      <c r="BE48" t="b">
        <v>0</v>
      </c>
      <c r="BF48" t="b">
        <v>0</v>
      </c>
      <c r="BG48" t="b">
        <v>0</v>
      </c>
      <c r="BH48" t="b">
        <v>0</v>
      </c>
      <c r="BI48" t="b">
        <v>0</v>
      </c>
      <c r="BJ48" t="b">
        <v>0</v>
      </c>
      <c r="BK48" t="b">
        <v>0</v>
      </c>
      <c r="BL48" t="b">
        <v>0</v>
      </c>
      <c r="BM48" t="b">
        <v>0</v>
      </c>
      <c r="BN48" t="b">
        <v>0</v>
      </c>
      <c r="BO48" t="b">
        <v>0</v>
      </c>
      <c r="BP48" t="b">
        <v>0</v>
      </c>
      <c r="BR48" t="b">
        <f>IFERROR(IF(M48="PASSED",VLOOKUP(J48,Current!$J$1:$N$500,1,FALSE)),N48)</f>
        <v>0</v>
      </c>
    </row>
    <row r="49" spans="1:70" ht="15" hidden="1" customHeight="1" x14ac:dyDescent="0.25">
      <c r="A49">
        <v>21156</v>
      </c>
      <c r="C49">
        <v>0</v>
      </c>
      <c r="D49" t="s">
        <v>83</v>
      </c>
      <c r="E49" t="s">
        <v>66</v>
      </c>
      <c r="F49" t="s">
        <v>84</v>
      </c>
      <c r="G49">
        <v>0</v>
      </c>
      <c r="H49" t="s">
        <v>85</v>
      </c>
      <c r="I49" t="s">
        <v>86</v>
      </c>
      <c r="J49" t="str">
        <f>MID($N49,FIND("1.",$N49),FIND("-",$N49)-FIND("1.",$N49)-1)</f>
        <v>1.0048</v>
      </c>
      <c r="K49" t="str">
        <f t="shared" si="0"/>
        <v>Ensure Choose how BitLocker-protected fixed drives can be recovered</v>
      </c>
      <c r="L49" t="str">
        <f t="shared" si="1"/>
        <v>1.0048 - MSWRK - Ensure Choose how BitLocker-protected fixed drives can be recovered: Omit recovery options from the BitLocker setup wizard is set to Enabled: True</v>
      </c>
      <c r="M49" t="str">
        <f t="shared" si="2"/>
        <v>FAILED</v>
      </c>
      <c r="N49" s="1" t="s">
        <v>508</v>
      </c>
      <c r="O49" t="s">
        <v>67</v>
      </c>
      <c r="R49" t="s">
        <v>68</v>
      </c>
      <c r="T49" t="s">
        <v>69</v>
      </c>
      <c r="U49" t="s">
        <v>70</v>
      </c>
      <c r="W49" t="s">
        <v>71</v>
      </c>
      <c r="X49" s="1" t="s">
        <v>72</v>
      </c>
      <c r="Y49" t="s">
        <v>88</v>
      </c>
      <c r="Z49">
        <v>0</v>
      </c>
      <c r="AA49">
        <v>0</v>
      </c>
      <c r="AD49">
        <v>0</v>
      </c>
      <c r="AE49">
        <v>0</v>
      </c>
      <c r="AH49" t="s">
        <v>73</v>
      </c>
      <c r="AI49" t="s">
        <v>318</v>
      </c>
      <c r="AJ49" t="s">
        <v>319</v>
      </c>
      <c r="AK49" t="s">
        <v>76</v>
      </c>
      <c r="AN49" t="s">
        <v>77</v>
      </c>
      <c r="AO49" t="s">
        <v>320</v>
      </c>
      <c r="AP49" t="s">
        <v>506</v>
      </c>
      <c r="AQ49" t="s">
        <v>322</v>
      </c>
      <c r="AS49" t="b">
        <v>1</v>
      </c>
      <c r="AT49" t="s">
        <v>65</v>
      </c>
      <c r="AU49">
        <v>0</v>
      </c>
      <c r="AV49">
        <v>0</v>
      </c>
      <c r="AX49">
        <v>39</v>
      </c>
      <c r="AY49" t="s">
        <v>81</v>
      </c>
      <c r="AZ49" t="s">
        <v>90</v>
      </c>
      <c r="BB49" t="s">
        <v>91</v>
      </c>
      <c r="BC49" t="s">
        <v>92</v>
      </c>
      <c r="BD49" t="b">
        <v>0</v>
      </c>
      <c r="BE49" t="b">
        <v>0</v>
      </c>
      <c r="BF49" t="b">
        <v>0</v>
      </c>
      <c r="BG49" t="b">
        <v>0</v>
      </c>
      <c r="BH49" t="b">
        <v>0</v>
      </c>
      <c r="BI49" t="b">
        <v>0</v>
      </c>
      <c r="BJ49" t="b">
        <v>0</v>
      </c>
      <c r="BK49" t="b">
        <v>0</v>
      </c>
      <c r="BL49" t="b">
        <v>0</v>
      </c>
      <c r="BM49" t="b">
        <v>0</v>
      </c>
      <c r="BN49" t="b">
        <v>0</v>
      </c>
      <c r="BO49" t="b">
        <v>0</v>
      </c>
      <c r="BP49" t="b">
        <v>0</v>
      </c>
      <c r="BR49" t="b">
        <f>IFERROR(IF(M49="PASSED",VLOOKUP(J49,Current!$J$1:$N$500,1,FALSE)),N49)</f>
        <v>0</v>
      </c>
    </row>
    <row r="50" spans="1:70" ht="15" customHeight="1" x14ac:dyDescent="0.25">
      <c r="A50">
        <v>21156</v>
      </c>
      <c r="C50">
        <v>0</v>
      </c>
      <c r="D50" t="s">
        <v>65</v>
      </c>
      <c r="E50" t="s">
        <v>66</v>
      </c>
      <c r="F50" t="s">
        <v>84</v>
      </c>
      <c r="G50">
        <v>0</v>
      </c>
      <c r="H50" t="s">
        <v>85</v>
      </c>
      <c r="I50" t="s">
        <v>86</v>
      </c>
      <c r="J50" t="str">
        <f>MID($N50,FIND("1.",$N50),FIND("-",$N50)-FIND("1.",$N50)-1)</f>
        <v>1.0049</v>
      </c>
      <c r="K50" t="str">
        <f t="shared" si="0"/>
        <v>Ensure Choose how BitLocker-protected fixed drives can be recovered</v>
      </c>
      <c r="L50" t="str">
        <f t="shared" si="1"/>
        <v>1.0049 - MSWRK - Ensure Choose how BitLocker-protected fixed drives can be recovered: Save BitLocker recovery information to AD DS for fixed data drives is set to Enabled: False</v>
      </c>
      <c r="M50" t="str">
        <f t="shared" si="2"/>
        <v>PASSED</v>
      </c>
      <c r="N50" s="1" t="s">
        <v>580</v>
      </c>
      <c r="O50" t="s">
        <v>67</v>
      </c>
      <c r="R50" t="s">
        <v>68</v>
      </c>
      <c r="T50" t="s">
        <v>69</v>
      </c>
      <c r="U50" t="s">
        <v>70</v>
      </c>
      <c r="W50" t="s">
        <v>71</v>
      </c>
      <c r="X50" s="1" t="s">
        <v>72</v>
      </c>
      <c r="Y50" t="s">
        <v>88</v>
      </c>
      <c r="Z50">
        <v>0</v>
      </c>
      <c r="AA50">
        <v>0</v>
      </c>
      <c r="AD50">
        <v>0</v>
      </c>
      <c r="AE50">
        <v>0</v>
      </c>
      <c r="AH50" t="s">
        <v>73</v>
      </c>
      <c r="AI50" t="s">
        <v>318</v>
      </c>
      <c r="AJ50" t="s">
        <v>319</v>
      </c>
      <c r="AK50" t="s">
        <v>76</v>
      </c>
      <c r="AN50" t="s">
        <v>77</v>
      </c>
      <c r="AO50" t="s">
        <v>320</v>
      </c>
      <c r="AP50" t="s">
        <v>581</v>
      </c>
      <c r="AQ50" t="s">
        <v>322</v>
      </c>
      <c r="AS50" t="b">
        <v>1</v>
      </c>
      <c r="AT50" t="s">
        <v>65</v>
      </c>
      <c r="AU50">
        <v>0</v>
      </c>
      <c r="AV50">
        <v>0</v>
      </c>
      <c r="AX50">
        <v>39</v>
      </c>
      <c r="AY50" t="s">
        <v>81</v>
      </c>
      <c r="AZ50" t="s">
        <v>90</v>
      </c>
      <c r="BB50" t="s">
        <v>91</v>
      </c>
      <c r="BC50" t="s">
        <v>92</v>
      </c>
      <c r="BD50" t="b">
        <v>0</v>
      </c>
      <c r="BE50" t="b">
        <v>0</v>
      </c>
      <c r="BF50" t="b">
        <v>0</v>
      </c>
      <c r="BG50" t="b">
        <v>0</v>
      </c>
      <c r="BH50" t="b">
        <v>0</v>
      </c>
      <c r="BI50" t="b">
        <v>0</v>
      </c>
      <c r="BJ50" t="b">
        <v>0</v>
      </c>
      <c r="BK50" t="b">
        <v>0</v>
      </c>
      <c r="BL50" t="b">
        <v>0</v>
      </c>
      <c r="BM50" t="b">
        <v>0</v>
      </c>
      <c r="BN50" t="b">
        <v>0</v>
      </c>
      <c r="BO50" t="b">
        <v>0</v>
      </c>
      <c r="BP50" t="b">
        <v>0</v>
      </c>
      <c r="BR50" t="str">
        <f>IFERROR(IF(M50="PASSED",VLOOKUP(J50,Current!$J$1:$N$500,1,FALSE)),N50)</f>
        <v>"1.0049 - MSWRK - Ensure Choose how BitLocker-protected fixed drives can be recovered: Save BitLocker recovery information to AD DS for fixed data drives is set to Enabled: False: [PASSED]"
This policy setting allows you to control how BitLocker-protected fixed data drives are recovered in the absence of the required credentials.
See Also:
See HTH Policies and Standards
Reference:
NIST 800-53r5|SC-28
Policy Value:
'0'
Actual Value:
'0'</v>
      </c>
    </row>
    <row r="51" spans="1:70" ht="15" hidden="1" customHeight="1" x14ac:dyDescent="0.25">
      <c r="A51">
        <v>21156</v>
      </c>
      <c r="C51">
        <v>0</v>
      </c>
      <c r="D51" t="s">
        <v>83</v>
      </c>
      <c r="E51" t="s">
        <v>66</v>
      </c>
      <c r="F51" t="s">
        <v>84</v>
      </c>
      <c r="G51">
        <v>0</v>
      </c>
      <c r="H51" t="s">
        <v>85</v>
      </c>
      <c r="I51" t="s">
        <v>86</v>
      </c>
      <c r="J51" t="str">
        <f>MID($N51,FIND("1.",$N51),FIND("-",$N51)-FIND("1.",$N51)-1)</f>
        <v>1.0050</v>
      </c>
      <c r="K51" t="str">
        <f t="shared" si="0"/>
        <v>Ensure Choose how BitLocker-protected fixed drives can be recovered</v>
      </c>
      <c r="L51" t="str">
        <f t="shared" si="1"/>
        <v>1.0050 - MSWRK - Ensure Choose how BitLocker-protected fixed drives can be recovered: Configure storage of BitLocker recovery information to AD DS is set to Enabled: Backup recovery passwords and key packages</v>
      </c>
      <c r="M51" t="str">
        <f t="shared" si="2"/>
        <v>FAILED</v>
      </c>
      <c r="N51" s="1" t="s">
        <v>808</v>
      </c>
      <c r="O51" t="s">
        <v>67</v>
      </c>
      <c r="R51" t="s">
        <v>68</v>
      </c>
      <c r="T51" t="s">
        <v>69</v>
      </c>
      <c r="U51" t="s">
        <v>70</v>
      </c>
      <c r="W51" t="s">
        <v>71</v>
      </c>
      <c r="X51" s="1" t="s">
        <v>72</v>
      </c>
      <c r="Y51" t="s">
        <v>88</v>
      </c>
      <c r="Z51">
        <v>0</v>
      </c>
      <c r="AA51">
        <v>0</v>
      </c>
      <c r="AD51">
        <v>0</v>
      </c>
      <c r="AE51">
        <v>0</v>
      </c>
      <c r="AH51" t="s">
        <v>73</v>
      </c>
      <c r="AI51" t="s">
        <v>318</v>
      </c>
      <c r="AJ51" t="s">
        <v>319</v>
      </c>
      <c r="AK51" t="s">
        <v>76</v>
      </c>
      <c r="AN51" t="s">
        <v>77</v>
      </c>
      <c r="AO51" t="s">
        <v>320</v>
      </c>
      <c r="AP51" t="s">
        <v>809</v>
      </c>
      <c r="AQ51" t="s">
        <v>322</v>
      </c>
      <c r="AS51" t="b">
        <v>1</v>
      </c>
      <c r="AT51" t="s">
        <v>65</v>
      </c>
      <c r="AU51">
        <v>0</v>
      </c>
      <c r="AV51">
        <v>0</v>
      </c>
      <c r="AX51">
        <v>39</v>
      </c>
      <c r="AY51" t="s">
        <v>81</v>
      </c>
      <c r="AZ51" t="s">
        <v>90</v>
      </c>
      <c r="BB51" t="s">
        <v>91</v>
      </c>
      <c r="BC51" t="s">
        <v>92</v>
      </c>
      <c r="BD51" t="b">
        <v>0</v>
      </c>
      <c r="BE51" t="b">
        <v>0</v>
      </c>
      <c r="BF51" t="b">
        <v>0</v>
      </c>
      <c r="BG51" t="b">
        <v>0</v>
      </c>
      <c r="BH51" t="b">
        <v>0</v>
      </c>
      <c r="BI51" t="b">
        <v>0</v>
      </c>
      <c r="BJ51" t="b">
        <v>0</v>
      </c>
      <c r="BK51" t="b">
        <v>0</v>
      </c>
      <c r="BL51" t="b">
        <v>0</v>
      </c>
      <c r="BM51" t="b">
        <v>0</v>
      </c>
      <c r="BN51" t="b">
        <v>0</v>
      </c>
      <c r="BO51" t="b">
        <v>0</v>
      </c>
      <c r="BP51" t="b">
        <v>0</v>
      </c>
      <c r="BR51" t="b">
        <f>IFERROR(IF(M51="PASSED",VLOOKUP(J51,Current!$J$1:$N$500,1,FALSE)),N51)</f>
        <v>0</v>
      </c>
    </row>
    <row r="52" spans="1:70" ht="15" customHeight="1" x14ac:dyDescent="0.25">
      <c r="A52">
        <v>21156</v>
      </c>
      <c r="C52">
        <v>0</v>
      </c>
      <c r="D52" t="s">
        <v>65</v>
      </c>
      <c r="E52" t="s">
        <v>66</v>
      </c>
      <c r="F52" t="s">
        <v>84</v>
      </c>
      <c r="G52">
        <v>0</v>
      </c>
      <c r="H52" t="s">
        <v>85</v>
      </c>
      <c r="I52" t="s">
        <v>86</v>
      </c>
      <c r="J52" t="str">
        <f>MID($N52,FIND("1.",$N52),FIND("-",$N52)-FIND("1.",$N52)-1)</f>
        <v>1.0051</v>
      </c>
      <c r="K52" t="str">
        <f t="shared" si="0"/>
        <v>Ensure Choose how BitLocker-protected fixed drives can be recovered</v>
      </c>
      <c r="L52" t="str">
        <f t="shared" si="1"/>
        <v>1.0051 - MSWRK - Ensure Choose how BitLocker-protected fixed drives can be recovered: Do not enable BitLocker until recovery information is stored to AD DS for fixed data drives is set to Enabled: False</v>
      </c>
      <c r="M52" t="str">
        <f t="shared" si="2"/>
        <v>PASSED</v>
      </c>
      <c r="N52" s="1" t="s">
        <v>536</v>
      </c>
      <c r="O52" t="s">
        <v>67</v>
      </c>
      <c r="R52" t="s">
        <v>68</v>
      </c>
      <c r="T52" t="s">
        <v>69</v>
      </c>
      <c r="U52" t="s">
        <v>70</v>
      </c>
      <c r="W52" t="s">
        <v>71</v>
      </c>
      <c r="X52" s="1" t="s">
        <v>72</v>
      </c>
      <c r="Y52" t="s">
        <v>88</v>
      </c>
      <c r="Z52">
        <v>0</v>
      </c>
      <c r="AA52">
        <v>0</v>
      </c>
      <c r="AD52">
        <v>0</v>
      </c>
      <c r="AE52">
        <v>0</v>
      </c>
      <c r="AH52" t="s">
        <v>73</v>
      </c>
      <c r="AI52" t="s">
        <v>318</v>
      </c>
      <c r="AJ52" t="s">
        <v>319</v>
      </c>
      <c r="AK52" t="s">
        <v>76</v>
      </c>
      <c r="AN52" t="s">
        <v>77</v>
      </c>
      <c r="AO52" t="s">
        <v>320</v>
      </c>
      <c r="AP52" t="s">
        <v>535</v>
      </c>
      <c r="AQ52" t="s">
        <v>322</v>
      </c>
      <c r="AS52" t="b">
        <v>1</v>
      </c>
      <c r="AT52" t="s">
        <v>65</v>
      </c>
      <c r="AU52">
        <v>0</v>
      </c>
      <c r="AV52">
        <v>0</v>
      </c>
      <c r="AX52">
        <v>39</v>
      </c>
      <c r="AY52" t="s">
        <v>81</v>
      </c>
      <c r="AZ52" t="s">
        <v>90</v>
      </c>
      <c r="BB52" t="s">
        <v>91</v>
      </c>
      <c r="BC52" t="s">
        <v>92</v>
      </c>
      <c r="BD52" t="b">
        <v>0</v>
      </c>
      <c r="BE52" t="b">
        <v>0</v>
      </c>
      <c r="BF52" t="b">
        <v>0</v>
      </c>
      <c r="BG52" t="b">
        <v>0</v>
      </c>
      <c r="BH52" t="b">
        <v>0</v>
      </c>
      <c r="BI52" t="b">
        <v>0</v>
      </c>
      <c r="BJ52" t="b">
        <v>0</v>
      </c>
      <c r="BK52" t="b">
        <v>0</v>
      </c>
      <c r="BL52" t="b">
        <v>0</v>
      </c>
      <c r="BM52" t="b">
        <v>0</v>
      </c>
      <c r="BN52" t="b">
        <v>0</v>
      </c>
      <c r="BO52" t="b">
        <v>0</v>
      </c>
      <c r="BP52" t="b">
        <v>0</v>
      </c>
      <c r="BR52" t="str">
        <f>IFERROR(IF(M52="PASSED",VLOOKUP(J52,Current!$J$1:$N$500,1,FALSE)),N52)</f>
        <v>"1.0051 - MSWRK - Ensure Choose how BitLocker-protected fixed drives can be recovered: Do not enable BitLocker until recovery information is stored to AD DS for fixed data drives is set to Enabled: False: [PASSED]"
This policy setting allows you to control how BitLocker-protected fixed data drives are recovered in the absence of the required credentials.
See Also:
See HTH Policies and Standards
Reference:
NIST 800-53r5|SC-28
Policy Value:
'0'
Actual Value:
'0'</v>
      </c>
    </row>
    <row r="53" spans="1:70" ht="15" hidden="1" customHeight="1" x14ac:dyDescent="0.25">
      <c r="A53">
        <v>21156</v>
      </c>
      <c r="C53">
        <v>0</v>
      </c>
      <c r="D53" t="s">
        <v>83</v>
      </c>
      <c r="E53" t="s">
        <v>66</v>
      </c>
      <c r="F53" t="s">
        <v>84</v>
      </c>
      <c r="G53">
        <v>0</v>
      </c>
      <c r="H53" t="s">
        <v>85</v>
      </c>
      <c r="I53" t="s">
        <v>86</v>
      </c>
      <c r="J53" t="str">
        <f>MID($N53,FIND("1.",$N53),FIND("-",$N53)-FIND("1.",$N53)-1)</f>
        <v>1.0052</v>
      </c>
      <c r="K53" t="str">
        <f t="shared" si="0"/>
        <v>Ensure Allow enhanced PINs for startup is set to Enabled</v>
      </c>
      <c r="L53" t="str">
        <f t="shared" si="1"/>
        <v>1.0052 - MSWRK - Ensure Allow enhanced PINs for startup is set to Enabled</v>
      </c>
      <c r="M53" t="str">
        <f t="shared" si="2"/>
        <v>FAILED</v>
      </c>
      <c r="N53" s="1" t="s">
        <v>545</v>
      </c>
      <c r="O53" t="s">
        <v>67</v>
      </c>
      <c r="R53" t="s">
        <v>68</v>
      </c>
      <c r="T53" t="s">
        <v>69</v>
      </c>
      <c r="U53" t="s">
        <v>70</v>
      </c>
      <c r="W53" t="s">
        <v>71</v>
      </c>
      <c r="X53" s="1" t="s">
        <v>72</v>
      </c>
      <c r="Y53" t="s">
        <v>88</v>
      </c>
      <c r="Z53">
        <v>0</v>
      </c>
      <c r="AA53">
        <v>0</v>
      </c>
      <c r="AD53">
        <v>0</v>
      </c>
      <c r="AE53">
        <v>0</v>
      </c>
      <c r="AH53" t="s">
        <v>73</v>
      </c>
      <c r="AI53" t="s">
        <v>318</v>
      </c>
      <c r="AJ53" t="s">
        <v>319</v>
      </c>
      <c r="AK53" t="s">
        <v>76</v>
      </c>
      <c r="AN53" t="s">
        <v>77</v>
      </c>
      <c r="AO53" t="s">
        <v>320</v>
      </c>
      <c r="AP53" t="s">
        <v>546</v>
      </c>
      <c r="AQ53" t="s">
        <v>322</v>
      </c>
      <c r="AS53" t="b">
        <v>1</v>
      </c>
      <c r="AT53" t="s">
        <v>65</v>
      </c>
      <c r="AU53">
        <v>0</v>
      </c>
      <c r="AV53">
        <v>0</v>
      </c>
      <c r="AX53">
        <v>39</v>
      </c>
      <c r="AY53" t="s">
        <v>81</v>
      </c>
      <c r="AZ53" t="s">
        <v>90</v>
      </c>
      <c r="BB53" t="s">
        <v>91</v>
      </c>
      <c r="BC53" t="s">
        <v>92</v>
      </c>
      <c r="BD53" t="b">
        <v>0</v>
      </c>
      <c r="BE53" t="b">
        <v>0</v>
      </c>
      <c r="BF53" t="b">
        <v>0</v>
      </c>
      <c r="BG53" t="b">
        <v>0</v>
      </c>
      <c r="BH53" t="b">
        <v>0</v>
      </c>
      <c r="BI53" t="b">
        <v>0</v>
      </c>
      <c r="BJ53" t="b">
        <v>0</v>
      </c>
      <c r="BK53" t="b">
        <v>0</v>
      </c>
      <c r="BL53" t="b">
        <v>0</v>
      </c>
      <c r="BM53" t="b">
        <v>0</v>
      </c>
      <c r="BN53" t="b">
        <v>0</v>
      </c>
      <c r="BO53" t="b">
        <v>0</v>
      </c>
      <c r="BP53" t="b">
        <v>0</v>
      </c>
      <c r="BR53" t="b">
        <f>IFERROR(IF(M53="PASSED",VLOOKUP(J53,Current!$J$1:$N$500,1,FALSE)),N53)</f>
        <v>0</v>
      </c>
    </row>
    <row r="54" spans="1:70" ht="15" customHeight="1" x14ac:dyDescent="0.25">
      <c r="A54">
        <v>21156</v>
      </c>
      <c r="C54">
        <v>0</v>
      </c>
      <c r="D54" t="s">
        <v>65</v>
      </c>
      <c r="E54" t="s">
        <v>66</v>
      </c>
      <c r="F54" t="s">
        <v>84</v>
      </c>
      <c r="G54">
        <v>0</v>
      </c>
      <c r="H54" t="s">
        <v>85</v>
      </c>
      <c r="I54" t="s">
        <v>86</v>
      </c>
      <c r="J54" t="str">
        <f>MID($N54,FIND("1.",$N54),FIND("-",$N54)-FIND("1.",$N54)-1)</f>
        <v>1.0053</v>
      </c>
      <c r="K54" t="str">
        <f t="shared" si="0"/>
        <v>Ensure Choose how BitLocker-protected operating system drives can be recovered</v>
      </c>
      <c r="L54" t="str">
        <f t="shared" si="1"/>
        <v>1.0053 - MSWRK - Ensure Choose how BitLocker-protected operating system drives can be recovered: Do not enable BitLocker until recovery information is stored to AD DS for operating system drives is set to Enabled: True</v>
      </c>
      <c r="M54" t="str">
        <f t="shared" si="2"/>
        <v>PASSED</v>
      </c>
      <c r="N54" s="1" t="s">
        <v>714</v>
      </c>
      <c r="O54" t="s">
        <v>67</v>
      </c>
      <c r="R54" t="s">
        <v>68</v>
      </c>
      <c r="T54" t="s">
        <v>69</v>
      </c>
      <c r="U54" t="s">
        <v>70</v>
      </c>
      <c r="W54" t="s">
        <v>71</v>
      </c>
      <c r="X54" s="1" t="s">
        <v>72</v>
      </c>
      <c r="Y54" t="s">
        <v>88</v>
      </c>
      <c r="Z54">
        <v>0</v>
      </c>
      <c r="AA54">
        <v>0</v>
      </c>
      <c r="AD54">
        <v>0</v>
      </c>
      <c r="AE54">
        <v>0</v>
      </c>
      <c r="AH54" t="s">
        <v>73</v>
      </c>
      <c r="AI54" t="s">
        <v>318</v>
      </c>
      <c r="AJ54" t="s">
        <v>319</v>
      </c>
      <c r="AK54" t="s">
        <v>76</v>
      </c>
      <c r="AN54" t="s">
        <v>77</v>
      </c>
      <c r="AO54" t="s">
        <v>320</v>
      </c>
      <c r="AP54" t="s">
        <v>712</v>
      </c>
      <c r="AQ54" t="s">
        <v>322</v>
      </c>
      <c r="AS54" t="b">
        <v>1</v>
      </c>
      <c r="AT54" t="s">
        <v>65</v>
      </c>
      <c r="AU54">
        <v>0</v>
      </c>
      <c r="AV54">
        <v>0</v>
      </c>
      <c r="AX54">
        <v>39</v>
      </c>
      <c r="AY54" t="s">
        <v>81</v>
      </c>
      <c r="AZ54" t="s">
        <v>90</v>
      </c>
      <c r="BB54" t="s">
        <v>91</v>
      </c>
      <c r="BC54" t="s">
        <v>92</v>
      </c>
      <c r="BD54" t="b">
        <v>0</v>
      </c>
      <c r="BE54" t="b">
        <v>0</v>
      </c>
      <c r="BF54" t="b">
        <v>0</v>
      </c>
      <c r="BG54" t="b">
        <v>0</v>
      </c>
      <c r="BH54" t="b">
        <v>0</v>
      </c>
      <c r="BI54" t="b">
        <v>0</v>
      </c>
      <c r="BJ54" t="b">
        <v>0</v>
      </c>
      <c r="BK54" t="b">
        <v>0</v>
      </c>
      <c r="BL54" t="b">
        <v>0</v>
      </c>
      <c r="BM54" t="b">
        <v>0</v>
      </c>
      <c r="BN54" t="b">
        <v>0</v>
      </c>
      <c r="BO54" t="b">
        <v>0</v>
      </c>
      <c r="BP54" t="b">
        <v>0</v>
      </c>
      <c r="BR54" t="str">
        <f>IFERROR(IF(M54="PASSED",VLOOKUP(J54,Current!$J$1:$N$500,1,FALSE)),N54)</f>
        <v>"1.0053 - MSWRK - Ensure Choose how BitLocker-protected operating system drives can be recovered: Do not enable BitLocker until recovery information is stored to AD DS for operating system drives is set to Enabled: True: [PASSED]"
This policy setting allows you to control how BitLocker-protected operating system drives are recovered in the absence of the required startup key information.
See Also:
See HTH Policies and Standards
Reference:
NIST 800-53r5|SC-28
Policy Value:
'1'
Actual Value:
'1'</v>
      </c>
    </row>
    <row r="55" spans="1:70" ht="15" customHeight="1" x14ac:dyDescent="0.25">
      <c r="A55">
        <v>21156</v>
      </c>
      <c r="C55">
        <v>0</v>
      </c>
      <c r="D55" t="s">
        <v>65</v>
      </c>
      <c r="E55" t="s">
        <v>66</v>
      </c>
      <c r="F55" t="s">
        <v>84</v>
      </c>
      <c r="G55">
        <v>0</v>
      </c>
      <c r="H55" t="s">
        <v>85</v>
      </c>
      <c r="I55" t="s">
        <v>86</v>
      </c>
      <c r="J55" t="str">
        <f>MID($N55,FIND("1.",$N55),FIND("-",$N55)-FIND("1.",$N55)-1)</f>
        <v>1.0054</v>
      </c>
      <c r="K55" t="str">
        <f t="shared" si="0"/>
        <v>Ensure Configure use of hardware-based encryption for operating system drives is set to Disabled</v>
      </c>
      <c r="L55" t="str">
        <f t="shared" si="1"/>
        <v>1.0054 - MSWRK - Ensure Configure use of hardware-based encryption for operating system drives is set to Disabled</v>
      </c>
      <c r="M55" t="str">
        <f t="shared" si="2"/>
        <v>PASSED</v>
      </c>
      <c r="N55" s="1" t="s">
        <v>527</v>
      </c>
      <c r="O55" t="s">
        <v>67</v>
      </c>
      <c r="R55" t="s">
        <v>68</v>
      </c>
      <c r="T55" t="s">
        <v>69</v>
      </c>
      <c r="U55" t="s">
        <v>70</v>
      </c>
      <c r="W55" t="s">
        <v>71</v>
      </c>
      <c r="X55" s="1" t="s">
        <v>72</v>
      </c>
      <c r="Y55" t="s">
        <v>88</v>
      </c>
      <c r="Z55">
        <v>0</v>
      </c>
      <c r="AA55">
        <v>0</v>
      </c>
      <c r="AD55">
        <v>0</v>
      </c>
      <c r="AE55">
        <v>0</v>
      </c>
      <c r="AH55" t="s">
        <v>73</v>
      </c>
      <c r="AI55" t="s">
        <v>318</v>
      </c>
      <c r="AJ55" t="s">
        <v>319</v>
      </c>
      <c r="AK55" t="s">
        <v>76</v>
      </c>
      <c r="AN55" t="s">
        <v>77</v>
      </c>
      <c r="AO55" t="s">
        <v>320</v>
      </c>
      <c r="AP55" t="s">
        <v>525</v>
      </c>
      <c r="AQ55" t="s">
        <v>322</v>
      </c>
      <c r="AS55" t="b">
        <v>1</v>
      </c>
      <c r="AT55" t="s">
        <v>65</v>
      </c>
      <c r="AU55">
        <v>0</v>
      </c>
      <c r="AV55">
        <v>0</v>
      </c>
      <c r="AX55">
        <v>39</v>
      </c>
      <c r="AY55" t="s">
        <v>81</v>
      </c>
      <c r="AZ55" t="s">
        <v>90</v>
      </c>
      <c r="BB55" t="s">
        <v>91</v>
      </c>
      <c r="BC55" t="s">
        <v>92</v>
      </c>
      <c r="BD55" t="b">
        <v>0</v>
      </c>
      <c r="BE55" t="b">
        <v>0</v>
      </c>
      <c r="BF55" t="b">
        <v>0</v>
      </c>
      <c r="BG55" t="b">
        <v>0</v>
      </c>
      <c r="BH55" t="b">
        <v>0</v>
      </c>
      <c r="BI55" t="b">
        <v>0</v>
      </c>
      <c r="BJ55" t="b">
        <v>0</v>
      </c>
      <c r="BK55" t="b">
        <v>0</v>
      </c>
      <c r="BL55" t="b">
        <v>0</v>
      </c>
      <c r="BM55" t="b">
        <v>0</v>
      </c>
      <c r="BN55" t="b">
        <v>0</v>
      </c>
      <c r="BO55" t="b">
        <v>0</v>
      </c>
      <c r="BP55" t="b">
        <v>0</v>
      </c>
      <c r="BR55" t="str">
        <f>IFERROR(IF(M55="PASSED",VLOOKUP(J55,Current!$J$1:$N$500,1,FALSE)),N55)</f>
        <v>"1.0054 - MSWRK - Ensure Configure use of hardware-based encryption for operating system drives is set to Disabled: [PASSED]"
This policy setting allows you to manage BitLocker's use of hardware-based encryption on operating system drives and specify which encryption algorithms it can use with hardware-based encryption.
See Also:
See HTH Policies and Standards
Reference:
NIST 800-53r5|AC-19(5)
Policy Value:
'0'
Actual Value:
'0'</v>
      </c>
    </row>
    <row r="56" spans="1:70" ht="15" hidden="1" customHeight="1" x14ac:dyDescent="0.25">
      <c r="A56">
        <v>21156</v>
      </c>
      <c r="C56">
        <v>0</v>
      </c>
      <c r="D56" t="s">
        <v>83</v>
      </c>
      <c r="E56" t="s">
        <v>66</v>
      </c>
      <c r="F56" t="s">
        <v>84</v>
      </c>
      <c r="G56">
        <v>0</v>
      </c>
      <c r="H56" t="s">
        <v>85</v>
      </c>
      <c r="I56" t="s">
        <v>86</v>
      </c>
      <c r="J56" t="str">
        <f>MID($N56,FIND("1.",$N56),FIND("-",$N56)-FIND("1.",$N56)-1)</f>
        <v>1.0055</v>
      </c>
      <c r="K56" t="str">
        <f t="shared" si="0"/>
        <v>Ensure Allow Secure Boot for integrity validation is set to Enabled</v>
      </c>
      <c r="L56" t="str">
        <f t="shared" si="1"/>
        <v>1.0055 - MSWRK - Ensure Allow Secure Boot for integrity validation is set to Enabled</v>
      </c>
      <c r="M56" t="str">
        <f t="shared" si="2"/>
        <v>FAILED</v>
      </c>
      <c r="N56" s="1" t="s">
        <v>498</v>
      </c>
      <c r="O56" t="s">
        <v>67</v>
      </c>
      <c r="R56" t="s">
        <v>68</v>
      </c>
      <c r="T56" t="s">
        <v>69</v>
      </c>
      <c r="U56" t="s">
        <v>70</v>
      </c>
      <c r="W56" t="s">
        <v>71</v>
      </c>
      <c r="X56" s="1" t="s">
        <v>72</v>
      </c>
      <c r="Y56" t="s">
        <v>88</v>
      </c>
      <c r="Z56">
        <v>0</v>
      </c>
      <c r="AA56">
        <v>0</v>
      </c>
      <c r="AD56">
        <v>0</v>
      </c>
      <c r="AE56">
        <v>0</v>
      </c>
      <c r="AH56" t="s">
        <v>73</v>
      </c>
      <c r="AI56" t="s">
        <v>318</v>
      </c>
      <c r="AJ56" t="s">
        <v>319</v>
      </c>
      <c r="AK56" t="s">
        <v>76</v>
      </c>
      <c r="AN56" t="s">
        <v>77</v>
      </c>
      <c r="AO56" t="s">
        <v>320</v>
      </c>
      <c r="AP56" t="s">
        <v>499</v>
      </c>
      <c r="AQ56" t="s">
        <v>322</v>
      </c>
      <c r="AS56" t="b">
        <v>1</v>
      </c>
      <c r="AT56" t="s">
        <v>65</v>
      </c>
      <c r="AU56">
        <v>0</v>
      </c>
      <c r="AV56">
        <v>0</v>
      </c>
      <c r="AX56">
        <v>39</v>
      </c>
      <c r="AY56" t="s">
        <v>81</v>
      </c>
      <c r="AZ56" t="s">
        <v>90</v>
      </c>
      <c r="BB56" t="s">
        <v>91</v>
      </c>
      <c r="BC56" t="s">
        <v>92</v>
      </c>
      <c r="BD56" t="b">
        <v>0</v>
      </c>
      <c r="BE56" t="b">
        <v>0</v>
      </c>
      <c r="BF56" t="b">
        <v>0</v>
      </c>
      <c r="BG56" t="b">
        <v>0</v>
      </c>
      <c r="BH56" t="b">
        <v>0</v>
      </c>
      <c r="BI56" t="b">
        <v>0</v>
      </c>
      <c r="BJ56" t="b">
        <v>0</v>
      </c>
      <c r="BK56" t="b">
        <v>0</v>
      </c>
      <c r="BL56" t="b">
        <v>0</v>
      </c>
      <c r="BM56" t="b">
        <v>0</v>
      </c>
      <c r="BN56" t="b">
        <v>0</v>
      </c>
      <c r="BO56" t="b">
        <v>0</v>
      </c>
      <c r="BP56" t="b">
        <v>0</v>
      </c>
      <c r="BR56" t="b">
        <f>IFERROR(IF(M56="PASSED",VLOOKUP(J56,Current!$J$1:$N$500,1,FALSE)),N56)</f>
        <v>0</v>
      </c>
    </row>
    <row r="57" spans="1:70" ht="15" customHeight="1" x14ac:dyDescent="0.25">
      <c r="A57">
        <v>21156</v>
      </c>
      <c r="C57">
        <v>0</v>
      </c>
      <c r="D57" t="s">
        <v>65</v>
      </c>
      <c r="E57" t="s">
        <v>66</v>
      </c>
      <c r="F57" t="s">
        <v>84</v>
      </c>
      <c r="G57">
        <v>0</v>
      </c>
      <c r="H57" t="s">
        <v>85</v>
      </c>
      <c r="I57" t="s">
        <v>86</v>
      </c>
      <c r="J57" t="str">
        <f>MID($N57,FIND("1.",$N57),FIND("-",$N57)-FIND("1.",$N57)-1)</f>
        <v>1.0056</v>
      </c>
      <c r="K57" t="str">
        <f t="shared" si="0"/>
        <v>Ensure Choose how BitLocker-protected operating system drives can be recovered is set to Enabled</v>
      </c>
      <c r="L57" t="str">
        <f t="shared" si="1"/>
        <v>1.0056 - MSWRK - Ensure Choose how BitLocker-protected operating system drives can be recovered is set to Enabled</v>
      </c>
      <c r="M57" t="str">
        <f t="shared" si="2"/>
        <v>PASSED</v>
      </c>
      <c r="N57" s="1" t="s">
        <v>704</v>
      </c>
      <c r="O57" t="s">
        <v>67</v>
      </c>
      <c r="R57" t="s">
        <v>68</v>
      </c>
      <c r="T57" t="s">
        <v>69</v>
      </c>
      <c r="U57" t="s">
        <v>70</v>
      </c>
      <c r="W57" t="s">
        <v>71</v>
      </c>
      <c r="X57" s="1" t="s">
        <v>72</v>
      </c>
      <c r="Y57" t="s">
        <v>88</v>
      </c>
      <c r="Z57">
        <v>0</v>
      </c>
      <c r="AA57">
        <v>0</v>
      </c>
      <c r="AD57">
        <v>0</v>
      </c>
      <c r="AE57">
        <v>0</v>
      </c>
      <c r="AH57" t="s">
        <v>73</v>
      </c>
      <c r="AI57" t="s">
        <v>318</v>
      </c>
      <c r="AJ57" t="s">
        <v>319</v>
      </c>
      <c r="AK57" t="s">
        <v>76</v>
      </c>
      <c r="AN57" t="s">
        <v>77</v>
      </c>
      <c r="AO57" t="s">
        <v>320</v>
      </c>
      <c r="AP57" t="s">
        <v>701</v>
      </c>
      <c r="AQ57" t="s">
        <v>322</v>
      </c>
      <c r="AS57" t="b">
        <v>1</v>
      </c>
      <c r="AT57" t="s">
        <v>65</v>
      </c>
      <c r="AU57">
        <v>0</v>
      </c>
      <c r="AV57">
        <v>0</v>
      </c>
      <c r="AX57">
        <v>39</v>
      </c>
      <c r="AY57" t="s">
        <v>81</v>
      </c>
      <c r="AZ57" t="s">
        <v>90</v>
      </c>
      <c r="BB57" t="s">
        <v>91</v>
      </c>
      <c r="BC57" t="s">
        <v>92</v>
      </c>
      <c r="BD57" t="b">
        <v>0</v>
      </c>
      <c r="BE57" t="b">
        <v>0</v>
      </c>
      <c r="BF57" t="b">
        <v>0</v>
      </c>
      <c r="BG57" t="b">
        <v>0</v>
      </c>
      <c r="BH57" t="b">
        <v>0</v>
      </c>
      <c r="BI57" t="b">
        <v>0</v>
      </c>
      <c r="BJ57" t="b">
        <v>0</v>
      </c>
      <c r="BK57" t="b">
        <v>0</v>
      </c>
      <c r="BL57" t="b">
        <v>0</v>
      </c>
      <c r="BM57" t="b">
        <v>0</v>
      </c>
      <c r="BN57" t="b">
        <v>0</v>
      </c>
      <c r="BO57" t="b">
        <v>0</v>
      </c>
      <c r="BP57" t="b">
        <v>0</v>
      </c>
      <c r="BR57" t="str">
        <f>IFERROR(IF(M57="PASSED",VLOOKUP(J57,Current!$J$1:$N$500,1,FALSE)),N57)</f>
        <v>"1.0056 - MSWRK - Ensure Choose how BitLocker-protected operating system drives can be recovered is set to Enabled: [PASSED]"
This policy setting allows you to control how BitLocker-protected operating system drives are recovered in the absence of the required startup key information.
See Also:
See HTH Policies and Standards
Reference:
NIST 800-53r5|SC-28
Policy Value:
'1'
Actual Value:
'1'</v>
      </c>
    </row>
    <row r="58" spans="1:70" ht="15" hidden="1" customHeight="1" x14ac:dyDescent="0.25">
      <c r="A58">
        <v>21156</v>
      </c>
      <c r="C58">
        <v>0</v>
      </c>
      <c r="D58" t="s">
        <v>83</v>
      </c>
      <c r="E58" t="s">
        <v>66</v>
      </c>
      <c r="F58" t="s">
        <v>84</v>
      </c>
      <c r="G58">
        <v>0</v>
      </c>
      <c r="H58" t="s">
        <v>85</v>
      </c>
      <c r="I58" t="s">
        <v>86</v>
      </c>
      <c r="J58" t="str">
        <f>MID($N58,FIND("1.",$N58),FIND("-",$N58)-FIND("1.",$N58)-1)</f>
        <v>1.0057</v>
      </c>
      <c r="K58" t="str">
        <f t="shared" si="0"/>
        <v>Ensure Choose how BitLocker-protected operating system drives can be recovered</v>
      </c>
      <c r="L58" t="str">
        <f t="shared" si="1"/>
        <v>1.0057 - MSWRK - Ensure Choose how BitLocker-protected operating system drives can be recovered: Allow data recovery agent is set to Enabled: False</v>
      </c>
      <c r="M58" t="str">
        <f t="shared" si="2"/>
        <v>FAILED</v>
      </c>
      <c r="N58" s="1" t="s">
        <v>733</v>
      </c>
      <c r="O58" t="s">
        <v>67</v>
      </c>
      <c r="R58" t="s">
        <v>68</v>
      </c>
      <c r="T58" t="s">
        <v>69</v>
      </c>
      <c r="U58" t="s">
        <v>70</v>
      </c>
      <c r="W58" t="s">
        <v>71</v>
      </c>
      <c r="X58" s="1" t="s">
        <v>72</v>
      </c>
      <c r="Y58" t="s">
        <v>88</v>
      </c>
      <c r="Z58">
        <v>0</v>
      </c>
      <c r="AA58">
        <v>0</v>
      </c>
      <c r="AD58">
        <v>0</v>
      </c>
      <c r="AE58">
        <v>0</v>
      </c>
      <c r="AH58" t="s">
        <v>73</v>
      </c>
      <c r="AI58" t="s">
        <v>318</v>
      </c>
      <c r="AJ58" t="s">
        <v>319</v>
      </c>
      <c r="AK58" t="s">
        <v>76</v>
      </c>
      <c r="AN58" t="s">
        <v>77</v>
      </c>
      <c r="AO58" t="s">
        <v>320</v>
      </c>
      <c r="AP58" t="s">
        <v>730</v>
      </c>
      <c r="AQ58" t="s">
        <v>322</v>
      </c>
      <c r="AS58" t="b">
        <v>1</v>
      </c>
      <c r="AT58" t="s">
        <v>65</v>
      </c>
      <c r="AU58">
        <v>0</v>
      </c>
      <c r="AV58">
        <v>0</v>
      </c>
      <c r="AX58">
        <v>39</v>
      </c>
      <c r="AY58" t="s">
        <v>81</v>
      </c>
      <c r="AZ58" t="s">
        <v>90</v>
      </c>
      <c r="BB58" t="s">
        <v>91</v>
      </c>
      <c r="BC58" t="s">
        <v>92</v>
      </c>
      <c r="BD58" t="b">
        <v>0</v>
      </c>
      <c r="BE58" t="b">
        <v>0</v>
      </c>
      <c r="BF58" t="b">
        <v>0</v>
      </c>
      <c r="BG58" t="b">
        <v>0</v>
      </c>
      <c r="BH58" t="b">
        <v>0</v>
      </c>
      <c r="BI58" t="b">
        <v>0</v>
      </c>
      <c r="BJ58" t="b">
        <v>0</v>
      </c>
      <c r="BK58" t="b">
        <v>0</v>
      </c>
      <c r="BL58" t="b">
        <v>0</v>
      </c>
      <c r="BM58" t="b">
        <v>0</v>
      </c>
      <c r="BN58" t="b">
        <v>0</v>
      </c>
      <c r="BO58" t="b">
        <v>0</v>
      </c>
      <c r="BP58" t="b">
        <v>0</v>
      </c>
      <c r="BR58" t="b">
        <f>IFERROR(IF(M58="PASSED",VLOOKUP(J58,Current!$J$1:$N$500,1,FALSE)),N58)</f>
        <v>0</v>
      </c>
    </row>
    <row r="59" spans="1:70" ht="15" hidden="1" customHeight="1" x14ac:dyDescent="0.25">
      <c r="A59">
        <v>21156</v>
      </c>
      <c r="C59">
        <v>0</v>
      </c>
      <c r="D59" t="s">
        <v>83</v>
      </c>
      <c r="E59" t="s">
        <v>66</v>
      </c>
      <c r="F59" t="s">
        <v>84</v>
      </c>
      <c r="G59">
        <v>0</v>
      </c>
      <c r="H59" t="s">
        <v>85</v>
      </c>
      <c r="I59" t="s">
        <v>86</v>
      </c>
      <c r="J59" t="str">
        <f>MID($N59,FIND("1.",$N59),FIND("-",$N59)-FIND("1.",$N59)-1)</f>
        <v>1.0058</v>
      </c>
      <c r="K59" t="str">
        <f t="shared" si="0"/>
        <v>Ensure Choose how BitLocker-protected operating system drives can be recovered</v>
      </c>
      <c r="L59" t="str">
        <f t="shared" si="1"/>
        <v>1.0058 - MSWRK - Ensure Choose how BitLocker-protected operating system drives can be recovered: Recovery Password is set to Enabled: Require 48-digit recovery password</v>
      </c>
      <c r="M59" t="str">
        <f t="shared" si="2"/>
        <v>FAILED</v>
      </c>
      <c r="N59" s="1" t="s">
        <v>395</v>
      </c>
      <c r="O59" t="s">
        <v>67</v>
      </c>
      <c r="R59" t="s">
        <v>68</v>
      </c>
      <c r="T59" t="s">
        <v>69</v>
      </c>
      <c r="U59" t="s">
        <v>70</v>
      </c>
      <c r="W59" t="s">
        <v>71</v>
      </c>
      <c r="X59" s="1" t="s">
        <v>72</v>
      </c>
      <c r="Y59" t="s">
        <v>88</v>
      </c>
      <c r="Z59">
        <v>0</v>
      </c>
      <c r="AA59">
        <v>0</v>
      </c>
      <c r="AD59">
        <v>0</v>
      </c>
      <c r="AE59">
        <v>0</v>
      </c>
      <c r="AH59" t="s">
        <v>73</v>
      </c>
      <c r="AI59" t="s">
        <v>318</v>
      </c>
      <c r="AJ59" t="s">
        <v>319</v>
      </c>
      <c r="AK59" t="s">
        <v>76</v>
      </c>
      <c r="AN59" t="s">
        <v>77</v>
      </c>
      <c r="AO59" t="s">
        <v>320</v>
      </c>
      <c r="AP59" t="s">
        <v>393</v>
      </c>
      <c r="AQ59" t="s">
        <v>322</v>
      </c>
      <c r="AS59" t="b">
        <v>1</v>
      </c>
      <c r="AT59" t="s">
        <v>65</v>
      </c>
      <c r="AU59">
        <v>0</v>
      </c>
      <c r="AV59">
        <v>0</v>
      </c>
      <c r="AX59">
        <v>39</v>
      </c>
      <c r="AY59" t="s">
        <v>81</v>
      </c>
      <c r="AZ59" t="s">
        <v>90</v>
      </c>
      <c r="BB59" t="s">
        <v>91</v>
      </c>
      <c r="BC59" t="s">
        <v>92</v>
      </c>
      <c r="BD59" t="b">
        <v>0</v>
      </c>
      <c r="BE59" t="b">
        <v>0</v>
      </c>
      <c r="BF59" t="b">
        <v>0</v>
      </c>
      <c r="BG59" t="b">
        <v>0</v>
      </c>
      <c r="BH59" t="b">
        <v>0</v>
      </c>
      <c r="BI59" t="b">
        <v>0</v>
      </c>
      <c r="BJ59" t="b">
        <v>0</v>
      </c>
      <c r="BK59" t="b">
        <v>0</v>
      </c>
      <c r="BL59" t="b">
        <v>0</v>
      </c>
      <c r="BM59" t="b">
        <v>0</v>
      </c>
      <c r="BN59" t="b">
        <v>0</v>
      </c>
      <c r="BO59" t="b">
        <v>0</v>
      </c>
      <c r="BP59" t="b">
        <v>0</v>
      </c>
      <c r="BR59" t="b">
        <f>IFERROR(IF(M59="PASSED",VLOOKUP(J59,Current!$J$1:$N$500,1,FALSE)),N59)</f>
        <v>0</v>
      </c>
    </row>
    <row r="60" spans="1:70" ht="15" hidden="1" customHeight="1" x14ac:dyDescent="0.25">
      <c r="A60">
        <v>21156</v>
      </c>
      <c r="C60">
        <v>0</v>
      </c>
      <c r="D60" t="s">
        <v>83</v>
      </c>
      <c r="E60" t="s">
        <v>66</v>
      </c>
      <c r="F60" t="s">
        <v>84</v>
      </c>
      <c r="G60">
        <v>0</v>
      </c>
      <c r="H60" t="s">
        <v>85</v>
      </c>
      <c r="I60" t="s">
        <v>86</v>
      </c>
      <c r="J60" t="str">
        <f>MID($N60,FIND("1.",$N60),FIND("-",$N60)-FIND("1.",$N60)-1)</f>
        <v>1.0059</v>
      </c>
      <c r="K60" t="str">
        <f t="shared" si="0"/>
        <v>Ensure Choose how BitLocker-protected operating system drives can be recovered</v>
      </c>
      <c r="L60" t="str">
        <f t="shared" si="1"/>
        <v>1.0059 - MSWRK - Ensure Choose how BitLocker-protected operating system drives can be recovered: Recovery Key is set to Enabled: Do not allow 256-bit recovery key</v>
      </c>
      <c r="M60" t="str">
        <f t="shared" si="2"/>
        <v>FAILED</v>
      </c>
      <c r="N60" s="1" t="s">
        <v>589</v>
      </c>
      <c r="O60" t="s">
        <v>67</v>
      </c>
      <c r="R60" t="s">
        <v>68</v>
      </c>
      <c r="T60" t="s">
        <v>69</v>
      </c>
      <c r="U60" t="s">
        <v>70</v>
      </c>
      <c r="W60" t="s">
        <v>71</v>
      </c>
      <c r="X60" s="1" t="s">
        <v>72</v>
      </c>
      <c r="Y60" t="s">
        <v>88</v>
      </c>
      <c r="Z60">
        <v>0</v>
      </c>
      <c r="AA60">
        <v>0</v>
      </c>
      <c r="AD60">
        <v>0</v>
      </c>
      <c r="AE60">
        <v>0</v>
      </c>
      <c r="AH60" t="s">
        <v>73</v>
      </c>
      <c r="AI60" t="s">
        <v>318</v>
      </c>
      <c r="AJ60" t="s">
        <v>319</v>
      </c>
      <c r="AK60" t="s">
        <v>76</v>
      </c>
      <c r="AN60" t="s">
        <v>77</v>
      </c>
      <c r="AO60" t="s">
        <v>320</v>
      </c>
      <c r="AP60" t="s">
        <v>588</v>
      </c>
      <c r="AQ60" t="s">
        <v>322</v>
      </c>
      <c r="AS60" t="b">
        <v>1</v>
      </c>
      <c r="AT60" t="s">
        <v>65</v>
      </c>
      <c r="AU60">
        <v>0</v>
      </c>
      <c r="AV60">
        <v>0</v>
      </c>
      <c r="AX60">
        <v>39</v>
      </c>
      <c r="AY60" t="s">
        <v>81</v>
      </c>
      <c r="AZ60" t="s">
        <v>90</v>
      </c>
      <c r="BB60" t="s">
        <v>91</v>
      </c>
      <c r="BC60" t="s">
        <v>92</v>
      </c>
      <c r="BD60" t="b">
        <v>0</v>
      </c>
      <c r="BE60" t="b">
        <v>0</v>
      </c>
      <c r="BF60" t="b">
        <v>0</v>
      </c>
      <c r="BG60" t="b">
        <v>0</v>
      </c>
      <c r="BH60" t="b">
        <v>0</v>
      </c>
      <c r="BI60" t="b">
        <v>0</v>
      </c>
      <c r="BJ60" t="b">
        <v>0</v>
      </c>
      <c r="BK60" t="b">
        <v>0</v>
      </c>
      <c r="BL60" t="b">
        <v>0</v>
      </c>
      <c r="BM60" t="b">
        <v>0</v>
      </c>
      <c r="BN60" t="b">
        <v>0</v>
      </c>
      <c r="BO60" t="b">
        <v>0</v>
      </c>
      <c r="BP60" t="b">
        <v>0</v>
      </c>
      <c r="BR60" t="b">
        <f>IFERROR(IF(M60="PASSED",VLOOKUP(J60,Current!$J$1:$N$500,1,FALSE)),N60)</f>
        <v>0</v>
      </c>
    </row>
    <row r="61" spans="1:70" ht="15" customHeight="1" x14ac:dyDescent="0.25">
      <c r="A61">
        <v>21156</v>
      </c>
      <c r="C61">
        <v>0</v>
      </c>
      <c r="D61" t="s">
        <v>65</v>
      </c>
      <c r="E61" t="s">
        <v>66</v>
      </c>
      <c r="F61" t="s">
        <v>84</v>
      </c>
      <c r="G61">
        <v>0</v>
      </c>
      <c r="H61" t="s">
        <v>85</v>
      </c>
      <c r="I61" t="s">
        <v>86</v>
      </c>
      <c r="J61" t="str">
        <f>MID($N61,FIND("1.",$N61),FIND("-",$N61)-FIND("1.",$N61)-1)</f>
        <v>1.0060</v>
      </c>
      <c r="K61" t="str">
        <f t="shared" si="0"/>
        <v>Ensure Choose how BitLocker-protected operating system drives can be recovered</v>
      </c>
      <c r="L61" t="str">
        <f t="shared" si="1"/>
        <v>1.0060 - MSWRK - Ensure Choose how BitLocker-protected operating system drives can be recovered: Omit recovery options from the BitLocker setup wizard is set to Enabled: True</v>
      </c>
      <c r="M61" t="str">
        <f t="shared" si="2"/>
        <v>PASSED</v>
      </c>
      <c r="N61" s="1" t="s">
        <v>338</v>
      </c>
      <c r="O61" t="s">
        <v>67</v>
      </c>
      <c r="R61" t="s">
        <v>68</v>
      </c>
      <c r="T61" t="s">
        <v>69</v>
      </c>
      <c r="U61" t="s">
        <v>70</v>
      </c>
      <c r="W61" t="s">
        <v>71</v>
      </c>
      <c r="X61" s="1" t="s">
        <v>72</v>
      </c>
      <c r="Y61" t="s">
        <v>88</v>
      </c>
      <c r="Z61">
        <v>0</v>
      </c>
      <c r="AA61">
        <v>0</v>
      </c>
      <c r="AD61">
        <v>0</v>
      </c>
      <c r="AE61">
        <v>0</v>
      </c>
      <c r="AH61" t="s">
        <v>73</v>
      </c>
      <c r="AI61" t="s">
        <v>318</v>
      </c>
      <c r="AJ61" t="s">
        <v>319</v>
      </c>
      <c r="AK61" t="s">
        <v>76</v>
      </c>
      <c r="AN61" t="s">
        <v>77</v>
      </c>
      <c r="AO61" t="s">
        <v>320</v>
      </c>
      <c r="AP61" t="s">
        <v>336</v>
      </c>
      <c r="AQ61" t="s">
        <v>322</v>
      </c>
      <c r="AS61" t="b">
        <v>1</v>
      </c>
      <c r="AT61" t="s">
        <v>65</v>
      </c>
      <c r="AU61">
        <v>0</v>
      </c>
      <c r="AV61">
        <v>0</v>
      </c>
      <c r="AX61">
        <v>39</v>
      </c>
      <c r="AY61" t="s">
        <v>81</v>
      </c>
      <c r="AZ61" t="s">
        <v>90</v>
      </c>
      <c r="BB61" t="s">
        <v>91</v>
      </c>
      <c r="BC61" t="s">
        <v>92</v>
      </c>
      <c r="BD61" t="b">
        <v>0</v>
      </c>
      <c r="BE61" t="b">
        <v>0</v>
      </c>
      <c r="BF61" t="b">
        <v>0</v>
      </c>
      <c r="BG61" t="b">
        <v>0</v>
      </c>
      <c r="BH61" t="b">
        <v>0</v>
      </c>
      <c r="BI61" t="b">
        <v>0</v>
      </c>
      <c r="BJ61" t="b">
        <v>0</v>
      </c>
      <c r="BK61" t="b">
        <v>0</v>
      </c>
      <c r="BL61" t="b">
        <v>0</v>
      </c>
      <c r="BM61" t="b">
        <v>0</v>
      </c>
      <c r="BN61" t="b">
        <v>0</v>
      </c>
      <c r="BO61" t="b">
        <v>0</v>
      </c>
      <c r="BP61" t="b">
        <v>0</v>
      </c>
      <c r="BR61" t="str">
        <f>IFERROR(IF(M61="PASSED",VLOOKUP(J61,Current!$J$1:$N$500,1,FALSE)),N61)</f>
        <v>"1.0060 - MSWRK - Ensure Choose how BitLocker-protected operating system drives can be recovered: Omit recovery options from the BitLocker setup wizard is set to Enabled: True: [PASSED]"
This policy setting allows you to control how BitLocker-protected operating system drives are recovered in the absence of the required startup key information.
See Also:
See HTH Policies and Standards
Reference:
NIST 800-53r5|SC-28
Policy Value:
'1'
Actual Value:
'1'</v>
      </c>
    </row>
    <row r="62" spans="1:70" ht="15" customHeight="1" x14ac:dyDescent="0.25">
      <c r="A62">
        <v>21156</v>
      </c>
      <c r="C62">
        <v>0</v>
      </c>
      <c r="D62" t="s">
        <v>65</v>
      </c>
      <c r="E62" t="s">
        <v>66</v>
      </c>
      <c r="F62" t="s">
        <v>84</v>
      </c>
      <c r="G62">
        <v>0</v>
      </c>
      <c r="H62" t="s">
        <v>85</v>
      </c>
      <c r="I62" t="s">
        <v>86</v>
      </c>
      <c r="J62" t="str">
        <f>MID($N62,FIND("1.",$N62),FIND("-",$N62)-FIND("1.",$N62)-1)</f>
        <v>1.0061</v>
      </c>
      <c r="K62" t="str">
        <f t="shared" si="0"/>
        <v>Ensure Choose how BitLocker-protected operating system drives can be recovered</v>
      </c>
      <c r="L62" t="str">
        <f t="shared" si="1"/>
        <v>1.0061 - MSWRK - Ensure Choose how BitLocker-protected operating system drives can be recovered: Save BitLocker recovery information to AD DS for operating system drives is set to Enabled: True</v>
      </c>
      <c r="M62" t="str">
        <f t="shared" si="2"/>
        <v>PASSED</v>
      </c>
      <c r="N62" s="1" t="s">
        <v>736</v>
      </c>
      <c r="O62" t="s">
        <v>67</v>
      </c>
      <c r="R62" t="s">
        <v>68</v>
      </c>
      <c r="T62" t="s">
        <v>69</v>
      </c>
      <c r="U62" t="s">
        <v>70</v>
      </c>
      <c r="W62" t="s">
        <v>71</v>
      </c>
      <c r="X62" s="1" t="s">
        <v>72</v>
      </c>
      <c r="Y62" t="s">
        <v>88</v>
      </c>
      <c r="Z62">
        <v>0</v>
      </c>
      <c r="AA62">
        <v>0</v>
      </c>
      <c r="AD62">
        <v>0</v>
      </c>
      <c r="AE62">
        <v>0</v>
      </c>
      <c r="AH62" t="s">
        <v>73</v>
      </c>
      <c r="AI62" t="s">
        <v>318</v>
      </c>
      <c r="AJ62" t="s">
        <v>319</v>
      </c>
      <c r="AK62" t="s">
        <v>76</v>
      </c>
      <c r="AN62" t="s">
        <v>77</v>
      </c>
      <c r="AO62" t="s">
        <v>320</v>
      </c>
      <c r="AP62" t="s">
        <v>735</v>
      </c>
      <c r="AQ62" t="s">
        <v>322</v>
      </c>
      <c r="AS62" t="b">
        <v>1</v>
      </c>
      <c r="AT62" t="s">
        <v>65</v>
      </c>
      <c r="AU62">
        <v>0</v>
      </c>
      <c r="AV62">
        <v>0</v>
      </c>
      <c r="AX62">
        <v>39</v>
      </c>
      <c r="AY62" t="s">
        <v>81</v>
      </c>
      <c r="AZ62" t="s">
        <v>90</v>
      </c>
      <c r="BB62" t="s">
        <v>91</v>
      </c>
      <c r="BC62" t="s">
        <v>92</v>
      </c>
      <c r="BD62" t="b">
        <v>0</v>
      </c>
      <c r="BE62" t="b">
        <v>0</v>
      </c>
      <c r="BF62" t="b">
        <v>0</v>
      </c>
      <c r="BG62" t="b">
        <v>0</v>
      </c>
      <c r="BH62" t="b">
        <v>0</v>
      </c>
      <c r="BI62" t="b">
        <v>0</v>
      </c>
      <c r="BJ62" t="b">
        <v>0</v>
      </c>
      <c r="BK62" t="b">
        <v>0</v>
      </c>
      <c r="BL62" t="b">
        <v>0</v>
      </c>
      <c r="BM62" t="b">
        <v>0</v>
      </c>
      <c r="BN62" t="b">
        <v>0</v>
      </c>
      <c r="BO62" t="b">
        <v>0</v>
      </c>
      <c r="BP62" t="b">
        <v>0</v>
      </c>
      <c r="BR62" t="str">
        <f>IFERROR(IF(M62="PASSED",VLOOKUP(J62,Current!$J$1:$N$500,1,FALSE)),N62)</f>
        <v>"1.0061 - MSWRK - Ensure Choose how BitLocker-protected operating system drives can be recovered: Save BitLocker recovery information to AD DS for operating system drives is set to Enabled: True: [PASSED]"
This policy setting allows you to control how BitLocker-protected operating system drives are recovered in the absence of the required startup key information.
See Also:
See HTH Policies and Standards
Reference:
NIST 800-53r5|SC-28
Policy Value:
'1'
Actual Value:
'1'</v>
      </c>
    </row>
    <row r="63" spans="1:70" ht="15" customHeight="1" x14ac:dyDescent="0.25">
      <c r="A63">
        <v>21156</v>
      </c>
      <c r="C63">
        <v>0</v>
      </c>
      <c r="D63" t="s">
        <v>65</v>
      </c>
      <c r="E63" t="s">
        <v>66</v>
      </c>
      <c r="F63" t="s">
        <v>84</v>
      </c>
      <c r="G63">
        <v>0</v>
      </c>
      <c r="H63" t="s">
        <v>85</v>
      </c>
      <c r="I63" t="s">
        <v>86</v>
      </c>
      <c r="J63" t="str">
        <f>MID($N63,FIND("1.",$N63),FIND("-",$N63)-FIND("1.",$N63)-1)</f>
        <v>1.0062</v>
      </c>
      <c r="K63" t="str">
        <f t="shared" si="0"/>
        <v>Ensure Choose how BitLocker-protected operating system drives can be recovered</v>
      </c>
      <c r="L63" t="str">
        <f t="shared" si="1"/>
        <v>1.0062 - MSWRK - Ensure Choose how BitLocker-protected operating system drives can be recovered: Configure storage of BitLocker recovery information to AD DS: is set to Enabled: Store recovery passwords and key packages</v>
      </c>
      <c r="M63" t="str">
        <f t="shared" si="2"/>
        <v>PASSED</v>
      </c>
      <c r="N63" s="1" t="s">
        <v>692</v>
      </c>
      <c r="O63" t="s">
        <v>67</v>
      </c>
      <c r="R63" t="s">
        <v>68</v>
      </c>
      <c r="T63" t="s">
        <v>69</v>
      </c>
      <c r="U63" t="s">
        <v>70</v>
      </c>
      <c r="W63" t="s">
        <v>71</v>
      </c>
      <c r="X63" s="1" t="s">
        <v>72</v>
      </c>
      <c r="Y63" t="s">
        <v>88</v>
      </c>
      <c r="Z63">
        <v>0</v>
      </c>
      <c r="AA63">
        <v>0</v>
      </c>
      <c r="AD63">
        <v>0</v>
      </c>
      <c r="AE63">
        <v>0</v>
      </c>
      <c r="AH63" t="s">
        <v>73</v>
      </c>
      <c r="AI63" t="s">
        <v>318</v>
      </c>
      <c r="AJ63" t="s">
        <v>319</v>
      </c>
      <c r="AK63" t="s">
        <v>76</v>
      </c>
      <c r="AN63" t="s">
        <v>77</v>
      </c>
      <c r="AO63" t="s">
        <v>320</v>
      </c>
      <c r="AP63" t="s">
        <v>690</v>
      </c>
      <c r="AQ63" t="s">
        <v>322</v>
      </c>
      <c r="AS63" t="b">
        <v>1</v>
      </c>
      <c r="AT63" t="s">
        <v>65</v>
      </c>
      <c r="AU63">
        <v>0</v>
      </c>
      <c r="AV63">
        <v>0</v>
      </c>
      <c r="AX63">
        <v>39</v>
      </c>
      <c r="AY63" t="s">
        <v>81</v>
      </c>
      <c r="AZ63" t="s">
        <v>90</v>
      </c>
      <c r="BB63" t="s">
        <v>91</v>
      </c>
      <c r="BC63" t="s">
        <v>92</v>
      </c>
      <c r="BD63" t="b">
        <v>0</v>
      </c>
      <c r="BE63" t="b">
        <v>0</v>
      </c>
      <c r="BF63" t="b">
        <v>0</v>
      </c>
      <c r="BG63" t="b">
        <v>0</v>
      </c>
      <c r="BH63" t="b">
        <v>0</v>
      </c>
      <c r="BI63" t="b">
        <v>0</v>
      </c>
      <c r="BJ63" t="b">
        <v>0</v>
      </c>
      <c r="BK63" t="b">
        <v>0</v>
      </c>
      <c r="BL63" t="b">
        <v>0</v>
      </c>
      <c r="BM63" t="b">
        <v>0</v>
      </c>
      <c r="BN63" t="b">
        <v>0</v>
      </c>
      <c r="BO63" t="b">
        <v>0</v>
      </c>
      <c r="BP63" t="b">
        <v>0</v>
      </c>
      <c r="BR63" t="str">
        <f>IFERROR(IF(M63="PASSED",VLOOKUP(J63,Current!$J$1:$N$500,1,FALSE)),N63)</f>
        <v>"1.0062 - MSWRK - Ensure Choose how BitLocker-protected operating system drives can be recovered: Configure storage of BitLocker recovery information to AD DS: is set to Enabled: Store recovery passwords and key packages: [PASSED]"
This policy setting allows you to control how BitLocker-protected operating system drives are recovered in the absence of the required startup key information.
See Also:
See HTH Policies and Standards
Reference:
NIST 800-53r5|SC-28
Policy Value:
'1'
Actual Value:
'1'</v>
      </c>
    </row>
    <row r="64" spans="1:70" ht="15" hidden="1" customHeight="1" x14ac:dyDescent="0.25">
      <c r="A64">
        <v>21156</v>
      </c>
      <c r="C64">
        <v>0</v>
      </c>
      <c r="D64" t="s">
        <v>83</v>
      </c>
      <c r="E64" t="s">
        <v>66</v>
      </c>
      <c r="F64" t="s">
        <v>84</v>
      </c>
      <c r="G64">
        <v>0</v>
      </c>
      <c r="H64" t="s">
        <v>85</v>
      </c>
      <c r="I64" t="s">
        <v>86</v>
      </c>
      <c r="J64" t="str">
        <f>MID($N64,FIND("1.",$N64),FIND("-",$N64)-FIND("1.",$N64)-1)</f>
        <v>1.0063</v>
      </c>
      <c r="K64" t="str">
        <f t="shared" si="0"/>
        <v>Ensure Allow access to BitLocker-protected removable data drives from earlier versions of Windows is set to Disabled</v>
      </c>
      <c r="L64" t="str">
        <f t="shared" si="1"/>
        <v>1.0063 - MSWRK - Ensure Allow access to BitLocker-protected removable data drives from earlier versions of Windows is set to Disabled</v>
      </c>
      <c r="M64" t="str">
        <f t="shared" si="2"/>
        <v>FAILED</v>
      </c>
      <c r="N64" s="1" t="s">
        <v>740</v>
      </c>
      <c r="O64" t="s">
        <v>67</v>
      </c>
      <c r="R64" t="s">
        <v>68</v>
      </c>
      <c r="T64" t="s">
        <v>69</v>
      </c>
      <c r="U64" t="s">
        <v>70</v>
      </c>
      <c r="W64" t="s">
        <v>71</v>
      </c>
      <c r="X64" s="1" t="s">
        <v>72</v>
      </c>
      <c r="Y64" t="s">
        <v>88</v>
      </c>
      <c r="Z64">
        <v>0</v>
      </c>
      <c r="AA64">
        <v>0</v>
      </c>
      <c r="AD64">
        <v>0</v>
      </c>
      <c r="AE64">
        <v>0</v>
      </c>
      <c r="AH64" t="s">
        <v>73</v>
      </c>
      <c r="AI64" t="s">
        <v>318</v>
      </c>
      <c r="AJ64" t="s">
        <v>319</v>
      </c>
      <c r="AK64" t="s">
        <v>76</v>
      </c>
      <c r="AN64" t="s">
        <v>77</v>
      </c>
      <c r="AO64" t="s">
        <v>320</v>
      </c>
      <c r="AP64" t="s">
        <v>741</v>
      </c>
      <c r="AQ64" t="s">
        <v>322</v>
      </c>
      <c r="AS64" t="b">
        <v>1</v>
      </c>
      <c r="AT64" t="s">
        <v>65</v>
      </c>
      <c r="AU64">
        <v>0</v>
      </c>
      <c r="AV64">
        <v>0</v>
      </c>
      <c r="AX64">
        <v>39</v>
      </c>
      <c r="AY64" t="s">
        <v>81</v>
      </c>
      <c r="AZ64" t="s">
        <v>90</v>
      </c>
      <c r="BB64" t="s">
        <v>91</v>
      </c>
      <c r="BC64" t="s">
        <v>92</v>
      </c>
      <c r="BD64" t="b">
        <v>0</v>
      </c>
      <c r="BE64" t="b">
        <v>0</v>
      </c>
      <c r="BF64" t="b">
        <v>0</v>
      </c>
      <c r="BG64" t="b">
        <v>0</v>
      </c>
      <c r="BH64" t="b">
        <v>0</v>
      </c>
      <c r="BI64" t="b">
        <v>0</v>
      </c>
      <c r="BJ64" t="b">
        <v>0</v>
      </c>
      <c r="BK64" t="b">
        <v>0</v>
      </c>
      <c r="BL64" t="b">
        <v>0</v>
      </c>
      <c r="BM64" t="b">
        <v>0</v>
      </c>
      <c r="BN64" t="b">
        <v>0</v>
      </c>
      <c r="BO64" t="b">
        <v>0</v>
      </c>
      <c r="BP64" t="b">
        <v>0</v>
      </c>
      <c r="BR64" t="b">
        <f>IFERROR(IF(M64="PASSED",VLOOKUP(J64,Current!$J$1:$N$500,1,FALSE)),N64)</f>
        <v>0</v>
      </c>
    </row>
    <row r="65" spans="1:70" ht="15" customHeight="1" x14ac:dyDescent="0.25">
      <c r="A65">
        <v>21156</v>
      </c>
      <c r="C65">
        <v>0</v>
      </c>
      <c r="D65" t="s">
        <v>65</v>
      </c>
      <c r="E65" t="s">
        <v>66</v>
      </c>
      <c r="F65" t="s">
        <v>84</v>
      </c>
      <c r="G65">
        <v>0</v>
      </c>
      <c r="H65" t="s">
        <v>85</v>
      </c>
      <c r="I65" t="s">
        <v>86</v>
      </c>
      <c r="J65" t="str">
        <f>MID($N65,FIND("1.",$N65),FIND("-",$N65)-FIND("1.",$N65)-1)</f>
        <v>1.0064</v>
      </c>
      <c r="K65" t="str">
        <f t="shared" si="0"/>
        <v>Ensure Configure use of hardware-based encryption for removable data drives is set to Disabled</v>
      </c>
      <c r="L65" t="str">
        <f t="shared" si="1"/>
        <v>1.0064 - MSWRK - Ensure Configure use of hardware-based encryption for removable data drives is set to Disabled</v>
      </c>
      <c r="M65" t="str">
        <f t="shared" si="2"/>
        <v>PASSED</v>
      </c>
      <c r="N65" s="1" t="s">
        <v>482</v>
      </c>
      <c r="O65" t="s">
        <v>67</v>
      </c>
      <c r="R65" t="s">
        <v>68</v>
      </c>
      <c r="T65" t="s">
        <v>69</v>
      </c>
      <c r="U65" t="s">
        <v>70</v>
      </c>
      <c r="W65" t="s">
        <v>71</v>
      </c>
      <c r="X65" s="1" t="s">
        <v>72</v>
      </c>
      <c r="Y65" t="s">
        <v>88</v>
      </c>
      <c r="Z65">
        <v>0</v>
      </c>
      <c r="AA65">
        <v>0</v>
      </c>
      <c r="AD65">
        <v>0</v>
      </c>
      <c r="AE65">
        <v>0</v>
      </c>
      <c r="AH65" t="s">
        <v>73</v>
      </c>
      <c r="AI65" t="s">
        <v>318</v>
      </c>
      <c r="AJ65" t="s">
        <v>319</v>
      </c>
      <c r="AK65" t="s">
        <v>76</v>
      </c>
      <c r="AN65" t="s">
        <v>77</v>
      </c>
      <c r="AO65" t="s">
        <v>320</v>
      </c>
      <c r="AP65" t="s">
        <v>483</v>
      </c>
      <c r="AQ65" t="s">
        <v>322</v>
      </c>
      <c r="AS65" t="b">
        <v>1</v>
      </c>
      <c r="AT65" t="s">
        <v>65</v>
      </c>
      <c r="AU65">
        <v>0</v>
      </c>
      <c r="AV65">
        <v>0</v>
      </c>
      <c r="AX65">
        <v>39</v>
      </c>
      <c r="AY65" t="s">
        <v>81</v>
      </c>
      <c r="AZ65" t="s">
        <v>90</v>
      </c>
      <c r="BB65" t="s">
        <v>91</v>
      </c>
      <c r="BC65" t="s">
        <v>92</v>
      </c>
      <c r="BD65" t="b">
        <v>0</v>
      </c>
      <c r="BE65" t="b">
        <v>0</v>
      </c>
      <c r="BF65" t="b">
        <v>0</v>
      </c>
      <c r="BG65" t="b">
        <v>0</v>
      </c>
      <c r="BH65" t="b">
        <v>0</v>
      </c>
      <c r="BI65" t="b">
        <v>0</v>
      </c>
      <c r="BJ65" t="b">
        <v>0</v>
      </c>
      <c r="BK65" t="b">
        <v>0</v>
      </c>
      <c r="BL65" t="b">
        <v>0</v>
      </c>
      <c r="BM65" t="b">
        <v>0</v>
      </c>
      <c r="BN65" t="b">
        <v>0</v>
      </c>
      <c r="BO65" t="b">
        <v>0</v>
      </c>
      <c r="BP65" t="b">
        <v>0</v>
      </c>
      <c r="BR65" t="str">
        <f>IFERROR(IF(M65="PASSED",VLOOKUP(J65,Current!$J$1:$N$500,1,FALSE)),N65)</f>
        <v>"1.0064 - MSWRK - Ensure Configure use of hardware-based encryption for removable data drives is set to Disabled: [PASSED]"
This policy setting allows you to manage BitLocker's use of hardware-based encryption on removable data drives and specify which encryption algorithms it can use with hardware-based encryption.
See Also:
See HTH Policies and Standards
Reference:
NIST 800-53r5|AC-19(5)
Policy Value:
'0'
Actual Value:
'0'</v>
      </c>
    </row>
    <row r="66" spans="1:70" ht="15" hidden="1" customHeight="1" x14ac:dyDescent="0.25">
      <c r="A66">
        <v>21156</v>
      </c>
      <c r="C66">
        <v>0</v>
      </c>
      <c r="D66" t="s">
        <v>83</v>
      </c>
      <c r="E66" t="s">
        <v>66</v>
      </c>
      <c r="F66" t="s">
        <v>84</v>
      </c>
      <c r="G66">
        <v>0</v>
      </c>
      <c r="H66" t="s">
        <v>85</v>
      </c>
      <c r="I66" t="s">
        <v>86</v>
      </c>
      <c r="J66" t="str">
        <f>MID($N66,FIND("1.",$N66),FIND("-",$N66)-FIND("1.",$N66)-1)</f>
        <v>1.0065</v>
      </c>
      <c r="K66" t="str">
        <f t="shared" si="0"/>
        <v>Ensure Configure use of passwords for removable data drives is set to Disabled</v>
      </c>
      <c r="L66" t="str">
        <f t="shared" si="1"/>
        <v>1.0065 - MSWRK - Ensure Configure use of passwords for removable data drives is set to Disabled</v>
      </c>
      <c r="M66" t="str">
        <f t="shared" si="2"/>
        <v>FAILED</v>
      </c>
      <c r="N66" s="1" t="s">
        <v>607</v>
      </c>
      <c r="O66" t="s">
        <v>67</v>
      </c>
      <c r="R66" t="s">
        <v>68</v>
      </c>
      <c r="T66" t="s">
        <v>69</v>
      </c>
      <c r="U66" t="s">
        <v>70</v>
      </c>
      <c r="W66" t="s">
        <v>71</v>
      </c>
      <c r="X66" s="1" t="s">
        <v>72</v>
      </c>
      <c r="Y66" t="s">
        <v>88</v>
      </c>
      <c r="Z66">
        <v>0</v>
      </c>
      <c r="AA66">
        <v>0</v>
      </c>
      <c r="AD66">
        <v>0</v>
      </c>
      <c r="AE66">
        <v>0</v>
      </c>
      <c r="AH66" t="s">
        <v>73</v>
      </c>
      <c r="AI66" t="s">
        <v>318</v>
      </c>
      <c r="AJ66" t="s">
        <v>319</v>
      </c>
      <c r="AK66" t="s">
        <v>76</v>
      </c>
      <c r="AN66" t="s">
        <v>77</v>
      </c>
      <c r="AO66" t="s">
        <v>320</v>
      </c>
      <c r="AP66" t="s">
        <v>608</v>
      </c>
      <c r="AQ66" t="s">
        <v>322</v>
      </c>
      <c r="AS66" t="b">
        <v>1</v>
      </c>
      <c r="AT66" t="s">
        <v>65</v>
      </c>
      <c r="AU66">
        <v>0</v>
      </c>
      <c r="AV66">
        <v>0</v>
      </c>
      <c r="AX66">
        <v>39</v>
      </c>
      <c r="AY66" t="s">
        <v>81</v>
      </c>
      <c r="AZ66" t="s">
        <v>90</v>
      </c>
      <c r="BB66" t="s">
        <v>91</v>
      </c>
      <c r="BC66" t="s">
        <v>92</v>
      </c>
      <c r="BD66" t="b">
        <v>0</v>
      </c>
      <c r="BE66" t="b">
        <v>0</v>
      </c>
      <c r="BF66" t="b">
        <v>0</v>
      </c>
      <c r="BG66" t="b">
        <v>0</v>
      </c>
      <c r="BH66" t="b">
        <v>0</v>
      </c>
      <c r="BI66" t="b">
        <v>0</v>
      </c>
      <c r="BJ66" t="b">
        <v>0</v>
      </c>
      <c r="BK66" t="b">
        <v>0</v>
      </c>
      <c r="BL66" t="b">
        <v>0</v>
      </c>
      <c r="BM66" t="b">
        <v>0</v>
      </c>
      <c r="BN66" t="b">
        <v>0</v>
      </c>
      <c r="BO66" t="b">
        <v>0</v>
      </c>
      <c r="BP66" t="b">
        <v>0</v>
      </c>
      <c r="BR66" t="b">
        <f>IFERROR(IF(M66="PASSED",VLOOKUP(J66,Current!$J$1:$N$500,1,FALSE)),N66)</f>
        <v>0</v>
      </c>
    </row>
    <row r="67" spans="1:70" ht="15" hidden="1" customHeight="1" x14ac:dyDescent="0.25">
      <c r="A67">
        <v>21156</v>
      </c>
      <c r="C67">
        <v>0</v>
      </c>
      <c r="D67" t="s">
        <v>83</v>
      </c>
      <c r="E67" t="s">
        <v>66</v>
      </c>
      <c r="F67" t="s">
        <v>84</v>
      </c>
      <c r="G67">
        <v>0</v>
      </c>
      <c r="H67" t="s">
        <v>85</v>
      </c>
      <c r="I67" t="s">
        <v>86</v>
      </c>
      <c r="J67" t="str">
        <f>MID($N67,FIND("1.",$N67),FIND("-",$N67)-FIND("1.",$N67)-1)</f>
        <v>1.0066</v>
      </c>
      <c r="K67" t="str">
        <f t="shared" ref="K67:K130" si="3">MID($N67,FIND("MSWRK - ",$N67)+8,FIND(":",$N67,40)-FIND("MSWRK - ",$N67)-8)</f>
        <v>Ensure Configure use of smart cards on removable data drives is set to Enabled</v>
      </c>
      <c r="L67" t="str">
        <f t="shared" ref="L67:L130" si="4">MID($N67,FIND("1.",$N67),FIND("[",$N67)-1-FIND("1.",$N67)-1)</f>
        <v>1.0066 - MSWRK - Ensure Configure use of smart cards on removable data drives is set to Enabled</v>
      </c>
      <c r="M67" t="str">
        <f t="shared" ref="M67:M130" si="5">MID($N67,FIND("[",$N67)+1,FIND("]",$N67)-FIND("[",$N67)-1)</f>
        <v>FAILED</v>
      </c>
      <c r="N67" s="1" t="s">
        <v>503</v>
      </c>
      <c r="O67" t="s">
        <v>67</v>
      </c>
      <c r="R67" t="s">
        <v>68</v>
      </c>
      <c r="T67" t="s">
        <v>69</v>
      </c>
      <c r="U67" t="s">
        <v>70</v>
      </c>
      <c r="W67" t="s">
        <v>71</v>
      </c>
      <c r="X67" s="1" t="s">
        <v>72</v>
      </c>
      <c r="Y67" t="s">
        <v>88</v>
      </c>
      <c r="Z67">
        <v>0</v>
      </c>
      <c r="AA67">
        <v>0</v>
      </c>
      <c r="AD67">
        <v>0</v>
      </c>
      <c r="AE67">
        <v>0</v>
      </c>
      <c r="AH67" t="s">
        <v>73</v>
      </c>
      <c r="AI67" t="s">
        <v>318</v>
      </c>
      <c r="AJ67" t="s">
        <v>319</v>
      </c>
      <c r="AK67" t="s">
        <v>76</v>
      </c>
      <c r="AN67" t="s">
        <v>77</v>
      </c>
      <c r="AO67" t="s">
        <v>320</v>
      </c>
      <c r="AP67" t="s">
        <v>502</v>
      </c>
      <c r="AQ67" t="s">
        <v>322</v>
      </c>
      <c r="AS67" t="b">
        <v>1</v>
      </c>
      <c r="AT67" t="s">
        <v>65</v>
      </c>
      <c r="AU67">
        <v>0</v>
      </c>
      <c r="AV67">
        <v>0</v>
      </c>
      <c r="AX67">
        <v>39</v>
      </c>
      <c r="AY67" t="s">
        <v>81</v>
      </c>
      <c r="AZ67" t="s">
        <v>90</v>
      </c>
      <c r="BB67" t="s">
        <v>91</v>
      </c>
      <c r="BC67" t="s">
        <v>92</v>
      </c>
      <c r="BD67" t="b">
        <v>0</v>
      </c>
      <c r="BE67" t="b">
        <v>0</v>
      </c>
      <c r="BF67" t="b">
        <v>0</v>
      </c>
      <c r="BG67" t="b">
        <v>0</v>
      </c>
      <c r="BH67" t="b">
        <v>0</v>
      </c>
      <c r="BI67" t="b">
        <v>0</v>
      </c>
      <c r="BJ67" t="b">
        <v>0</v>
      </c>
      <c r="BK67" t="b">
        <v>0</v>
      </c>
      <c r="BL67" t="b">
        <v>0</v>
      </c>
      <c r="BM67" t="b">
        <v>0</v>
      </c>
      <c r="BN67" t="b">
        <v>0</v>
      </c>
      <c r="BO67" t="b">
        <v>0</v>
      </c>
      <c r="BP67" t="b">
        <v>0</v>
      </c>
      <c r="BR67" t="b">
        <f>IFERROR(IF(M67="PASSED",VLOOKUP(J67,Current!$J$1:$N$500,1,FALSE)),N67)</f>
        <v>0</v>
      </c>
    </row>
    <row r="68" spans="1:70" ht="15" hidden="1" customHeight="1" x14ac:dyDescent="0.25">
      <c r="A68">
        <v>21156</v>
      </c>
      <c r="C68">
        <v>0</v>
      </c>
      <c r="D68" t="s">
        <v>83</v>
      </c>
      <c r="E68" t="s">
        <v>66</v>
      </c>
      <c r="F68" t="s">
        <v>84</v>
      </c>
      <c r="G68">
        <v>0</v>
      </c>
      <c r="H68" t="s">
        <v>85</v>
      </c>
      <c r="I68" t="s">
        <v>86</v>
      </c>
      <c r="J68" t="str">
        <f>MID($N68,FIND("1.",$N68),FIND("-",$N68)-FIND("1.",$N68)-1)</f>
        <v>1.0067</v>
      </c>
      <c r="K68" t="str">
        <f t="shared" si="3"/>
        <v>Ensure Configure use of smart cards on removable data drives</v>
      </c>
      <c r="L68" t="str">
        <f t="shared" si="4"/>
        <v>1.0067 - MSWRK - Ensure Configure use of smart cards on removable data drives: Require use of smart cards on removable data drives is set to Enabled: True</v>
      </c>
      <c r="M68" t="str">
        <f t="shared" si="5"/>
        <v>FAILED</v>
      </c>
      <c r="N68" s="1" t="s">
        <v>490</v>
      </c>
      <c r="O68" t="s">
        <v>67</v>
      </c>
      <c r="R68" t="s">
        <v>68</v>
      </c>
      <c r="T68" t="s">
        <v>69</v>
      </c>
      <c r="U68" t="s">
        <v>70</v>
      </c>
      <c r="W68" t="s">
        <v>71</v>
      </c>
      <c r="X68" s="1" t="s">
        <v>72</v>
      </c>
      <c r="Y68" t="s">
        <v>88</v>
      </c>
      <c r="Z68">
        <v>0</v>
      </c>
      <c r="AA68">
        <v>0</v>
      </c>
      <c r="AD68">
        <v>0</v>
      </c>
      <c r="AE68">
        <v>0</v>
      </c>
      <c r="AH68" t="s">
        <v>73</v>
      </c>
      <c r="AI68" t="s">
        <v>318</v>
      </c>
      <c r="AJ68" t="s">
        <v>319</v>
      </c>
      <c r="AK68" t="s">
        <v>76</v>
      </c>
      <c r="AN68" t="s">
        <v>77</v>
      </c>
      <c r="AO68" t="s">
        <v>320</v>
      </c>
      <c r="AP68" t="s">
        <v>491</v>
      </c>
      <c r="AQ68" t="s">
        <v>322</v>
      </c>
      <c r="AS68" t="b">
        <v>1</v>
      </c>
      <c r="AT68" t="s">
        <v>65</v>
      </c>
      <c r="AU68">
        <v>0</v>
      </c>
      <c r="AV68">
        <v>0</v>
      </c>
      <c r="AX68">
        <v>39</v>
      </c>
      <c r="AY68" t="s">
        <v>81</v>
      </c>
      <c r="AZ68" t="s">
        <v>90</v>
      </c>
      <c r="BB68" t="s">
        <v>91</v>
      </c>
      <c r="BC68" t="s">
        <v>92</v>
      </c>
      <c r="BD68" t="b">
        <v>0</v>
      </c>
      <c r="BE68" t="b">
        <v>0</v>
      </c>
      <c r="BF68" t="b">
        <v>0</v>
      </c>
      <c r="BG68" t="b">
        <v>0</v>
      </c>
      <c r="BH68" t="b">
        <v>0</v>
      </c>
      <c r="BI68" t="b">
        <v>0</v>
      </c>
      <c r="BJ68" t="b">
        <v>0</v>
      </c>
      <c r="BK68" t="b">
        <v>0</v>
      </c>
      <c r="BL68" t="b">
        <v>0</v>
      </c>
      <c r="BM68" t="b">
        <v>0</v>
      </c>
      <c r="BN68" t="b">
        <v>0</v>
      </c>
      <c r="BO68" t="b">
        <v>0</v>
      </c>
      <c r="BP68" t="b">
        <v>0</v>
      </c>
      <c r="BR68" t="b">
        <f>IFERROR(IF(M68="PASSED",VLOOKUP(J68,Current!$J$1:$N$500,1,FALSE)),N68)</f>
        <v>0</v>
      </c>
    </row>
    <row r="69" spans="1:70" ht="15" customHeight="1" x14ac:dyDescent="0.25">
      <c r="A69">
        <v>21156</v>
      </c>
      <c r="C69">
        <v>0</v>
      </c>
      <c r="D69" t="s">
        <v>65</v>
      </c>
      <c r="E69" t="s">
        <v>66</v>
      </c>
      <c r="F69" t="s">
        <v>84</v>
      </c>
      <c r="G69">
        <v>0</v>
      </c>
      <c r="H69" t="s">
        <v>85</v>
      </c>
      <c r="I69" t="s">
        <v>86</v>
      </c>
      <c r="J69" t="str">
        <f>MID($N69,FIND("1.",$N69),FIND("-",$N69)-FIND("1.",$N69)-1)</f>
        <v>1.0068</v>
      </c>
      <c r="K69" t="str">
        <f t="shared" si="3"/>
        <v>Ensure Deny write access to removable drives not protected by BitLocker is set to Enabled</v>
      </c>
      <c r="L69" t="str">
        <f t="shared" si="4"/>
        <v>1.0068 - MSWRK - Ensure Deny write access to removable drives not protected by BitLocker is set to Enabled</v>
      </c>
      <c r="M69" t="str">
        <f t="shared" si="5"/>
        <v>PASSED</v>
      </c>
      <c r="N69" s="1" t="s">
        <v>645</v>
      </c>
      <c r="O69" t="s">
        <v>67</v>
      </c>
      <c r="R69" t="s">
        <v>68</v>
      </c>
      <c r="T69" t="s">
        <v>69</v>
      </c>
      <c r="U69" t="s">
        <v>70</v>
      </c>
      <c r="W69" t="s">
        <v>71</v>
      </c>
      <c r="X69" s="1" t="s">
        <v>72</v>
      </c>
      <c r="Y69" t="s">
        <v>88</v>
      </c>
      <c r="Z69">
        <v>0</v>
      </c>
      <c r="AA69">
        <v>0</v>
      </c>
      <c r="AD69">
        <v>0</v>
      </c>
      <c r="AE69">
        <v>0</v>
      </c>
      <c r="AH69" t="s">
        <v>73</v>
      </c>
      <c r="AI69" t="s">
        <v>318</v>
      </c>
      <c r="AJ69" t="s">
        <v>319</v>
      </c>
      <c r="AK69" t="s">
        <v>76</v>
      </c>
      <c r="AN69" t="s">
        <v>77</v>
      </c>
      <c r="AO69" t="s">
        <v>320</v>
      </c>
      <c r="AP69" t="s">
        <v>644</v>
      </c>
      <c r="AQ69" t="s">
        <v>322</v>
      </c>
      <c r="AS69" t="b">
        <v>1</v>
      </c>
      <c r="AT69" t="s">
        <v>65</v>
      </c>
      <c r="AU69">
        <v>0</v>
      </c>
      <c r="AV69">
        <v>0</v>
      </c>
      <c r="AX69">
        <v>39</v>
      </c>
      <c r="AY69" t="s">
        <v>81</v>
      </c>
      <c r="AZ69" t="s">
        <v>90</v>
      </c>
      <c r="BB69" t="s">
        <v>91</v>
      </c>
      <c r="BC69" t="s">
        <v>92</v>
      </c>
      <c r="BD69" t="b">
        <v>0</v>
      </c>
      <c r="BE69" t="b">
        <v>0</v>
      </c>
      <c r="BF69" t="b">
        <v>0</v>
      </c>
      <c r="BG69" t="b">
        <v>0</v>
      </c>
      <c r="BH69" t="b">
        <v>0</v>
      </c>
      <c r="BI69" t="b">
        <v>0</v>
      </c>
      <c r="BJ69" t="b">
        <v>0</v>
      </c>
      <c r="BK69" t="b">
        <v>0</v>
      </c>
      <c r="BL69" t="b">
        <v>0</v>
      </c>
      <c r="BM69" t="b">
        <v>0</v>
      </c>
      <c r="BN69" t="b">
        <v>0</v>
      </c>
      <c r="BO69" t="b">
        <v>0</v>
      </c>
      <c r="BP69" t="b">
        <v>0</v>
      </c>
      <c r="BR69" t="str">
        <f>IFERROR(IF(M69="PASSED",VLOOKUP(J69,Current!$J$1:$N$500,1,FALSE)),N69)</f>
        <v>"1.0068 - MSWRK - Ensure Deny write access to removable drives not protected by BitLocker is set to Enabled: [PASSED]"
This policy setting configures whether BitLocker protection is required for a computer to be able to write data to a removable data drive.
See Also:
See HTH Policies and Standards
Reference:
NIST 800-53r5|MP-7
Policy Value:
'1'
Actual Value:
'1'</v>
      </c>
    </row>
    <row r="70" spans="1:70" ht="15" customHeight="1" x14ac:dyDescent="0.25">
      <c r="A70">
        <v>21156</v>
      </c>
      <c r="C70">
        <v>0</v>
      </c>
      <c r="D70" t="s">
        <v>65</v>
      </c>
      <c r="E70" t="s">
        <v>66</v>
      </c>
      <c r="F70" t="s">
        <v>84</v>
      </c>
      <c r="G70">
        <v>0</v>
      </c>
      <c r="H70" t="s">
        <v>85</v>
      </c>
      <c r="I70" t="s">
        <v>86</v>
      </c>
      <c r="J70" t="str">
        <f>MID($N70,FIND("1.",$N70),FIND("-",$N70)-FIND("1.",$N70)-1)</f>
        <v>1.0069</v>
      </c>
      <c r="K70" t="str">
        <f t="shared" si="3"/>
        <v>Ensure Deny write access to removable drives not protected by BitLocker</v>
      </c>
      <c r="L70" t="str">
        <f t="shared" si="4"/>
        <v>1.0069 - MSWRK - Ensure Deny write access to removable drives not protected by BitLocker: Do not allow write access to devices configured in another organization is set to Enabled: False</v>
      </c>
      <c r="M70" t="str">
        <f t="shared" si="5"/>
        <v>PASSED</v>
      </c>
      <c r="N70" s="1" t="s">
        <v>683</v>
      </c>
      <c r="O70" t="s">
        <v>67</v>
      </c>
      <c r="R70" t="s">
        <v>68</v>
      </c>
      <c r="T70" t="s">
        <v>69</v>
      </c>
      <c r="U70" t="s">
        <v>70</v>
      </c>
      <c r="W70" t="s">
        <v>71</v>
      </c>
      <c r="X70" s="1" t="s">
        <v>72</v>
      </c>
      <c r="Y70" t="s">
        <v>88</v>
      </c>
      <c r="Z70">
        <v>0</v>
      </c>
      <c r="AA70">
        <v>0</v>
      </c>
      <c r="AD70">
        <v>0</v>
      </c>
      <c r="AE70">
        <v>0</v>
      </c>
      <c r="AH70" t="s">
        <v>73</v>
      </c>
      <c r="AI70" t="s">
        <v>318</v>
      </c>
      <c r="AJ70" t="s">
        <v>319</v>
      </c>
      <c r="AK70" t="s">
        <v>76</v>
      </c>
      <c r="AN70" t="s">
        <v>77</v>
      </c>
      <c r="AO70" t="s">
        <v>320</v>
      </c>
      <c r="AP70" t="s">
        <v>684</v>
      </c>
      <c r="AQ70" t="s">
        <v>322</v>
      </c>
      <c r="AS70" t="b">
        <v>1</v>
      </c>
      <c r="AT70" t="s">
        <v>65</v>
      </c>
      <c r="AU70">
        <v>0</v>
      </c>
      <c r="AV70">
        <v>0</v>
      </c>
      <c r="AX70">
        <v>39</v>
      </c>
      <c r="AY70" t="s">
        <v>81</v>
      </c>
      <c r="AZ70" t="s">
        <v>90</v>
      </c>
      <c r="BB70" t="s">
        <v>91</v>
      </c>
      <c r="BC70" t="s">
        <v>92</v>
      </c>
      <c r="BD70" t="b">
        <v>0</v>
      </c>
      <c r="BE70" t="b">
        <v>0</v>
      </c>
      <c r="BF70" t="b">
        <v>0</v>
      </c>
      <c r="BG70" t="b">
        <v>0</v>
      </c>
      <c r="BH70" t="b">
        <v>0</v>
      </c>
      <c r="BI70" t="b">
        <v>0</v>
      </c>
      <c r="BJ70" t="b">
        <v>0</v>
      </c>
      <c r="BK70" t="b">
        <v>0</v>
      </c>
      <c r="BL70" t="b">
        <v>0</v>
      </c>
      <c r="BM70" t="b">
        <v>0</v>
      </c>
      <c r="BN70" t="b">
        <v>0</v>
      </c>
      <c r="BO70" t="b">
        <v>0</v>
      </c>
      <c r="BP70" t="b">
        <v>0</v>
      </c>
      <c r="BR70" t="str">
        <f>IFERROR(IF(M70="PASSED",VLOOKUP(J70,Current!$J$1:$N$500,1,FALSE)),N70)</f>
        <v>"1.0069 - MSWRK - Ensure Deny write access to removable drives not protected by BitLocker: Do not allow write access to devices configured in another organization is set to Enabled: False: [PASSED]"
This policy setting configures whether the computer will be able to write data to BitLocker-protected removable drives that were configured in another organization.
See Also:
See HTH Policies and Standards
Reference:
NIST 800-53r5|MP-7
Policy Value:
'0'
Actual Value:
'0'</v>
      </c>
    </row>
    <row r="71" spans="1:70" ht="15" customHeight="1" x14ac:dyDescent="0.25">
      <c r="A71">
        <v>21156</v>
      </c>
      <c r="C71">
        <v>0</v>
      </c>
      <c r="D71" t="s">
        <v>65</v>
      </c>
      <c r="E71" t="s">
        <v>66</v>
      </c>
      <c r="F71" t="s">
        <v>84</v>
      </c>
      <c r="G71">
        <v>0</v>
      </c>
      <c r="H71" t="s">
        <v>85</v>
      </c>
      <c r="I71" t="s">
        <v>86</v>
      </c>
      <c r="J71" t="str">
        <f>MID($N71,FIND("1.",$N71),FIND("-",$N71)-FIND("1.",$N71)-1)</f>
        <v>1.0070</v>
      </c>
      <c r="K71" t="str">
        <f t="shared" si="3"/>
        <v>Ensure Choose how BitLocker-protected removable drives can be recovered is set to Enabled</v>
      </c>
      <c r="L71" t="str">
        <f t="shared" si="4"/>
        <v>1.0070 - MSWRK - Ensure Choose how BitLocker-protected removable drives can be recovered is set to Enabled</v>
      </c>
      <c r="M71" t="str">
        <f t="shared" si="5"/>
        <v>PASSED</v>
      </c>
      <c r="N71" s="1" t="s">
        <v>805</v>
      </c>
      <c r="O71" t="s">
        <v>67</v>
      </c>
      <c r="R71" t="s">
        <v>68</v>
      </c>
      <c r="T71" t="s">
        <v>69</v>
      </c>
      <c r="U71" t="s">
        <v>70</v>
      </c>
      <c r="W71" t="s">
        <v>71</v>
      </c>
      <c r="X71" s="1" t="s">
        <v>72</v>
      </c>
      <c r="Y71" t="s">
        <v>88</v>
      </c>
      <c r="Z71">
        <v>0</v>
      </c>
      <c r="AA71">
        <v>0</v>
      </c>
      <c r="AD71">
        <v>0</v>
      </c>
      <c r="AE71">
        <v>0</v>
      </c>
      <c r="AH71" t="s">
        <v>73</v>
      </c>
      <c r="AI71" t="s">
        <v>318</v>
      </c>
      <c r="AJ71" t="s">
        <v>319</v>
      </c>
      <c r="AK71" t="s">
        <v>76</v>
      </c>
      <c r="AN71" t="s">
        <v>77</v>
      </c>
      <c r="AO71" t="s">
        <v>320</v>
      </c>
      <c r="AP71" t="s">
        <v>806</v>
      </c>
      <c r="AQ71" t="s">
        <v>322</v>
      </c>
      <c r="AS71" t="b">
        <v>1</v>
      </c>
      <c r="AT71" t="s">
        <v>65</v>
      </c>
      <c r="AU71">
        <v>0</v>
      </c>
      <c r="AV71">
        <v>0</v>
      </c>
      <c r="AX71">
        <v>39</v>
      </c>
      <c r="AY71" t="s">
        <v>81</v>
      </c>
      <c r="AZ71" t="s">
        <v>90</v>
      </c>
      <c r="BB71" t="s">
        <v>91</v>
      </c>
      <c r="BC71" t="s">
        <v>92</v>
      </c>
      <c r="BD71" t="b">
        <v>0</v>
      </c>
      <c r="BE71" t="b">
        <v>0</v>
      </c>
      <c r="BF71" t="b">
        <v>0</v>
      </c>
      <c r="BG71" t="b">
        <v>0</v>
      </c>
      <c r="BH71" t="b">
        <v>0</v>
      </c>
      <c r="BI71" t="b">
        <v>0</v>
      </c>
      <c r="BJ71" t="b">
        <v>0</v>
      </c>
      <c r="BK71" t="b">
        <v>0</v>
      </c>
      <c r="BL71" t="b">
        <v>0</v>
      </c>
      <c r="BM71" t="b">
        <v>0</v>
      </c>
      <c r="BN71" t="b">
        <v>0</v>
      </c>
      <c r="BO71" t="b">
        <v>0</v>
      </c>
      <c r="BP71" t="b">
        <v>0</v>
      </c>
      <c r="BR71" t="str">
        <f>IFERROR(IF(M71="PASSED",VLOOKUP(J71,Current!$J$1:$N$500,1,FALSE)),N71)</f>
        <v>"1.0070 - MSWRK - Ensure Choose how BitLocker-protected removable drives can be recovered is set to Enabled: [PASSED]"
This policy setting allows you to control how BitLocker-protected removable data drives are recovered in the absence of the required credentials.
See Also:
See HTH Policies and Standards
Reference:
NIST 800-53r5|MP-7
Policy Value:
'1'
Actual Value:
'1'</v>
      </c>
    </row>
    <row r="72" spans="1:70" ht="15" customHeight="1" x14ac:dyDescent="0.25">
      <c r="A72">
        <v>21156</v>
      </c>
      <c r="C72">
        <v>0</v>
      </c>
      <c r="D72" t="s">
        <v>65</v>
      </c>
      <c r="E72" t="s">
        <v>66</v>
      </c>
      <c r="F72" t="s">
        <v>84</v>
      </c>
      <c r="G72">
        <v>0</v>
      </c>
      <c r="H72" t="s">
        <v>85</v>
      </c>
      <c r="I72" t="s">
        <v>86</v>
      </c>
      <c r="J72" t="str">
        <f>MID($N72,FIND("1.",$N72),FIND("-",$N72)-FIND("1.",$N72)-1)</f>
        <v>1.0071</v>
      </c>
      <c r="K72" t="str">
        <f t="shared" si="3"/>
        <v>Ensure Choose how BitLocker-protected removable drives can be recovered</v>
      </c>
      <c r="L72" t="str">
        <f t="shared" si="4"/>
        <v>1.0071 - MSWRK - Ensure Choose how BitLocker-protected removable drives can be recovered: Allow data recovery agent is set to Enabled: True</v>
      </c>
      <c r="M72" t="str">
        <f t="shared" si="5"/>
        <v>PASSED</v>
      </c>
      <c r="N72" s="1" t="s">
        <v>753</v>
      </c>
      <c r="O72" t="s">
        <v>67</v>
      </c>
      <c r="R72" t="s">
        <v>68</v>
      </c>
      <c r="T72" t="s">
        <v>69</v>
      </c>
      <c r="U72" t="s">
        <v>70</v>
      </c>
      <c r="W72" t="s">
        <v>71</v>
      </c>
      <c r="X72" s="1" t="s">
        <v>72</v>
      </c>
      <c r="Y72" t="s">
        <v>88</v>
      </c>
      <c r="Z72">
        <v>0</v>
      </c>
      <c r="AA72">
        <v>0</v>
      </c>
      <c r="AD72">
        <v>0</v>
      </c>
      <c r="AE72">
        <v>0</v>
      </c>
      <c r="AH72" t="s">
        <v>73</v>
      </c>
      <c r="AI72" t="s">
        <v>318</v>
      </c>
      <c r="AJ72" t="s">
        <v>319</v>
      </c>
      <c r="AK72" t="s">
        <v>76</v>
      </c>
      <c r="AN72" t="s">
        <v>77</v>
      </c>
      <c r="AO72" t="s">
        <v>320</v>
      </c>
      <c r="AP72" t="s">
        <v>752</v>
      </c>
      <c r="AQ72" t="s">
        <v>322</v>
      </c>
      <c r="AS72" t="b">
        <v>1</v>
      </c>
      <c r="AT72" t="s">
        <v>65</v>
      </c>
      <c r="AU72">
        <v>0</v>
      </c>
      <c r="AV72">
        <v>0</v>
      </c>
      <c r="AX72">
        <v>39</v>
      </c>
      <c r="AY72" t="s">
        <v>81</v>
      </c>
      <c r="AZ72" t="s">
        <v>90</v>
      </c>
      <c r="BB72" t="s">
        <v>91</v>
      </c>
      <c r="BC72" t="s">
        <v>92</v>
      </c>
      <c r="BD72" t="b">
        <v>0</v>
      </c>
      <c r="BE72" t="b">
        <v>0</v>
      </c>
      <c r="BF72" t="b">
        <v>0</v>
      </c>
      <c r="BG72" t="b">
        <v>0</v>
      </c>
      <c r="BH72" t="b">
        <v>0</v>
      </c>
      <c r="BI72" t="b">
        <v>0</v>
      </c>
      <c r="BJ72" t="b">
        <v>0</v>
      </c>
      <c r="BK72" t="b">
        <v>0</v>
      </c>
      <c r="BL72" t="b">
        <v>0</v>
      </c>
      <c r="BM72" t="b">
        <v>0</v>
      </c>
      <c r="BN72" t="b">
        <v>0</v>
      </c>
      <c r="BO72" t="b">
        <v>0</v>
      </c>
      <c r="BP72" t="b">
        <v>0</v>
      </c>
      <c r="BR72" t="str">
        <f>IFERROR(IF(M72="PASSED",VLOOKUP(J72,Current!$J$1:$N$500,1,FALSE)),N72)</f>
        <v>"1.0071 - MSWRK - Ensure Choose how BitLocker-protected removable drives can be recovered: Allow data recovery agent is set to Enabled: True: [PASSED]"
This policy setting allows you to control how BitLocker-protected removable data drives are recovered in the absence of the required credentials.
See Also:
See HTH Policies and Standards
Reference:
NIST 800-53r5|MP-7
Policy Value:
'1'
Actual Value:
'1'</v>
      </c>
    </row>
    <row r="73" spans="1:70" ht="15" hidden="1" customHeight="1" x14ac:dyDescent="0.25">
      <c r="A73">
        <v>21156</v>
      </c>
      <c r="C73">
        <v>0</v>
      </c>
      <c r="D73" t="s">
        <v>83</v>
      </c>
      <c r="E73" t="s">
        <v>66</v>
      </c>
      <c r="F73" t="s">
        <v>84</v>
      </c>
      <c r="G73">
        <v>0</v>
      </c>
      <c r="H73" t="s">
        <v>85</v>
      </c>
      <c r="I73" t="s">
        <v>86</v>
      </c>
      <c r="J73" t="str">
        <f>MID($N73,FIND("1.",$N73),FIND("-",$N73)-FIND("1.",$N73)-1)</f>
        <v>1.0072</v>
      </c>
      <c r="K73" t="str">
        <f t="shared" si="3"/>
        <v>Ensure Choose how BitLocker-protected removable drives can be recovered</v>
      </c>
      <c r="L73" t="str">
        <f t="shared" si="4"/>
        <v>1.0072 - MSWRK - Ensure Choose how BitLocker-protected removable drives can be recovered: Recovery Password is set to Enabled: Do not allow 48-digit recovery password</v>
      </c>
      <c r="M73" t="str">
        <f t="shared" si="5"/>
        <v>FAILED</v>
      </c>
      <c r="N73" s="1" t="s">
        <v>554</v>
      </c>
      <c r="O73" t="s">
        <v>67</v>
      </c>
      <c r="R73" t="s">
        <v>68</v>
      </c>
      <c r="T73" t="s">
        <v>69</v>
      </c>
      <c r="U73" t="s">
        <v>70</v>
      </c>
      <c r="W73" t="s">
        <v>71</v>
      </c>
      <c r="X73" s="1" t="s">
        <v>72</v>
      </c>
      <c r="Y73" t="s">
        <v>88</v>
      </c>
      <c r="Z73">
        <v>0</v>
      </c>
      <c r="AA73">
        <v>0</v>
      </c>
      <c r="AD73">
        <v>0</v>
      </c>
      <c r="AE73">
        <v>0</v>
      </c>
      <c r="AH73" t="s">
        <v>73</v>
      </c>
      <c r="AI73" t="s">
        <v>318</v>
      </c>
      <c r="AJ73" t="s">
        <v>319</v>
      </c>
      <c r="AK73" t="s">
        <v>76</v>
      </c>
      <c r="AN73" t="s">
        <v>77</v>
      </c>
      <c r="AO73" t="s">
        <v>320</v>
      </c>
      <c r="AP73" t="s">
        <v>553</v>
      </c>
      <c r="AQ73" t="s">
        <v>322</v>
      </c>
      <c r="AS73" t="b">
        <v>1</v>
      </c>
      <c r="AT73" t="s">
        <v>65</v>
      </c>
      <c r="AU73">
        <v>0</v>
      </c>
      <c r="AV73">
        <v>0</v>
      </c>
      <c r="AX73">
        <v>39</v>
      </c>
      <c r="AY73" t="s">
        <v>81</v>
      </c>
      <c r="AZ73" t="s">
        <v>90</v>
      </c>
      <c r="BB73" t="s">
        <v>91</v>
      </c>
      <c r="BC73" t="s">
        <v>92</v>
      </c>
      <c r="BD73" t="b">
        <v>0</v>
      </c>
      <c r="BE73" t="b">
        <v>0</v>
      </c>
      <c r="BF73" t="b">
        <v>0</v>
      </c>
      <c r="BG73" t="b">
        <v>0</v>
      </c>
      <c r="BH73" t="b">
        <v>0</v>
      </c>
      <c r="BI73" t="b">
        <v>0</v>
      </c>
      <c r="BJ73" t="b">
        <v>0</v>
      </c>
      <c r="BK73" t="b">
        <v>0</v>
      </c>
      <c r="BL73" t="b">
        <v>0</v>
      </c>
      <c r="BM73" t="b">
        <v>0</v>
      </c>
      <c r="BN73" t="b">
        <v>0</v>
      </c>
      <c r="BO73" t="b">
        <v>0</v>
      </c>
      <c r="BP73" t="b">
        <v>0</v>
      </c>
      <c r="BR73" t="b">
        <f>IFERROR(IF(M73="PASSED",VLOOKUP(J73,Current!$J$1:$N$500,1,FALSE)),N73)</f>
        <v>0</v>
      </c>
    </row>
    <row r="74" spans="1:70" ht="15" hidden="1" customHeight="1" x14ac:dyDescent="0.25">
      <c r="A74">
        <v>21156</v>
      </c>
      <c r="C74">
        <v>0</v>
      </c>
      <c r="D74" t="s">
        <v>83</v>
      </c>
      <c r="E74" t="s">
        <v>66</v>
      </c>
      <c r="F74" t="s">
        <v>84</v>
      </c>
      <c r="G74">
        <v>0</v>
      </c>
      <c r="H74" t="s">
        <v>85</v>
      </c>
      <c r="I74" t="s">
        <v>86</v>
      </c>
      <c r="J74" t="str">
        <f>MID($N74,FIND("1.",$N74),FIND("-",$N74)-FIND("1.",$N74)-1)</f>
        <v>1.0073</v>
      </c>
      <c r="K74" t="str">
        <f t="shared" si="3"/>
        <v>Ensure Choose how BitLocker-protected removable drives can be recovered</v>
      </c>
      <c r="L74" t="str">
        <f t="shared" si="4"/>
        <v>1.0073 - MSWRK - Ensure Choose how BitLocker-protected removable drives can be recovered: Recovery Key is set to Enabled: Do not allow 256-bit recovery key</v>
      </c>
      <c r="M74" t="str">
        <f t="shared" si="5"/>
        <v>FAILED</v>
      </c>
      <c r="N74" s="1" t="s">
        <v>489</v>
      </c>
      <c r="O74" t="s">
        <v>67</v>
      </c>
      <c r="R74" t="s">
        <v>68</v>
      </c>
      <c r="T74" t="s">
        <v>69</v>
      </c>
      <c r="U74" t="s">
        <v>70</v>
      </c>
      <c r="W74" t="s">
        <v>71</v>
      </c>
      <c r="X74" s="1" t="s">
        <v>72</v>
      </c>
      <c r="Y74" t="s">
        <v>88</v>
      </c>
      <c r="Z74">
        <v>0</v>
      </c>
      <c r="AA74">
        <v>0</v>
      </c>
      <c r="AD74">
        <v>0</v>
      </c>
      <c r="AE74">
        <v>0</v>
      </c>
      <c r="AH74" t="s">
        <v>73</v>
      </c>
      <c r="AI74" t="s">
        <v>318</v>
      </c>
      <c r="AJ74" t="s">
        <v>319</v>
      </c>
      <c r="AK74" t="s">
        <v>76</v>
      </c>
      <c r="AN74" t="s">
        <v>77</v>
      </c>
      <c r="AO74" t="s">
        <v>320</v>
      </c>
      <c r="AP74" t="s">
        <v>487</v>
      </c>
      <c r="AQ74" t="s">
        <v>322</v>
      </c>
      <c r="AS74" t="b">
        <v>1</v>
      </c>
      <c r="AT74" t="s">
        <v>65</v>
      </c>
      <c r="AU74">
        <v>0</v>
      </c>
      <c r="AV74">
        <v>0</v>
      </c>
      <c r="AX74">
        <v>39</v>
      </c>
      <c r="AY74" t="s">
        <v>81</v>
      </c>
      <c r="AZ74" t="s">
        <v>90</v>
      </c>
      <c r="BB74" t="s">
        <v>91</v>
      </c>
      <c r="BC74" t="s">
        <v>92</v>
      </c>
      <c r="BD74" t="b">
        <v>0</v>
      </c>
      <c r="BE74" t="b">
        <v>0</v>
      </c>
      <c r="BF74" t="b">
        <v>0</v>
      </c>
      <c r="BG74" t="b">
        <v>0</v>
      </c>
      <c r="BH74" t="b">
        <v>0</v>
      </c>
      <c r="BI74" t="b">
        <v>0</v>
      </c>
      <c r="BJ74" t="b">
        <v>0</v>
      </c>
      <c r="BK74" t="b">
        <v>0</v>
      </c>
      <c r="BL74" t="b">
        <v>0</v>
      </c>
      <c r="BM74" t="b">
        <v>0</v>
      </c>
      <c r="BN74" t="b">
        <v>0</v>
      </c>
      <c r="BO74" t="b">
        <v>0</v>
      </c>
      <c r="BP74" t="b">
        <v>0</v>
      </c>
      <c r="BR74" t="b">
        <f>IFERROR(IF(M74="PASSED",VLOOKUP(J74,Current!$J$1:$N$500,1,FALSE)),N74)</f>
        <v>0</v>
      </c>
    </row>
    <row r="75" spans="1:70" ht="15" customHeight="1" x14ac:dyDescent="0.25">
      <c r="A75">
        <v>21156</v>
      </c>
      <c r="C75">
        <v>0</v>
      </c>
      <c r="D75" t="s">
        <v>65</v>
      </c>
      <c r="E75" t="s">
        <v>66</v>
      </c>
      <c r="F75" t="s">
        <v>84</v>
      </c>
      <c r="G75">
        <v>0</v>
      </c>
      <c r="H75" t="s">
        <v>85</v>
      </c>
      <c r="I75" t="s">
        <v>86</v>
      </c>
      <c r="J75" t="str">
        <f>MID($N75,FIND("1.",$N75),FIND("-",$N75)-FIND("1.",$N75)-1)</f>
        <v>1.0074</v>
      </c>
      <c r="K75" t="str">
        <f t="shared" si="3"/>
        <v>Ensure Choose how BitLocker-protected removable drives can be recovered</v>
      </c>
      <c r="L75" t="str">
        <f t="shared" si="4"/>
        <v>1.0074 - MSWRK - Ensure Choose how BitLocker-protected removable drives can be recovered: Omit recovery options from the BitLocker setup wizard is set to Enabled: True</v>
      </c>
      <c r="M75" t="str">
        <f t="shared" si="5"/>
        <v>PASSED</v>
      </c>
      <c r="N75" s="1" t="s">
        <v>782</v>
      </c>
      <c r="O75" t="s">
        <v>67</v>
      </c>
      <c r="R75" t="s">
        <v>68</v>
      </c>
      <c r="T75" t="s">
        <v>69</v>
      </c>
      <c r="U75" t="s">
        <v>70</v>
      </c>
      <c r="W75" t="s">
        <v>71</v>
      </c>
      <c r="X75" s="1" t="s">
        <v>72</v>
      </c>
      <c r="Y75" t="s">
        <v>88</v>
      </c>
      <c r="Z75">
        <v>0</v>
      </c>
      <c r="AA75">
        <v>0</v>
      </c>
      <c r="AD75">
        <v>0</v>
      </c>
      <c r="AE75">
        <v>0</v>
      </c>
      <c r="AH75" t="s">
        <v>73</v>
      </c>
      <c r="AI75" t="s">
        <v>318</v>
      </c>
      <c r="AJ75" t="s">
        <v>319</v>
      </c>
      <c r="AK75" t="s">
        <v>76</v>
      </c>
      <c r="AN75" t="s">
        <v>77</v>
      </c>
      <c r="AO75" t="s">
        <v>320</v>
      </c>
      <c r="AP75" t="s">
        <v>781</v>
      </c>
      <c r="AQ75" t="s">
        <v>322</v>
      </c>
      <c r="AS75" t="b">
        <v>1</v>
      </c>
      <c r="AT75" t="s">
        <v>65</v>
      </c>
      <c r="AU75">
        <v>0</v>
      </c>
      <c r="AV75">
        <v>0</v>
      </c>
      <c r="AX75">
        <v>39</v>
      </c>
      <c r="AY75" t="s">
        <v>81</v>
      </c>
      <c r="AZ75" t="s">
        <v>90</v>
      </c>
      <c r="BB75" t="s">
        <v>91</v>
      </c>
      <c r="BC75" t="s">
        <v>92</v>
      </c>
      <c r="BD75" t="b">
        <v>0</v>
      </c>
      <c r="BE75" t="b">
        <v>0</v>
      </c>
      <c r="BF75" t="b">
        <v>0</v>
      </c>
      <c r="BG75" t="b">
        <v>0</v>
      </c>
      <c r="BH75" t="b">
        <v>0</v>
      </c>
      <c r="BI75" t="b">
        <v>0</v>
      </c>
      <c r="BJ75" t="b">
        <v>0</v>
      </c>
      <c r="BK75" t="b">
        <v>0</v>
      </c>
      <c r="BL75" t="b">
        <v>0</v>
      </c>
      <c r="BM75" t="b">
        <v>0</v>
      </c>
      <c r="BN75" t="b">
        <v>0</v>
      </c>
      <c r="BO75" t="b">
        <v>0</v>
      </c>
      <c r="BP75" t="b">
        <v>0</v>
      </c>
      <c r="BR75" t="str">
        <f>IFERROR(IF(M75="PASSED",VLOOKUP(J75,Current!$J$1:$N$500,1,FALSE)),N75)</f>
        <v>"1.0074 - MSWRK - Ensure Choose how BitLocker-protected removable drives can be recovered: Omit recovery options from the BitLocker setup wizard is set to Enabled: True: [PASSED]"
This policy setting allows you to control how BitLocker-protected removable data drives are recovered in the absence of the required credentials.
See Also:
See HTH Policies and Standards
Reference:
NIST 800-53r5|MP-7
Policy Value:
'1'
Actual Value:
'1'</v>
      </c>
    </row>
    <row r="76" spans="1:70" ht="15" hidden="1" customHeight="1" x14ac:dyDescent="0.25">
      <c r="A76">
        <v>21156</v>
      </c>
      <c r="C76">
        <v>0</v>
      </c>
      <c r="D76" t="s">
        <v>83</v>
      </c>
      <c r="E76" t="s">
        <v>66</v>
      </c>
      <c r="F76" t="s">
        <v>84</v>
      </c>
      <c r="G76">
        <v>0</v>
      </c>
      <c r="H76" t="s">
        <v>85</v>
      </c>
      <c r="I76" t="s">
        <v>86</v>
      </c>
      <c r="J76" t="str">
        <f>MID($N76,FIND("1.",$N76),FIND("-",$N76)-FIND("1.",$N76)-1)</f>
        <v>1.0075</v>
      </c>
      <c r="K76" t="str">
        <f t="shared" si="3"/>
        <v>Ensure Choose how BitLocker-protected removable drives can be recovered</v>
      </c>
      <c r="L76" t="str">
        <f t="shared" si="4"/>
        <v>1.0075 - MSWRK - Ensure Choose how BitLocker-protected removable drives can be recovered: Save BitLocker recovery information to AD DS for removable data drives is set to Enabled: False</v>
      </c>
      <c r="M76" t="str">
        <f t="shared" si="5"/>
        <v>FAILED</v>
      </c>
      <c r="N76" s="1" t="s">
        <v>569</v>
      </c>
      <c r="O76" t="s">
        <v>67</v>
      </c>
      <c r="R76" t="s">
        <v>68</v>
      </c>
      <c r="T76" t="s">
        <v>69</v>
      </c>
      <c r="U76" t="s">
        <v>70</v>
      </c>
      <c r="W76" t="s">
        <v>71</v>
      </c>
      <c r="X76" s="1" t="s">
        <v>72</v>
      </c>
      <c r="Y76" t="s">
        <v>88</v>
      </c>
      <c r="Z76">
        <v>0</v>
      </c>
      <c r="AA76">
        <v>0</v>
      </c>
      <c r="AD76">
        <v>0</v>
      </c>
      <c r="AE76">
        <v>0</v>
      </c>
      <c r="AH76" t="s">
        <v>73</v>
      </c>
      <c r="AI76" t="s">
        <v>318</v>
      </c>
      <c r="AJ76" t="s">
        <v>319</v>
      </c>
      <c r="AK76" t="s">
        <v>76</v>
      </c>
      <c r="AN76" t="s">
        <v>77</v>
      </c>
      <c r="AO76" t="s">
        <v>320</v>
      </c>
      <c r="AP76" t="s">
        <v>567</v>
      </c>
      <c r="AQ76" t="s">
        <v>322</v>
      </c>
      <c r="AS76" t="b">
        <v>1</v>
      </c>
      <c r="AT76" t="s">
        <v>65</v>
      </c>
      <c r="AU76">
        <v>0</v>
      </c>
      <c r="AV76">
        <v>0</v>
      </c>
      <c r="AX76">
        <v>39</v>
      </c>
      <c r="AY76" t="s">
        <v>81</v>
      </c>
      <c r="AZ76" t="s">
        <v>90</v>
      </c>
      <c r="BB76" t="s">
        <v>91</v>
      </c>
      <c r="BC76" t="s">
        <v>92</v>
      </c>
      <c r="BD76" t="b">
        <v>0</v>
      </c>
      <c r="BE76" t="b">
        <v>0</v>
      </c>
      <c r="BF76" t="b">
        <v>0</v>
      </c>
      <c r="BG76" t="b">
        <v>0</v>
      </c>
      <c r="BH76" t="b">
        <v>0</v>
      </c>
      <c r="BI76" t="b">
        <v>0</v>
      </c>
      <c r="BJ76" t="b">
        <v>0</v>
      </c>
      <c r="BK76" t="b">
        <v>0</v>
      </c>
      <c r="BL76" t="b">
        <v>0</v>
      </c>
      <c r="BM76" t="b">
        <v>0</v>
      </c>
      <c r="BN76" t="b">
        <v>0</v>
      </c>
      <c r="BO76" t="b">
        <v>0</v>
      </c>
      <c r="BP76" t="b">
        <v>0</v>
      </c>
      <c r="BR76" t="b">
        <f>IFERROR(IF(M76="PASSED",VLOOKUP(J76,Current!$J$1:$N$500,1,FALSE)),N76)</f>
        <v>0</v>
      </c>
    </row>
    <row r="77" spans="1:70" ht="15" customHeight="1" x14ac:dyDescent="0.25">
      <c r="A77">
        <v>21156</v>
      </c>
      <c r="C77">
        <v>0</v>
      </c>
      <c r="D77" t="s">
        <v>65</v>
      </c>
      <c r="E77" t="s">
        <v>66</v>
      </c>
      <c r="F77" t="s">
        <v>84</v>
      </c>
      <c r="G77">
        <v>0</v>
      </c>
      <c r="H77" t="s">
        <v>85</v>
      </c>
      <c r="I77" t="s">
        <v>86</v>
      </c>
      <c r="J77" t="str">
        <f>MID($N77,FIND("1.",$N77),FIND("-",$N77)-FIND("1.",$N77)-1)</f>
        <v>1.0076</v>
      </c>
      <c r="K77" t="str">
        <f t="shared" si="3"/>
        <v>Ensure Choose how BitLocker-protected removable drives can be recovered</v>
      </c>
      <c r="L77" t="str">
        <f t="shared" si="4"/>
        <v>1.0076 - MSWRK - Ensure Choose how BitLocker-protected removable drives can be recovered: Configure storage of BitLocker recovery information to AD DS: is set to Enabled: Backup recovery passwords and key packages</v>
      </c>
      <c r="M77" t="str">
        <f t="shared" si="5"/>
        <v>PASSED</v>
      </c>
      <c r="N77" s="1" t="s">
        <v>638</v>
      </c>
      <c r="O77" t="s">
        <v>67</v>
      </c>
      <c r="R77" t="s">
        <v>68</v>
      </c>
      <c r="T77" t="s">
        <v>69</v>
      </c>
      <c r="U77" t="s">
        <v>70</v>
      </c>
      <c r="W77" t="s">
        <v>71</v>
      </c>
      <c r="X77" s="1" t="s">
        <v>72</v>
      </c>
      <c r="Y77" t="s">
        <v>88</v>
      </c>
      <c r="Z77">
        <v>0</v>
      </c>
      <c r="AA77">
        <v>0</v>
      </c>
      <c r="AD77">
        <v>0</v>
      </c>
      <c r="AE77">
        <v>0</v>
      </c>
      <c r="AH77" t="s">
        <v>73</v>
      </c>
      <c r="AI77" t="s">
        <v>318</v>
      </c>
      <c r="AJ77" t="s">
        <v>319</v>
      </c>
      <c r="AK77" t="s">
        <v>76</v>
      </c>
      <c r="AN77" t="s">
        <v>77</v>
      </c>
      <c r="AO77" t="s">
        <v>320</v>
      </c>
      <c r="AP77" t="s">
        <v>636</v>
      </c>
      <c r="AQ77" t="s">
        <v>322</v>
      </c>
      <c r="AS77" t="b">
        <v>1</v>
      </c>
      <c r="AT77" t="s">
        <v>65</v>
      </c>
      <c r="AU77">
        <v>0</v>
      </c>
      <c r="AV77">
        <v>0</v>
      </c>
      <c r="AX77">
        <v>39</v>
      </c>
      <c r="AY77" t="s">
        <v>81</v>
      </c>
      <c r="AZ77" t="s">
        <v>90</v>
      </c>
      <c r="BB77" t="s">
        <v>91</v>
      </c>
      <c r="BC77" t="s">
        <v>92</v>
      </c>
      <c r="BD77" t="b">
        <v>0</v>
      </c>
      <c r="BE77" t="b">
        <v>0</v>
      </c>
      <c r="BF77" t="b">
        <v>0</v>
      </c>
      <c r="BG77" t="b">
        <v>0</v>
      </c>
      <c r="BH77" t="b">
        <v>0</v>
      </c>
      <c r="BI77" t="b">
        <v>0</v>
      </c>
      <c r="BJ77" t="b">
        <v>0</v>
      </c>
      <c r="BK77" t="b">
        <v>0</v>
      </c>
      <c r="BL77" t="b">
        <v>0</v>
      </c>
      <c r="BM77" t="b">
        <v>0</v>
      </c>
      <c r="BN77" t="b">
        <v>0</v>
      </c>
      <c r="BO77" t="b">
        <v>0</v>
      </c>
      <c r="BP77" t="b">
        <v>0</v>
      </c>
      <c r="BR77" t="str">
        <f>IFERROR(IF(M77="PASSED",VLOOKUP(J77,Current!$J$1:$N$500,1,FALSE)),N77)</f>
        <v>"1.0076 - MSWRK - Ensure Choose how BitLocker-protected removable drives can be recovered: Configure storage of BitLocker recovery information to AD DS: is set to Enabled: Backup recovery passwords and key packages: [PASSED]"
This policy setting allows you to control how BitLocker-protected removable data drives are recovered in the absence of the required credentials.
See Also:
See HTH Policies and Standards
Reference:
NIST 800-53r5|MP-7
Policy Value:
'1'
Actual Value:
'1'</v>
      </c>
    </row>
    <row r="78" spans="1:70" ht="15" hidden="1" customHeight="1" x14ac:dyDescent="0.25">
      <c r="A78">
        <v>21156</v>
      </c>
      <c r="C78">
        <v>0</v>
      </c>
      <c r="D78" t="s">
        <v>83</v>
      </c>
      <c r="E78" t="s">
        <v>66</v>
      </c>
      <c r="F78" t="s">
        <v>84</v>
      </c>
      <c r="G78">
        <v>0</v>
      </c>
      <c r="H78" t="s">
        <v>85</v>
      </c>
      <c r="I78" t="s">
        <v>86</v>
      </c>
      <c r="J78" t="str">
        <f>MID($N78,FIND("1.",$N78),FIND("-",$N78)-FIND("1.",$N78)-1)</f>
        <v>1.0077</v>
      </c>
      <c r="K78" t="str">
        <f t="shared" si="3"/>
        <v>Ensure Choose how BitLocker-protected removable drives can be recovered</v>
      </c>
      <c r="L78" t="str">
        <f t="shared" si="4"/>
        <v>1.0077 - MSWRK - Ensure Choose how BitLocker-protected removable drives can be recovered: Do not enable BitLocker until recovery information is stored to AD DS for removable data drives is set to Enabled: False</v>
      </c>
      <c r="M78" t="str">
        <f t="shared" si="5"/>
        <v>FAILED</v>
      </c>
      <c r="N78" s="1" t="s">
        <v>669</v>
      </c>
      <c r="O78" t="s">
        <v>67</v>
      </c>
      <c r="R78" t="s">
        <v>68</v>
      </c>
      <c r="T78" t="s">
        <v>69</v>
      </c>
      <c r="U78" t="s">
        <v>70</v>
      </c>
      <c r="W78" t="s">
        <v>71</v>
      </c>
      <c r="X78" s="1" t="s">
        <v>72</v>
      </c>
      <c r="Y78" t="s">
        <v>88</v>
      </c>
      <c r="Z78">
        <v>0</v>
      </c>
      <c r="AA78">
        <v>0</v>
      </c>
      <c r="AD78">
        <v>0</v>
      </c>
      <c r="AE78">
        <v>0</v>
      </c>
      <c r="AH78" t="s">
        <v>73</v>
      </c>
      <c r="AI78" t="s">
        <v>318</v>
      </c>
      <c r="AJ78" t="s">
        <v>319</v>
      </c>
      <c r="AK78" t="s">
        <v>76</v>
      </c>
      <c r="AN78" t="s">
        <v>77</v>
      </c>
      <c r="AO78" t="s">
        <v>320</v>
      </c>
      <c r="AP78" t="s">
        <v>667</v>
      </c>
      <c r="AQ78" t="s">
        <v>322</v>
      </c>
      <c r="AS78" t="b">
        <v>1</v>
      </c>
      <c r="AT78" t="s">
        <v>65</v>
      </c>
      <c r="AU78">
        <v>0</v>
      </c>
      <c r="AV78">
        <v>0</v>
      </c>
      <c r="AX78">
        <v>39</v>
      </c>
      <c r="AY78" t="s">
        <v>81</v>
      </c>
      <c r="AZ78" t="s">
        <v>90</v>
      </c>
      <c r="BB78" t="s">
        <v>91</v>
      </c>
      <c r="BC78" t="s">
        <v>92</v>
      </c>
      <c r="BD78" t="b">
        <v>0</v>
      </c>
      <c r="BE78" t="b">
        <v>0</v>
      </c>
      <c r="BF78" t="b">
        <v>0</v>
      </c>
      <c r="BG78" t="b">
        <v>0</v>
      </c>
      <c r="BH78" t="b">
        <v>0</v>
      </c>
      <c r="BI78" t="b">
        <v>0</v>
      </c>
      <c r="BJ78" t="b">
        <v>0</v>
      </c>
      <c r="BK78" t="b">
        <v>0</v>
      </c>
      <c r="BL78" t="b">
        <v>0</v>
      </c>
      <c r="BM78" t="b">
        <v>0</v>
      </c>
      <c r="BN78" t="b">
        <v>0</v>
      </c>
      <c r="BO78" t="b">
        <v>0</v>
      </c>
      <c r="BP78" t="b">
        <v>0</v>
      </c>
      <c r="BR78" t="b">
        <f>IFERROR(IF(M78="PASSED",VLOOKUP(J78,Current!$J$1:$N$500,1,FALSE)),N78)</f>
        <v>0</v>
      </c>
    </row>
    <row r="79" spans="1:70" ht="15" customHeight="1" x14ac:dyDescent="0.25">
      <c r="A79">
        <v>21156</v>
      </c>
      <c r="C79">
        <v>0</v>
      </c>
      <c r="D79" t="s">
        <v>65</v>
      </c>
      <c r="E79" t="s">
        <v>66</v>
      </c>
      <c r="F79" t="s">
        <v>84</v>
      </c>
      <c r="G79">
        <v>0</v>
      </c>
      <c r="H79" t="s">
        <v>85</v>
      </c>
      <c r="I79" t="s">
        <v>86</v>
      </c>
      <c r="J79" t="str">
        <f>MID($N79,FIND("1.",$N79),FIND("-",$N79)-FIND("1.",$N79)-1)</f>
        <v>1.0078</v>
      </c>
      <c r="K79" t="str">
        <f t="shared" si="3"/>
        <v>Ensure Turn off cloud consumer account state content is set to Enabled</v>
      </c>
      <c r="L79" t="str">
        <f t="shared" si="4"/>
        <v>1.0078 - MSWRK - Ensure Turn off cloud consumer account state content is set to Enabled</v>
      </c>
      <c r="M79" t="str">
        <f t="shared" si="5"/>
        <v>PASSED</v>
      </c>
      <c r="N79" s="1" t="s">
        <v>433</v>
      </c>
      <c r="O79" t="s">
        <v>67</v>
      </c>
      <c r="R79" t="s">
        <v>68</v>
      </c>
      <c r="T79" t="s">
        <v>69</v>
      </c>
      <c r="U79" t="s">
        <v>70</v>
      </c>
      <c r="W79" t="s">
        <v>71</v>
      </c>
      <c r="X79" s="1" t="s">
        <v>72</v>
      </c>
      <c r="Y79" t="s">
        <v>88</v>
      </c>
      <c r="Z79">
        <v>0</v>
      </c>
      <c r="AA79">
        <v>0</v>
      </c>
      <c r="AD79">
        <v>0</v>
      </c>
      <c r="AE79">
        <v>0</v>
      </c>
      <c r="AH79" t="s">
        <v>73</v>
      </c>
      <c r="AI79" t="s">
        <v>318</v>
      </c>
      <c r="AJ79" t="s">
        <v>319</v>
      </c>
      <c r="AK79" t="s">
        <v>76</v>
      </c>
      <c r="AN79" t="s">
        <v>77</v>
      </c>
      <c r="AO79" t="s">
        <v>320</v>
      </c>
      <c r="AP79" t="s">
        <v>431</v>
      </c>
      <c r="AQ79" t="s">
        <v>322</v>
      </c>
      <c r="AS79" t="b">
        <v>1</v>
      </c>
      <c r="AT79" t="s">
        <v>65</v>
      </c>
      <c r="AU79">
        <v>0</v>
      </c>
      <c r="AV79">
        <v>0</v>
      </c>
      <c r="AX79">
        <v>39</v>
      </c>
      <c r="AY79" t="s">
        <v>81</v>
      </c>
      <c r="AZ79" t="s">
        <v>90</v>
      </c>
      <c r="BB79" t="s">
        <v>91</v>
      </c>
      <c r="BC79" t="s">
        <v>92</v>
      </c>
      <c r="BD79" t="b">
        <v>0</v>
      </c>
      <c r="BE79" t="b">
        <v>0</v>
      </c>
      <c r="BF79" t="b">
        <v>0</v>
      </c>
      <c r="BG79" t="b">
        <v>0</v>
      </c>
      <c r="BH79" t="b">
        <v>0</v>
      </c>
      <c r="BI79" t="b">
        <v>0</v>
      </c>
      <c r="BJ79" t="b">
        <v>0</v>
      </c>
      <c r="BK79" t="b">
        <v>0</v>
      </c>
      <c r="BL79" t="b">
        <v>0</v>
      </c>
      <c r="BM79" t="b">
        <v>0</v>
      </c>
      <c r="BN79" t="b">
        <v>0</v>
      </c>
      <c r="BO79" t="b">
        <v>0</v>
      </c>
      <c r="BP79" t="b">
        <v>0</v>
      </c>
      <c r="BR79" t="str">
        <f>IFERROR(IF(M79="PASSED",VLOOKUP(J79,Current!$J$1:$N$500,1,FALSE)),N79)</f>
        <v>"1.0078 - MSWRK - Ensure Turn off cloud consumer account state content is set to Enabled: [PASSED]"
This policy setting determines whether cloud consumer account state content is allowed in all Windows experiences.
See Also:
See HTH Policies and Standards
Reference:
NIST 800-53r5|AC-2(1)
Policy Value:
'1'
Actual Value:
'1'</v>
      </c>
    </row>
    <row r="80" spans="1:70" ht="15" customHeight="1" x14ac:dyDescent="0.25">
      <c r="A80">
        <v>21156</v>
      </c>
      <c r="C80">
        <v>0</v>
      </c>
      <c r="D80" t="s">
        <v>65</v>
      </c>
      <c r="E80" t="s">
        <v>66</v>
      </c>
      <c r="F80" t="s">
        <v>84</v>
      </c>
      <c r="G80">
        <v>0</v>
      </c>
      <c r="H80" t="s">
        <v>85</v>
      </c>
      <c r="I80" t="s">
        <v>86</v>
      </c>
      <c r="J80" t="str">
        <f>MID($N80,FIND("1.",$N80),FIND("-",$N80)-FIND("1.",$N80)-1)</f>
        <v>1.0079</v>
      </c>
      <c r="K80" t="str">
        <f t="shared" si="3"/>
        <v>Ensure Turn off Microsoft consumer experiences is set to Enabled</v>
      </c>
      <c r="L80" t="str">
        <f t="shared" si="4"/>
        <v>1.0079 - MSWRK - Ensure Turn off Microsoft consumer experiences is set to Enabled</v>
      </c>
      <c r="M80" t="str">
        <f t="shared" si="5"/>
        <v>PASSED</v>
      </c>
      <c r="N80" s="1" t="s">
        <v>512</v>
      </c>
      <c r="O80" t="s">
        <v>67</v>
      </c>
      <c r="R80" t="s">
        <v>68</v>
      </c>
      <c r="T80" t="s">
        <v>69</v>
      </c>
      <c r="U80" t="s">
        <v>70</v>
      </c>
      <c r="W80" t="s">
        <v>71</v>
      </c>
      <c r="X80" s="1" t="s">
        <v>72</v>
      </c>
      <c r="Y80" t="s">
        <v>88</v>
      </c>
      <c r="Z80">
        <v>0</v>
      </c>
      <c r="AA80">
        <v>0</v>
      </c>
      <c r="AD80">
        <v>0</v>
      </c>
      <c r="AE80">
        <v>0</v>
      </c>
      <c r="AH80" t="s">
        <v>73</v>
      </c>
      <c r="AI80" t="s">
        <v>318</v>
      </c>
      <c r="AJ80" t="s">
        <v>319</v>
      </c>
      <c r="AK80" t="s">
        <v>76</v>
      </c>
      <c r="AN80" t="s">
        <v>77</v>
      </c>
      <c r="AO80" t="s">
        <v>320</v>
      </c>
      <c r="AP80" t="s">
        <v>510</v>
      </c>
      <c r="AQ80" t="s">
        <v>322</v>
      </c>
      <c r="AS80" t="b">
        <v>1</v>
      </c>
      <c r="AT80" t="s">
        <v>65</v>
      </c>
      <c r="AU80">
        <v>0</v>
      </c>
      <c r="AV80">
        <v>0</v>
      </c>
      <c r="AX80">
        <v>39</v>
      </c>
      <c r="AY80" t="s">
        <v>81</v>
      </c>
      <c r="AZ80" t="s">
        <v>90</v>
      </c>
      <c r="BB80" t="s">
        <v>91</v>
      </c>
      <c r="BC80" t="s">
        <v>92</v>
      </c>
      <c r="BD80" t="b">
        <v>0</v>
      </c>
      <c r="BE80" t="b">
        <v>0</v>
      </c>
      <c r="BF80" t="b">
        <v>0</v>
      </c>
      <c r="BG80" t="b">
        <v>0</v>
      </c>
      <c r="BH80" t="b">
        <v>0</v>
      </c>
      <c r="BI80" t="b">
        <v>0</v>
      </c>
      <c r="BJ80" t="b">
        <v>0</v>
      </c>
      <c r="BK80" t="b">
        <v>0</v>
      </c>
      <c r="BL80" t="b">
        <v>0</v>
      </c>
      <c r="BM80" t="b">
        <v>0</v>
      </c>
      <c r="BN80" t="b">
        <v>0</v>
      </c>
      <c r="BO80" t="b">
        <v>0</v>
      </c>
      <c r="BP80" t="b">
        <v>0</v>
      </c>
      <c r="BR80" t="str">
        <f>IFERROR(IF(M80="PASSED",VLOOKUP(J80,Current!$J$1:$N$500,1,FALSE)),N80)</f>
        <v>"1.0079 - MSWRK - Ensure Turn off Microsoft consumer experiences is set to Enabled: [PASSED]"
This policy setting turns off experiences that help consumers make the most of their devices and Microsoft account.
See Also:
See HTH Policies and Standards
Reference:
NIST 800-53r5|CM-6 CM-7
Policy Value:
'1'
Actual Value:
'1'</v>
      </c>
    </row>
    <row r="81" spans="1:70" ht="15" hidden="1" customHeight="1" x14ac:dyDescent="0.25">
      <c r="A81">
        <v>21156</v>
      </c>
      <c r="C81">
        <v>0</v>
      </c>
      <c r="D81" t="s">
        <v>83</v>
      </c>
      <c r="E81" t="s">
        <v>66</v>
      </c>
      <c r="F81" t="s">
        <v>84</v>
      </c>
      <c r="G81">
        <v>0</v>
      </c>
      <c r="H81" t="s">
        <v>85</v>
      </c>
      <c r="I81" t="s">
        <v>86</v>
      </c>
      <c r="J81" t="str">
        <f>MID($N81,FIND("1.",$N81),FIND("-",$N81)-FIND("1.",$N81)-1)</f>
        <v>1.0080</v>
      </c>
      <c r="K81" t="str">
        <f t="shared" si="3"/>
        <v>Ensure Require pin for pairing is set to Enabled</v>
      </c>
      <c r="L81" t="str">
        <f t="shared" si="4"/>
        <v>1.0080 - MSWRK - Ensure Require pin for pairing is set to Enabled: First Time OR Enabled: Always</v>
      </c>
      <c r="M81" t="str">
        <f t="shared" si="5"/>
        <v>FAILED</v>
      </c>
      <c r="N81" s="1" t="s">
        <v>717</v>
      </c>
      <c r="O81" t="s">
        <v>67</v>
      </c>
      <c r="R81" t="s">
        <v>68</v>
      </c>
      <c r="T81" t="s">
        <v>69</v>
      </c>
      <c r="U81" t="s">
        <v>70</v>
      </c>
      <c r="W81" t="s">
        <v>71</v>
      </c>
      <c r="X81" s="1" t="s">
        <v>72</v>
      </c>
      <c r="Y81" t="s">
        <v>88</v>
      </c>
      <c r="Z81">
        <v>0</v>
      </c>
      <c r="AA81">
        <v>0</v>
      </c>
      <c r="AD81">
        <v>0</v>
      </c>
      <c r="AE81">
        <v>0</v>
      </c>
      <c r="AH81" t="s">
        <v>73</v>
      </c>
      <c r="AI81" t="s">
        <v>318</v>
      </c>
      <c r="AJ81" t="s">
        <v>319</v>
      </c>
      <c r="AK81" t="s">
        <v>76</v>
      </c>
      <c r="AN81" t="s">
        <v>77</v>
      </c>
      <c r="AO81" t="s">
        <v>320</v>
      </c>
      <c r="AP81" t="s">
        <v>716</v>
      </c>
      <c r="AQ81" t="s">
        <v>322</v>
      </c>
      <c r="AS81" t="b">
        <v>1</v>
      </c>
      <c r="AT81" t="s">
        <v>65</v>
      </c>
      <c r="AU81">
        <v>0</v>
      </c>
      <c r="AV81">
        <v>0</v>
      </c>
      <c r="AX81">
        <v>39</v>
      </c>
      <c r="AY81" t="s">
        <v>81</v>
      </c>
      <c r="AZ81" t="s">
        <v>90</v>
      </c>
      <c r="BB81" t="s">
        <v>91</v>
      </c>
      <c r="BC81" t="s">
        <v>92</v>
      </c>
      <c r="BD81" t="b">
        <v>0</v>
      </c>
      <c r="BE81" t="b">
        <v>0</v>
      </c>
      <c r="BF81" t="b">
        <v>0</v>
      </c>
      <c r="BG81" t="b">
        <v>0</v>
      </c>
      <c r="BH81" t="b">
        <v>0</v>
      </c>
      <c r="BI81" t="b">
        <v>0</v>
      </c>
      <c r="BJ81" t="b">
        <v>0</v>
      </c>
      <c r="BK81" t="b">
        <v>0</v>
      </c>
      <c r="BL81" t="b">
        <v>0</v>
      </c>
      <c r="BM81" t="b">
        <v>0</v>
      </c>
      <c r="BN81" t="b">
        <v>0</v>
      </c>
      <c r="BO81" t="b">
        <v>0</v>
      </c>
      <c r="BP81" t="b">
        <v>0</v>
      </c>
      <c r="BR81" t="b">
        <f>IFERROR(IF(M81="PASSED",VLOOKUP(J81,Current!$J$1:$N$500,1,FALSE)),N81)</f>
        <v>0</v>
      </c>
    </row>
    <row r="82" spans="1:70" ht="15" hidden="1" customHeight="1" x14ac:dyDescent="0.25">
      <c r="A82">
        <v>21156</v>
      </c>
      <c r="C82">
        <v>0</v>
      </c>
      <c r="D82" t="s">
        <v>83</v>
      </c>
      <c r="E82" t="s">
        <v>66</v>
      </c>
      <c r="F82" t="s">
        <v>84</v>
      </c>
      <c r="G82">
        <v>0</v>
      </c>
      <c r="H82" t="s">
        <v>85</v>
      </c>
      <c r="I82" t="s">
        <v>86</v>
      </c>
      <c r="J82" t="str">
        <f>MID($N82,FIND("1.",$N82),FIND("-",$N82)-FIND("1.",$N82)-1)</f>
        <v>1.0081</v>
      </c>
      <c r="K82" t="str">
        <f t="shared" si="3"/>
        <v>Ensure Do not display the password reveal button is set to Enabled</v>
      </c>
      <c r="L82" t="str">
        <f t="shared" si="4"/>
        <v>1.0081 - MSWRK - Ensure Do not display the password reveal button is set to Enabled</v>
      </c>
      <c r="M82" t="str">
        <f t="shared" si="5"/>
        <v>FAILED</v>
      </c>
      <c r="N82" s="1" t="s">
        <v>479</v>
      </c>
      <c r="O82" t="s">
        <v>67</v>
      </c>
      <c r="R82" t="s">
        <v>68</v>
      </c>
      <c r="T82" t="s">
        <v>69</v>
      </c>
      <c r="U82" t="s">
        <v>70</v>
      </c>
      <c r="W82" t="s">
        <v>71</v>
      </c>
      <c r="X82" s="1" t="s">
        <v>72</v>
      </c>
      <c r="Y82" t="s">
        <v>88</v>
      </c>
      <c r="Z82">
        <v>0</v>
      </c>
      <c r="AA82">
        <v>0</v>
      </c>
      <c r="AD82">
        <v>0</v>
      </c>
      <c r="AE82">
        <v>0</v>
      </c>
      <c r="AH82" t="s">
        <v>73</v>
      </c>
      <c r="AI82" t="s">
        <v>318</v>
      </c>
      <c r="AJ82" t="s">
        <v>319</v>
      </c>
      <c r="AK82" t="s">
        <v>76</v>
      </c>
      <c r="AN82" t="s">
        <v>77</v>
      </c>
      <c r="AO82" t="s">
        <v>320</v>
      </c>
      <c r="AP82" t="s">
        <v>480</v>
      </c>
      <c r="AQ82" t="s">
        <v>322</v>
      </c>
      <c r="AS82" t="b">
        <v>1</v>
      </c>
      <c r="AT82" t="s">
        <v>65</v>
      </c>
      <c r="AU82">
        <v>0</v>
      </c>
      <c r="AV82">
        <v>0</v>
      </c>
      <c r="AX82">
        <v>39</v>
      </c>
      <c r="AY82" t="s">
        <v>81</v>
      </c>
      <c r="AZ82" t="s">
        <v>90</v>
      </c>
      <c r="BB82" t="s">
        <v>91</v>
      </c>
      <c r="BC82" t="s">
        <v>92</v>
      </c>
      <c r="BD82" t="b">
        <v>0</v>
      </c>
      <c r="BE82" t="b">
        <v>0</v>
      </c>
      <c r="BF82" t="b">
        <v>0</v>
      </c>
      <c r="BG82" t="b">
        <v>0</v>
      </c>
      <c r="BH82" t="b">
        <v>0</v>
      </c>
      <c r="BI82" t="b">
        <v>0</v>
      </c>
      <c r="BJ82" t="b">
        <v>0</v>
      </c>
      <c r="BK82" t="b">
        <v>0</v>
      </c>
      <c r="BL82" t="b">
        <v>0</v>
      </c>
      <c r="BM82" t="b">
        <v>0</v>
      </c>
      <c r="BN82" t="b">
        <v>0</v>
      </c>
      <c r="BO82" t="b">
        <v>0</v>
      </c>
      <c r="BP82" t="b">
        <v>0</v>
      </c>
      <c r="BR82" t="b">
        <f>IFERROR(IF(M82="PASSED",VLOOKUP(J82,Current!$J$1:$N$500,1,FALSE)),N82)</f>
        <v>0</v>
      </c>
    </row>
    <row r="83" spans="1:70" ht="15" hidden="1" customHeight="1" x14ac:dyDescent="0.25">
      <c r="A83">
        <v>21156</v>
      </c>
      <c r="C83">
        <v>0</v>
      </c>
      <c r="D83" t="s">
        <v>65</v>
      </c>
      <c r="E83" t="s">
        <v>66</v>
      </c>
      <c r="F83" t="s">
        <v>84</v>
      </c>
      <c r="G83">
        <v>0</v>
      </c>
      <c r="H83" t="s">
        <v>85</v>
      </c>
      <c r="I83" t="s">
        <v>86</v>
      </c>
      <c r="J83" t="str">
        <f>MID($N83,FIND("1.",$N83),FIND("-",$N83)-FIND("1.",$N83)-1)</f>
        <v>1.0082</v>
      </c>
      <c r="K83" t="str">
        <f t="shared" si="3"/>
        <v>Ensure Enumerate administrator accounts on elevation is set to Disabled</v>
      </c>
      <c r="L83" t="str">
        <f t="shared" si="4"/>
        <v>1.0082 - MSWRK - Ensure Enumerate administrator accounts on elevation is set to Disabled</v>
      </c>
      <c r="M83" t="str">
        <f t="shared" si="5"/>
        <v>PASSED</v>
      </c>
      <c r="N83" s="1" t="s">
        <v>313</v>
      </c>
      <c r="O83" t="s">
        <v>67</v>
      </c>
      <c r="R83" t="s">
        <v>68</v>
      </c>
      <c r="T83" t="s">
        <v>69</v>
      </c>
      <c r="U83" t="s">
        <v>70</v>
      </c>
      <c r="W83" t="s">
        <v>71</v>
      </c>
      <c r="X83" s="1" t="s">
        <v>72</v>
      </c>
      <c r="Y83" t="s">
        <v>88</v>
      </c>
      <c r="Z83">
        <v>0</v>
      </c>
      <c r="AA83">
        <v>0</v>
      </c>
      <c r="AD83">
        <v>0</v>
      </c>
      <c r="AE83">
        <v>0</v>
      </c>
      <c r="AH83" t="s">
        <v>73</v>
      </c>
      <c r="AI83" t="s">
        <v>318</v>
      </c>
      <c r="AJ83" t="s">
        <v>319</v>
      </c>
      <c r="AK83" t="s">
        <v>76</v>
      </c>
      <c r="AN83" t="s">
        <v>77</v>
      </c>
      <c r="AO83" t="s">
        <v>320</v>
      </c>
      <c r="AP83" t="s">
        <v>784</v>
      </c>
      <c r="AQ83" t="s">
        <v>322</v>
      </c>
      <c r="AS83" t="b">
        <v>1</v>
      </c>
      <c r="AT83" t="s">
        <v>65</v>
      </c>
      <c r="AU83">
        <v>0</v>
      </c>
      <c r="AV83">
        <v>0</v>
      </c>
      <c r="AX83">
        <v>39</v>
      </c>
      <c r="AY83" t="s">
        <v>81</v>
      </c>
      <c r="AZ83" t="s">
        <v>90</v>
      </c>
      <c r="BB83" t="s">
        <v>91</v>
      </c>
      <c r="BC83" t="s">
        <v>92</v>
      </c>
      <c r="BD83" t="b">
        <v>0</v>
      </c>
      <c r="BE83" t="b">
        <v>0</v>
      </c>
      <c r="BF83" t="b">
        <v>0</v>
      </c>
      <c r="BG83" t="b">
        <v>0</v>
      </c>
      <c r="BH83" t="b">
        <v>0</v>
      </c>
      <c r="BI83" t="b">
        <v>0</v>
      </c>
      <c r="BJ83" t="b">
        <v>0</v>
      </c>
      <c r="BK83" t="b">
        <v>0</v>
      </c>
      <c r="BL83" t="b">
        <v>0</v>
      </c>
      <c r="BM83" t="b">
        <v>0</v>
      </c>
      <c r="BN83" t="b">
        <v>0</v>
      </c>
      <c r="BO83" t="b">
        <v>0</v>
      </c>
      <c r="BP83" t="b">
        <v>0</v>
      </c>
      <c r="BR83" t="str">
        <f>IFERROR(IF(M83="PASSED",VLOOKUP(J83,Current!$J$1:$N$500,1,FALSE)),N83)</f>
        <v>1.0082</v>
      </c>
    </row>
    <row r="84" spans="1:70" ht="15" hidden="1" customHeight="1" x14ac:dyDescent="0.25">
      <c r="A84">
        <v>21156</v>
      </c>
      <c r="C84">
        <v>0</v>
      </c>
      <c r="D84" t="s">
        <v>65</v>
      </c>
      <c r="E84" t="s">
        <v>66</v>
      </c>
      <c r="F84" t="s">
        <v>84</v>
      </c>
      <c r="G84">
        <v>0</v>
      </c>
      <c r="H84" t="s">
        <v>85</v>
      </c>
      <c r="I84" t="s">
        <v>86</v>
      </c>
      <c r="J84" t="str">
        <f>MID($N84,FIND("1.",$N84),FIND("-",$N84)-FIND("1.",$N84)-1)</f>
        <v>1.0083</v>
      </c>
      <c r="K84" t="str">
        <f t="shared" si="3"/>
        <v>Ensure Prevent the use of security questions for local accounts is set to Enabled</v>
      </c>
      <c r="L84" t="str">
        <f t="shared" si="4"/>
        <v>1.0083 - MSWRK - Ensure Prevent the use of security questions for local accounts is set to Enabled</v>
      </c>
      <c r="M84" t="str">
        <f t="shared" si="5"/>
        <v>PASSED</v>
      </c>
      <c r="N84" s="1" t="s">
        <v>227</v>
      </c>
      <c r="O84" t="s">
        <v>67</v>
      </c>
      <c r="R84" t="s">
        <v>68</v>
      </c>
      <c r="T84" t="s">
        <v>69</v>
      </c>
      <c r="U84" t="s">
        <v>70</v>
      </c>
      <c r="W84" t="s">
        <v>71</v>
      </c>
      <c r="X84" s="1" t="s">
        <v>72</v>
      </c>
      <c r="Y84" t="s">
        <v>88</v>
      </c>
      <c r="Z84">
        <v>0</v>
      </c>
      <c r="AA84">
        <v>0</v>
      </c>
      <c r="AD84">
        <v>0</v>
      </c>
      <c r="AE84">
        <v>0</v>
      </c>
      <c r="AH84" t="s">
        <v>73</v>
      </c>
      <c r="AI84" t="s">
        <v>318</v>
      </c>
      <c r="AJ84" t="s">
        <v>319</v>
      </c>
      <c r="AK84" t="s">
        <v>76</v>
      </c>
      <c r="AN84" t="s">
        <v>77</v>
      </c>
      <c r="AO84" t="s">
        <v>320</v>
      </c>
      <c r="AP84" t="s">
        <v>817</v>
      </c>
      <c r="AQ84" t="s">
        <v>322</v>
      </c>
      <c r="AS84" t="b">
        <v>1</v>
      </c>
      <c r="AT84" t="s">
        <v>65</v>
      </c>
      <c r="AU84">
        <v>0</v>
      </c>
      <c r="AV84">
        <v>0</v>
      </c>
      <c r="AX84">
        <v>39</v>
      </c>
      <c r="AY84" t="s">
        <v>81</v>
      </c>
      <c r="AZ84" t="s">
        <v>90</v>
      </c>
      <c r="BB84" t="s">
        <v>91</v>
      </c>
      <c r="BC84" t="s">
        <v>92</v>
      </c>
      <c r="BD84" t="b">
        <v>0</v>
      </c>
      <c r="BE84" t="b">
        <v>0</v>
      </c>
      <c r="BF84" t="b">
        <v>0</v>
      </c>
      <c r="BG84" t="b">
        <v>0</v>
      </c>
      <c r="BH84" t="b">
        <v>0</v>
      </c>
      <c r="BI84" t="b">
        <v>0</v>
      </c>
      <c r="BJ84" t="b">
        <v>0</v>
      </c>
      <c r="BK84" t="b">
        <v>0</v>
      </c>
      <c r="BL84" t="b">
        <v>0</v>
      </c>
      <c r="BM84" t="b">
        <v>0</v>
      </c>
      <c r="BN84" t="b">
        <v>0</v>
      </c>
      <c r="BO84" t="b">
        <v>0</v>
      </c>
      <c r="BP84" t="b">
        <v>0</v>
      </c>
      <c r="BR84" t="str">
        <f>IFERROR(IF(M84="PASSED",VLOOKUP(J84,Current!$J$1:$N$500,1,FALSE)),N84)</f>
        <v>1.0083</v>
      </c>
    </row>
    <row r="85" spans="1:70" ht="15" customHeight="1" x14ac:dyDescent="0.25">
      <c r="A85">
        <v>21156</v>
      </c>
      <c r="C85">
        <v>0</v>
      </c>
      <c r="D85" t="s">
        <v>65</v>
      </c>
      <c r="E85" t="s">
        <v>66</v>
      </c>
      <c r="F85" t="s">
        <v>84</v>
      </c>
      <c r="G85">
        <v>0</v>
      </c>
      <c r="H85" t="s">
        <v>85</v>
      </c>
      <c r="I85" t="s">
        <v>86</v>
      </c>
      <c r="J85" t="str">
        <f>MID($N85,FIND("1.",$N85),FIND("-",$N85)-FIND("1.",$N85)-1)</f>
        <v>1.0084</v>
      </c>
      <c r="K85" t="str">
        <f t="shared" si="3"/>
        <v>Ensure Allow Diagnostic Data is set to Enabled</v>
      </c>
      <c r="L85" t="str">
        <f t="shared" si="4"/>
        <v>1.0084 - MSWRK - Ensure Allow Diagnostic Data is set to Enabled: Diagnostic data off (not recommended) or Enabled: Send required diagnostic data</v>
      </c>
      <c r="M85" t="str">
        <f t="shared" si="5"/>
        <v>PASSED</v>
      </c>
      <c r="N85" s="1" t="s">
        <v>566</v>
      </c>
      <c r="O85" t="s">
        <v>67</v>
      </c>
      <c r="R85" t="s">
        <v>68</v>
      </c>
      <c r="T85" t="s">
        <v>69</v>
      </c>
      <c r="U85" t="s">
        <v>70</v>
      </c>
      <c r="W85" t="s">
        <v>71</v>
      </c>
      <c r="X85" s="1" t="s">
        <v>72</v>
      </c>
      <c r="Y85" t="s">
        <v>88</v>
      </c>
      <c r="Z85">
        <v>0</v>
      </c>
      <c r="AA85">
        <v>0</v>
      </c>
      <c r="AD85">
        <v>0</v>
      </c>
      <c r="AE85">
        <v>0</v>
      </c>
      <c r="AH85" t="s">
        <v>73</v>
      </c>
      <c r="AI85" t="s">
        <v>318</v>
      </c>
      <c r="AJ85" t="s">
        <v>319</v>
      </c>
      <c r="AK85" t="s">
        <v>76</v>
      </c>
      <c r="AN85" t="s">
        <v>77</v>
      </c>
      <c r="AO85" t="s">
        <v>320</v>
      </c>
      <c r="AP85" t="s">
        <v>567</v>
      </c>
      <c r="AQ85" t="s">
        <v>322</v>
      </c>
      <c r="AS85" t="b">
        <v>1</v>
      </c>
      <c r="AT85" t="s">
        <v>65</v>
      </c>
      <c r="AU85">
        <v>0</v>
      </c>
      <c r="AV85">
        <v>0</v>
      </c>
      <c r="AX85">
        <v>39</v>
      </c>
      <c r="AY85" t="s">
        <v>81</v>
      </c>
      <c r="AZ85" t="s">
        <v>90</v>
      </c>
      <c r="BB85" t="s">
        <v>91</v>
      </c>
      <c r="BC85" t="s">
        <v>92</v>
      </c>
      <c r="BD85" t="b">
        <v>0</v>
      </c>
      <c r="BE85" t="b">
        <v>0</v>
      </c>
      <c r="BF85" t="b">
        <v>0</v>
      </c>
      <c r="BG85" t="b">
        <v>0</v>
      </c>
      <c r="BH85" t="b">
        <v>0</v>
      </c>
      <c r="BI85" t="b">
        <v>0</v>
      </c>
      <c r="BJ85" t="b">
        <v>0</v>
      </c>
      <c r="BK85" t="b">
        <v>0</v>
      </c>
      <c r="BL85" t="b">
        <v>0</v>
      </c>
      <c r="BM85" t="b">
        <v>0</v>
      </c>
      <c r="BN85" t="b">
        <v>0</v>
      </c>
      <c r="BO85" t="b">
        <v>0</v>
      </c>
      <c r="BP85" t="b">
        <v>0</v>
      </c>
      <c r="BR85" t="str">
        <f>IFERROR(IF(M85="PASSED",VLOOKUP(J85,Current!$J$1:$N$500,1,FALSE)),N85)</f>
        <v>"1.0084 - MSWRK - Ensure Allow Diagnostic Data is set to Enabled: Diagnostic data off (not recommended) or Enabled: Send required diagnostic data: [PASSED]"
This policy setting determines the amount of diagnostic and usage data reported to Microsoft: - A value of (0) Diagnostic data off (not recommended).
See Also:
See HTH Policies and Standards
Reference:
NIST 800-53r5|CM-7b.
Policy Value:
'0' || '1'
Actual Value:
'1'</v>
      </c>
    </row>
    <row r="86" spans="1:70" ht="15" customHeight="1" x14ac:dyDescent="0.25">
      <c r="A86">
        <v>21156</v>
      </c>
      <c r="C86">
        <v>0</v>
      </c>
      <c r="D86" t="s">
        <v>65</v>
      </c>
      <c r="E86" t="s">
        <v>66</v>
      </c>
      <c r="F86" t="s">
        <v>84</v>
      </c>
      <c r="G86">
        <v>0</v>
      </c>
      <c r="H86" t="s">
        <v>85</v>
      </c>
      <c r="I86" t="s">
        <v>86</v>
      </c>
      <c r="J86" t="str">
        <f>MID($N86,FIND("1.",$N86),FIND("-",$N86)-FIND("1.",$N86)-1)</f>
        <v>1.0085</v>
      </c>
      <c r="K86" t="str">
        <f t="shared" si="3"/>
        <v>Ensure Do not show feedback notifications is set to Enabled</v>
      </c>
      <c r="L86" t="str">
        <f t="shared" si="4"/>
        <v>1.0085 - MSWRK - Ensure Do not show feedback notifications is set to Enabled</v>
      </c>
      <c r="M86" t="str">
        <f t="shared" si="5"/>
        <v>PASSED</v>
      </c>
      <c r="N86" s="1" t="s">
        <v>560</v>
      </c>
      <c r="O86" t="s">
        <v>67</v>
      </c>
      <c r="R86" t="s">
        <v>68</v>
      </c>
      <c r="T86" t="s">
        <v>69</v>
      </c>
      <c r="U86" t="s">
        <v>70</v>
      </c>
      <c r="W86" t="s">
        <v>71</v>
      </c>
      <c r="X86" s="1" t="s">
        <v>72</v>
      </c>
      <c r="Y86" t="s">
        <v>88</v>
      </c>
      <c r="Z86">
        <v>0</v>
      </c>
      <c r="AA86">
        <v>0</v>
      </c>
      <c r="AD86">
        <v>0</v>
      </c>
      <c r="AE86">
        <v>0</v>
      </c>
      <c r="AH86" t="s">
        <v>73</v>
      </c>
      <c r="AI86" t="s">
        <v>318</v>
      </c>
      <c r="AJ86" t="s">
        <v>319</v>
      </c>
      <c r="AK86" t="s">
        <v>76</v>
      </c>
      <c r="AN86" t="s">
        <v>77</v>
      </c>
      <c r="AO86" t="s">
        <v>320</v>
      </c>
      <c r="AP86" t="s">
        <v>561</v>
      </c>
      <c r="AQ86" t="s">
        <v>322</v>
      </c>
      <c r="AS86" t="b">
        <v>1</v>
      </c>
      <c r="AT86" t="s">
        <v>65</v>
      </c>
      <c r="AU86">
        <v>0</v>
      </c>
      <c r="AV86">
        <v>0</v>
      </c>
      <c r="AX86">
        <v>39</v>
      </c>
      <c r="AY86" t="s">
        <v>81</v>
      </c>
      <c r="AZ86" t="s">
        <v>90</v>
      </c>
      <c r="BB86" t="s">
        <v>91</v>
      </c>
      <c r="BC86" t="s">
        <v>92</v>
      </c>
      <c r="BD86" t="b">
        <v>0</v>
      </c>
      <c r="BE86" t="b">
        <v>0</v>
      </c>
      <c r="BF86" t="b">
        <v>0</v>
      </c>
      <c r="BG86" t="b">
        <v>0</v>
      </c>
      <c r="BH86" t="b">
        <v>0</v>
      </c>
      <c r="BI86" t="b">
        <v>0</v>
      </c>
      <c r="BJ86" t="b">
        <v>0</v>
      </c>
      <c r="BK86" t="b">
        <v>0</v>
      </c>
      <c r="BL86" t="b">
        <v>0</v>
      </c>
      <c r="BM86" t="b">
        <v>0</v>
      </c>
      <c r="BN86" t="b">
        <v>0</v>
      </c>
      <c r="BO86" t="b">
        <v>0</v>
      </c>
      <c r="BP86" t="b">
        <v>0</v>
      </c>
      <c r="BR86" t="str">
        <f>IFERROR(IF(M86="PASSED",VLOOKUP(J86,Current!$J$1:$N$500,1,FALSE)),N86)</f>
        <v>"1.0085 - MSWRK - Ensure Do not show feedback notifications is set to Enabled: [PASSED]"
This policy setting allows an organization to prevent its devices from showing feedback questions from Microsoft.
See Also:
See HTH Policies and Standards
Reference:
NIST 800-53r5|CM-7b.
Policy Value:
'1'
Actual Value:
'1'</v>
      </c>
    </row>
    <row r="87" spans="1:70" ht="15" customHeight="1" x14ac:dyDescent="0.25">
      <c r="A87">
        <v>21156</v>
      </c>
      <c r="C87">
        <v>0</v>
      </c>
      <c r="D87" t="s">
        <v>65</v>
      </c>
      <c r="E87" t="s">
        <v>66</v>
      </c>
      <c r="F87" t="s">
        <v>84</v>
      </c>
      <c r="G87">
        <v>0</v>
      </c>
      <c r="H87" t="s">
        <v>85</v>
      </c>
      <c r="I87" t="s">
        <v>86</v>
      </c>
      <c r="J87" t="str">
        <f>MID($N87,FIND("1.",$N87),FIND("-",$N87)-FIND("1.",$N87)-1)</f>
        <v>1.0086</v>
      </c>
      <c r="K87" t="str">
        <f t="shared" si="3"/>
        <v>Ensure Enable OneSettings Auditing is set to Enabled</v>
      </c>
      <c r="L87" t="str">
        <f t="shared" si="4"/>
        <v>1.0086 - MSWRK - Ensure Enable OneSettings Auditing is set to Enabled</v>
      </c>
      <c r="M87" t="str">
        <f t="shared" si="5"/>
        <v>PASSED</v>
      </c>
      <c r="N87" s="1" t="s">
        <v>707</v>
      </c>
      <c r="O87" t="s">
        <v>67</v>
      </c>
      <c r="R87" t="s">
        <v>68</v>
      </c>
      <c r="T87" t="s">
        <v>69</v>
      </c>
      <c r="U87" t="s">
        <v>70</v>
      </c>
      <c r="W87" t="s">
        <v>71</v>
      </c>
      <c r="X87" s="1" t="s">
        <v>72</v>
      </c>
      <c r="Y87" t="s">
        <v>88</v>
      </c>
      <c r="Z87">
        <v>0</v>
      </c>
      <c r="AA87">
        <v>0</v>
      </c>
      <c r="AD87">
        <v>0</v>
      </c>
      <c r="AE87">
        <v>0</v>
      </c>
      <c r="AH87" t="s">
        <v>73</v>
      </c>
      <c r="AI87" t="s">
        <v>318</v>
      </c>
      <c r="AJ87" t="s">
        <v>319</v>
      </c>
      <c r="AK87" t="s">
        <v>76</v>
      </c>
      <c r="AN87" t="s">
        <v>77</v>
      </c>
      <c r="AO87" t="s">
        <v>320</v>
      </c>
      <c r="AP87" t="s">
        <v>708</v>
      </c>
      <c r="AQ87" t="s">
        <v>322</v>
      </c>
      <c r="AS87" t="b">
        <v>1</v>
      </c>
      <c r="AT87" t="s">
        <v>65</v>
      </c>
      <c r="AU87">
        <v>0</v>
      </c>
      <c r="AV87">
        <v>0</v>
      </c>
      <c r="AX87">
        <v>39</v>
      </c>
      <c r="AY87" t="s">
        <v>81</v>
      </c>
      <c r="AZ87" t="s">
        <v>90</v>
      </c>
      <c r="BB87" t="s">
        <v>91</v>
      </c>
      <c r="BC87" t="s">
        <v>92</v>
      </c>
      <c r="BD87" t="b">
        <v>0</v>
      </c>
      <c r="BE87" t="b">
        <v>0</v>
      </c>
      <c r="BF87" t="b">
        <v>0</v>
      </c>
      <c r="BG87" t="b">
        <v>0</v>
      </c>
      <c r="BH87" t="b">
        <v>0</v>
      </c>
      <c r="BI87" t="b">
        <v>0</v>
      </c>
      <c r="BJ87" t="b">
        <v>0</v>
      </c>
      <c r="BK87" t="b">
        <v>0</v>
      </c>
      <c r="BL87" t="b">
        <v>0</v>
      </c>
      <c r="BM87" t="b">
        <v>0</v>
      </c>
      <c r="BN87" t="b">
        <v>0</v>
      </c>
      <c r="BO87" t="b">
        <v>0</v>
      </c>
      <c r="BP87" t="b">
        <v>0</v>
      </c>
      <c r="BR87" t="str">
        <f>IFERROR(IF(M87="PASSED",VLOOKUP(J87,Current!$J$1:$N$500,1,FALSE)),N87)</f>
        <v>"1.0086 - MSWRK - Ensure Enable OneSettings Auditing is set to Enabled: [PASSED]"
This policy setting controls whether Windows records attempts to connect with the OneSettings service to the Event Log.
See Also:
See HTH Policies and Standards
Reference:
NIST 800-53r5|AU-3 AU-3(1) AU-7 AU-12
Policy Value:
'1'
Actual Value:
'1'</v>
      </c>
    </row>
    <row r="88" spans="1:70" ht="15" customHeight="1" x14ac:dyDescent="0.25">
      <c r="A88">
        <v>21156</v>
      </c>
      <c r="C88">
        <v>0</v>
      </c>
      <c r="D88" t="s">
        <v>65</v>
      </c>
      <c r="E88" t="s">
        <v>66</v>
      </c>
      <c r="F88" t="s">
        <v>84</v>
      </c>
      <c r="G88">
        <v>0</v>
      </c>
      <c r="H88" t="s">
        <v>85</v>
      </c>
      <c r="I88" t="s">
        <v>86</v>
      </c>
      <c r="J88" t="str">
        <f>MID($N88,FIND("1.",$N88),FIND("-",$N88)-FIND("1.",$N88)-1)</f>
        <v>1.0087</v>
      </c>
      <c r="K88" t="str">
        <f t="shared" si="3"/>
        <v>Ensure Download Mode is NOT set to Enabled</v>
      </c>
      <c r="L88" t="str">
        <f t="shared" si="4"/>
        <v>1.0087 - MSWRK - Ensure Download Mode is NOT set to Enabled: Internet</v>
      </c>
      <c r="M88" t="str">
        <f t="shared" si="5"/>
        <v>PASSED</v>
      </c>
      <c r="N88" s="1" t="s">
        <v>556</v>
      </c>
      <c r="O88" t="s">
        <v>67</v>
      </c>
      <c r="R88" t="s">
        <v>68</v>
      </c>
      <c r="T88" t="s">
        <v>69</v>
      </c>
      <c r="U88" t="s">
        <v>70</v>
      </c>
      <c r="W88" t="s">
        <v>71</v>
      </c>
      <c r="X88" s="1" t="s">
        <v>72</v>
      </c>
      <c r="Y88" t="s">
        <v>88</v>
      </c>
      <c r="Z88">
        <v>0</v>
      </c>
      <c r="AA88">
        <v>0</v>
      </c>
      <c r="AD88">
        <v>0</v>
      </c>
      <c r="AE88">
        <v>0</v>
      </c>
      <c r="AH88" t="s">
        <v>73</v>
      </c>
      <c r="AI88" t="s">
        <v>318</v>
      </c>
      <c r="AJ88" t="s">
        <v>319</v>
      </c>
      <c r="AK88" t="s">
        <v>76</v>
      </c>
      <c r="AN88" t="s">
        <v>77</v>
      </c>
      <c r="AO88" t="s">
        <v>320</v>
      </c>
      <c r="AP88" t="s">
        <v>557</v>
      </c>
      <c r="AQ88" t="s">
        <v>322</v>
      </c>
      <c r="AS88" t="b">
        <v>1</v>
      </c>
      <c r="AT88" t="s">
        <v>65</v>
      </c>
      <c r="AU88">
        <v>0</v>
      </c>
      <c r="AV88">
        <v>0</v>
      </c>
      <c r="AX88">
        <v>39</v>
      </c>
      <c r="AY88" t="s">
        <v>81</v>
      </c>
      <c r="AZ88" t="s">
        <v>90</v>
      </c>
      <c r="BB88" t="s">
        <v>91</v>
      </c>
      <c r="BC88" t="s">
        <v>92</v>
      </c>
      <c r="BD88" t="b">
        <v>0</v>
      </c>
      <c r="BE88" t="b">
        <v>0</v>
      </c>
      <c r="BF88" t="b">
        <v>0</v>
      </c>
      <c r="BG88" t="b">
        <v>0</v>
      </c>
      <c r="BH88" t="b">
        <v>0</v>
      </c>
      <c r="BI88" t="b">
        <v>0</v>
      </c>
      <c r="BJ88" t="b">
        <v>0</v>
      </c>
      <c r="BK88" t="b">
        <v>0</v>
      </c>
      <c r="BL88" t="b">
        <v>0</v>
      </c>
      <c r="BM88" t="b">
        <v>0</v>
      </c>
      <c r="BN88" t="b">
        <v>0</v>
      </c>
      <c r="BO88" t="b">
        <v>0</v>
      </c>
      <c r="BP88" t="b">
        <v>0</v>
      </c>
      <c r="BR88" t="str">
        <f>IFERROR(IF(M88="PASSED",VLOOKUP(J88,Current!$J$1:$N$500,1,FALSE)),N88)</f>
        <v>"1.0087 - MSWRK - Ensure Download Mode is NOT set to Enabled: Internet: [PASSED]"
This policy setting specifies the download method that Delivery Optimization can use in downloads of Windows Updates, Apps and App updates.
See Also:
See HTH Policies and Standards
Reference:
NIST 800-53r5|RA-5 RA-7 SI-2 SI-2(2)
Policy Value:
'0' || '1' || '2' || '99' || '100'
Actual Value:
'0'</v>
      </c>
    </row>
    <row r="89" spans="1:70" ht="15" hidden="1" customHeight="1" x14ac:dyDescent="0.25">
      <c r="A89">
        <v>21156</v>
      </c>
      <c r="C89">
        <v>0</v>
      </c>
      <c r="D89" t="s">
        <v>83</v>
      </c>
      <c r="E89" t="s">
        <v>66</v>
      </c>
      <c r="F89" t="s">
        <v>84</v>
      </c>
      <c r="G89">
        <v>0</v>
      </c>
      <c r="H89" t="s">
        <v>85</v>
      </c>
      <c r="I89" t="s">
        <v>86</v>
      </c>
      <c r="J89" t="str">
        <f>MID($N89,FIND("1.",$N89),FIND("-",$N89)-FIND("1.",$N89)-1)</f>
        <v>1.0088</v>
      </c>
      <c r="K89" t="str">
        <f t="shared" si="3"/>
        <v>Ensure Enable App Installer Experimental Features is set to Disabled</v>
      </c>
      <c r="L89" t="str">
        <f t="shared" si="4"/>
        <v>1.0088 - MSWRK - Ensure Enable App Installer Experimental Features is set to Disabled</v>
      </c>
      <c r="M89" t="str">
        <f t="shared" si="5"/>
        <v>FAILED</v>
      </c>
      <c r="N89" s="1" t="s">
        <v>674</v>
      </c>
      <c r="O89" t="s">
        <v>67</v>
      </c>
      <c r="R89" t="s">
        <v>68</v>
      </c>
      <c r="T89" t="s">
        <v>69</v>
      </c>
      <c r="U89" t="s">
        <v>70</v>
      </c>
      <c r="W89" t="s">
        <v>71</v>
      </c>
      <c r="X89" s="1" t="s">
        <v>72</v>
      </c>
      <c r="Y89" t="s">
        <v>88</v>
      </c>
      <c r="Z89">
        <v>0</v>
      </c>
      <c r="AA89">
        <v>0</v>
      </c>
      <c r="AD89">
        <v>0</v>
      </c>
      <c r="AE89">
        <v>0</v>
      </c>
      <c r="AH89" t="s">
        <v>73</v>
      </c>
      <c r="AI89" t="s">
        <v>318</v>
      </c>
      <c r="AJ89" t="s">
        <v>319</v>
      </c>
      <c r="AK89" t="s">
        <v>76</v>
      </c>
      <c r="AN89" t="s">
        <v>77</v>
      </c>
      <c r="AO89" t="s">
        <v>320</v>
      </c>
      <c r="AP89" t="s">
        <v>673</v>
      </c>
      <c r="AQ89" t="s">
        <v>322</v>
      </c>
      <c r="AS89" t="b">
        <v>1</v>
      </c>
      <c r="AT89" t="s">
        <v>65</v>
      </c>
      <c r="AU89">
        <v>0</v>
      </c>
      <c r="AV89">
        <v>0</v>
      </c>
      <c r="AX89">
        <v>39</v>
      </c>
      <c r="AY89" t="s">
        <v>81</v>
      </c>
      <c r="AZ89" t="s">
        <v>90</v>
      </c>
      <c r="BB89" t="s">
        <v>91</v>
      </c>
      <c r="BC89" t="s">
        <v>92</v>
      </c>
      <c r="BD89" t="b">
        <v>0</v>
      </c>
      <c r="BE89" t="b">
        <v>0</v>
      </c>
      <c r="BF89" t="b">
        <v>0</v>
      </c>
      <c r="BG89" t="b">
        <v>0</v>
      </c>
      <c r="BH89" t="b">
        <v>0</v>
      </c>
      <c r="BI89" t="b">
        <v>0</v>
      </c>
      <c r="BJ89" t="b">
        <v>0</v>
      </c>
      <c r="BK89" t="b">
        <v>0</v>
      </c>
      <c r="BL89" t="b">
        <v>0</v>
      </c>
      <c r="BM89" t="b">
        <v>0</v>
      </c>
      <c r="BN89" t="b">
        <v>0</v>
      </c>
      <c r="BO89" t="b">
        <v>0</v>
      </c>
      <c r="BP89" t="b">
        <v>0</v>
      </c>
      <c r="BR89" t="b">
        <f>IFERROR(IF(M89="PASSED",VLOOKUP(J89,Current!$J$1:$N$500,1,FALSE)),N89)</f>
        <v>0</v>
      </c>
    </row>
    <row r="90" spans="1:70" ht="15" hidden="1" customHeight="1" x14ac:dyDescent="0.25">
      <c r="A90">
        <v>21156</v>
      </c>
      <c r="C90">
        <v>0</v>
      </c>
      <c r="D90" t="s">
        <v>83</v>
      </c>
      <c r="E90" t="s">
        <v>66</v>
      </c>
      <c r="F90" t="s">
        <v>84</v>
      </c>
      <c r="G90">
        <v>0</v>
      </c>
      <c r="H90" t="s">
        <v>85</v>
      </c>
      <c r="I90" t="s">
        <v>86</v>
      </c>
      <c r="J90" t="str">
        <f>MID($N90,FIND("1.",$N90),FIND("-",$N90)-FIND("1.",$N90)-1)</f>
        <v>1.0089</v>
      </c>
      <c r="K90" t="str">
        <f t="shared" si="3"/>
        <v>Ensure Enable App Installer Hash Override is set to Disabled</v>
      </c>
      <c r="L90" t="str">
        <f t="shared" si="4"/>
        <v>1.0089 - MSWRK - Ensure Enable App Installer Hash Override is set to Disabled</v>
      </c>
      <c r="M90" t="str">
        <f t="shared" si="5"/>
        <v>FAILED</v>
      </c>
      <c r="N90" s="1" t="s">
        <v>426</v>
      </c>
      <c r="O90" t="s">
        <v>67</v>
      </c>
      <c r="R90" t="s">
        <v>68</v>
      </c>
      <c r="T90" t="s">
        <v>69</v>
      </c>
      <c r="U90" t="s">
        <v>70</v>
      </c>
      <c r="W90" t="s">
        <v>71</v>
      </c>
      <c r="X90" s="1" t="s">
        <v>72</v>
      </c>
      <c r="Y90" t="s">
        <v>88</v>
      </c>
      <c r="Z90">
        <v>0</v>
      </c>
      <c r="AA90">
        <v>0</v>
      </c>
      <c r="AD90">
        <v>0</v>
      </c>
      <c r="AE90">
        <v>0</v>
      </c>
      <c r="AH90" t="s">
        <v>73</v>
      </c>
      <c r="AI90" t="s">
        <v>318</v>
      </c>
      <c r="AJ90" t="s">
        <v>319</v>
      </c>
      <c r="AK90" t="s">
        <v>76</v>
      </c>
      <c r="AN90" t="s">
        <v>77</v>
      </c>
      <c r="AO90" t="s">
        <v>320</v>
      </c>
      <c r="AP90" t="s">
        <v>425</v>
      </c>
      <c r="AQ90" t="s">
        <v>322</v>
      </c>
      <c r="AS90" t="b">
        <v>1</v>
      </c>
      <c r="AT90" t="s">
        <v>65</v>
      </c>
      <c r="AU90">
        <v>0</v>
      </c>
      <c r="AV90">
        <v>0</v>
      </c>
      <c r="AX90">
        <v>39</v>
      </c>
      <c r="AY90" t="s">
        <v>81</v>
      </c>
      <c r="AZ90" t="s">
        <v>90</v>
      </c>
      <c r="BB90" t="s">
        <v>91</v>
      </c>
      <c r="BC90" t="s">
        <v>92</v>
      </c>
      <c r="BD90" t="b">
        <v>0</v>
      </c>
      <c r="BE90" t="b">
        <v>0</v>
      </c>
      <c r="BF90" t="b">
        <v>0</v>
      </c>
      <c r="BG90" t="b">
        <v>0</v>
      </c>
      <c r="BH90" t="b">
        <v>0</v>
      </c>
      <c r="BI90" t="b">
        <v>0</v>
      </c>
      <c r="BJ90" t="b">
        <v>0</v>
      </c>
      <c r="BK90" t="b">
        <v>0</v>
      </c>
      <c r="BL90" t="b">
        <v>0</v>
      </c>
      <c r="BM90" t="b">
        <v>0</v>
      </c>
      <c r="BN90" t="b">
        <v>0</v>
      </c>
      <c r="BO90" t="b">
        <v>0</v>
      </c>
      <c r="BP90" t="b">
        <v>0</v>
      </c>
      <c r="BR90" t="b">
        <f>IFERROR(IF(M90="PASSED",VLOOKUP(J90,Current!$J$1:$N$500,1,FALSE)),N90)</f>
        <v>0</v>
      </c>
    </row>
    <row r="91" spans="1:70" ht="15" customHeight="1" x14ac:dyDescent="0.25">
      <c r="A91">
        <v>21156</v>
      </c>
      <c r="C91">
        <v>0</v>
      </c>
      <c r="D91" t="s">
        <v>65</v>
      </c>
      <c r="E91" t="s">
        <v>66</v>
      </c>
      <c r="F91" t="s">
        <v>84</v>
      </c>
      <c r="G91">
        <v>0</v>
      </c>
      <c r="H91" t="s">
        <v>85</v>
      </c>
      <c r="I91" t="s">
        <v>86</v>
      </c>
      <c r="J91" t="str">
        <f>MID($N91,FIND("1.",$N91),FIND("-",$N91)-FIND("1.",$N91)-1)</f>
        <v>1.0090</v>
      </c>
      <c r="K91" t="str">
        <f t="shared" si="3"/>
        <v>Ensure Enable App Installer Local Archive Malware Scan Override is set to Disabled</v>
      </c>
      <c r="L91" t="str">
        <f t="shared" si="4"/>
        <v>1.0090 - MSWRK - Ensure Enable App Installer Local Archive Malware Scan Override is set to Disabled</v>
      </c>
      <c r="M91" t="str">
        <f t="shared" si="5"/>
        <v>PASSED</v>
      </c>
      <c r="N91" s="1" t="s">
        <v>767</v>
      </c>
      <c r="O91" t="s">
        <v>67</v>
      </c>
      <c r="R91" t="s">
        <v>68</v>
      </c>
      <c r="T91" t="s">
        <v>69</v>
      </c>
      <c r="U91" t="s">
        <v>70</v>
      </c>
      <c r="W91" t="s">
        <v>71</v>
      </c>
      <c r="X91" s="1" t="s">
        <v>72</v>
      </c>
      <c r="Y91" t="s">
        <v>88</v>
      </c>
      <c r="Z91">
        <v>0</v>
      </c>
      <c r="AA91">
        <v>0</v>
      </c>
      <c r="AD91">
        <v>0</v>
      </c>
      <c r="AE91">
        <v>0</v>
      </c>
      <c r="AH91" t="s">
        <v>73</v>
      </c>
      <c r="AI91" t="s">
        <v>318</v>
      </c>
      <c r="AJ91" t="s">
        <v>319</v>
      </c>
      <c r="AK91" t="s">
        <v>76</v>
      </c>
      <c r="AN91" t="s">
        <v>77</v>
      </c>
      <c r="AO91" t="s">
        <v>320</v>
      </c>
      <c r="AP91" t="s">
        <v>768</v>
      </c>
      <c r="AQ91" t="s">
        <v>322</v>
      </c>
      <c r="AS91" t="b">
        <v>1</v>
      </c>
      <c r="AT91" t="s">
        <v>65</v>
      </c>
      <c r="AU91">
        <v>0</v>
      </c>
      <c r="AV91">
        <v>0</v>
      </c>
      <c r="AX91">
        <v>39</v>
      </c>
      <c r="AY91" t="s">
        <v>81</v>
      </c>
      <c r="AZ91" t="s">
        <v>90</v>
      </c>
      <c r="BB91" t="s">
        <v>91</v>
      </c>
      <c r="BC91" t="s">
        <v>92</v>
      </c>
      <c r="BD91" t="b">
        <v>0</v>
      </c>
      <c r="BE91" t="b">
        <v>0</v>
      </c>
      <c r="BF91" t="b">
        <v>0</v>
      </c>
      <c r="BG91" t="b">
        <v>0</v>
      </c>
      <c r="BH91" t="b">
        <v>0</v>
      </c>
      <c r="BI91" t="b">
        <v>0</v>
      </c>
      <c r="BJ91" t="b">
        <v>0</v>
      </c>
      <c r="BK91" t="b">
        <v>0</v>
      </c>
      <c r="BL91" t="b">
        <v>0</v>
      </c>
      <c r="BM91" t="b">
        <v>0</v>
      </c>
      <c r="BN91" t="b">
        <v>0</v>
      </c>
      <c r="BO91" t="b">
        <v>0</v>
      </c>
      <c r="BP91" t="b">
        <v>0</v>
      </c>
      <c r="BR91" t="str">
        <f>IFERROR(IF(M91="PASSED",VLOOKUP(J91,Current!$J$1:$N$500,1,FALSE)),N91)</f>
        <v>"1.0090 - MSWRK - Ensure Enable App Installer Local Archive Malware Scan Override is set to Disabled: [PASSED]"
This policy setting controls the ability to override malware scans when the following conditions are true: - installing an archive file - using a local manifest - via command line arguments The recommended state for this setting is: Disabled.
See Also:
See HTH Policies and Standards
Reference:
NIST 800-53r5|CM-6 CM-7
Policy Value:
'0'
Actual Value:
'0'</v>
      </c>
    </row>
    <row r="92" spans="1:70" ht="15" customHeight="1" x14ac:dyDescent="0.25">
      <c r="A92">
        <v>21156</v>
      </c>
      <c r="C92">
        <v>0</v>
      </c>
      <c r="D92" t="s">
        <v>65</v>
      </c>
      <c r="E92" t="s">
        <v>66</v>
      </c>
      <c r="F92" t="s">
        <v>84</v>
      </c>
      <c r="G92">
        <v>0</v>
      </c>
      <c r="H92" t="s">
        <v>85</v>
      </c>
      <c r="I92" t="s">
        <v>86</v>
      </c>
      <c r="J92" t="str">
        <f>MID($N92,FIND("1.",$N92),FIND("-",$N92)-FIND("1.",$N92)-1)</f>
        <v>1.0091</v>
      </c>
      <c r="K92" t="str">
        <f t="shared" si="3"/>
        <v>Ensure Enable App Installer Microsoft Store Source Certificate Validation Bypass is set to Disabled</v>
      </c>
      <c r="L92" t="str">
        <f t="shared" si="4"/>
        <v>1.0091 - MSWRK - Ensure Enable App Installer Microsoft Store Source Certificate Validation Bypass is set to Disabled</v>
      </c>
      <c r="M92" t="str">
        <f t="shared" si="5"/>
        <v>PASSED</v>
      </c>
      <c r="N92" s="1" t="s">
        <v>666</v>
      </c>
      <c r="O92" t="s">
        <v>67</v>
      </c>
      <c r="R92" t="s">
        <v>68</v>
      </c>
      <c r="T92" t="s">
        <v>69</v>
      </c>
      <c r="U92" t="s">
        <v>70</v>
      </c>
      <c r="W92" t="s">
        <v>71</v>
      </c>
      <c r="X92" s="1" t="s">
        <v>72</v>
      </c>
      <c r="Y92" t="s">
        <v>88</v>
      </c>
      <c r="Z92">
        <v>0</v>
      </c>
      <c r="AA92">
        <v>0</v>
      </c>
      <c r="AD92">
        <v>0</v>
      </c>
      <c r="AE92">
        <v>0</v>
      </c>
      <c r="AH92" t="s">
        <v>73</v>
      </c>
      <c r="AI92" t="s">
        <v>318</v>
      </c>
      <c r="AJ92" t="s">
        <v>319</v>
      </c>
      <c r="AK92" t="s">
        <v>76</v>
      </c>
      <c r="AN92" t="s">
        <v>77</v>
      </c>
      <c r="AO92" t="s">
        <v>320</v>
      </c>
      <c r="AP92" t="s">
        <v>667</v>
      </c>
      <c r="AQ92" t="s">
        <v>322</v>
      </c>
      <c r="AS92" t="b">
        <v>1</v>
      </c>
      <c r="AT92" t="s">
        <v>65</v>
      </c>
      <c r="AU92">
        <v>0</v>
      </c>
      <c r="AV92">
        <v>0</v>
      </c>
      <c r="AX92">
        <v>39</v>
      </c>
      <c r="AY92" t="s">
        <v>81</v>
      </c>
      <c r="AZ92" t="s">
        <v>90</v>
      </c>
      <c r="BB92" t="s">
        <v>91</v>
      </c>
      <c r="BC92" t="s">
        <v>92</v>
      </c>
      <c r="BD92" t="b">
        <v>0</v>
      </c>
      <c r="BE92" t="b">
        <v>0</v>
      </c>
      <c r="BF92" t="b">
        <v>0</v>
      </c>
      <c r="BG92" t="b">
        <v>0</v>
      </c>
      <c r="BH92" t="b">
        <v>0</v>
      </c>
      <c r="BI92" t="b">
        <v>0</v>
      </c>
      <c r="BJ92" t="b">
        <v>0</v>
      </c>
      <c r="BK92" t="b">
        <v>0</v>
      </c>
      <c r="BL92" t="b">
        <v>0</v>
      </c>
      <c r="BM92" t="b">
        <v>0</v>
      </c>
      <c r="BN92" t="b">
        <v>0</v>
      </c>
      <c r="BO92" t="b">
        <v>0</v>
      </c>
      <c r="BP92" t="b">
        <v>0</v>
      </c>
      <c r="BR92" t="str">
        <f>IFERROR(IF(M92="PASSED",VLOOKUP(J92,Current!$J$1:$N$500,1,FALSE)),N92)</f>
        <v>"1.0091 - MSWRK - Ensure Enable App Installer Microsoft Store Source Certificate Validation Bypass is set to Disabled: [PASSED]"
This policy setting controls whether Windows Package Manager validates the Microsoft Store certificate hash to match a known Microsoft Store certificate when it initiates a connection to the Microsoft Store source.
See Also:
See HTH Policies and Standards
Reference:
NIST 800-53r5|CM-6 CM-7
Policy Value:
'0'
Actual Value:
'0'</v>
      </c>
    </row>
    <row r="93" spans="1:70" ht="15" hidden="1" customHeight="1" x14ac:dyDescent="0.25">
      <c r="A93">
        <v>21156</v>
      </c>
      <c r="C93">
        <v>0</v>
      </c>
      <c r="D93" t="s">
        <v>83</v>
      </c>
      <c r="E93" t="s">
        <v>66</v>
      </c>
      <c r="F93" t="s">
        <v>84</v>
      </c>
      <c r="G93">
        <v>0</v>
      </c>
      <c r="H93" t="s">
        <v>85</v>
      </c>
      <c r="I93" t="s">
        <v>86</v>
      </c>
      <c r="J93" t="str">
        <f>MID($N93,FIND("1.",$N93),FIND("-",$N93)-FIND("1.",$N93)-1)</f>
        <v>1.0092</v>
      </c>
      <c r="K93" t="str">
        <f t="shared" si="3"/>
        <v>Ensure Enable App Installer ms-appinstaller protocol is set to Disabled</v>
      </c>
      <c r="L93" t="str">
        <f t="shared" si="4"/>
        <v>1.0092 - MSWRK - Ensure Enable App Installer ms-appinstaller protocol is set to Disabled</v>
      </c>
      <c r="M93" t="str">
        <f t="shared" si="5"/>
        <v>FAILED</v>
      </c>
      <c r="N93" s="1" t="s">
        <v>504</v>
      </c>
      <c r="O93" t="s">
        <v>67</v>
      </c>
      <c r="R93" t="s">
        <v>68</v>
      </c>
      <c r="T93" t="s">
        <v>69</v>
      </c>
      <c r="U93" t="s">
        <v>70</v>
      </c>
      <c r="W93" t="s">
        <v>71</v>
      </c>
      <c r="X93" s="1" t="s">
        <v>72</v>
      </c>
      <c r="Y93" t="s">
        <v>88</v>
      </c>
      <c r="Z93">
        <v>0</v>
      </c>
      <c r="AA93">
        <v>0</v>
      </c>
      <c r="AD93">
        <v>0</v>
      </c>
      <c r="AE93">
        <v>0</v>
      </c>
      <c r="AH93" t="s">
        <v>73</v>
      </c>
      <c r="AI93" t="s">
        <v>318</v>
      </c>
      <c r="AJ93" t="s">
        <v>319</v>
      </c>
      <c r="AK93" t="s">
        <v>76</v>
      </c>
      <c r="AN93" t="s">
        <v>77</v>
      </c>
      <c r="AO93" t="s">
        <v>320</v>
      </c>
      <c r="AP93" t="s">
        <v>502</v>
      </c>
      <c r="AQ93" t="s">
        <v>322</v>
      </c>
      <c r="AS93" t="b">
        <v>1</v>
      </c>
      <c r="AT93" t="s">
        <v>65</v>
      </c>
      <c r="AU93">
        <v>0</v>
      </c>
      <c r="AV93">
        <v>0</v>
      </c>
      <c r="AX93">
        <v>39</v>
      </c>
      <c r="AY93" t="s">
        <v>81</v>
      </c>
      <c r="AZ93" t="s">
        <v>90</v>
      </c>
      <c r="BB93" t="s">
        <v>91</v>
      </c>
      <c r="BC93" t="s">
        <v>92</v>
      </c>
      <c r="BD93" t="b">
        <v>0</v>
      </c>
      <c r="BE93" t="b">
        <v>0</v>
      </c>
      <c r="BF93" t="b">
        <v>0</v>
      </c>
      <c r="BG93" t="b">
        <v>0</v>
      </c>
      <c r="BH93" t="b">
        <v>0</v>
      </c>
      <c r="BI93" t="b">
        <v>0</v>
      </c>
      <c r="BJ93" t="b">
        <v>0</v>
      </c>
      <c r="BK93" t="b">
        <v>0</v>
      </c>
      <c r="BL93" t="b">
        <v>0</v>
      </c>
      <c r="BM93" t="b">
        <v>0</v>
      </c>
      <c r="BN93" t="b">
        <v>0</v>
      </c>
      <c r="BO93" t="b">
        <v>0</v>
      </c>
      <c r="BP93" t="b">
        <v>0</v>
      </c>
      <c r="BR93" t="b">
        <f>IFERROR(IF(M93="PASSED",VLOOKUP(J93,Current!$J$1:$N$500,1,FALSE)),N93)</f>
        <v>0</v>
      </c>
    </row>
    <row r="94" spans="1:70" ht="15" hidden="1" customHeight="1" x14ac:dyDescent="0.25">
      <c r="A94">
        <v>21156</v>
      </c>
      <c r="C94">
        <v>0</v>
      </c>
      <c r="D94" t="s">
        <v>65</v>
      </c>
      <c r="E94" t="s">
        <v>66</v>
      </c>
      <c r="F94" t="s">
        <v>84</v>
      </c>
      <c r="G94">
        <v>0</v>
      </c>
      <c r="H94" t="s">
        <v>85</v>
      </c>
      <c r="I94" t="s">
        <v>86</v>
      </c>
      <c r="J94" t="str">
        <f>MID($N94,FIND("1.",$N94),FIND("-",$N94)-FIND("1.",$N94)-1)</f>
        <v>1.0093</v>
      </c>
      <c r="K94" t="str">
        <f t="shared" si="3"/>
        <v>Ensure Application: Control Event Log behavior when the log file reaches its maximum size is set to Disabled</v>
      </c>
      <c r="L94" t="str">
        <f t="shared" si="4"/>
        <v>1.0093 - MSWRK - Ensure Application: Control Event Log behavior when the log file reaches its maximum size is set to Disabled</v>
      </c>
      <c r="M94" t="str">
        <f t="shared" si="5"/>
        <v>PASSED</v>
      </c>
      <c r="N94" s="1" t="s">
        <v>184</v>
      </c>
      <c r="O94" t="s">
        <v>67</v>
      </c>
      <c r="R94" t="s">
        <v>68</v>
      </c>
      <c r="T94" t="s">
        <v>69</v>
      </c>
      <c r="U94" t="s">
        <v>70</v>
      </c>
      <c r="W94" t="s">
        <v>71</v>
      </c>
      <c r="X94" s="1" t="s">
        <v>72</v>
      </c>
      <c r="Y94" t="s">
        <v>88</v>
      </c>
      <c r="Z94">
        <v>0</v>
      </c>
      <c r="AA94">
        <v>0</v>
      </c>
      <c r="AD94">
        <v>0</v>
      </c>
      <c r="AE94">
        <v>0</v>
      </c>
      <c r="AH94" t="s">
        <v>73</v>
      </c>
      <c r="AI94" t="s">
        <v>318</v>
      </c>
      <c r="AJ94" t="s">
        <v>319</v>
      </c>
      <c r="AK94" t="s">
        <v>76</v>
      </c>
      <c r="AN94" t="s">
        <v>77</v>
      </c>
      <c r="AO94" t="s">
        <v>320</v>
      </c>
      <c r="AP94" t="s">
        <v>328</v>
      </c>
      <c r="AQ94" t="s">
        <v>322</v>
      </c>
      <c r="AS94" t="b">
        <v>1</v>
      </c>
      <c r="AT94" t="s">
        <v>65</v>
      </c>
      <c r="AU94">
        <v>0</v>
      </c>
      <c r="AV94">
        <v>0</v>
      </c>
      <c r="AX94">
        <v>39</v>
      </c>
      <c r="AY94" t="s">
        <v>81</v>
      </c>
      <c r="AZ94" t="s">
        <v>90</v>
      </c>
      <c r="BB94" t="s">
        <v>91</v>
      </c>
      <c r="BC94" t="s">
        <v>92</v>
      </c>
      <c r="BD94" t="b">
        <v>0</v>
      </c>
      <c r="BE94" t="b">
        <v>0</v>
      </c>
      <c r="BF94" t="b">
        <v>0</v>
      </c>
      <c r="BG94" t="b">
        <v>0</v>
      </c>
      <c r="BH94" t="b">
        <v>0</v>
      </c>
      <c r="BI94" t="b">
        <v>0</v>
      </c>
      <c r="BJ94" t="b">
        <v>0</v>
      </c>
      <c r="BK94" t="b">
        <v>0</v>
      </c>
      <c r="BL94" t="b">
        <v>0</v>
      </c>
      <c r="BM94" t="b">
        <v>0</v>
      </c>
      <c r="BN94" t="b">
        <v>0</v>
      </c>
      <c r="BO94" t="b">
        <v>0</v>
      </c>
      <c r="BP94" t="b">
        <v>0</v>
      </c>
      <c r="BR94" t="str">
        <f>IFERROR(IF(M94="PASSED",VLOOKUP(J94,Current!$J$1:$N$500,1,FALSE)),N94)</f>
        <v>1.0093</v>
      </c>
    </row>
    <row r="95" spans="1:70" ht="15" hidden="1" customHeight="1" x14ac:dyDescent="0.25">
      <c r="A95">
        <v>21156</v>
      </c>
      <c r="C95">
        <v>0</v>
      </c>
      <c r="D95" t="s">
        <v>65</v>
      </c>
      <c r="E95" t="s">
        <v>66</v>
      </c>
      <c r="F95" t="s">
        <v>84</v>
      </c>
      <c r="G95">
        <v>0</v>
      </c>
      <c r="H95" t="s">
        <v>85</v>
      </c>
      <c r="I95" t="s">
        <v>86</v>
      </c>
      <c r="J95" t="str">
        <f>MID($N95,FIND("1.",$N95),FIND("-",$N95)-FIND("1.",$N95)-1)</f>
        <v>1.0094</v>
      </c>
      <c r="K95" t="str">
        <f t="shared" si="3"/>
        <v>Ensure Application: Specify the maximum log file size (KB) is set to Enabled</v>
      </c>
      <c r="L95" t="str">
        <f t="shared" si="4"/>
        <v>1.0094 - MSWRK - Ensure Application: Specify the maximum log file size (KB) is set to Enabled: 32,768 or greater</v>
      </c>
      <c r="M95" t="str">
        <f t="shared" si="5"/>
        <v>PASSED</v>
      </c>
      <c r="N95" s="1" t="s">
        <v>296</v>
      </c>
      <c r="O95" t="s">
        <v>67</v>
      </c>
      <c r="R95" t="s">
        <v>68</v>
      </c>
      <c r="T95" t="s">
        <v>69</v>
      </c>
      <c r="U95" t="s">
        <v>70</v>
      </c>
      <c r="W95" t="s">
        <v>71</v>
      </c>
      <c r="X95" s="1" t="s">
        <v>72</v>
      </c>
      <c r="Y95" t="s">
        <v>88</v>
      </c>
      <c r="Z95">
        <v>0</v>
      </c>
      <c r="AA95">
        <v>0</v>
      </c>
      <c r="AD95">
        <v>0</v>
      </c>
      <c r="AE95">
        <v>0</v>
      </c>
      <c r="AH95" t="s">
        <v>73</v>
      </c>
      <c r="AI95" t="s">
        <v>318</v>
      </c>
      <c r="AJ95" t="s">
        <v>319</v>
      </c>
      <c r="AK95" t="s">
        <v>76</v>
      </c>
      <c r="AN95" t="s">
        <v>77</v>
      </c>
      <c r="AO95" t="s">
        <v>320</v>
      </c>
      <c r="AP95" t="s">
        <v>563</v>
      </c>
      <c r="AQ95" t="s">
        <v>322</v>
      </c>
      <c r="AS95" t="b">
        <v>1</v>
      </c>
      <c r="AT95" t="s">
        <v>65</v>
      </c>
      <c r="AU95">
        <v>0</v>
      </c>
      <c r="AV95">
        <v>0</v>
      </c>
      <c r="AX95">
        <v>39</v>
      </c>
      <c r="AY95" t="s">
        <v>81</v>
      </c>
      <c r="AZ95" t="s">
        <v>90</v>
      </c>
      <c r="BB95" t="s">
        <v>91</v>
      </c>
      <c r="BC95" t="s">
        <v>92</v>
      </c>
      <c r="BD95" t="b">
        <v>0</v>
      </c>
      <c r="BE95" t="b">
        <v>0</v>
      </c>
      <c r="BF95" t="b">
        <v>0</v>
      </c>
      <c r="BG95" t="b">
        <v>0</v>
      </c>
      <c r="BH95" t="b">
        <v>0</v>
      </c>
      <c r="BI95" t="b">
        <v>0</v>
      </c>
      <c r="BJ95" t="b">
        <v>0</v>
      </c>
      <c r="BK95" t="b">
        <v>0</v>
      </c>
      <c r="BL95" t="b">
        <v>0</v>
      </c>
      <c r="BM95" t="b">
        <v>0</v>
      </c>
      <c r="BN95" t="b">
        <v>0</v>
      </c>
      <c r="BO95" t="b">
        <v>0</v>
      </c>
      <c r="BP95" t="b">
        <v>0</v>
      </c>
      <c r="BR95" t="str">
        <f>IFERROR(IF(M95="PASSED",VLOOKUP(J95,Current!$J$1:$N$500,1,FALSE)),N95)</f>
        <v>1.0094</v>
      </c>
    </row>
    <row r="96" spans="1:70" ht="15" hidden="1" customHeight="1" x14ac:dyDescent="0.25">
      <c r="A96">
        <v>21156</v>
      </c>
      <c r="C96">
        <v>0</v>
      </c>
      <c r="D96" t="s">
        <v>65</v>
      </c>
      <c r="E96" t="s">
        <v>66</v>
      </c>
      <c r="F96" t="s">
        <v>84</v>
      </c>
      <c r="G96">
        <v>0</v>
      </c>
      <c r="H96" t="s">
        <v>85</v>
      </c>
      <c r="I96" t="s">
        <v>86</v>
      </c>
      <c r="J96" t="str">
        <f>MID($N96,FIND("1.",$N96),FIND("-",$N96)-FIND("1.",$N96)-1)</f>
        <v>1.0095</v>
      </c>
      <c r="K96" t="str">
        <f t="shared" si="3"/>
        <v>Ensure Security: Control Event Log behavior when the log file reaches its maximum size is set to Disabled</v>
      </c>
      <c r="L96" t="str">
        <f t="shared" si="4"/>
        <v>1.0095 - MSWRK - Ensure Security: Control Event Log behavior when the log file reaches its maximum size is set to Disabled</v>
      </c>
      <c r="M96" t="str">
        <f t="shared" si="5"/>
        <v>PASSED</v>
      </c>
      <c r="N96" s="1" t="s">
        <v>130</v>
      </c>
      <c r="O96" t="s">
        <v>67</v>
      </c>
      <c r="R96" t="s">
        <v>68</v>
      </c>
      <c r="T96" t="s">
        <v>69</v>
      </c>
      <c r="U96" t="s">
        <v>70</v>
      </c>
      <c r="W96" t="s">
        <v>71</v>
      </c>
      <c r="X96" s="1" t="s">
        <v>72</v>
      </c>
      <c r="Y96" t="s">
        <v>88</v>
      </c>
      <c r="Z96">
        <v>0</v>
      </c>
      <c r="AA96">
        <v>0</v>
      </c>
      <c r="AD96">
        <v>0</v>
      </c>
      <c r="AE96">
        <v>0</v>
      </c>
      <c r="AH96" t="s">
        <v>73</v>
      </c>
      <c r="AI96" t="s">
        <v>318</v>
      </c>
      <c r="AJ96" t="s">
        <v>319</v>
      </c>
      <c r="AK96" t="s">
        <v>76</v>
      </c>
      <c r="AN96" t="s">
        <v>77</v>
      </c>
      <c r="AO96" t="s">
        <v>320</v>
      </c>
      <c r="AP96" t="s">
        <v>571</v>
      </c>
      <c r="AQ96" t="s">
        <v>322</v>
      </c>
      <c r="AS96" t="b">
        <v>1</v>
      </c>
      <c r="AT96" t="s">
        <v>65</v>
      </c>
      <c r="AU96">
        <v>0</v>
      </c>
      <c r="AV96">
        <v>0</v>
      </c>
      <c r="AX96">
        <v>39</v>
      </c>
      <c r="AY96" t="s">
        <v>81</v>
      </c>
      <c r="AZ96" t="s">
        <v>90</v>
      </c>
      <c r="BB96" t="s">
        <v>91</v>
      </c>
      <c r="BC96" t="s">
        <v>92</v>
      </c>
      <c r="BD96" t="b">
        <v>0</v>
      </c>
      <c r="BE96" t="b">
        <v>0</v>
      </c>
      <c r="BF96" t="b">
        <v>0</v>
      </c>
      <c r="BG96" t="b">
        <v>0</v>
      </c>
      <c r="BH96" t="b">
        <v>0</v>
      </c>
      <c r="BI96" t="b">
        <v>0</v>
      </c>
      <c r="BJ96" t="b">
        <v>0</v>
      </c>
      <c r="BK96" t="b">
        <v>0</v>
      </c>
      <c r="BL96" t="b">
        <v>0</v>
      </c>
      <c r="BM96" t="b">
        <v>0</v>
      </c>
      <c r="BN96" t="b">
        <v>0</v>
      </c>
      <c r="BO96" t="b">
        <v>0</v>
      </c>
      <c r="BP96" t="b">
        <v>0</v>
      </c>
      <c r="BR96" t="str">
        <f>IFERROR(IF(M96="PASSED",VLOOKUP(J96,Current!$J$1:$N$500,1,FALSE)),N96)</f>
        <v>1.0095</v>
      </c>
    </row>
    <row r="97" spans="1:70" ht="15" hidden="1" customHeight="1" x14ac:dyDescent="0.25">
      <c r="A97">
        <v>21156</v>
      </c>
      <c r="C97">
        <v>0</v>
      </c>
      <c r="D97" t="s">
        <v>65</v>
      </c>
      <c r="E97" t="s">
        <v>66</v>
      </c>
      <c r="F97" t="s">
        <v>84</v>
      </c>
      <c r="G97">
        <v>0</v>
      </c>
      <c r="H97" t="s">
        <v>85</v>
      </c>
      <c r="I97" t="s">
        <v>86</v>
      </c>
      <c r="J97" t="str">
        <f>MID($N97,FIND("1.",$N97),FIND("-",$N97)-FIND("1.",$N97)-1)</f>
        <v>1.0096</v>
      </c>
      <c r="K97" t="str">
        <f t="shared" si="3"/>
        <v>Ensure Security: Specify the maximum log file size (KB) is set to Enabled</v>
      </c>
      <c r="L97" t="str">
        <f t="shared" si="4"/>
        <v>1.0096 - MSWRK - Ensure Security: Specify the maximum log file size (KB) is set to Enabled: 196,608 or greater</v>
      </c>
      <c r="M97" t="str">
        <f t="shared" si="5"/>
        <v>PASSED</v>
      </c>
      <c r="N97" s="1" t="s">
        <v>167</v>
      </c>
      <c r="O97" t="s">
        <v>67</v>
      </c>
      <c r="R97" t="s">
        <v>68</v>
      </c>
      <c r="T97" t="s">
        <v>69</v>
      </c>
      <c r="U97" t="s">
        <v>70</v>
      </c>
      <c r="W97" t="s">
        <v>71</v>
      </c>
      <c r="X97" s="1" t="s">
        <v>72</v>
      </c>
      <c r="Y97" t="s">
        <v>88</v>
      </c>
      <c r="Z97">
        <v>0</v>
      </c>
      <c r="AA97">
        <v>0</v>
      </c>
      <c r="AD97">
        <v>0</v>
      </c>
      <c r="AE97">
        <v>0</v>
      </c>
      <c r="AH97" t="s">
        <v>73</v>
      </c>
      <c r="AI97" t="s">
        <v>318</v>
      </c>
      <c r="AJ97" t="s">
        <v>319</v>
      </c>
      <c r="AK97" t="s">
        <v>76</v>
      </c>
      <c r="AN97" t="s">
        <v>77</v>
      </c>
      <c r="AO97" t="s">
        <v>320</v>
      </c>
      <c r="AP97" t="s">
        <v>384</v>
      </c>
      <c r="AQ97" t="s">
        <v>322</v>
      </c>
      <c r="AS97" t="b">
        <v>1</v>
      </c>
      <c r="AT97" t="s">
        <v>65</v>
      </c>
      <c r="AU97">
        <v>0</v>
      </c>
      <c r="AV97">
        <v>0</v>
      </c>
      <c r="AX97">
        <v>39</v>
      </c>
      <c r="AY97" t="s">
        <v>81</v>
      </c>
      <c r="AZ97" t="s">
        <v>90</v>
      </c>
      <c r="BB97" t="s">
        <v>91</v>
      </c>
      <c r="BC97" t="s">
        <v>92</v>
      </c>
      <c r="BD97" t="b">
        <v>0</v>
      </c>
      <c r="BE97" t="b">
        <v>0</v>
      </c>
      <c r="BF97" t="b">
        <v>0</v>
      </c>
      <c r="BG97" t="b">
        <v>0</v>
      </c>
      <c r="BH97" t="b">
        <v>0</v>
      </c>
      <c r="BI97" t="b">
        <v>0</v>
      </c>
      <c r="BJ97" t="b">
        <v>0</v>
      </c>
      <c r="BK97" t="b">
        <v>0</v>
      </c>
      <c r="BL97" t="b">
        <v>0</v>
      </c>
      <c r="BM97" t="b">
        <v>0</v>
      </c>
      <c r="BN97" t="b">
        <v>0</v>
      </c>
      <c r="BO97" t="b">
        <v>0</v>
      </c>
      <c r="BP97" t="b">
        <v>0</v>
      </c>
      <c r="BR97" t="str">
        <f>IFERROR(IF(M97="PASSED",VLOOKUP(J97,Current!$J$1:$N$500,1,FALSE)),N97)</f>
        <v>1.0096</v>
      </c>
    </row>
    <row r="98" spans="1:70" ht="15" hidden="1" customHeight="1" x14ac:dyDescent="0.25">
      <c r="A98">
        <v>21156</v>
      </c>
      <c r="C98">
        <v>0</v>
      </c>
      <c r="D98" t="s">
        <v>65</v>
      </c>
      <c r="E98" t="s">
        <v>66</v>
      </c>
      <c r="F98" t="s">
        <v>84</v>
      </c>
      <c r="G98">
        <v>0</v>
      </c>
      <c r="H98" t="s">
        <v>85</v>
      </c>
      <c r="I98" t="s">
        <v>86</v>
      </c>
      <c r="J98" t="str">
        <f>MID($N98,FIND("1.",$N98),FIND("-",$N98)-FIND("1.",$N98)-1)</f>
        <v>1.0097</v>
      </c>
      <c r="K98" t="str">
        <f t="shared" si="3"/>
        <v>Ensure Setup: Control Event Log behavior when the log file reaches its maximum size is set to Disabled</v>
      </c>
      <c r="L98" t="str">
        <f t="shared" si="4"/>
        <v>1.0097 - MSWRK - Ensure Setup: Control Event Log behavior when the log file reaches its maximum size is set to Disabled</v>
      </c>
      <c r="M98" t="str">
        <f t="shared" si="5"/>
        <v>PASSED</v>
      </c>
      <c r="N98" s="1" t="s">
        <v>164</v>
      </c>
      <c r="O98" t="s">
        <v>67</v>
      </c>
      <c r="R98" t="s">
        <v>68</v>
      </c>
      <c r="T98" t="s">
        <v>69</v>
      </c>
      <c r="U98" t="s">
        <v>70</v>
      </c>
      <c r="W98" t="s">
        <v>71</v>
      </c>
      <c r="X98" s="1" t="s">
        <v>72</v>
      </c>
      <c r="Y98" t="s">
        <v>88</v>
      </c>
      <c r="Z98">
        <v>0</v>
      </c>
      <c r="AA98">
        <v>0</v>
      </c>
      <c r="AD98">
        <v>0</v>
      </c>
      <c r="AE98">
        <v>0</v>
      </c>
      <c r="AH98" t="s">
        <v>73</v>
      </c>
      <c r="AI98" t="s">
        <v>318</v>
      </c>
      <c r="AJ98" t="s">
        <v>319</v>
      </c>
      <c r="AK98" t="s">
        <v>76</v>
      </c>
      <c r="AN98" t="s">
        <v>77</v>
      </c>
      <c r="AO98" t="s">
        <v>320</v>
      </c>
      <c r="AP98" t="s">
        <v>661</v>
      </c>
      <c r="AQ98" t="s">
        <v>322</v>
      </c>
      <c r="AS98" t="b">
        <v>1</v>
      </c>
      <c r="AT98" t="s">
        <v>65</v>
      </c>
      <c r="AU98">
        <v>0</v>
      </c>
      <c r="AV98">
        <v>0</v>
      </c>
      <c r="AX98">
        <v>39</v>
      </c>
      <c r="AY98" t="s">
        <v>81</v>
      </c>
      <c r="AZ98" t="s">
        <v>90</v>
      </c>
      <c r="BB98" t="s">
        <v>91</v>
      </c>
      <c r="BC98" t="s">
        <v>92</v>
      </c>
      <c r="BD98" t="b">
        <v>0</v>
      </c>
      <c r="BE98" t="b">
        <v>0</v>
      </c>
      <c r="BF98" t="b">
        <v>0</v>
      </c>
      <c r="BG98" t="b">
        <v>0</v>
      </c>
      <c r="BH98" t="b">
        <v>0</v>
      </c>
      <c r="BI98" t="b">
        <v>0</v>
      </c>
      <c r="BJ98" t="b">
        <v>0</v>
      </c>
      <c r="BK98" t="b">
        <v>0</v>
      </c>
      <c r="BL98" t="b">
        <v>0</v>
      </c>
      <c r="BM98" t="b">
        <v>0</v>
      </c>
      <c r="BN98" t="b">
        <v>0</v>
      </c>
      <c r="BO98" t="b">
        <v>0</v>
      </c>
      <c r="BP98" t="b">
        <v>0</v>
      </c>
      <c r="BR98" t="str">
        <f>IFERROR(IF(M98="PASSED",VLOOKUP(J98,Current!$J$1:$N$500,1,FALSE)),N98)</f>
        <v>1.0097</v>
      </c>
    </row>
    <row r="99" spans="1:70" ht="15" hidden="1" customHeight="1" x14ac:dyDescent="0.25">
      <c r="A99">
        <v>21156</v>
      </c>
      <c r="C99">
        <v>0</v>
      </c>
      <c r="D99" t="s">
        <v>65</v>
      </c>
      <c r="E99" t="s">
        <v>66</v>
      </c>
      <c r="F99" t="s">
        <v>84</v>
      </c>
      <c r="G99">
        <v>0</v>
      </c>
      <c r="H99" t="s">
        <v>85</v>
      </c>
      <c r="I99" t="s">
        <v>86</v>
      </c>
      <c r="J99" t="str">
        <f>MID($N99,FIND("1.",$N99),FIND("-",$N99)-FIND("1.",$N99)-1)</f>
        <v>1.0098</v>
      </c>
      <c r="K99" t="str">
        <f t="shared" si="3"/>
        <v>Ensure Setup: Specify the maximum log file size (KB) is set to Enabled</v>
      </c>
      <c r="L99" t="str">
        <f t="shared" si="4"/>
        <v>1.0098 - MSWRK - Ensure Setup: Specify the maximum log file size (KB) is set to Enabled: 32,768 or greater</v>
      </c>
      <c r="M99" t="str">
        <f t="shared" si="5"/>
        <v>PASSED</v>
      </c>
      <c r="N99" s="1" t="s">
        <v>142</v>
      </c>
      <c r="O99" t="s">
        <v>67</v>
      </c>
      <c r="R99" t="s">
        <v>68</v>
      </c>
      <c r="T99" t="s">
        <v>69</v>
      </c>
      <c r="U99" t="s">
        <v>70</v>
      </c>
      <c r="W99" t="s">
        <v>71</v>
      </c>
      <c r="X99" s="1" t="s">
        <v>72</v>
      </c>
      <c r="Y99" t="s">
        <v>88</v>
      </c>
      <c r="Z99">
        <v>0</v>
      </c>
      <c r="AA99">
        <v>0</v>
      </c>
      <c r="AD99">
        <v>0</v>
      </c>
      <c r="AE99">
        <v>0</v>
      </c>
      <c r="AH99" t="s">
        <v>73</v>
      </c>
      <c r="AI99" t="s">
        <v>318</v>
      </c>
      <c r="AJ99" t="s">
        <v>319</v>
      </c>
      <c r="AK99" t="s">
        <v>76</v>
      </c>
      <c r="AN99" t="s">
        <v>77</v>
      </c>
      <c r="AO99" t="s">
        <v>320</v>
      </c>
      <c r="AP99" t="s">
        <v>586</v>
      </c>
      <c r="AQ99" t="s">
        <v>322</v>
      </c>
      <c r="AS99" t="b">
        <v>1</v>
      </c>
      <c r="AT99" t="s">
        <v>65</v>
      </c>
      <c r="AU99">
        <v>0</v>
      </c>
      <c r="AV99">
        <v>0</v>
      </c>
      <c r="AX99">
        <v>39</v>
      </c>
      <c r="AY99" t="s">
        <v>81</v>
      </c>
      <c r="AZ99" t="s">
        <v>90</v>
      </c>
      <c r="BB99" t="s">
        <v>91</v>
      </c>
      <c r="BC99" t="s">
        <v>92</v>
      </c>
      <c r="BD99" t="b">
        <v>0</v>
      </c>
      <c r="BE99" t="b">
        <v>0</v>
      </c>
      <c r="BF99" t="b">
        <v>0</v>
      </c>
      <c r="BG99" t="b">
        <v>0</v>
      </c>
      <c r="BH99" t="b">
        <v>0</v>
      </c>
      <c r="BI99" t="b">
        <v>0</v>
      </c>
      <c r="BJ99" t="b">
        <v>0</v>
      </c>
      <c r="BK99" t="b">
        <v>0</v>
      </c>
      <c r="BL99" t="b">
        <v>0</v>
      </c>
      <c r="BM99" t="b">
        <v>0</v>
      </c>
      <c r="BN99" t="b">
        <v>0</v>
      </c>
      <c r="BO99" t="b">
        <v>0</v>
      </c>
      <c r="BP99" t="b">
        <v>0</v>
      </c>
      <c r="BR99" t="str">
        <f>IFERROR(IF(M99="PASSED",VLOOKUP(J99,Current!$J$1:$N$500,1,FALSE)),N99)</f>
        <v>1.0098</v>
      </c>
    </row>
    <row r="100" spans="1:70" ht="15" hidden="1" customHeight="1" x14ac:dyDescent="0.25">
      <c r="A100">
        <v>21156</v>
      </c>
      <c r="C100">
        <v>0</v>
      </c>
      <c r="D100" t="s">
        <v>65</v>
      </c>
      <c r="E100" t="s">
        <v>66</v>
      </c>
      <c r="F100" t="s">
        <v>84</v>
      </c>
      <c r="G100">
        <v>0</v>
      </c>
      <c r="H100" t="s">
        <v>85</v>
      </c>
      <c r="I100" t="s">
        <v>86</v>
      </c>
      <c r="J100" t="str">
        <f>MID($N100,FIND("1.",$N100),FIND("-",$N100)-FIND("1.",$N100)-1)</f>
        <v>1.0099</v>
      </c>
      <c r="K100" t="str">
        <f t="shared" si="3"/>
        <v>Ensure System: Control Event Log behavior when the log file reaches its maximum size is set to Disabled</v>
      </c>
      <c r="L100" t="str">
        <f t="shared" si="4"/>
        <v>1.0099 - MSWRK - Ensure System: Control Event Log behavior when the log file reaches its maximum size is set to Disabled</v>
      </c>
      <c r="M100" t="str">
        <f t="shared" si="5"/>
        <v>PASSED</v>
      </c>
      <c r="N100" s="1" t="s">
        <v>170</v>
      </c>
      <c r="O100" t="s">
        <v>67</v>
      </c>
      <c r="R100" t="s">
        <v>68</v>
      </c>
      <c r="T100" t="s">
        <v>69</v>
      </c>
      <c r="U100" t="s">
        <v>70</v>
      </c>
      <c r="W100" t="s">
        <v>71</v>
      </c>
      <c r="X100" s="1" t="s">
        <v>72</v>
      </c>
      <c r="Y100" t="s">
        <v>88</v>
      </c>
      <c r="Z100">
        <v>0</v>
      </c>
      <c r="AA100">
        <v>0</v>
      </c>
      <c r="AD100">
        <v>0</v>
      </c>
      <c r="AE100">
        <v>0</v>
      </c>
      <c r="AH100" t="s">
        <v>73</v>
      </c>
      <c r="AI100" t="s">
        <v>318</v>
      </c>
      <c r="AJ100" t="s">
        <v>319</v>
      </c>
      <c r="AK100" t="s">
        <v>76</v>
      </c>
      <c r="AN100" t="s">
        <v>77</v>
      </c>
      <c r="AO100" t="s">
        <v>320</v>
      </c>
      <c r="AP100" t="s">
        <v>752</v>
      </c>
      <c r="AQ100" t="s">
        <v>322</v>
      </c>
      <c r="AS100" t="b">
        <v>1</v>
      </c>
      <c r="AT100" t="s">
        <v>65</v>
      </c>
      <c r="AU100">
        <v>0</v>
      </c>
      <c r="AV100">
        <v>0</v>
      </c>
      <c r="AX100">
        <v>39</v>
      </c>
      <c r="AY100" t="s">
        <v>81</v>
      </c>
      <c r="AZ100" t="s">
        <v>90</v>
      </c>
      <c r="BB100" t="s">
        <v>91</v>
      </c>
      <c r="BC100" t="s">
        <v>92</v>
      </c>
      <c r="BD100" t="b">
        <v>0</v>
      </c>
      <c r="BE100" t="b">
        <v>0</v>
      </c>
      <c r="BF100" t="b">
        <v>0</v>
      </c>
      <c r="BG100" t="b">
        <v>0</v>
      </c>
      <c r="BH100" t="b">
        <v>0</v>
      </c>
      <c r="BI100" t="b">
        <v>0</v>
      </c>
      <c r="BJ100" t="b">
        <v>0</v>
      </c>
      <c r="BK100" t="b">
        <v>0</v>
      </c>
      <c r="BL100" t="b">
        <v>0</v>
      </c>
      <c r="BM100" t="b">
        <v>0</v>
      </c>
      <c r="BN100" t="b">
        <v>0</v>
      </c>
      <c r="BO100" t="b">
        <v>0</v>
      </c>
      <c r="BP100" t="b">
        <v>0</v>
      </c>
      <c r="BR100" t="str">
        <f>IFERROR(IF(M100="PASSED",VLOOKUP(J100,Current!$J$1:$N$500,1,FALSE)),N100)</f>
        <v>1.0099</v>
      </c>
    </row>
    <row r="101" spans="1:70" ht="15" hidden="1" customHeight="1" x14ac:dyDescent="0.25">
      <c r="A101">
        <v>21156</v>
      </c>
      <c r="C101">
        <v>0</v>
      </c>
      <c r="D101" t="s">
        <v>65</v>
      </c>
      <c r="E101" t="s">
        <v>66</v>
      </c>
      <c r="F101" t="s">
        <v>84</v>
      </c>
      <c r="G101">
        <v>0</v>
      </c>
      <c r="H101" t="s">
        <v>85</v>
      </c>
      <c r="I101" t="s">
        <v>86</v>
      </c>
      <c r="J101" t="str">
        <f>MID($N101,FIND("1.",$N101),FIND("-",$N101)-FIND("1.",$N101)-1)</f>
        <v>1.0100</v>
      </c>
      <c r="K101" t="str">
        <f t="shared" si="3"/>
        <v>Ensure System: Specify the maximum log file size (KB) is set to Enabled</v>
      </c>
      <c r="L101" t="str">
        <f t="shared" si="4"/>
        <v>1.0100 - MSWRK - Ensure System: Specify the maximum log file size (KB) is set to Enabled: 32,768 or greater</v>
      </c>
      <c r="M101" t="str">
        <f t="shared" si="5"/>
        <v>PASSED</v>
      </c>
      <c r="N101" s="1" t="s">
        <v>289</v>
      </c>
      <c r="O101" t="s">
        <v>67</v>
      </c>
      <c r="R101" t="s">
        <v>68</v>
      </c>
      <c r="T101" t="s">
        <v>69</v>
      </c>
      <c r="U101" t="s">
        <v>70</v>
      </c>
      <c r="W101" t="s">
        <v>71</v>
      </c>
      <c r="X101" s="1" t="s">
        <v>72</v>
      </c>
      <c r="Y101" t="s">
        <v>88</v>
      </c>
      <c r="Z101">
        <v>0</v>
      </c>
      <c r="AA101">
        <v>0</v>
      </c>
      <c r="AD101">
        <v>0</v>
      </c>
      <c r="AE101">
        <v>0</v>
      </c>
      <c r="AH101" t="s">
        <v>73</v>
      </c>
      <c r="AI101" t="s">
        <v>318</v>
      </c>
      <c r="AJ101" t="s">
        <v>319</v>
      </c>
      <c r="AK101" t="s">
        <v>76</v>
      </c>
      <c r="AN101" t="s">
        <v>77</v>
      </c>
      <c r="AO101" t="s">
        <v>320</v>
      </c>
      <c r="AP101" t="s">
        <v>723</v>
      </c>
      <c r="AQ101" t="s">
        <v>322</v>
      </c>
      <c r="AS101" t="b">
        <v>1</v>
      </c>
      <c r="AT101" t="s">
        <v>65</v>
      </c>
      <c r="AU101">
        <v>0</v>
      </c>
      <c r="AV101">
        <v>0</v>
      </c>
      <c r="AX101">
        <v>39</v>
      </c>
      <c r="AY101" t="s">
        <v>81</v>
      </c>
      <c r="AZ101" t="s">
        <v>90</v>
      </c>
      <c r="BB101" t="s">
        <v>91</v>
      </c>
      <c r="BC101" t="s">
        <v>92</v>
      </c>
      <c r="BD101" t="b">
        <v>0</v>
      </c>
      <c r="BE101" t="b">
        <v>0</v>
      </c>
      <c r="BF101" t="b">
        <v>0</v>
      </c>
      <c r="BG101" t="b">
        <v>0</v>
      </c>
      <c r="BH101" t="b">
        <v>0</v>
      </c>
      <c r="BI101" t="b">
        <v>0</v>
      </c>
      <c r="BJ101" t="b">
        <v>0</v>
      </c>
      <c r="BK101" t="b">
        <v>0</v>
      </c>
      <c r="BL101" t="b">
        <v>0</v>
      </c>
      <c r="BM101" t="b">
        <v>0</v>
      </c>
      <c r="BN101" t="b">
        <v>0</v>
      </c>
      <c r="BO101" t="b">
        <v>0</v>
      </c>
      <c r="BP101" t="b">
        <v>0</v>
      </c>
      <c r="BR101" t="str">
        <f>IFERROR(IF(M101="PASSED",VLOOKUP(J101,Current!$J$1:$N$500,1,FALSE)),N101)</f>
        <v>1.0100</v>
      </c>
    </row>
    <row r="102" spans="1:70" ht="15" customHeight="1" x14ac:dyDescent="0.25">
      <c r="A102">
        <v>21156</v>
      </c>
      <c r="C102">
        <v>0</v>
      </c>
      <c r="D102" t="s">
        <v>65</v>
      </c>
      <c r="E102" t="s">
        <v>66</v>
      </c>
      <c r="F102" t="s">
        <v>84</v>
      </c>
      <c r="G102">
        <v>0</v>
      </c>
      <c r="H102" t="s">
        <v>85</v>
      </c>
      <c r="I102" t="s">
        <v>86</v>
      </c>
      <c r="J102" t="str">
        <f>MID($N102,FIND("1.",$N102),FIND("-",$N102)-FIND("1.",$N102)-1)</f>
        <v>1.0101</v>
      </c>
      <c r="K102" t="str">
        <f t="shared" si="3"/>
        <v>Ensure Turn off Data Execution Prevention for Explorer is set to Disabled</v>
      </c>
      <c r="L102" t="str">
        <f t="shared" si="4"/>
        <v>1.0101 - MSWRK - Ensure Turn off Data Execution Prevention for Explorer is set to Disabled</v>
      </c>
      <c r="M102" t="str">
        <f t="shared" si="5"/>
        <v>PASSED</v>
      </c>
      <c r="N102" s="1" t="s">
        <v>462</v>
      </c>
      <c r="O102" t="s">
        <v>67</v>
      </c>
      <c r="R102" t="s">
        <v>68</v>
      </c>
      <c r="T102" t="s">
        <v>69</v>
      </c>
      <c r="U102" t="s">
        <v>70</v>
      </c>
      <c r="W102" t="s">
        <v>71</v>
      </c>
      <c r="X102" s="1" t="s">
        <v>72</v>
      </c>
      <c r="Y102" t="s">
        <v>88</v>
      </c>
      <c r="Z102">
        <v>0</v>
      </c>
      <c r="AA102">
        <v>0</v>
      </c>
      <c r="AD102">
        <v>0</v>
      </c>
      <c r="AE102">
        <v>0</v>
      </c>
      <c r="AH102" t="s">
        <v>73</v>
      </c>
      <c r="AI102" t="s">
        <v>318</v>
      </c>
      <c r="AJ102" t="s">
        <v>319</v>
      </c>
      <c r="AK102" t="s">
        <v>76</v>
      </c>
      <c r="AN102" t="s">
        <v>77</v>
      </c>
      <c r="AO102" t="s">
        <v>320</v>
      </c>
      <c r="AP102" t="s">
        <v>460</v>
      </c>
      <c r="AQ102" t="s">
        <v>322</v>
      </c>
      <c r="AS102" t="b">
        <v>1</v>
      </c>
      <c r="AT102" t="s">
        <v>65</v>
      </c>
      <c r="AU102">
        <v>0</v>
      </c>
      <c r="AV102">
        <v>0</v>
      </c>
      <c r="AX102">
        <v>39</v>
      </c>
      <c r="AY102" t="s">
        <v>81</v>
      </c>
      <c r="AZ102" t="s">
        <v>90</v>
      </c>
      <c r="BB102" t="s">
        <v>91</v>
      </c>
      <c r="BC102" t="s">
        <v>92</v>
      </c>
      <c r="BD102" t="b">
        <v>0</v>
      </c>
      <c r="BE102" t="b">
        <v>0</v>
      </c>
      <c r="BF102" t="b">
        <v>0</v>
      </c>
      <c r="BG102" t="b">
        <v>0</v>
      </c>
      <c r="BH102" t="b">
        <v>0</v>
      </c>
      <c r="BI102" t="b">
        <v>0</v>
      </c>
      <c r="BJ102" t="b">
        <v>0</v>
      </c>
      <c r="BK102" t="b">
        <v>0</v>
      </c>
      <c r="BL102" t="b">
        <v>0</v>
      </c>
      <c r="BM102" t="b">
        <v>0</v>
      </c>
      <c r="BN102" t="b">
        <v>0</v>
      </c>
      <c r="BO102" t="b">
        <v>0</v>
      </c>
      <c r="BP102" t="b">
        <v>0</v>
      </c>
      <c r="BR102" t="str">
        <f>IFERROR(IF(M102="PASSED",VLOOKUP(J102,Current!$J$1:$N$500,1,FALSE)),N102)</f>
        <v>"1.0101 - MSWRK - Ensure Turn off Data Execution Prevention for Explorer is set to Disabled: [PASSED]"
Disabling Data Execution Prevention can allow certain legacy plug-in applications to function without terminating Explorer.
See Also:
See HTH Policies and Standards
Reference:
NIST 800-53r5|SI-16
Policy Value:
'0'
Actual Value:
'0'</v>
      </c>
    </row>
    <row r="103" spans="1:70" ht="15" customHeight="1" x14ac:dyDescent="0.25">
      <c r="A103">
        <v>21156</v>
      </c>
      <c r="C103">
        <v>0</v>
      </c>
      <c r="D103" t="s">
        <v>65</v>
      </c>
      <c r="E103" t="s">
        <v>66</v>
      </c>
      <c r="F103" t="s">
        <v>84</v>
      </c>
      <c r="G103">
        <v>0</v>
      </c>
      <c r="H103" t="s">
        <v>85</v>
      </c>
      <c r="I103" t="s">
        <v>86</v>
      </c>
      <c r="J103" t="str">
        <f>MID($N103,FIND("1.",$N103),FIND("-",$N103)-FIND("1.",$N103)-1)</f>
        <v>1.0102</v>
      </c>
      <c r="K103" t="str">
        <f t="shared" si="3"/>
        <v>Ensure Do not apply the Mark of the Web tag to files copied from insecure sources is set to Disabled</v>
      </c>
      <c r="L103" t="str">
        <f t="shared" si="4"/>
        <v>1.0102 - MSWRK - Ensure Do not apply the Mark of the Web tag to files copied from insecure sources is set to Disabled</v>
      </c>
      <c r="M103" t="str">
        <f t="shared" si="5"/>
        <v>PASSED</v>
      </c>
      <c r="N103" s="1" t="s">
        <v>399</v>
      </c>
      <c r="O103" t="s">
        <v>67</v>
      </c>
      <c r="R103" t="s">
        <v>68</v>
      </c>
      <c r="T103" t="s">
        <v>69</v>
      </c>
      <c r="U103" t="s">
        <v>70</v>
      </c>
      <c r="W103" t="s">
        <v>71</v>
      </c>
      <c r="X103" s="1" t="s">
        <v>72</v>
      </c>
      <c r="Y103" t="s">
        <v>88</v>
      </c>
      <c r="Z103">
        <v>0</v>
      </c>
      <c r="AA103">
        <v>0</v>
      </c>
      <c r="AD103">
        <v>0</v>
      </c>
      <c r="AE103">
        <v>0</v>
      </c>
      <c r="AH103" t="s">
        <v>73</v>
      </c>
      <c r="AI103" t="s">
        <v>318</v>
      </c>
      <c r="AJ103" t="s">
        <v>319</v>
      </c>
      <c r="AK103" t="s">
        <v>76</v>
      </c>
      <c r="AN103" t="s">
        <v>77</v>
      </c>
      <c r="AO103" t="s">
        <v>320</v>
      </c>
      <c r="AP103" t="s">
        <v>400</v>
      </c>
      <c r="AQ103" t="s">
        <v>322</v>
      </c>
      <c r="AS103" t="b">
        <v>1</v>
      </c>
      <c r="AT103" t="s">
        <v>65</v>
      </c>
      <c r="AU103">
        <v>0</v>
      </c>
      <c r="AV103">
        <v>0</v>
      </c>
      <c r="AX103">
        <v>39</v>
      </c>
      <c r="AY103" t="s">
        <v>81</v>
      </c>
      <c r="AZ103" t="s">
        <v>90</v>
      </c>
      <c r="BB103" t="s">
        <v>91</v>
      </c>
      <c r="BC103" t="s">
        <v>92</v>
      </c>
      <c r="BD103" t="b">
        <v>0</v>
      </c>
      <c r="BE103" t="b">
        <v>0</v>
      </c>
      <c r="BF103" t="b">
        <v>0</v>
      </c>
      <c r="BG103" t="b">
        <v>0</v>
      </c>
      <c r="BH103" t="b">
        <v>0</v>
      </c>
      <c r="BI103" t="b">
        <v>0</v>
      </c>
      <c r="BJ103" t="b">
        <v>0</v>
      </c>
      <c r="BK103" t="b">
        <v>0</v>
      </c>
      <c r="BL103" t="b">
        <v>0</v>
      </c>
      <c r="BM103" t="b">
        <v>0</v>
      </c>
      <c r="BN103" t="b">
        <v>0</v>
      </c>
      <c r="BO103" t="b">
        <v>0</v>
      </c>
      <c r="BP103" t="b">
        <v>0</v>
      </c>
      <c r="BR103" t="str">
        <f>IFERROR(IF(M103="PASSED",VLOOKUP(J103,Current!$J$1:$N$500,1,FALSE)),N103)</f>
        <v>"1.0102 - MSWRK - Ensure Do not apply the Mark of the Web tag to files copied from insecure sources is set to Disabled: [PASSED]"
This policy setting determines whether files that are sourced from insecure locations are tagged with Mark of the Web (MOTW).
See Also:
See HTH Policies and Standards
Reference:
NIST 800-53r5|SI-16
Policy Value:
'0'
Actual Value:
'0'</v>
      </c>
    </row>
    <row r="104" spans="1:70" ht="15" customHeight="1" x14ac:dyDescent="0.25">
      <c r="A104">
        <v>21156</v>
      </c>
      <c r="C104">
        <v>0</v>
      </c>
      <c r="D104" t="s">
        <v>65</v>
      </c>
      <c r="E104" t="s">
        <v>66</v>
      </c>
      <c r="F104" t="s">
        <v>84</v>
      </c>
      <c r="G104">
        <v>0</v>
      </c>
      <c r="H104" t="s">
        <v>85</v>
      </c>
      <c r="I104" t="s">
        <v>86</v>
      </c>
      <c r="J104" t="str">
        <f>MID($N104,FIND("1.",$N104),FIND("-",$N104)-FIND("1.",$N104)-1)</f>
        <v>1.0103</v>
      </c>
      <c r="K104" t="str">
        <f t="shared" si="3"/>
        <v>Ensure Turn off heap termination on corruption is set to Disabled</v>
      </c>
      <c r="L104" t="str">
        <f t="shared" si="4"/>
        <v>1.0103 - MSWRK - Ensure Turn off heap termination on corruption is set to Disabled</v>
      </c>
      <c r="M104" t="str">
        <f t="shared" si="5"/>
        <v>PASSED</v>
      </c>
      <c r="N104" s="1" t="s">
        <v>423</v>
      </c>
      <c r="O104" t="s">
        <v>67</v>
      </c>
      <c r="R104" t="s">
        <v>68</v>
      </c>
      <c r="T104" t="s">
        <v>69</v>
      </c>
      <c r="U104" t="s">
        <v>70</v>
      </c>
      <c r="W104" t="s">
        <v>71</v>
      </c>
      <c r="X104" s="1" t="s">
        <v>72</v>
      </c>
      <c r="Y104" t="s">
        <v>88</v>
      </c>
      <c r="Z104">
        <v>0</v>
      </c>
      <c r="AA104">
        <v>0</v>
      </c>
      <c r="AD104">
        <v>0</v>
      </c>
      <c r="AE104">
        <v>0</v>
      </c>
      <c r="AH104" t="s">
        <v>73</v>
      </c>
      <c r="AI104" t="s">
        <v>318</v>
      </c>
      <c r="AJ104" t="s">
        <v>319</v>
      </c>
      <c r="AK104" t="s">
        <v>76</v>
      </c>
      <c r="AN104" t="s">
        <v>77</v>
      </c>
      <c r="AO104" t="s">
        <v>320</v>
      </c>
      <c r="AP104" t="s">
        <v>421</v>
      </c>
      <c r="AQ104" t="s">
        <v>322</v>
      </c>
      <c r="AS104" t="b">
        <v>1</v>
      </c>
      <c r="AT104" t="s">
        <v>65</v>
      </c>
      <c r="AU104">
        <v>0</v>
      </c>
      <c r="AV104">
        <v>0</v>
      </c>
      <c r="AX104">
        <v>39</v>
      </c>
      <c r="AY104" t="s">
        <v>81</v>
      </c>
      <c r="AZ104" t="s">
        <v>90</v>
      </c>
      <c r="BB104" t="s">
        <v>91</v>
      </c>
      <c r="BC104" t="s">
        <v>92</v>
      </c>
      <c r="BD104" t="b">
        <v>0</v>
      </c>
      <c r="BE104" t="b">
        <v>0</v>
      </c>
      <c r="BF104" t="b">
        <v>0</v>
      </c>
      <c r="BG104" t="b">
        <v>0</v>
      </c>
      <c r="BH104" t="b">
        <v>0</v>
      </c>
      <c r="BI104" t="b">
        <v>0</v>
      </c>
      <c r="BJ104" t="b">
        <v>0</v>
      </c>
      <c r="BK104" t="b">
        <v>0</v>
      </c>
      <c r="BL104" t="b">
        <v>0</v>
      </c>
      <c r="BM104" t="b">
        <v>0</v>
      </c>
      <c r="BN104" t="b">
        <v>0</v>
      </c>
      <c r="BO104" t="b">
        <v>0</v>
      </c>
      <c r="BP104" t="b">
        <v>0</v>
      </c>
      <c r="BR104" t="str">
        <f>IFERROR(IF(M104="PASSED",VLOOKUP(J104,Current!$J$1:$N$500,1,FALSE)),N104)</f>
        <v>"1.0103 - MSWRK - Ensure Turn off heap termination on corruption is set to Disabled: [PASSED]"
Without heap termination on corruption, legacy plug-in applications may continue to function when a File Explorer session has become corrupt.
See Also:
See HTH Policies and Standards
Reference:
NIST 800-53r5|CM-6 CM-7
Policy Value:
'0'
Actual Value:
'0'</v>
      </c>
    </row>
    <row r="105" spans="1:70" ht="15" customHeight="1" x14ac:dyDescent="0.25">
      <c r="A105">
        <v>21156</v>
      </c>
      <c r="C105">
        <v>0</v>
      </c>
      <c r="D105" t="s">
        <v>65</v>
      </c>
      <c r="E105" t="s">
        <v>66</v>
      </c>
      <c r="F105" t="s">
        <v>84</v>
      </c>
      <c r="G105">
        <v>0</v>
      </c>
      <c r="H105" t="s">
        <v>85</v>
      </c>
      <c r="I105" t="s">
        <v>86</v>
      </c>
      <c r="J105" t="str">
        <f>MID($N105,FIND("1.",$N105),FIND("-",$N105)-FIND("1.",$N105)-1)</f>
        <v>1.0104</v>
      </c>
      <c r="K105" t="str">
        <f t="shared" si="3"/>
        <v>Ensure Turn off shell protocol protected mode is set to Disabled</v>
      </c>
      <c r="L105" t="str">
        <f t="shared" si="4"/>
        <v>1.0104 - MSWRK - Ensure Turn off shell protocol protected mode is set to Disabled</v>
      </c>
      <c r="M105" t="str">
        <f t="shared" si="5"/>
        <v>PASSED</v>
      </c>
      <c r="N105" s="1" t="s">
        <v>710</v>
      </c>
      <c r="O105" t="s">
        <v>67</v>
      </c>
      <c r="R105" t="s">
        <v>68</v>
      </c>
      <c r="T105" t="s">
        <v>69</v>
      </c>
      <c r="U105" t="s">
        <v>70</v>
      </c>
      <c r="W105" t="s">
        <v>71</v>
      </c>
      <c r="X105" s="1" t="s">
        <v>72</v>
      </c>
      <c r="Y105" t="s">
        <v>88</v>
      </c>
      <c r="Z105">
        <v>0</v>
      </c>
      <c r="AA105">
        <v>0</v>
      </c>
      <c r="AD105">
        <v>0</v>
      </c>
      <c r="AE105">
        <v>0</v>
      </c>
      <c r="AH105" t="s">
        <v>73</v>
      </c>
      <c r="AI105" t="s">
        <v>318</v>
      </c>
      <c r="AJ105" t="s">
        <v>319</v>
      </c>
      <c r="AK105" t="s">
        <v>76</v>
      </c>
      <c r="AN105" t="s">
        <v>77</v>
      </c>
      <c r="AO105" t="s">
        <v>320</v>
      </c>
      <c r="AP105" t="s">
        <v>708</v>
      </c>
      <c r="AQ105" t="s">
        <v>322</v>
      </c>
      <c r="AS105" t="b">
        <v>1</v>
      </c>
      <c r="AT105" t="s">
        <v>65</v>
      </c>
      <c r="AU105">
        <v>0</v>
      </c>
      <c r="AV105">
        <v>0</v>
      </c>
      <c r="AX105">
        <v>39</v>
      </c>
      <c r="AY105" t="s">
        <v>81</v>
      </c>
      <c r="AZ105" t="s">
        <v>90</v>
      </c>
      <c r="BB105" t="s">
        <v>91</v>
      </c>
      <c r="BC105" t="s">
        <v>92</v>
      </c>
      <c r="BD105" t="b">
        <v>0</v>
      </c>
      <c r="BE105" t="b">
        <v>0</v>
      </c>
      <c r="BF105" t="b">
        <v>0</v>
      </c>
      <c r="BG105" t="b">
        <v>0</v>
      </c>
      <c r="BH105" t="b">
        <v>0</v>
      </c>
      <c r="BI105" t="b">
        <v>0</v>
      </c>
      <c r="BJ105" t="b">
        <v>0</v>
      </c>
      <c r="BK105" t="b">
        <v>0</v>
      </c>
      <c r="BL105" t="b">
        <v>0</v>
      </c>
      <c r="BM105" t="b">
        <v>0</v>
      </c>
      <c r="BN105" t="b">
        <v>0</v>
      </c>
      <c r="BO105" t="b">
        <v>0</v>
      </c>
      <c r="BP105" t="b">
        <v>0</v>
      </c>
      <c r="BR105" t="str">
        <f>IFERROR(IF(M105="PASSED",VLOOKUP(J105,Current!$J$1:$N$500,1,FALSE)),N105)</f>
        <v>"1.0104 - MSWRK - Ensure Turn off shell protocol protected mode is set to Disabled: [PASSED]"
This policy setting allows you to configure the amount of functionality that the shell protocol can have.
See Also:
See HTH Policies and Standards
Reference:
NIST 800-53r5|CM-6 CM-7
Policy Value:
'0'
Actual Value:
'0'</v>
      </c>
    </row>
    <row r="106" spans="1:70" ht="15" hidden="1" customHeight="1" x14ac:dyDescent="0.25">
      <c r="A106">
        <v>21156</v>
      </c>
      <c r="C106">
        <v>0</v>
      </c>
      <c r="D106" t="s">
        <v>83</v>
      </c>
      <c r="E106" t="s">
        <v>66</v>
      </c>
      <c r="F106" t="s">
        <v>84</v>
      </c>
      <c r="G106">
        <v>0</v>
      </c>
      <c r="H106" t="s">
        <v>85</v>
      </c>
      <c r="I106" t="s">
        <v>86</v>
      </c>
      <c r="J106" t="str">
        <f>MID($N106,FIND("1.",$N106),FIND("-",$N106)-FIND("1.",$N106)-1)</f>
        <v>1.0105</v>
      </c>
      <c r="K106" t="str">
        <f t="shared" si="3"/>
        <v>Ensure Block all consumer Microsoft account user authentication is set to Enabled</v>
      </c>
      <c r="L106" t="str">
        <f t="shared" si="4"/>
        <v>1.0105 - MSWRK - Ensure Block all consumer Microsoft account user authentication is set to Enabled</v>
      </c>
      <c r="M106" t="str">
        <f t="shared" si="5"/>
        <v>FAILED</v>
      </c>
      <c r="N106" s="1" t="s">
        <v>475</v>
      </c>
      <c r="O106" t="s">
        <v>67</v>
      </c>
      <c r="R106" t="s">
        <v>68</v>
      </c>
      <c r="T106" t="s">
        <v>69</v>
      </c>
      <c r="U106" t="s">
        <v>70</v>
      </c>
      <c r="W106" t="s">
        <v>71</v>
      </c>
      <c r="X106" s="1" t="s">
        <v>72</v>
      </c>
      <c r="Y106" t="s">
        <v>88</v>
      </c>
      <c r="Z106">
        <v>0</v>
      </c>
      <c r="AA106">
        <v>0</v>
      </c>
      <c r="AD106">
        <v>0</v>
      </c>
      <c r="AE106">
        <v>0</v>
      </c>
      <c r="AH106" t="s">
        <v>73</v>
      </c>
      <c r="AI106" t="s">
        <v>318</v>
      </c>
      <c r="AJ106" t="s">
        <v>319</v>
      </c>
      <c r="AK106" t="s">
        <v>76</v>
      </c>
      <c r="AN106" t="s">
        <v>77</v>
      </c>
      <c r="AO106" t="s">
        <v>320</v>
      </c>
      <c r="AP106" t="s">
        <v>476</v>
      </c>
      <c r="AQ106" t="s">
        <v>322</v>
      </c>
      <c r="AS106" t="b">
        <v>1</v>
      </c>
      <c r="AT106" t="s">
        <v>65</v>
      </c>
      <c r="AU106">
        <v>0</v>
      </c>
      <c r="AV106">
        <v>0</v>
      </c>
      <c r="AX106">
        <v>39</v>
      </c>
      <c r="AY106" t="s">
        <v>81</v>
      </c>
      <c r="AZ106" t="s">
        <v>90</v>
      </c>
      <c r="BB106" t="s">
        <v>91</v>
      </c>
      <c r="BC106" t="s">
        <v>92</v>
      </c>
      <c r="BD106" t="b">
        <v>0</v>
      </c>
      <c r="BE106" t="b">
        <v>0</v>
      </c>
      <c r="BF106" t="b">
        <v>0</v>
      </c>
      <c r="BG106" t="b">
        <v>0</v>
      </c>
      <c r="BH106" t="b">
        <v>0</v>
      </c>
      <c r="BI106" t="b">
        <v>0</v>
      </c>
      <c r="BJ106" t="b">
        <v>0</v>
      </c>
      <c r="BK106" t="b">
        <v>0</v>
      </c>
      <c r="BL106" t="b">
        <v>0</v>
      </c>
      <c r="BM106" t="b">
        <v>0</v>
      </c>
      <c r="BN106" t="b">
        <v>0</v>
      </c>
      <c r="BO106" t="b">
        <v>0</v>
      </c>
      <c r="BP106" t="b">
        <v>0</v>
      </c>
      <c r="BR106" t="b">
        <f>IFERROR(IF(M106="PASSED",VLOOKUP(J106,Current!$J$1:$N$500,1,FALSE)),N106)</f>
        <v>0</v>
      </c>
    </row>
    <row r="107" spans="1:70" ht="15" hidden="1" customHeight="1" x14ac:dyDescent="0.25">
      <c r="A107">
        <v>21156</v>
      </c>
      <c r="C107">
        <v>0</v>
      </c>
      <c r="D107" t="s">
        <v>83</v>
      </c>
      <c r="E107" t="s">
        <v>66</v>
      </c>
      <c r="F107" t="s">
        <v>84</v>
      </c>
      <c r="G107">
        <v>0</v>
      </c>
      <c r="H107" t="s">
        <v>85</v>
      </c>
      <c r="I107" t="s">
        <v>86</v>
      </c>
      <c r="J107" t="str">
        <f>MID($N107,FIND("1.",$N107),FIND("-",$N107)-FIND("1.",$N107)-1)</f>
        <v>1.0106</v>
      </c>
      <c r="K107" t="str">
        <f t="shared" si="3"/>
        <v>Ensure Not allow per-user unsigned packages to install by default (requires explicitly allow per install) is set to Enabled</v>
      </c>
      <c r="L107" t="str">
        <f t="shared" si="4"/>
        <v>1.0106 - MSWRK - Ensure Not allow per-user unsigned packages to install by default (requires explicitly allow per install) is set to Enabled</v>
      </c>
      <c r="M107" t="str">
        <f t="shared" si="5"/>
        <v>FAILED</v>
      </c>
      <c r="N107" s="1" t="s">
        <v>339</v>
      </c>
      <c r="O107" t="s">
        <v>67</v>
      </c>
      <c r="R107" t="s">
        <v>68</v>
      </c>
      <c r="T107" t="s">
        <v>69</v>
      </c>
      <c r="U107" t="s">
        <v>70</v>
      </c>
      <c r="W107" t="s">
        <v>71</v>
      </c>
      <c r="X107" s="1" t="s">
        <v>72</v>
      </c>
      <c r="Y107" t="s">
        <v>88</v>
      </c>
      <c r="Z107">
        <v>0</v>
      </c>
      <c r="AA107">
        <v>0</v>
      </c>
      <c r="AD107">
        <v>0</v>
      </c>
      <c r="AE107">
        <v>0</v>
      </c>
      <c r="AH107" t="s">
        <v>73</v>
      </c>
      <c r="AI107" t="s">
        <v>318</v>
      </c>
      <c r="AJ107" t="s">
        <v>319</v>
      </c>
      <c r="AK107" t="s">
        <v>76</v>
      </c>
      <c r="AN107" t="s">
        <v>77</v>
      </c>
      <c r="AO107" t="s">
        <v>320</v>
      </c>
      <c r="AP107" t="s">
        <v>340</v>
      </c>
      <c r="AQ107" t="s">
        <v>322</v>
      </c>
      <c r="AS107" t="b">
        <v>1</v>
      </c>
      <c r="AT107" t="s">
        <v>65</v>
      </c>
      <c r="AU107">
        <v>0</v>
      </c>
      <c r="AV107">
        <v>0</v>
      </c>
      <c r="AX107">
        <v>39</v>
      </c>
      <c r="AY107" t="s">
        <v>81</v>
      </c>
      <c r="AZ107" t="s">
        <v>90</v>
      </c>
      <c r="BB107" t="s">
        <v>91</v>
      </c>
      <c r="BC107" t="s">
        <v>92</v>
      </c>
      <c r="BD107" t="b">
        <v>0</v>
      </c>
      <c r="BE107" t="b">
        <v>0</v>
      </c>
      <c r="BF107" t="b">
        <v>0</v>
      </c>
      <c r="BG107" t="b">
        <v>0</v>
      </c>
      <c r="BH107" t="b">
        <v>0</v>
      </c>
      <c r="BI107" t="b">
        <v>0</v>
      </c>
      <c r="BJ107" t="b">
        <v>0</v>
      </c>
      <c r="BK107" t="b">
        <v>0</v>
      </c>
      <c r="BL107" t="b">
        <v>0</v>
      </c>
      <c r="BM107" t="b">
        <v>0</v>
      </c>
      <c r="BN107" t="b">
        <v>0</v>
      </c>
      <c r="BO107" t="b">
        <v>0</v>
      </c>
      <c r="BP107" t="b">
        <v>0</v>
      </c>
      <c r="BR107" t="b">
        <f>IFERROR(IF(M107="PASSED",VLOOKUP(J107,Current!$J$1:$N$500,1,FALSE)),N107)</f>
        <v>0</v>
      </c>
    </row>
    <row r="108" spans="1:70" ht="15" hidden="1" customHeight="1" x14ac:dyDescent="0.25">
      <c r="A108">
        <v>21156</v>
      </c>
      <c r="C108">
        <v>0</v>
      </c>
      <c r="D108" t="s">
        <v>83</v>
      </c>
      <c r="E108" t="s">
        <v>66</v>
      </c>
      <c r="F108" t="s">
        <v>84</v>
      </c>
      <c r="G108">
        <v>0</v>
      </c>
      <c r="H108" t="s">
        <v>85</v>
      </c>
      <c r="I108" t="s">
        <v>86</v>
      </c>
      <c r="J108" t="str">
        <f>MID($N108,FIND("1.",$N108),FIND("-",$N108)-FIND("1.",$N108)-1)</f>
        <v>1.0107</v>
      </c>
      <c r="K108" t="str">
        <f t="shared" si="3"/>
        <v>Ensure Configure real-time protection and Security Intelligence Updates during OOBE is set to Enabled</v>
      </c>
      <c r="L108" t="str">
        <f t="shared" si="4"/>
        <v>1.0107 - MSWRK - Ensure Configure real-time protection and Security Intelligence Updates during OOBE is set to Enabled</v>
      </c>
      <c r="M108" t="str">
        <f t="shared" si="5"/>
        <v>FAILED</v>
      </c>
      <c r="N108" s="1" t="s">
        <v>813</v>
      </c>
      <c r="O108" t="s">
        <v>67</v>
      </c>
      <c r="R108" t="s">
        <v>68</v>
      </c>
      <c r="T108" t="s">
        <v>69</v>
      </c>
      <c r="U108" t="s">
        <v>70</v>
      </c>
      <c r="W108" t="s">
        <v>71</v>
      </c>
      <c r="X108" s="1" t="s">
        <v>72</v>
      </c>
      <c r="Y108" t="s">
        <v>88</v>
      </c>
      <c r="Z108">
        <v>0</v>
      </c>
      <c r="AA108">
        <v>0</v>
      </c>
      <c r="AD108">
        <v>0</v>
      </c>
      <c r="AE108">
        <v>0</v>
      </c>
      <c r="AH108" t="s">
        <v>73</v>
      </c>
      <c r="AI108" t="s">
        <v>318</v>
      </c>
      <c r="AJ108" t="s">
        <v>319</v>
      </c>
      <c r="AK108" t="s">
        <v>76</v>
      </c>
      <c r="AN108" t="s">
        <v>77</v>
      </c>
      <c r="AO108" t="s">
        <v>320</v>
      </c>
      <c r="AP108" t="s">
        <v>811</v>
      </c>
      <c r="AQ108" t="s">
        <v>322</v>
      </c>
      <c r="AS108" t="b">
        <v>1</v>
      </c>
      <c r="AT108" t="s">
        <v>65</v>
      </c>
      <c r="AU108">
        <v>0</v>
      </c>
      <c r="AV108">
        <v>0</v>
      </c>
      <c r="AX108">
        <v>39</v>
      </c>
      <c r="AY108" t="s">
        <v>81</v>
      </c>
      <c r="AZ108" t="s">
        <v>90</v>
      </c>
      <c r="BB108" t="s">
        <v>91</v>
      </c>
      <c r="BC108" t="s">
        <v>92</v>
      </c>
      <c r="BD108" t="b">
        <v>0</v>
      </c>
      <c r="BE108" t="b">
        <v>0</v>
      </c>
      <c r="BF108" t="b">
        <v>0</v>
      </c>
      <c r="BG108" t="b">
        <v>0</v>
      </c>
      <c r="BH108" t="b">
        <v>0</v>
      </c>
      <c r="BI108" t="b">
        <v>0</v>
      </c>
      <c r="BJ108" t="b">
        <v>0</v>
      </c>
      <c r="BK108" t="b">
        <v>0</v>
      </c>
      <c r="BL108" t="b">
        <v>0</v>
      </c>
      <c r="BM108" t="b">
        <v>0</v>
      </c>
      <c r="BN108" t="b">
        <v>0</v>
      </c>
      <c r="BO108" t="b">
        <v>0</v>
      </c>
      <c r="BP108" t="b">
        <v>0</v>
      </c>
      <c r="BR108" t="b">
        <f>IFERROR(IF(M108="PASSED",VLOOKUP(J108,Current!$J$1:$N$500,1,FALSE)),N108)</f>
        <v>0</v>
      </c>
    </row>
    <row r="109" spans="1:70" ht="15" hidden="1" customHeight="1" x14ac:dyDescent="0.25">
      <c r="A109">
        <v>21156</v>
      </c>
      <c r="C109">
        <v>0</v>
      </c>
      <c r="D109" t="s">
        <v>83</v>
      </c>
      <c r="E109" t="s">
        <v>66</v>
      </c>
      <c r="F109" t="s">
        <v>84</v>
      </c>
      <c r="G109">
        <v>0</v>
      </c>
      <c r="H109" t="s">
        <v>85</v>
      </c>
      <c r="I109" t="s">
        <v>86</v>
      </c>
      <c r="J109" t="str">
        <f>MID($N109,FIND("1.",$N109),FIND("-",$N109)-FIND("1.",$N109)-1)</f>
        <v>1.0108</v>
      </c>
      <c r="K109" t="str">
        <f t="shared" si="3"/>
        <v>Ensure Scan all downloaded files and attachments is set to Enabled</v>
      </c>
      <c r="L109" t="str">
        <f t="shared" si="4"/>
        <v>1.0108 - MSWRK - Ensure Scan all downloaded files and attachments is set to Enabled</v>
      </c>
      <c r="M109" t="str">
        <f t="shared" si="5"/>
        <v>FAILED</v>
      </c>
      <c r="N109" s="1" t="s">
        <v>103</v>
      </c>
      <c r="O109" t="s">
        <v>67</v>
      </c>
      <c r="R109" t="s">
        <v>68</v>
      </c>
      <c r="T109" t="s">
        <v>69</v>
      </c>
      <c r="U109" t="s">
        <v>70</v>
      </c>
      <c r="W109" t="s">
        <v>71</v>
      </c>
      <c r="X109" s="1" t="s">
        <v>72</v>
      </c>
      <c r="Y109" t="s">
        <v>88</v>
      </c>
      <c r="Z109">
        <v>0</v>
      </c>
      <c r="AA109">
        <v>0</v>
      </c>
      <c r="AD109">
        <v>0</v>
      </c>
      <c r="AE109">
        <v>0</v>
      </c>
      <c r="AH109" t="s">
        <v>73</v>
      </c>
      <c r="AI109" t="s">
        <v>318</v>
      </c>
      <c r="AJ109" t="s">
        <v>319</v>
      </c>
      <c r="AK109" t="s">
        <v>76</v>
      </c>
      <c r="AN109" t="s">
        <v>77</v>
      </c>
      <c r="AO109" t="s">
        <v>320</v>
      </c>
      <c r="AP109" t="s">
        <v>777</v>
      </c>
      <c r="AQ109" t="s">
        <v>322</v>
      </c>
      <c r="AS109" t="b">
        <v>1</v>
      </c>
      <c r="AT109" t="s">
        <v>65</v>
      </c>
      <c r="AU109">
        <v>0</v>
      </c>
      <c r="AV109">
        <v>0</v>
      </c>
      <c r="AX109">
        <v>39</v>
      </c>
      <c r="AY109" t="s">
        <v>81</v>
      </c>
      <c r="AZ109" t="s">
        <v>90</v>
      </c>
      <c r="BB109" t="s">
        <v>91</v>
      </c>
      <c r="BC109" t="s">
        <v>92</v>
      </c>
      <c r="BD109" t="b">
        <v>0</v>
      </c>
      <c r="BE109" t="b">
        <v>0</v>
      </c>
      <c r="BF109" t="b">
        <v>0</v>
      </c>
      <c r="BG109" t="b">
        <v>0</v>
      </c>
      <c r="BH109" t="b">
        <v>0</v>
      </c>
      <c r="BI109" t="b">
        <v>0</v>
      </c>
      <c r="BJ109" t="b">
        <v>0</v>
      </c>
      <c r="BK109" t="b">
        <v>0</v>
      </c>
      <c r="BL109" t="b">
        <v>0</v>
      </c>
      <c r="BM109" t="b">
        <v>0</v>
      </c>
      <c r="BN109" t="b">
        <v>0</v>
      </c>
      <c r="BO109" t="b">
        <v>0</v>
      </c>
      <c r="BP109" t="b">
        <v>0</v>
      </c>
      <c r="BR109" t="b">
        <f>IFERROR(IF(M109="PASSED",VLOOKUP(J109,Current!$J$1:$N$500,1,FALSE)),N109)</f>
        <v>0</v>
      </c>
    </row>
    <row r="110" spans="1:70" ht="15" hidden="1" customHeight="1" x14ac:dyDescent="0.25">
      <c r="A110">
        <v>21156</v>
      </c>
      <c r="C110">
        <v>0</v>
      </c>
      <c r="D110" t="s">
        <v>83</v>
      </c>
      <c r="E110" t="s">
        <v>66</v>
      </c>
      <c r="F110" t="s">
        <v>84</v>
      </c>
      <c r="G110">
        <v>0</v>
      </c>
      <c r="H110" t="s">
        <v>85</v>
      </c>
      <c r="I110" t="s">
        <v>86</v>
      </c>
      <c r="J110" t="str">
        <f>MID($N110,FIND("1.",$N110),FIND("-",$N110)-FIND("1.",$N110)-1)</f>
        <v>1.0109</v>
      </c>
      <c r="K110" t="str">
        <f t="shared" si="3"/>
        <v>Ensure Turn off real-time protection is set to Disabled</v>
      </c>
      <c r="L110" t="str">
        <f t="shared" si="4"/>
        <v>1.0109 - MSWRK - Ensure Turn off real-time protection is set to Disabled</v>
      </c>
      <c r="M110" t="str">
        <f t="shared" si="5"/>
        <v>FAILED</v>
      </c>
      <c r="N110" s="1" t="s">
        <v>240</v>
      </c>
      <c r="O110" t="s">
        <v>67</v>
      </c>
      <c r="R110" t="s">
        <v>68</v>
      </c>
      <c r="T110" t="s">
        <v>69</v>
      </c>
      <c r="U110" t="s">
        <v>70</v>
      </c>
      <c r="W110" t="s">
        <v>71</v>
      </c>
      <c r="X110" s="1" t="s">
        <v>72</v>
      </c>
      <c r="Y110" t="s">
        <v>88</v>
      </c>
      <c r="Z110">
        <v>0</v>
      </c>
      <c r="AA110">
        <v>0</v>
      </c>
      <c r="AD110">
        <v>0</v>
      </c>
      <c r="AE110">
        <v>0</v>
      </c>
      <c r="AH110" t="s">
        <v>73</v>
      </c>
      <c r="AI110" t="s">
        <v>318</v>
      </c>
      <c r="AJ110" t="s">
        <v>319</v>
      </c>
      <c r="AK110" t="s">
        <v>76</v>
      </c>
      <c r="AN110" t="s">
        <v>77</v>
      </c>
      <c r="AO110" t="s">
        <v>320</v>
      </c>
      <c r="AP110" t="s">
        <v>344</v>
      </c>
      <c r="AQ110" t="s">
        <v>322</v>
      </c>
      <c r="AS110" t="b">
        <v>1</v>
      </c>
      <c r="AT110" t="s">
        <v>65</v>
      </c>
      <c r="AU110">
        <v>0</v>
      </c>
      <c r="AV110">
        <v>0</v>
      </c>
      <c r="AX110">
        <v>39</v>
      </c>
      <c r="AY110" t="s">
        <v>81</v>
      </c>
      <c r="AZ110" t="s">
        <v>90</v>
      </c>
      <c r="BB110" t="s">
        <v>91</v>
      </c>
      <c r="BC110" t="s">
        <v>92</v>
      </c>
      <c r="BD110" t="b">
        <v>0</v>
      </c>
      <c r="BE110" t="b">
        <v>0</v>
      </c>
      <c r="BF110" t="b">
        <v>0</v>
      </c>
      <c r="BG110" t="b">
        <v>0</v>
      </c>
      <c r="BH110" t="b">
        <v>0</v>
      </c>
      <c r="BI110" t="b">
        <v>0</v>
      </c>
      <c r="BJ110" t="b">
        <v>0</v>
      </c>
      <c r="BK110" t="b">
        <v>0</v>
      </c>
      <c r="BL110" t="b">
        <v>0</v>
      </c>
      <c r="BM110" t="b">
        <v>0</v>
      </c>
      <c r="BN110" t="b">
        <v>0</v>
      </c>
      <c r="BO110" t="b">
        <v>0</v>
      </c>
      <c r="BP110" t="b">
        <v>0</v>
      </c>
      <c r="BR110" t="b">
        <f>IFERROR(IF(M110="PASSED",VLOOKUP(J110,Current!$J$1:$N$500,1,FALSE)),N110)</f>
        <v>0</v>
      </c>
    </row>
    <row r="111" spans="1:70" ht="15" hidden="1" customHeight="1" x14ac:dyDescent="0.25">
      <c r="A111">
        <v>21156</v>
      </c>
      <c r="C111">
        <v>0</v>
      </c>
      <c r="D111" t="s">
        <v>83</v>
      </c>
      <c r="E111" t="s">
        <v>66</v>
      </c>
      <c r="F111" t="s">
        <v>84</v>
      </c>
      <c r="G111">
        <v>0</v>
      </c>
      <c r="H111" t="s">
        <v>85</v>
      </c>
      <c r="I111" t="s">
        <v>86</v>
      </c>
      <c r="J111" t="str">
        <f>MID($N111,FIND("1.",$N111),FIND("-",$N111)-FIND("1.",$N111)-1)</f>
        <v>1.0110</v>
      </c>
      <c r="K111" t="str">
        <f t="shared" si="3"/>
        <v>Ensure Turn on behavior monitoring is set to Enabled</v>
      </c>
      <c r="L111" t="str">
        <f t="shared" si="4"/>
        <v>1.0110 - MSWRK - Ensure Turn on behavior monitoring is set to Enabled</v>
      </c>
      <c r="M111" t="str">
        <f t="shared" si="5"/>
        <v>FAILED</v>
      </c>
      <c r="N111" s="1" t="s">
        <v>228</v>
      </c>
      <c r="O111" t="s">
        <v>67</v>
      </c>
      <c r="R111" t="s">
        <v>68</v>
      </c>
      <c r="T111" t="s">
        <v>69</v>
      </c>
      <c r="U111" t="s">
        <v>70</v>
      </c>
      <c r="W111" t="s">
        <v>71</v>
      </c>
      <c r="X111" s="1" t="s">
        <v>72</v>
      </c>
      <c r="Y111" t="s">
        <v>88</v>
      </c>
      <c r="Z111">
        <v>0</v>
      </c>
      <c r="AA111">
        <v>0</v>
      </c>
      <c r="AD111">
        <v>0</v>
      </c>
      <c r="AE111">
        <v>0</v>
      </c>
      <c r="AH111" t="s">
        <v>73</v>
      </c>
      <c r="AI111" t="s">
        <v>318</v>
      </c>
      <c r="AJ111" t="s">
        <v>319</v>
      </c>
      <c r="AK111" t="s">
        <v>76</v>
      </c>
      <c r="AN111" t="s">
        <v>77</v>
      </c>
      <c r="AO111" t="s">
        <v>320</v>
      </c>
      <c r="AP111" t="s">
        <v>327</v>
      </c>
      <c r="AQ111" t="s">
        <v>322</v>
      </c>
      <c r="AS111" t="b">
        <v>1</v>
      </c>
      <c r="AT111" t="s">
        <v>65</v>
      </c>
      <c r="AU111">
        <v>0</v>
      </c>
      <c r="AV111">
        <v>0</v>
      </c>
      <c r="AX111">
        <v>39</v>
      </c>
      <c r="AY111" t="s">
        <v>81</v>
      </c>
      <c r="AZ111" t="s">
        <v>90</v>
      </c>
      <c r="BB111" t="s">
        <v>91</v>
      </c>
      <c r="BC111" t="s">
        <v>92</v>
      </c>
      <c r="BD111" t="b">
        <v>0</v>
      </c>
      <c r="BE111" t="b">
        <v>0</v>
      </c>
      <c r="BF111" t="b">
        <v>0</v>
      </c>
      <c r="BG111" t="b">
        <v>0</v>
      </c>
      <c r="BH111" t="b">
        <v>0</v>
      </c>
      <c r="BI111" t="b">
        <v>0</v>
      </c>
      <c r="BJ111" t="b">
        <v>0</v>
      </c>
      <c r="BK111" t="b">
        <v>0</v>
      </c>
      <c r="BL111" t="b">
        <v>0</v>
      </c>
      <c r="BM111" t="b">
        <v>0</v>
      </c>
      <c r="BN111" t="b">
        <v>0</v>
      </c>
      <c r="BO111" t="b">
        <v>0</v>
      </c>
      <c r="BP111" t="b">
        <v>0</v>
      </c>
      <c r="BR111" t="b">
        <f>IFERROR(IF(M111="PASSED",VLOOKUP(J111,Current!$J$1:$N$500,1,FALSE)),N111)</f>
        <v>0</v>
      </c>
    </row>
    <row r="112" spans="1:70" ht="15" hidden="1" customHeight="1" x14ac:dyDescent="0.25">
      <c r="A112">
        <v>21156</v>
      </c>
      <c r="C112">
        <v>0</v>
      </c>
      <c r="D112" t="s">
        <v>83</v>
      </c>
      <c r="E112" t="s">
        <v>66</v>
      </c>
      <c r="F112" t="s">
        <v>84</v>
      </c>
      <c r="G112">
        <v>0</v>
      </c>
      <c r="H112" t="s">
        <v>85</v>
      </c>
      <c r="I112" t="s">
        <v>86</v>
      </c>
      <c r="J112" t="str">
        <f>MID($N112,FIND("1.",$N112),FIND("-",$N112)-FIND("1.",$N112)-1)</f>
        <v>1.0111</v>
      </c>
      <c r="K112" t="str">
        <f t="shared" si="3"/>
        <v>Ensure Turn on script scanning is set to Enabled</v>
      </c>
      <c r="L112" t="str">
        <f t="shared" si="4"/>
        <v>1.0111 - MSWRK - Ensure Turn on script scanning is set to Enabled</v>
      </c>
      <c r="M112" t="str">
        <f t="shared" si="5"/>
        <v>FAILED</v>
      </c>
      <c r="N112" s="1" t="s">
        <v>628</v>
      </c>
      <c r="O112" t="s">
        <v>67</v>
      </c>
      <c r="R112" t="s">
        <v>68</v>
      </c>
      <c r="T112" t="s">
        <v>69</v>
      </c>
      <c r="U112" t="s">
        <v>70</v>
      </c>
      <c r="W112" t="s">
        <v>71</v>
      </c>
      <c r="X112" s="1" t="s">
        <v>72</v>
      </c>
      <c r="Y112" t="s">
        <v>88</v>
      </c>
      <c r="Z112">
        <v>0</v>
      </c>
      <c r="AA112">
        <v>0</v>
      </c>
      <c r="AD112">
        <v>0</v>
      </c>
      <c r="AE112">
        <v>0</v>
      </c>
      <c r="AH112" t="s">
        <v>73</v>
      </c>
      <c r="AI112" t="s">
        <v>318</v>
      </c>
      <c r="AJ112" t="s">
        <v>319</v>
      </c>
      <c r="AK112" t="s">
        <v>76</v>
      </c>
      <c r="AN112" t="s">
        <v>77</v>
      </c>
      <c r="AO112" t="s">
        <v>320</v>
      </c>
      <c r="AP112" t="s">
        <v>625</v>
      </c>
      <c r="AQ112" t="s">
        <v>322</v>
      </c>
      <c r="AS112" t="b">
        <v>1</v>
      </c>
      <c r="AT112" t="s">
        <v>65</v>
      </c>
      <c r="AU112">
        <v>0</v>
      </c>
      <c r="AV112">
        <v>0</v>
      </c>
      <c r="AX112">
        <v>39</v>
      </c>
      <c r="AY112" t="s">
        <v>81</v>
      </c>
      <c r="AZ112" t="s">
        <v>90</v>
      </c>
      <c r="BB112" t="s">
        <v>91</v>
      </c>
      <c r="BC112" t="s">
        <v>92</v>
      </c>
      <c r="BD112" t="b">
        <v>0</v>
      </c>
      <c r="BE112" t="b">
        <v>0</v>
      </c>
      <c r="BF112" t="b">
        <v>0</v>
      </c>
      <c r="BG112" t="b">
        <v>0</v>
      </c>
      <c r="BH112" t="b">
        <v>0</v>
      </c>
      <c r="BI112" t="b">
        <v>0</v>
      </c>
      <c r="BJ112" t="b">
        <v>0</v>
      </c>
      <c r="BK112" t="b">
        <v>0</v>
      </c>
      <c r="BL112" t="b">
        <v>0</v>
      </c>
      <c r="BM112" t="b">
        <v>0</v>
      </c>
      <c r="BN112" t="b">
        <v>0</v>
      </c>
      <c r="BO112" t="b">
        <v>0</v>
      </c>
      <c r="BP112" t="b">
        <v>0</v>
      </c>
      <c r="BR112" t="b">
        <f>IFERROR(IF(M112="PASSED",VLOOKUP(J112,Current!$J$1:$N$500,1,FALSE)),N112)</f>
        <v>0</v>
      </c>
    </row>
    <row r="113" spans="1:70" ht="15" hidden="1" customHeight="1" x14ac:dyDescent="0.25">
      <c r="A113">
        <v>21156</v>
      </c>
      <c r="C113">
        <v>0</v>
      </c>
      <c r="D113" t="s">
        <v>83</v>
      </c>
      <c r="E113" t="s">
        <v>66</v>
      </c>
      <c r="F113" t="s">
        <v>84</v>
      </c>
      <c r="G113">
        <v>0</v>
      </c>
      <c r="H113" t="s">
        <v>85</v>
      </c>
      <c r="I113" t="s">
        <v>86</v>
      </c>
      <c r="J113" t="str">
        <f>MID($N113,FIND("1.",$N113),FIND("-",$N113)-FIND("1.",$N113)-1)</f>
        <v>1.0112</v>
      </c>
      <c r="K113" t="str">
        <f t="shared" si="3"/>
        <v>Ensure Configure Remote Encryption Protection Mode is set to Enabled</v>
      </c>
      <c r="L113" t="str">
        <f t="shared" si="4"/>
        <v>1.0112 - MSWRK - Ensure Configure Remote Encryption Protection Mode is set to Enabled: Audit or higher</v>
      </c>
      <c r="M113" t="str">
        <f t="shared" si="5"/>
        <v>FAILED</v>
      </c>
      <c r="N113" s="1" t="s">
        <v>420</v>
      </c>
      <c r="O113" t="s">
        <v>67</v>
      </c>
      <c r="R113" t="s">
        <v>68</v>
      </c>
      <c r="T113" t="s">
        <v>69</v>
      </c>
      <c r="U113" t="s">
        <v>70</v>
      </c>
      <c r="W113" t="s">
        <v>71</v>
      </c>
      <c r="X113" s="1" t="s">
        <v>72</v>
      </c>
      <c r="Y113" t="s">
        <v>88</v>
      </c>
      <c r="Z113">
        <v>0</v>
      </c>
      <c r="AA113">
        <v>0</v>
      </c>
      <c r="AD113">
        <v>0</v>
      </c>
      <c r="AE113">
        <v>0</v>
      </c>
      <c r="AH113" t="s">
        <v>73</v>
      </c>
      <c r="AI113" t="s">
        <v>318</v>
      </c>
      <c r="AJ113" t="s">
        <v>319</v>
      </c>
      <c r="AK113" t="s">
        <v>76</v>
      </c>
      <c r="AN113" t="s">
        <v>77</v>
      </c>
      <c r="AO113" t="s">
        <v>320</v>
      </c>
      <c r="AP113" t="s">
        <v>421</v>
      </c>
      <c r="AQ113" t="s">
        <v>322</v>
      </c>
      <c r="AS113" t="b">
        <v>1</v>
      </c>
      <c r="AT113" t="s">
        <v>65</v>
      </c>
      <c r="AU113">
        <v>0</v>
      </c>
      <c r="AV113">
        <v>0</v>
      </c>
      <c r="AX113">
        <v>39</v>
      </c>
      <c r="AY113" t="s">
        <v>81</v>
      </c>
      <c r="AZ113" t="s">
        <v>90</v>
      </c>
      <c r="BB113" t="s">
        <v>91</v>
      </c>
      <c r="BC113" t="s">
        <v>92</v>
      </c>
      <c r="BD113" t="b">
        <v>0</v>
      </c>
      <c r="BE113" t="b">
        <v>0</v>
      </c>
      <c r="BF113" t="b">
        <v>0</v>
      </c>
      <c r="BG113" t="b">
        <v>0</v>
      </c>
      <c r="BH113" t="b">
        <v>0</v>
      </c>
      <c r="BI113" t="b">
        <v>0</v>
      </c>
      <c r="BJ113" t="b">
        <v>0</v>
      </c>
      <c r="BK113" t="b">
        <v>0</v>
      </c>
      <c r="BL113" t="b">
        <v>0</v>
      </c>
      <c r="BM113" t="b">
        <v>0</v>
      </c>
      <c r="BN113" t="b">
        <v>0</v>
      </c>
      <c r="BO113" t="b">
        <v>0</v>
      </c>
      <c r="BP113" t="b">
        <v>0</v>
      </c>
      <c r="BR113" t="b">
        <f>IFERROR(IF(M113="PASSED",VLOOKUP(J113,Current!$J$1:$N$500,1,FALSE)),N113)</f>
        <v>0</v>
      </c>
    </row>
    <row r="114" spans="1:70" ht="15" hidden="1" customHeight="1" x14ac:dyDescent="0.25">
      <c r="A114">
        <v>21156</v>
      </c>
      <c r="C114">
        <v>0</v>
      </c>
      <c r="D114" t="s">
        <v>83</v>
      </c>
      <c r="E114" t="s">
        <v>66</v>
      </c>
      <c r="F114" t="s">
        <v>84</v>
      </c>
      <c r="G114">
        <v>0</v>
      </c>
      <c r="H114" t="s">
        <v>85</v>
      </c>
      <c r="I114" t="s">
        <v>86</v>
      </c>
      <c r="J114" t="str">
        <f>MID($N114,FIND("1.",$N114),FIND("-",$N114)-FIND("1.",$N114)-1)</f>
        <v>1.0113</v>
      </c>
      <c r="K114" t="str">
        <f t="shared" si="3"/>
        <v>Ensure Scan excluded files and directories during quick scans is set to Enabled</v>
      </c>
      <c r="L114" t="str">
        <f t="shared" si="4"/>
        <v>1.0113 - MSWRK - Ensure Scan excluded files and directories during quick scans is set to Enabled: 1</v>
      </c>
      <c r="M114" t="str">
        <f t="shared" si="5"/>
        <v>FAILED</v>
      </c>
      <c r="N114" s="1" t="s">
        <v>699</v>
      </c>
      <c r="O114" t="s">
        <v>67</v>
      </c>
      <c r="R114" t="s">
        <v>68</v>
      </c>
      <c r="T114" t="s">
        <v>69</v>
      </c>
      <c r="U114" t="s">
        <v>70</v>
      </c>
      <c r="W114" t="s">
        <v>71</v>
      </c>
      <c r="X114" s="1" t="s">
        <v>72</v>
      </c>
      <c r="Y114" t="s">
        <v>88</v>
      </c>
      <c r="Z114">
        <v>0</v>
      </c>
      <c r="AA114">
        <v>0</v>
      </c>
      <c r="AD114">
        <v>0</v>
      </c>
      <c r="AE114">
        <v>0</v>
      </c>
      <c r="AH114" t="s">
        <v>73</v>
      </c>
      <c r="AI114" t="s">
        <v>318</v>
      </c>
      <c r="AJ114" t="s">
        <v>319</v>
      </c>
      <c r="AK114" t="s">
        <v>76</v>
      </c>
      <c r="AN114" t="s">
        <v>77</v>
      </c>
      <c r="AO114" t="s">
        <v>320</v>
      </c>
      <c r="AP114" t="s">
        <v>698</v>
      </c>
      <c r="AQ114" t="s">
        <v>322</v>
      </c>
      <c r="AS114" t="b">
        <v>1</v>
      </c>
      <c r="AT114" t="s">
        <v>65</v>
      </c>
      <c r="AU114">
        <v>0</v>
      </c>
      <c r="AV114">
        <v>0</v>
      </c>
      <c r="AX114">
        <v>39</v>
      </c>
      <c r="AY114" t="s">
        <v>81</v>
      </c>
      <c r="AZ114" t="s">
        <v>90</v>
      </c>
      <c r="BB114" t="s">
        <v>91</v>
      </c>
      <c r="BC114" t="s">
        <v>92</v>
      </c>
      <c r="BD114" t="b">
        <v>0</v>
      </c>
      <c r="BE114" t="b">
        <v>0</v>
      </c>
      <c r="BF114" t="b">
        <v>0</v>
      </c>
      <c r="BG114" t="b">
        <v>0</v>
      </c>
      <c r="BH114" t="b">
        <v>0</v>
      </c>
      <c r="BI114" t="b">
        <v>0</v>
      </c>
      <c r="BJ114" t="b">
        <v>0</v>
      </c>
      <c r="BK114" t="b">
        <v>0</v>
      </c>
      <c r="BL114" t="b">
        <v>0</v>
      </c>
      <c r="BM114" t="b">
        <v>0</v>
      </c>
      <c r="BN114" t="b">
        <v>0</v>
      </c>
      <c r="BO114" t="b">
        <v>0</v>
      </c>
      <c r="BP114" t="b">
        <v>0</v>
      </c>
      <c r="BR114" t="b">
        <f>IFERROR(IF(M114="PASSED",VLOOKUP(J114,Current!$J$1:$N$500,1,FALSE)),N114)</f>
        <v>0</v>
      </c>
    </row>
    <row r="115" spans="1:70" ht="15" hidden="1" customHeight="1" x14ac:dyDescent="0.25">
      <c r="A115">
        <v>21156</v>
      </c>
      <c r="C115">
        <v>0</v>
      </c>
      <c r="D115" t="s">
        <v>83</v>
      </c>
      <c r="E115" t="s">
        <v>66</v>
      </c>
      <c r="F115" t="s">
        <v>84</v>
      </c>
      <c r="G115">
        <v>0</v>
      </c>
      <c r="H115" t="s">
        <v>85</v>
      </c>
      <c r="I115" t="s">
        <v>86</v>
      </c>
      <c r="J115" t="str">
        <f>MID($N115,FIND("1.",$N115),FIND("-",$N115)-FIND("1.",$N115)-1)</f>
        <v>1.0114</v>
      </c>
      <c r="K115" t="str">
        <f t="shared" si="3"/>
        <v>Ensure Scan packed executables is set to Enabled</v>
      </c>
      <c r="L115" t="str">
        <f t="shared" si="4"/>
        <v>1.0114 - MSWRK - Ensure Scan packed executables is set to Enabled</v>
      </c>
      <c r="M115" t="str">
        <f t="shared" si="5"/>
        <v>FAILED</v>
      </c>
      <c r="N115" s="1" t="s">
        <v>676</v>
      </c>
      <c r="O115" t="s">
        <v>67</v>
      </c>
      <c r="R115" t="s">
        <v>68</v>
      </c>
      <c r="T115" t="s">
        <v>69</v>
      </c>
      <c r="U115" t="s">
        <v>70</v>
      </c>
      <c r="W115" t="s">
        <v>71</v>
      </c>
      <c r="X115" s="1" t="s">
        <v>72</v>
      </c>
      <c r="Y115" t="s">
        <v>88</v>
      </c>
      <c r="Z115">
        <v>0</v>
      </c>
      <c r="AA115">
        <v>0</v>
      </c>
      <c r="AD115">
        <v>0</v>
      </c>
      <c r="AE115">
        <v>0</v>
      </c>
      <c r="AH115" t="s">
        <v>73</v>
      </c>
      <c r="AI115" t="s">
        <v>318</v>
      </c>
      <c r="AJ115" t="s">
        <v>319</v>
      </c>
      <c r="AK115" t="s">
        <v>76</v>
      </c>
      <c r="AN115" t="s">
        <v>77</v>
      </c>
      <c r="AO115" t="s">
        <v>320</v>
      </c>
      <c r="AP115" t="s">
        <v>677</v>
      </c>
      <c r="AQ115" t="s">
        <v>322</v>
      </c>
      <c r="AS115" t="b">
        <v>1</v>
      </c>
      <c r="AT115" t="s">
        <v>65</v>
      </c>
      <c r="AU115">
        <v>0</v>
      </c>
      <c r="AV115">
        <v>0</v>
      </c>
      <c r="AX115">
        <v>39</v>
      </c>
      <c r="AY115" t="s">
        <v>81</v>
      </c>
      <c r="AZ115" t="s">
        <v>90</v>
      </c>
      <c r="BB115" t="s">
        <v>91</v>
      </c>
      <c r="BC115" t="s">
        <v>92</v>
      </c>
      <c r="BD115" t="b">
        <v>0</v>
      </c>
      <c r="BE115" t="b">
        <v>0</v>
      </c>
      <c r="BF115" t="b">
        <v>0</v>
      </c>
      <c r="BG115" t="b">
        <v>0</v>
      </c>
      <c r="BH115" t="b">
        <v>0</v>
      </c>
      <c r="BI115" t="b">
        <v>0</v>
      </c>
      <c r="BJ115" t="b">
        <v>0</v>
      </c>
      <c r="BK115" t="b">
        <v>0</v>
      </c>
      <c r="BL115" t="b">
        <v>0</v>
      </c>
      <c r="BM115" t="b">
        <v>0</v>
      </c>
      <c r="BN115" t="b">
        <v>0</v>
      </c>
      <c r="BO115" t="b">
        <v>0</v>
      </c>
      <c r="BP115" t="b">
        <v>0</v>
      </c>
      <c r="BR115" t="b">
        <f>IFERROR(IF(M115="PASSED",VLOOKUP(J115,Current!$J$1:$N$500,1,FALSE)),N115)</f>
        <v>0</v>
      </c>
    </row>
    <row r="116" spans="1:70" ht="15" hidden="1" customHeight="1" x14ac:dyDescent="0.25">
      <c r="A116">
        <v>21156</v>
      </c>
      <c r="C116">
        <v>0</v>
      </c>
      <c r="D116" t="s">
        <v>83</v>
      </c>
      <c r="E116" t="s">
        <v>66</v>
      </c>
      <c r="F116" t="s">
        <v>84</v>
      </c>
      <c r="G116">
        <v>0</v>
      </c>
      <c r="H116" t="s">
        <v>85</v>
      </c>
      <c r="I116" t="s">
        <v>86</v>
      </c>
      <c r="J116" t="str">
        <f>MID($N116,FIND("1.",$N116),FIND("-",$N116)-FIND("1.",$N116)-1)</f>
        <v>1.0115</v>
      </c>
      <c r="K116" t="str">
        <f t="shared" si="3"/>
        <v>Ensure Scan removable drives is set to Enabled</v>
      </c>
      <c r="L116" t="str">
        <f t="shared" si="4"/>
        <v>1.0115 - MSWRK - Ensure Scan removable drives is set to Enabled</v>
      </c>
      <c r="M116" t="str">
        <f t="shared" si="5"/>
        <v>FAILED</v>
      </c>
      <c r="N116" s="1" t="s">
        <v>803</v>
      </c>
      <c r="O116" t="s">
        <v>67</v>
      </c>
      <c r="R116" t="s">
        <v>68</v>
      </c>
      <c r="T116" t="s">
        <v>69</v>
      </c>
      <c r="U116" t="s">
        <v>70</v>
      </c>
      <c r="W116" t="s">
        <v>71</v>
      </c>
      <c r="X116" s="1" t="s">
        <v>72</v>
      </c>
      <c r="Y116" t="s">
        <v>88</v>
      </c>
      <c r="Z116">
        <v>0</v>
      </c>
      <c r="AA116">
        <v>0</v>
      </c>
      <c r="AD116">
        <v>0</v>
      </c>
      <c r="AE116">
        <v>0</v>
      </c>
      <c r="AH116" t="s">
        <v>73</v>
      </c>
      <c r="AI116" t="s">
        <v>318</v>
      </c>
      <c r="AJ116" t="s">
        <v>319</v>
      </c>
      <c r="AK116" t="s">
        <v>76</v>
      </c>
      <c r="AN116" t="s">
        <v>77</v>
      </c>
      <c r="AO116" t="s">
        <v>320</v>
      </c>
      <c r="AP116" t="s">
        <v>802</v>
      </c>
      <c r="AQ116" t="s">
        <v>322</v>
      </c>
      <c r="AS116" t="b">
        <v>1</v>
      </c>
      <c r="AT116" t="s">
        <v>65</v>
      </c>
      <c r="AU116">
        <v>0</v>
      </c>
      <c r="AV116">
        <v>0</v>
      </c>
      <c r="AX116">
        <v>39</v>
      </c>
      <c r="AY116" t="s">
        <v>81</v>
      </c>
      <c r="AZ116" t="s">
        <v>90</v>
      </c>
      <c r="BB116" t="s">
        <v>91</v>
      </c>
      <c r="BC116" t="s">
        <v>92</v>
      </c>
      <c r="BD116" t="b">
        <v>0</v>
      </c>
      <c r="BE116" t="b">
        <v>0</v>
      </c>
      <c r="BF116" t="b">
        <v>0</v>
      </c>
      <c r="BG116" t="b">
        <v>0</v>
      </c>
      <c r="BH116" t="b">
        <v>0</v>
      </c>
      <c r="BI116" t="b">
        <v>0</v>
      </c>
      <c r="BJ116" t="b">
        <v>0</v>
      </c>
      <c r="BK116" t="b">
        <v>0</v>
      </c>
      <c r="BL116" t="b">
        <v>0</v>
      </c>
      <c r="BM116" t="b">
        <v>0</v>
      </c>
      <c r="BN116" t="b">
        <v>0</v>
      </c>
      <c r="BO116" t="b">
        <v>0</v>
      </c>
      <c r="BP116" t="b">
        <v>0</v>
      </c>
      <c r="BR116" t="b">
        <f>IFERROR(IF(M116="PASSED",VLOOKUP(J116,Current!$J$1:$N$500,1,FALSE)),N116)</f>
        <v>0</v>
      </c>
    </row>
    <row r="117" spans="1:70" ht="15" hidden="1" customHeight="1" x14ac:dyDescent="0.25">
      <c r="A117">
        <v>21156</v>
      </c>
      <c r="C117">
        <v>0</v>
      </c>
      <c r="D117" t="s">
        <v>83</v>
      </c>
      <c r="E117" t="s">
        <v>66</v>
      </c>
      <c r="F117" t="s">
        <v>84</v>
      </c>
      <c r="G117">
        <v>0</v>
      </c>
      <c r="H117" t="s">
        <v>85</v>
      </c>
      <c r="I117" t="s">
        <v>86</v>
      </c>
      <c r="J117" t="str">
        <f>MID($N117,FIND("1.",$N117),FIND("-",$N117)-FIND("1.",$N117)-1)</f>
        <v>1.0116</v>
      </c>
      <c r="K117" t="str">
        <f t="shared" si="3"/>
        <v>Ensure Trigger a quick scan after X days without any scans is set to Enabled</v>
      </c>
      <c r="L117" t="str">
        <f t="shared" si="4"/>
        <v>1.0116 - MSWRK - Ensure Trigger a quick scan after X days without any scans is set to Enabled: 7</v>
      </c>
      <c r="M117" t="str">
        <f t="shared" si="5"/>
        <v>FAILED</v>
      </c>
      <c r="N117" s="1" t="s">
        <v>578</v>
      </c>
      <c r="O117" t="s">
        <v>67</v>
      </c>
      <c r="R117" t="s">
        <v>68</v>
      </c>
      <c r="T117" t="s">
        <v>69</v>
      </c>
      <c r="U117" t="s">
        <v>70</v>
      </c>
      <c r="W117" t="s">
        <v>71</v>
      </c>
      <c r="X117" s="1" t="s">
        <v>72</v>
      </c>
      <c r="Y117" t="s">
        <v>88</v>
      </c>
      <c r="Z117">
        <v>0</v>
      </c>
      <c r="AA117">
        <v>0</v>
      </c>
      <c r="AD117">
        <v>0</v>
      </c>
      <c r="AE117">
        <v>0</v>
      </c>
      <c r="AH117" t="s">
        <v>73</v>
      </c>
      <c r="AI117" t="s">
        <v>318</v>
      </c>
      <c r="AJ117" t="s">
        <v>319</v>
      </c>
      <c r="AK117" t="s">
        <v>76</v>
      </c>
      <c r="AN117" t="s">
        <v>77</v>
      </c>
      <c r="AO117" t="s">
        <v>320</v>
      </c>
      <c r="AP117" t="s">
        <v>577</v>
      </c>
      <c r="AQ117" t="s">
        <v>322</v>
      </c>
      <c r="AS117" t="b">
        <v>1</v>
      </c>
      <c r="AT117" t="s">
        <v>65</v>
      </c>
      <c r="AU117">
        <v>0</v>
      </c>
      <c r="AV117">
        <v>0</v>
      </c>
      <c r="AX117">
        <v>39</v>
      </c>
      <c r="AY117" t="s">
        <v>81</v>
      </c>
      <c r="AZ117" t="s">
        <v>90</v>
      </c>
      <c r="BB117" t="s">
        <v>91</v>
      </c>
      <c r="BC117" t="s">
        <v>92</v>
      </c>
      <c r="BD117" t="b">
        <v>0</v>
      </c>
      <c r="BE117" t="b">
        <v>0</v>
      </c>
      <c r="BF117" t="b">
        <v>0</v>
      </c>
      <c r="BG117" t="b">
        <v>0</v>
      </c>
      <c r="BH117" t="b">
        <v>0</v>
      </c>
      <c r="BI117" t="b">
        <v>0</v>
      </c>
      <c r="BJ117" t="b">
        <v>0</v>
      </c>
      <c r="BK117" t="b">
        <v>0</v>
      </c>
      <c r="BL117" t="b">
        <v>0</v>
      </c>
      <c r="BM117" t="b">
        <v>0</v>
      </c>
      <c r="BN117" t="b">
        <v>0</v>
      </c>
      <c r="BO117" t="b">
        <v>0</v>
      </c>
      <c r="BP117" t="b">
        <v>0</v>
      </c>
      <c r="BR117" t="b">
        <f>IFERROR(IF(M117="PASSED",VLOOKUP(J117,Current!$J$1:$N$500,1,FALSE)),N117)</f>
        <v>0</v>
      </c>
    </row>
    <row r="118" spans="1:70" ht="15" hidden="1" customHeight="1" x14ac:dyDescent="0.25">
      <c r="A118">
        <v>21156</v>
      </c>
      <c r="C118">
        <v>0</v>
      </c>
      <c r="D118" t="s">
        <v>83</v>
      </c>
      <c r="E118" t="s">
        <v>66</v>
      </c>
      <c r="F118" t="s">
        <v>84</v>
      </c>
      <c r="G118">
        <v>0</v>
      </c>
      <c r="H118" t="s">
        <v>85</v>
      </c>
      <c r="I118" t="s">
        <v>86</v>
      </c>
      <c r="J118" t="str">
        <f>MID($N118,FIND("1.",$N118),FIND("-",$N118)-FIND("1.",$N118)-1)</f>
        <v>1.0117</v>
      </c>
      <c r="K118" t="str">
        <f t="shared" si="3"/>
        <v>Ensure Turn on e-mail scanning is set to Enabled</v>
      </c>
      <c r="L118" t="str">
        <f t="shared" si="4"/>
        <v>1.0117 - MSWRK - Ensure Turn on e-mail scanning is set to Enabled</v>
      </c>
      <c r="M118" t="str">
        <f t="shared" si="5"/>
        <v>FAILED</v>
      </c>
      <c r="N118" s="1" t="s">
        <v>718</v>
      </c>
      <c r="O118" t="s">
        <v>67</v>
      </c>
      <c r="R118" t="s">
        <v>68</v>
      </c>
      <c r="T118" t="s">
        <v>69</v>
      </c>
      <c r="U118" t="s">
        <v>70</v>
      </c>
      <c r="W118" t="s">
        <v>71</v>
      </c>
      <c r="X118" s="1" t="s">
        <v>72</v>
      </c>
      <c r="Y118" t="s">
        <v>88</v>
      </c>
      <c r="Z118">
        <v>0</v>
      </c>
      <c r="AA118">
        <v>0</v>
      </c>
      <c r="AD118">
        <v>0</v>
      </c>
      <c r="AE118">
        <v>0</v>
      </c>
      <c r="AH118" t="s">
        <v>73</v>
      </c>
      <c r="AI118" t="s">
        <v>318</v>
      </c>
      <c r="AJ118" t="s">
        <v>319</v>
      </c>
      <c r="AK118" t="s">
        <v>76</v>
      </c>
      <c r="AN118" t="s">
        <v>77</v>
      </c>
      <c r="AO118" t="s">
        <v>320</v>
      </c>
      <c r="AP118" t="s">
        <v>719</v>
      </c>
      <c r="AQ118" t="s">
        <v>322</v>
      </c>
      <c r="AS118" t="b">
        <v>1</v>
      </c>
      <c r="AT118" t="s">
        <v>65</v>
      </c>
      <c r="AU118">
        <v>0</v>
      </c>
      <c r="AV118">
        <v>0</v>
      </c>
      <c r="AX118">
        <v>39</v>
      </c>
      <c r="AY118" t="s">
        <v>81</v>
      </c>
      <c r="AZ118" t="s">
        <v>90</v>
      </c>
      <c r="BB118" t="s">
        <v>91</v>
      </c>
      <c r="BC118" t="s">
        <v>92</v>
      </c>
      <c r="BD118" t="b">
        <v>0</v>
      </c>
      <c r="BE118" t="b">
        <v>0</v>
      </c>
      <c r="BF118" t="b">
        <v>0</v>
      </c>
      <c r="BG118" t="b">
        <v>0</v>
      </c>
      <c r="BH118" t="b">
        <v>0</v>
      </c>
      <c r="BI118" t="b">
        <v>0</v>
      </c>
      <c r="BJ118" t="b">
        <v>0</v>
      </c>
      <c r="BK118" t="b">
        <v>0</v>
      </c>
      <c r="BL118" t="b">
        <v>0</v>
      </c>
      <c r="BM118" t="b">
        <v>0</v>
      </c>
      <c r="BN118" t="b">
        <v>0</v>
      </c>
      <c r="BO118" t="b">
        <v>0</v>
      </c>
      <c r="BP118" t="b">
        <v>0</v>
      </c>
      <c r="BR118" t="b">
        <f>IFERROR(IF(M118="PASSED",VLOOKUP(J118,Current!$J$1:$N$500,1,FALSE)),N118)</f>
        <v>0</v>
      </c>
    </row>
    <row r="119" spans="1:70" ht="15" hidden="1" customHeight="1" x14ac:dyDescent="0.25">
      <c r="A119">
        <v>21156</v>
      </c>
      <c r="C119">
        <v>0</v>
      </c>
      <c r="D119" t="s">
        <v>83</v>
      </c>
      <c r="E119" t="s">
        <v>66</v>
      </c>
      <c r="F119" t="s">
        <v>84</v>
      </c>
      <c r="G119">
        <v>0</v>
      </c>
      <c r="H119" t="s">
        <v>85</v>
      </c>
      <c r="I119" t="s">
        <v>86</v>
      </c>
      <c r="J119" t="str">
        <f>MID($N119,FIND("1.",$N119),FIND("-",$N119)-FIND("1.",$N119)-1)</f>
        <v>1.0118</v>
      </c>
      <c r="K119" t="str">
        <f t="shared" si="3"/>
        <v>Ensure Configure detection for potentially unwanted applications is set to Enabled</v>
      </c>
      <c r="L119" t="str">
        <f t="shared" si="4"/>
        <v>1.0118 - MSWRK - Ensure Configure detection for potentially unwanted applications is set to Enabled: Block</v>
      </c>
      <c r="M119" t="str">
        <f t="shared" si="5"/>
        <v>FAILED</v>
      </c>
      <c r="N119" s="1" t="s">
        <v>213</v>
      </c>
      <c r="O119" t="s">
        <v>67</v>
      </c>
      <c r="R119" t="s">
        <v>68</v>
      </c>
      <c r="T119" t="s">
        <v>69</v>
      </c>
      <c r="U119" t="s">
        <v>70</v>
      </c>
      <c r="W119" t="s">
        <v>71</v>
      </c>
      <c r="X119" s="1" t="s">
        <v>72</v>
      </c>
      <c r="Y119" t="s">
        <v>88</v>
      </c>
      <c r="Z119">
        <v>0</v>
      </c>
      <c r="AA119">
        <v>0</v>
      </c>
      <c r="AD119">
        <v>0</v>
      </c>
      <c r="AE119">
        <v>0</v>
      </c>
      <c r="AH119" t="s">
        <v>73</v>
      </c>
      <c r="AI119" t="s">
        <v>318</v>
      </c>
      <c r="AJ119" t="s">
        <v>319</v>
      </c>
      <c r="AK119" t="s">
        <v>76</v>
      </c>
      <c r="AN119" t="s">
        <v>77</v>
      </c>
      <c r="AO119" t="s">
        <v>320</v>
      </c>
      <c r="AP119" t="s">
        <v>802</v>
      </c>
      <c r="AQ119" t="s">
        <v>322</v>
      </c>
      <c r="AS119" t="b">
        <v>1</v>
      </c>
      <c r="AT119" t="s">
        <v>65</v>
      </c>
      <c r="AU119">
        <v>0</v>
      </c>
      <c r="AV119">
        <v>0</v>
      </c>
      <c r="AX119">
        <v>39</v>
      </c>
      <c r="AY119" t="s">
        <v>81</v>
      </c>
      <c r="AZ119" t="s">
        <v>90</v>
      </c>
      <c r="BB119" t="s">
        <v>91</v>
      </c>
      <c r="BC119" t="s">
        <v>92</v>
      </c>
      <c r="BD119" t="b">
        <v>0</v>
      </c>
      <c r="BE119" t="b">
        <v>0</v>
      </c>
      <c r="BF119" t="b">
        <v>0</v>
      </c>
      <c r="BG119" t="b">
        <v>0</v>
      </c>
      <c r="BH119" t="b">
        <v>0</v>
      </c>
      <c r="BI119" t="b">
        <v>0</v>
      </c>
      <c r="BJ119" t="b">
        <v>0</v>
      </c>
      <c r="BK119" t="b">
        <v>0</v>
      </c>
      <c r="BL119" t="b">
        <v>0</v>
      </c>
      <c r="BM119" t="b">
        <v>0</v>
      </c>
      <c r="BN119" t="b">
        <v>0</v>
      </c>
      <c r="BO119" t="b">
        <v>0</v>
      </c>
      <c r="BP119" t="b">
        <v>0</v>
      </c>
      <c r="BR119" t="b">
        <f>IFERROR(IF(M119="PASSED",VLOOKUP(J119,Current!$J$1:$N$500,1,FALSE)),N119)</f>
        <v>0</v>
      </c>
    </row>
    <row r="120" spans="1:70" ht="15" hidden="1" customHeight="1" x14ac:dyDescent="0.25">
      <c r="A120">
        <v>21156</v>
      </c>
      <c r="C120">
        <v>0</v>
      </c>
      <c r="D120" t="s">
        <v>83</v>
      </c>
      <c r="E120" t="s">
        <v>66</v>
      </c>
      <c r="F120" t="s">
        <v>84</v>
      </c>
      <c r="G120">
        <v>0</v>
      </c>
      <c r="H120" t="s">
        <v>85</v>
      </c>
      <c r="I120" t="s">
        <v>86</v>
      </c>
      <c r="J120" t="str">
        <f>MID($N120,FIND("1.",$N120),FIND("-",$N120)-FIND("1.",$N120)-1)</f>
        <v>1.0119</v>
      </c>
      <c r="K120" t="str">
        <f t="shared" si="3"/>
        <v>Ensure Control whether exclusions are visible to local users is set to Enabled</v>
      </c>
      <c r="L120" t="str">
        <f t="shared" si="4"/>
        <v>1.0119 - MSWRK - Ensure Control whether exclusions are visible to local users is set to Enabled</v>
      </c>
      <c r="M120" t="str">
        <f t="shared" si="5"/>
        <v>FAILED</v>
      </c>
      <c r="N120" s="1" t="s">
        <v>700</v>
      </c>
      <c r="O120" t="s">
        <v>67</v>
      </c>
      <c r="R120" t="s">
        <v>68</v>
      </c>
      <c r="T120" t="s">
        <v>69</v>
      </c>
      <c r="U120" t="s">
        <v>70</v>
      </c>
      <c r="W120" t="s">
        <v>71</v>
      </c>
      <c r="X120" s="1" t="s">
        <v>72</v>
      </c>
      <c r="Y120" t="s">
        <v>88</v>
      </c>
      <c r="Z120">
        <v>0</v>
      </c>
      <c r="AA120">
        <v>0</v>
      </c>
      <c r="AD120">
        <v>0</v>
      </c>
      <c r="AE120">
        <v>0</v>
      </c>
      <c r="AH120" t="s">
        <v>73</v>
      </c>
      <c r="AI120" t="s">
        <v>318</v>
      </c>
      <c r="AJ120" t="s">
        <v>319</v>
      </c>
      <c r="AK120" t="s">
        <v>76</v>
      </c>
      <c r="AN120" t="s">
        <v>77</v>
      </c>
      <c r="AO120" t="s">
        <v>320</v>
      </c>
      <c r="AP120" t="s">
        <v>698</v>
      </c>
      <c r="AQ120" t="s">
        <v>322</v>
      </c>
      <c r="AS120" t="b">
        <v>1</v>
      </c>
      <c r="AT120" t="s">
        <v>65</v>
      </c>
      <c r="AU120">
        <v>0</v>
      </c>
      <c r="AV120">
        <v>0</v>
      </c>
      <c r="AX120">
        <v>39</v>
      </c>
      <c r="AY120" t="s">
        <v>81</v>
      </c>
      <c r="AZ120" t="s">
        <v>90</v>
      </c>
      <c r="BB120" t="s">
        <v>91</v>
      </c>
      <c r="BC120" t="s">
        <v>92</v>
      </c>
      <c r="BD120" t="b">
        <v>0</v>
      </c>
      <c r="BE120" t="b">
        <v>0</v>
      </c>
      <c r="BF120" t="b">
        <v>0</v>
      </c>
      <c r="BG120" t="b">
        <v>0</v>
      </c>
      <c r="BH120" t="b">
        <v>0</v>
      </c>
      <c r="BI120" t="b">
        <v>0</v>
      </c>
      <c r="BJ120" t="b">
        <v>0</v>
      </c>
      <c r="BK120" t="b">
        <v>0</v>
      </c>
      <c r="BL120" t="b">
        <v>0</v>
      </c>
      <c r="BM120" t="b">
        <v>0</v>
      </c>
      <c r="BN120" t="b">
        <v>0</v>
      </c>
      <c r="BO120" t="b">
        <v>0</v>
      </c>
      <c r="BP120" t="b">
        <v>0</v>
      </c>
      <c r="BR120" t="b">
        <f>IFERROR(IF(M120="PASSED",VLOOKUP(J120,Current!$J$1:$N$500,1,FALSE)),N120)</f>
        <v>0</v>
      </c>
    </row>
    <row r="121" spans="1:70" ht="15" hidden="1" customHeight="1" x14ac:dyDescent="0.25">
      <c r="A121">
        <v>21156</v>
      </c>
      <c r="C121">
        <v>0</v>
      </c>
      <c r="D121" t="s">
        <v>83</v>
      </c>
      <c r="E121" t="s">
        <v>66</v>
      </c>
      <c r="F121" t="s">
        <v>84</v>
      </c>
      <c r="G121">
        <v>0</v>
      </c>
      <c r="H121" t="s">
        <v>85</v>
      </c>
      <c r="I121" t="s">
        <v>86</v>
      </c>
      <c r="J121" t="str">
        <f>MID($N121,FIND("1.",$N121),FIND("-",$N121)-FIND("1.",$N121)-1)</f>
        <v>1.0120</v>
      </c>
      <c r="K121" t="str">
        <f t="shared" si="3"/>
        <v>Ensure Enable EDR in block mode is set to Enabled</v>
      </c>
      <c r="L121" t="str">
        <f t="shared" si="4"/>
        <v>1.0120 - MSWRK - Ensure Enable EDR in block mode is set to Enabled</v>
      </c>
      <c r="M121" t="str">
        <f t="shared" si="5"/>
        <v>FAILED</v>
      </c>
      <c r="N121" s="1" t="s">
        <v>799</v>
      </c>
      <c r="O121" t="s">
        <v>67</v>
      </c>
      <c r="R121" t="s">
        <v>68</v>
      </c>
      <c r="T121" t="s">
        <v>69</v>
      </c>
      <c r="U121" t="s">
        <v>70</v>
      </c>
      <c r="W121" t="s">
        <v>71</v>
      </c>
      <c r="X121" s="1" t="s">
        <v>72</v>
      </c>
      <c r="Y121" t="s">
        <v>88</v>
      </c>
      <c r="Z121">
        <v>0</v>
      </c>
      <c r="AA121">
        <v>0</v>
      </c>
      <c r="AD121">
        <v>0</v>
      </c>
      <c r="AE121">
        <v>0</v>
      </c>
      <c r="AH121" t="s">
        <v>73</v>
      </c>
      <c r="AI121" t="s">
        <v>318</v>
      </c>
      <c r="AJ121" t="s">
        <v>319</v>
      </c>
      <c r="AK121" t="s">
        <v>76</v>
      </c>
      <c r="AN121" t="s">
        <v>77</v>
      </c>
      <c r="AO121" t="s">
        <v>320</v>
      </c>
      <c r="AP121" t="s">
        <v>797</v>
      </c>
      <c r="AQ121" t="s">
        <v>322</v>
      </c>
      <c r="AS121" t="b">
        <v>1</v>
      </c>
      <c r="AT121" t="s">
        <v>65</v>
      </c>
      <c r="AU121">
        <v>0</v>
      </c>
      <c r="AV121">
        <v>0</v>
      </c>
      <c r="AX121">
        <v>39</v>
      </c>
      <c r="AY121" t="s">
        <v>81</v>
      </c>
      <c r="AZ121" t="s">
        <v>90</v>
      </c>
      <c r="BB121" t="s">
        <v>91</v>
      </c>
      <c r="BC121" t="s">
        <v>92</v>
      </c>
      <c r="BD121" t="b">
        <v>0</v>
      </c>
      <c r="BE121" t="b">
        <v>0</v>
      </c>
      <c r="BF121" t="b">
        <v>0</v>
      </c>
      <c r="BG121" t="b">
        <v>0</v>
      </c>
      <c r="BH121" t="b">
        <v>0</v>
      </c>
      <c r="BI121" t="b">
        <v>0</v>
      </c>
      <c r="BJ121" t="b">
        <v>0</v>
      </c>
      <c r="BK121" t="b">
        <v>0</v>
      </c>
      <c r="BL121" t="b">
        <v>0</v>
      </c>
      <c r="BM121" t="b">
        <v>0</v>
      </c>
      <c r="BN121" t="b">
        <v>0</v>
      </c>
      <c r="BO121" t="b">
        <v>0</v>
      </c>
      <c r="BP121" t="b">
        <v>0</v>
      </c>
      <c r="BR121" t="b">
        <f>IFERROR(IF(M121="PASSED",VLOOKUP(J121,Current!$J$1:$N$500,1,FALSE)),N121)</f>
        <v>0</v>
      </c>
    </row>
    <row r="122" spans="1:70" ht="15" customHeight="1" x14ac:dyDescent="0.25">
      <c r="A122">
        <v>21156</v>
      </c>
      <c r="C122">
        <v>0</v>
      </c>
      <c r="D122" t="s">
        <v>65</v>
      </c>
      <c r="E122" t="s">
        <v>66</v>
      </c>
      <c r="F122" t="s">
        <v>84</v>
      </c>
      <c r="G122">
        <v>0</v>
      </c>
      <c r="H122" t="s">
        <v>85</v>
      </c>
      <c r="I122" t="s">
        <v>86</v>
      </c>
      <c r="J122" t="str">
        <f>MID($N122,FIND("1.",$N122),FIND("-",$N122)-FIND("1.",$N122)-1)</f>
        <v>1.0121</v>
      </c>
      <c r="K122" t="str">
        <f t="shared" si="3"/>
        <v>Ensure Configure local setting override for reporting to Microsoft MAPS is set to Disabled</v>
      </c>
      <c r="L122" t="str">
        <f t="shared" si="4"/>
        <v>1.0121 - MSWRK - Ensure Configure local setting override for reporting to Microsoft MAPS is set to Disabled</v>
      </c>
      <c r="M122" t="str">
        <f t="shared" si="5"/>
        <v>PASSED</v>
      </c>
      <c r="N122" s="1" t="s">
        <v>424</v>
      </c>
      <c r="O122" t="s">
        <v>67</v>
      </c>
      <c r="R122" t="s">
        <v>68</v>
      </c>
      <c r="T122" t="s">
        <v>69</v>
      </c>
      <c r="U122" t="s">
        <v>70</v>
      </c>
      <c r="W122" t="s">
        <v>71</v>
      </c>
      <c r="X122" s="1" t="s">
        <v>72</v>
      </c>
      <c r="Y122" t="s">
        <v>88</v>
      </c>
      <c r="Z122">
        <v>0</v>
      </c>
      <c r="AA122">
        <v>0</v>
      </c>
      <c r="AD122">
        <v>0</v>
      </c>
      <c r="AE122">
        <v>0</v>
      </c>
      <c r="AH122" t="s">
        <v>73</v>
      </c>
      <c r="AI122" t="s">
        <v>318</v>
      </c>
      <c r="AJ122" t="s">
        <v>319</v>
      </c>
      <c r="AK122" t="s">
        <v>76</v>
      </c>
      <c r="AN122" t="s">
        <v>77</v>
      </c>
      <c r="AO122" t="s">
        <v>320</v>
      </c>
      <c r="AP122" t="s">
        <v>425</v>
      </c>
      <c r="AQ122" t="s">
        <v>322</v>
      </c>
      <c r="AS122" t="b">
        <v>1</v>
      </c>
      <c r="AT122" t="s">
        <v>65</v>
      </c>
      <c r="AU122">
        <v>0</v>
      </c>
      <c r="AV122">
        <v>0</v>
      </c>
      <c r="AX122">
        <v>39</v>
      </c>
      <c r="AY122" t="s">
        <v>81</v>
      </c>
      <c r="AZ122" t="s">
        <v>90</v>
      </c>
      <c r="BB122" t="s">
        <v>91</v>
      </c>
      <c r="BC122" t="s">
        <v>92</v>
      </c>
      <c r="BD122" t="b">
        <v>0</v>
      </c>
      <c r="BE122" t="b">
        <v>0</v>
      </c>
      <c r="BF122" t="b">
        <v>0</v>
      </c>
      <c r="BG122" t="b">
        <v>0</v>
      </c>
      <c r="BH122" t="b">
        <v>0</v>
      </c>
      <c r="BI122" t="b">
        <v>0</v>
      </c>
      <c r="BJ122" t="b">
        <v>0</v>
      </c>
      <c r="BK122" t="b">
        <v>0</v>
      </c>
      <c r="BL122" t="b">
        <v>0</v>
      </c>
      <c r="BM122" t="b">
        <v>0</v>
      </c>
      <c r="BN122" t="b">
        <v>0</v>
      </c>
      <c r="BO122" t="b">
        <v>0</v>
      </c>
      <c r="BP122" t="b">
        <v>0</v>
      </c>
      <c r="BR122" t="str">
        <f>IFERROR(IF(M122="PASSED",VLOOKUP(J122,Current!$J$1:$N$500,1,FALSE)),N122)</f>
        <v>"1.0121 - MSWRK - Ensure Configure local setting override for reporting to Microsoft MAPS is set to Disabled: [PASSED]"
This policy setting configures a local override for the configuration to join Microsoft Active Protection Service (MAPS), which Microsoft renamed to Windows Defender Antivirus Cloud Protection Service and then Microsoft Defender Antivirus Cloud Protection Service.
See Also:
See HTH Policies and Standards
Reference:
NIST 800-53r5|CM-6 CM-7
Policy Value:
'0'
Actual Value:
'0'</v>
      </c>
    </row>
    <row r="123" spans="1:70" ht="15" hidden="1" customHeight="1" x14ac:dyDescent="0.25">
      <c r="A123">
        <v>21156</v>
      </c>
      <c r="C123">
        <v>0</v>
      </c>
      <c r="D123" t="s">
        <v>83</v>
      </c>
      <c r="E123" t="s">
        <v>66</v>
      </c>
      <c r="F123" t="s">
        <v>84</v>
      </c>
      <c r="G123">
        <v>0</v>
      </c>
      <c r="H123" t="s">
        <v>85</v>
      </c>
      <c r="I123" t="s">
        <v>86</v>
      </c>
      <c r="J123" t="str">
        <f>MID($N123,FIND("1.",$N123),FIND("-",$N123)-FIND("1.",$N123)-1)</f>
        <v>1.0122</v>
      </c>
      <c r="K123" t="str">
        <f t="shared" si="3"/>
        <v>Ensure Join Microsoft MAPS is set to Enabled</v>
      </c>
      <c r="L123" t="str">
        <f t="shared" si="4"/>
        <v>1.0122 - MSWRK - Ensure Join Microsoft MAPS is set to Enabled: Advanced</v>
      </c>
      <c r="M123" t="str">
        <f t="shared" si="5"/>
        <v>FAILED</v>
      </c>
      <c r="N123" s="1" t="s">
        <v>481</v>
      </c>
      <c r="O123" t="s">
        <v>67</v>
      </c>
      <c r="R123" t="s">
        <v>68</v>
      </c>
      <c r="T123" t="s">
        <v>69</v>
      </c>
      <c r="U123" t="s">
        <v>70</v>
      </c>
      <c r="W123" t="s">
        <v>71</v>
      </c>
      <c r="X123" s="1" t="s">
        <v>72</v>
      </c>
      <c r="Y123" t="s">
        <v>88</v>
      </c>
      <c r="Z123">
        <v>0</v>
      </c>
      <c r="AA123">
        <v>0</v>
      </c>
      <c r="AD123">
        <v>0</v>
      </c>
      <c r="AE123">
        <v>0</v>
      </c>
      <c r="AH123" t="s">
        <v>73</v>
      </c>
      <c r="AI123" t="s">
        <v>318</v>
      </c>
      <c r="AJ123" t="s">
        <v>319</v>
      </c>
      <c r="AK123" t="s">
        <v>76</v>
      </c>
      <c r="AN123" t="s">
        <v>77</v>
      </c>
      <c r="AO123" t="s">
        <v>320</v>
      </c>
      <c r="AP123" t="s">
        <v>480</v>
      </c>
      <c r="AQ123" t="s">
        <v>322</v>
      </c>
      <c r="AS123" t="b">
        <v>1</v>
      </c>
      <c r="AT123" t="s">
        <v>65</v>
      </c>
      <c r="AU123">
        <v>0</v>
      </c>
      <c r="AV123">
        <v>0</v>
      </c>
      <c r="AX123">
        <v>39</v>
      </c>
      <c r="AY123" t="s">
        <v>81</v>
      </c>
      <c r="AZ123" t="s">
        <v>90</v>
      </c>
      <c r="BB123" t="s">
        <v>91</v>
      </c>
      <c r="BC123" t="s">
        <v>92</v>
      </c>
      <c r="BD123" t="b">
        <v>0</v>
      </c>
      <c r="BE123" t="b">
        <v>0</v>
      </c>
      <c r="BF123" t="b">
        <v>0</v>
      </c>
      <c r="BG123" t="b">
        <v>0</v>
      </c>
      <c r="BH123" t="b">
        <v>0</v>
      </c>
      <c r="BI123" t="b">
        <v>0</v>
      </c>
      <c r="BJ123" t="b">
        <v>0</v>
      </c>
      <c r="BK123" t="b">
        <v>0</v>
      </c>
      <c r="BL123" t="b">
        <v>0</v>
      </c>
      <c r="BM123" t="b">
        <v>0</v>
      </c>
      <c r="BN123" t="b">
        <v>0</v>
      </c>
      <c r="BO123" t="b">
        <v>0</v>
      </c>
      <c r="BP123" t="b">
        <v>0</v>
      </c>
      <c r="BR123" t="b">
        <f>IFERROR(IF(M123="PASSED",VLOOKUP(J123,Current!$J$1:$N$500,1,FALSE)),N123)</f>
        <v>0</v>
      </c>
    </row>
    <row r="124" spans="1:70" ht="15" hidden="1" customHeight="1" x14ac:dyDescent="0.25">
      <c r="A124">
        <v>21156</v>
      </c>
      <c r="C124">
        <v>0</v>
      </c>
      <c r="D124" t="s">
        <v>83</v>
      </c>
      <c r="E124" t="s">
        <v>66</v>
      </c>
      <c r="F124" t="s">
        <v>84</v>
      </c>
      <c r="G124">
        <v>0</v>
      </c>
      <c r="H124" t="s">
        <v>85</v>
      </c>
      <c r="I124" t="s">
        <v>86</v>
      </c>
      <c r="J124" t="str">
        <f>MID($N124,FIND("1.",$N124),FIND("-",$N124)-FIND("1.",$N124)-1)</f>
        <v>1.0123</v>
      </c>
      <c r="K124" t="str">
        <f t="shared" si="3"/>
        <v>Ensure Configure Attack Surface Reduction rules is set to Enabled</v>
      </c>
      <c r="L124" t="str">
        <f t="shared" si="4"/>
        <v>1.0123 - MSWRK - Ensure Configure Attack Surface Reduction rules is set to Enabled</v>
      </c>
      <c r="M124" t="str">
        <f t="shared" si="5"/>
        <v>FAILED</v>
      </c>
      <c r="N124" s="1" t="s">
        <v>422</v>
      </c>
      <c r="O124" t="s">
        <v>67</v>
      </c>
      <c r="R124" t="s">
        <v>68</v>
      </c>
      <c r="T124" t="s">
        <v>69</v>
      </c>
      <c r="U124" t="s">
        <v>70</v>
      </c>
      <c r="W124" t="s">
        <v>71</v>
      </c>
      <c r="X124" s="1" t="s">
        <v>72</v>
      </c>
      <c r="Y124" t="s">
        <v>88</v>
      </c>
      <c r="Z124">
        <v>0</v>
      </c>
      <c r="AA124">
        <v>0</v>
      </c>
      <c r="AD124">
        <v>0</v>
      </c>
      <c r="AE124">
        <v>0</v>
      </c>
      <c r="AH124" t="s">
        <v>73</v>
      </c>
      <c r="AI124" t="s">
        <v>318</v>
      </c>
      <c r="AJ124" t="s">
        <v>319</v>
      </c>
      <c r="AK124" t="s">
        <v>76</v>
      </c>
      <c r="AN124" t="s">
        <v>77</v>
      </c>
      <c r="AO124" t="s">
        <v>320</v>
      </c>
      <c r="AP124" t="s">
        <v>421</v>
      </c>
      <c r="AQ124" t="s">
        <v>322</v>
      </c>
      <c r="AS124" t="b">
        <v>1</v>
      </c>
      <c r="AT124" t="s">
        <v>65</v>
      </c>
      <c r="AU124">
        <v>0</v>
      </c>
      <c r="AV124">
        <v>0</v>
      </c>
      <c r="AX124">
        <v>39</v>
      </c>
      <c r="AY124" t="s">
        <v>81</v>
      </c>
      <c r="AZ124" t="s">
        <v>90</v>
      </c>
      <c r="BB124" t="s">
        <v>91</v>
      </c>
      <c r="BC124" t="s">
        <v>92</v>
      </c>
      <c r="BD124" t="b">
        <v>0</v>
      </c>
      <c r="BE124" t="b">
        <v>0</v>
      </c>
      <c r="BF124" t="b">
        <v>0</v>
      </c>
      <c r="BG124" t="b">
        <v>0</v>
      </c>
      <c r="BH124" t="b">
        <v>0</v>
      </c>
      <c r="BI124" t="b">
        <v>0</v>
      </c>
      <c r="BJ124" t="b">
        <v>0</v>
      </c>
      <c r="BK124" t="b">
        <v>0</v>
      </c>
      <c r="BL124" t="b">
        <v>0</v>
      </c>
      <c r="BM124" t="b">
        <v>0</v>
      </c>
      <c r="BN124" t="b">
        <v>0</v>
      </c>
      <c r="BO124" t="b">
        <v>0</v>
      </c>
      <c r="BP124" t="b">
        <v>0</v>
      </c>
      <c r="BR124" t="b">
        <f>IFERROR(IF(M124="PASSED",VLOOKUP(J124,Current!$J$1:$N$500,1,FALSE)),N124)</f>
        <v>0</v>
      </c>
    </row>
    <row r="125" spans="1:70" ht="15" hidden="1" customHeight="1" x14ac:dyDescent="0.25">
      <c r="A125">
        <v>21156</v>
      </c>
      <c r="C125">
        <v>0</v>
      </c>
      <c r="D125" t="s">
        <v>83</v>
      </c>
      <c r="E125" t="s">
        <v>66</v>
      </c>
      <c r="F125" t="s">
        <v>84</v>
      </c>
      <c r="G125">
        <v>0</v>
      </c>
      <c r="H125" t="s">
        <v>85</v>
      </c>
      <c r="I125" t="s">
        <v>86</v>
      </c>
      <c r="J125" t="str">
        <f>MID($N125,FIND("1.",$N125),FIND("-",$N125)-FIND("1.",$N125)-1)</f>
        <v>1.0124</v>
      </c>
      <c r="K125" t="str">
        <f t="shared" si="3"/>
        <v>3b576869-a4ec-4529-8536-b80a7769e899</v>
      </c>
      <c r="L125" t="str">
        <f t="shared" si="4"/>
        <v>1.0124 - MSWRK - 3b576869-a4ec-4529-8536-b80a7769e899</v>
      </c>
      <c r="M125" t="str">
        <f t="shared" si="5"/>
        <v>FAILED</v>
      </c>
      <c r="N125" s="1" t="s">
        <v>371</v>
      </c>
      <c r="O125" t="s">
        <v>67</v>
      </c>
      <c r="R125" t="s">
        <v>68</v>
      </c>
      <c r="T125" t="s">
        <v>69</v>
      </c>
      <c r="U125" t="s">
        <v>70</v>
      </c>
      <c r="W125" t="s">
        <v>71</v>
      </c>
      <c r="X125" s="1" t="s">
        <v>72</v>
      </c>
      <c r="Y125" t="s">
        <v>88</v>
      </c>
      <c r="Z125">
        <v>0</v>
      </c>
      <c r="AA125">
        <v>0</v>
      </c>
      <c r="AD125">
        <v>0</v>
      </c>
      <c r="AE125">
        <v>0</v>
      </c>
      <c r="AH125" t="s">
        <v>73</v>
      </c>
      <c r="AI125" t="s">
        <v>318</v>
      </c>
      <c r="AJ125" t="s">
        <v>319</v>
      </c>
      <c r="AK125" t="s">
        <v>76</v>
      </c>
      <c r="AN125" t="s">
        <v>77</v>
      </c>
      <c r="AO125" t="s">
        <v>320</v>
      </c>
      <c r="AP125" t="s">
        <v>372</v>
      </c>
      <c r="AQ125" t="s">
        <v>322</v>
      </c>
      <c r="AS125" t="b">
        <v>1</v>
      </c>
      <c r="AT125" t="s">
        <v>65</v>
      </c>
      <c r="AU125">
        <v>0</v>
      </c>
      <c r="AV125">
        <v>0</v>
      </c>
      <c r="AX125">
        <v>39</v>
      </c>
      <c r="AY125" t="s">
        <v>81</v>
      </c>
      <c r="AZ125" t="s">
        <v>90</v>
      </c>
      <c r="BB125" t="s">
        <v>91</v>
      </c>
      <c r="BC125" t="s">
        <v>92</v>
      </c>
      <c r="BD125" t="b">
        <v>0</v>
      </c>
      <c r="BE125" t="b">
        <v>0</v>
      </c>
      <c r="BF125" t="b">
        <v>0</v>
      </c>
      <c r="BG125" t="b">
        <v>0</v>
      </c>
      <c r="BH125" t="b">
        <v>0</v>
      </c>
      <c r="BI125" t="b">
        <v>0</v>
      </c>
      <c r="BJ125" t="b">
        <v>0</v>
      </c>
      <c r="BK125" t="b">
        <v>0</v>
      </c>
      <c r="BL125" t="b">
        <v>0</v>
      </c>
      <c r="BM125" t="b">
        <v>0</v>
      </c>
      <c r="BN125" t="b">
        <v>0</v>
      </c>
      <c r="BO125" t="b">
        <v>0</v>
      </c>
      <c r="BP125" t="b">
        <v>0</v>
      </c>
      <c r="BR125" t="b">
        <f>IFERROR(IF(M125="PASSED",VLOOKUP(J125,Current!$J$1:$N$500,1,FALSE)),N125)</f>
        <v>0</v>
      </c>
    </row>
    <row r="126" spans="1:70" ht="15" hidden="1" customHeight="1" x14ac:dyDescent="0.25">
      <c r="A126">
        <v>21156</v>
      </c>
      <c r="C126">
        <v>0</v>
      </c>
      <c r="D126" t="s">
        <v>83</v>
      </c>
      <c r="E126" t="s">
        <v>66</v>
      </c>
      <c r="F126" t="s">
        <v>84</v>
      </c>
      <c r="G126">
        <v>0</v>
      </c>
      <c r="H126" t="s">
        <v>85</v>
      </c>
      <c r="I126" t="s">
        <v>86</v>
      </c>
      <c r="J126" t="str">
        <f>MID($N126,FIND("1.",$N126),FIND("-",$N126)-FIND("1.",$N126)-1)</f>
        <v>1.0125</v>
      </c>
      <c r="K126" t="str">
        <f t="shared" si="3"/>
        <v>9e6c4e1f-7d60-472f-ba1a-a39ef669e4b2</v>
      </c>
      <c r="L126" t="str">
        <f t="shared" si="4"/>
        <v>1.0125 - MSWRK - 9e6c4e1f-7d60-472f-ba1a-a39ef669e4b2</v>
      </c>
      <c r="M126" t="str">
        <f t="shared" si="5"/>
        <v>FAILED</v>
      </c>
      <c r="N126" s="1" t="s">
        <v>507</v>
      </c>
      <c r="O126" t="s">
        <v>67</v>
      </c>
      <c r="R126" t="s">
        <v>68</v>
      </c>
      <c r="T126" t="s">
        <v>69</v>
      </c>
      <c r="U126" t="s">
        <v>70</v>
      </c>
      <c r="W126" t="s">
        <v>71</v>
      </c>
      <c r="X126" s="1" t="s">
        <v>72</v>
      </c>
      <c r="Y126" t="s">
        <v>88</v>
      </c>
      <c r="Z126">
        <v>0</v>
      </c>
      <c r="AA126">
        <v>0</v>
      </c>
      <c r="AD126">
        <v>0</v>
      </c>
      <c r="AE126">
        <v>0</v>
      </c>
      <c r="AH126" t="s">
        <v>73</v>
      </c>
      <c r="AI126" t="s">
        <v>318</v>
      </c>
      <c r="AJ126" t="s">
        <v>319</v>
      </c>
      <c r="AK126" t="s">
        <v>76</v>
      </c>
      <c r="AN126" t="s">
        <v>77</v>
      </c>
      <c r="AO126" t="s">
        <v>320</v>
      </c>
      <c r="AP126" t="s">
        <v>506</v>
      </c>
      <c r="AQ126" t="s">
        <v>322</v>
      </c>
      <c r="AS126" t="b">
        <v>1</v>
      </c>
      <c r="AT126" t="s">
        <v>65</v>
      </c>
      <c r="AU126">
        <v>0</v>
      </c>
      <c r="AV126">
        <v>0</v>
      </c>
      <c r="AX126">
        <v>39</v>
      </c>
      <c r="AY126" t="s">
        <v>81</v>
      </c>
      <c r="AZ126" t="s">
        <v>90</v>
      </c>
      <c r="BB126" t="s">
        <v>91</v>
      </c>
      <c r="BC126" t="s">
        <v>92</v>
      </c>
      <c r="BD126" t="b">
        <v>0</v>
      </c>
      <c r="BE126" t="b">
        <v>0</v>
      </c>
      <c r="BF126" t="b">
        <v>0</v>
      </c>
      <c r="BG126" t="b">
        <v>0</v>
      </c>
      <c r="BH126" t="b">
        <v>0</v>
      </c>
      <c r="BI126" t="b">
        <v>0</v>
      </c>
      <c r="BJ126" t="b">
        <v>0</v>
      </c>
      <c r="BK126" t="b">
        <v>0</v>
      </c>
      <c r="BL126" t="b">
        <v>0</v>
      </c>
      <c r="BM126" t="b">
        <v>0</v>
      </c>
      <c r="BN126" t="b">
        <v>0</v>
      </c>
      <c r="BO126" t="b">
        <v>0</v>
      </c>
      <c r="BP126" t="b">
        <v>0</v>
      </c>
      <c r="BR126" t="b">
        <f>IFERROR(IF(M126="PASSED",VLOOKUP(J126,Current!$J$1:$N$500,1,FALSE)),N126)</f>
        <v>0</v>
      </c>
    </row>
    <row r="127" spans="1:70" ht="15" hidden="1" customHeight="1" x14ac:dyDescent="0.25">
      <c r="A127">
        <v>21156</v>
      </c>
      <c r="C127">
        <v>0</v>
      </c>
      <c r="D127" t="s">
        <v>83</v>
      </c>
      <c r="E127" t="s">
        <v>66</v>
      </c>
      <c r="F127" t="s">
        <v>84</v>
      </c>
      <c r="G127">
        <v>0</v>
      </c>
      <c r="H127" t="s">
        <v>85</v>
      </c>
      <c r="I127" t="s">
        <v>86</v>
      </c>
      <c r="J127" t="str">
        <f>MID($N127,FIND("1.",$N127),FIND("-",$N127)-FIND("1.",$N127)-1)</f>
        <v>1.0126</v>
      </c>
      <c r="K127" t="str">
        <f t="shared" si="3"/>
        <v>7674ba52-37eb-4a4f-a9a1-f0f9a1619a2c</v>
      </c>
      <c r="L127" t="str">
        <f t="shared" si="4"/>
        <v>1.0126 - MSWRK - 7674ba52-37eb-4a4f-a9a1-f0f9a1619a2c</v>
      </c>
      <c r="M127" t="str">
        <f t="shared" si="5"/>
        <v>FAILED</v>
      </c>
      <c r="N127" s="1" t="s">
        <v>346</v>
      </c>
      <c r="O127" t="s">
        <v>67</v>
      </c>
      <c r="R127" t="s">
        <v>68</v>
      </c>
      <c r="T127" t="s">
        <v>69</v>
      </c>
      <c r="U127" t="s">
        <v>70</v>
      </c>
      <c r="W127" t="s">
        <v>71</v>
      </c>
      <c r="X127" s="1" t="s">
        <v>72</v>
      </c>
      <c r="Y127" t="s">
        <v>88</v>
      </c>
      <c r="Z127">
        <v>0</v>
      </c>
      <c r="AA127">
        <v>0</v>
      </c>
      <c r="AD127">
        <v>0</v>
      </c>
      <c r="AE127">
        <v>0</v>
      </c>
      <c r="AH127" t="s">
        <v>73</v>
      </c>
      <c r="AI127" t="s">
        <v>318</v>
      </c>
      <c r="AJ127" t="s">
        <v>319</v>
      </c>
      <c r="AK127" t="s">
        <v>76</v>
      </c>
      <c r="AN127" t="s">
        <v>77</v>
      </c>
      <c r="AO127" t="s">
        <v>320</v>
      </c>
      <c r="AP127" t="s">
        <v>345</v>
      </c>
      <c r="AQ127" t="s">
        <v>322</v>
      </c>
      <c r="AS127" t="b">
        <v>1</v>
      </c>
      <c r="AT127" t="s">
        <v>65</v>
      </c>
      <c r="AU127">
        <v>0</v>
      </c>
      <c r="AV127">
        <v>0</v>
      </c>
      <c r="AX127">
        <v>39</v>
      </c>
      <c r="AY127" t="s">
        <v>81</v>
      </c>
      <c r="AZ127" t="s">
        <v>90</v>
      </c>
      <c r="BB127" t="s">
        <v>91</v>
      </c>
      <c r="BC127" t="s">
        <v>92</v>
      </c>
      <c r="BD127" t="b">
        <v>0</v>
      </c>
      <c r="BE127" t="b">
        <v>0</v>
      </c>
      <c r="BF127" t="b">
        <v>0</v>
      </c>
      <c r="BG127" t="b">
        <v>0</v>
      </c>
      <c r="BH127" t="b">
        <v>0</v>
      </c>
      <c r="BI127" t="b">
        <v>0</v>
      </c>
      <c r="BJ127" t="b">
        <v>0</v>
      </c>
      <c r="BK127" t="b">
        <v>0</v>
      </c>
      <c r="BL127" t="b">
        <v>0</v>
      </c>
      <c r="BM127" t="b">
        <v>0</v>
      </c>
      <c r="BN127" t="b">
        <v>0</v>
      </c>
      <c r="BO127" t="b">
        <v>0</v>
      </c>
      <c r="BP127" t="b">
        <v>0</v>
      </c>
      <c r="BR127" t="b">
        <f>IFERROR(IF(M127="PASSED",VLOOKUP(J127,Current!$J$1:$N$500,1,FALSE)),N127)</f>
        <v>0</v>
      </c>
    </row>
    <row r="128" spans="1:70" ht="15" hidden="1" customHeight="1" x14ac:dyDescent="0.25">
      <c r="A128">
        <v>21156</v>
      </c>
      <c r="C128">
        <v>0</v>
      </c>
      <c r="D128" t="s">
        <v>83</v>
      </c>
      <c r="E128" t="s">
        <v>66</v>
      </c>
      <c r="F128" t="s">
        <v>84</v>
      </c>
      <c r="G128">
        <v>0</v>
      </c>
      <c r="H128" t="s">
        <v>85</v>
      </c>
      <c r="I128" t="s">
        <v>86</v>
      </c>
      <c r="J128" t="str">
        <f>MID($N128,FIND("1.",$N128),FIND("-",$N128)-FIND("1.",$N128)-1)</f>
        <v>1.0127</v>
      </c>
      <c r="K128" t="str">
        <f t="shared" si="3"/>
        <v>56a863a9-875e-4185-98a7-b882c64b5ce5</v>
      </c>
      <c r="L128" t="str">
        <f t="shared" si="4"/>
        <v>1.0127 - MSWRK - 56a863a9-875e-4185-98a7-b882c64b5ce5</v>
      </c>
      <c r="M128" t="str">
        <f t="shared" si="5"/>
        <v>FAILED</v>
      </c>
      <c r="N128" s="1" t="s">
        <v>357</v>
      </c>
      <c r="O128" t="s">
        <v>67</v>
      </c>
      <c r="R128" t="s">
        <v>68</v>
      </c>
      <c r="T128" t="s">
        <v>69</v>
      </c>
      <c r="U128" t="s">
        <v>70</v>
      </c>
      <c r="W128" t="s">
        <v>71</v>
      </c>
      <c r="X128" s="1" t="s">
        <v>72</v>
      </c>
      <c r="Y128" t="s">
        <v>88</v>
      </c>
      <c r="Z128">
        <v>0</v>
      </c>
      <c r="AA128">
        <v>0</v>
      </c>
      <c r="AD128">
        <v>0</v>
      </c>
      <c r="AE128">
        <v>0</v>
      </c>
      <c r="AH128" t="s">
        <v>73</v>
      </c>
      <c r="AI128" t="s">
        <v>318</v>
      </c>
      <c r="AJ128" t="s">
        <v>319</v>
      </c>
      <c r="AK128" t="s">
        <v>76</v>
      </c>
      <c r="AN128" t="s">
        <v>77</v>
      </c>
      <c r="AO128" t="s">
        <v>320</v>
      </c>
      <c r="AP128" t="s">
        <v>358</v>
      </c>
      <c r="AQ128" t="s">
        <v>322</v>
      </c>
      <c r="AS128" t="b">
        <v>1</v>
      </c>
      <c r="AT128" t="s">
        <v>65</v>
      </c>
      <c r="AU128">
        <v>0</v>
      </c>
      <c r="AV128">
        <v>0</v>
      </c>
      <c r="AX128">
        <v>39</v>
      </c>
      <c r="AY128" t="s">
        <v>81</v>
      </c>
      <c r="AZ128" t="s">
        <v>90</v>
      </c>
      <c r="BB128" t="s">
        <v>91</v>
      </c>
      <c r="BC128" t="s">
        <v>92</v>
      </c>
      <c r="BD128" t="b">
        <v>0</v>
      </c>
      <c r="BE128" t="b">
        <v>0</v>
      </c>
      <c r="BF128" t="b">
        <v>0</v>
      </c>
      <c r="BG128" t="b">
        <v>0</v>
      </c>
      <c r="BH128" t="b">
        <v>0</v>
      </c>
      <c r="BI128" t="b">
        <v>0</v>
      </c>
      <c r="BJ128" t="b">
        <v>0</v>
      </c>
      <c r="BK128" t="b">
        <v>0</v>
      </c>
      <c r="BL128" t="b">
        <v>0</v>
      </c>
      <c r="BM128" t="b">
        <v>0</v>
      </c>
      <c r="BN128" t="b">
        <v>0</v>
      </c>
      <c r="BO128" t="b">
        <v>0</v>
      </c>
      <c r="BP128" t="b">
        <v>0</v>
      </c>
      <c r="BR128" t="b">
        <f>IFERROR(IF(M128="PASSED",VLOOKUP(J128,Current!$J$1:$N$500,1,FALSE)),N128)</f>
        <v>0</v>
      </c>
    </row>
    <row r="129" spans="1:70" ht="15" hidden="1" customHeight="1" x14ac:dyDescent="0.25">
      <c r="A129">
        <v>21156</v>
      </c>
      <c r="C129">
        <v>0</v>
      </c>
      <c r="D129" t="s">
        <v>83</v>
      </c>
      <c r="E129" t="s">
        <v>66</v>
      </c>
      <c r="F129" t="s">
        <v>84</v>
      </c>
      <c r="G129">
        <v>0</v>
      </c>
      <c r="H129" t="s">
        <v>85</v>
      </c>
      <c r="I129" t="s">
        <v>86</v>
      </c>
      <c r="J129" t="str">
        <f>MID($N129,FIND("1.",$N129),FIND("-",$N129)-FIND("1.",$N129)-1)</f>
        <v>1.0128</v>
      </c>
      <c r="K129" t="str">
        <f t="shared" si="3"/>
        <v>d4f940ab-401b-4efc-aadc-ad5f3c50688a</v>
      </c>
      <c r="L129" t="str">
        <f t="shared" si="4"/>
        <v>1.0128 - MSWRK - d4f940ab-401b-4efc-aadc-ad5f3c50688a</v>
      </c>
      <c r="M129" t="str">
        <f t="shared" si="5"/>
        <v>FAILED</v>
      </c>
      <c r="N129" s="1" t="s">
        <v>729</v>
      </c>
      <c r="O129" t="s">
        <v>67</v>
      </c>
      <c r="R129" t="s">
        <v>68</v>
      </c>
      <c r="T129" t="s">
        <v>69</v>
      </c>
      <c r="U129" t="s">
        <v>70</v>
      </c>
      <c r="W129" t="s">
        <v>71</v>
      </c>
      <c r="X129" s="1" t="s">
        <v>72</v>
      </c>
      <c r="Y129" t="s">
        <v>88</v>
      </c>
      <c r="Z129">
        <v>0</v>
      </c>
      <c r="AA129">
        <v>0</v>
      </c>
      <c r="AD129">
        <v>0</v>
      </c>
      <c r="AE129">
        <v>0</v>
      </c>
      <c r="AH129" t="s">
        <v>73</v>
      </c>
      <c r="AI129" t="s">
        <v>318</v>
      </c>
      <c r="AJ129" t="s">
        <v>319</v>
      </c>
      <c r="AK129" t="s">
        <v>76</v>
      </c>
      <c r="AN129" t="s">
        <v>77</v>
      </c>
      <c r="AO129" t="s">
        <v>320</v>
      </c>
      <c r="AP129" t="s">
        <v>730</v>
      </c>
      <c r="AQ129" t="s">
        <v>322</v>
      </c>
      <c r="AS129" t="b">
        <v>1</v>
      </c>
      <c r="AT129" t="s">
        <v>65</v>
      </c>
      <c r="AU129">
        <v>0</v>
      </c>
      <c r="AV129">
        <v>0</v>
      </c>
      <c r="AX129">
        <v>39</v>
      </c>
      <c r="AY129" t="s">
        <v>81</v>
      </c>
      <c r="AZ129" t="s">
        <v>90</v>
      </c>
      <c r="BB129" t="s">
        <v>91</v>
      </c>
      <c r="BC129" t="s">
        <v>92</v>
      </c>
      <c r="BD129" t="b">
        <v>0</v>
      </c>
      <c r="BE129" t="b">
        <v>0</v>
      </c>
      <c r="BF129" t="b">
        <v>0</v>
      </c>
      <c r="BG129" t="b">
        <v>0</v>
      </c>
      <c r="BH129" t="b">
        <v>0</v>
      </c>
      <c r="BI129" t="b">
        <v>0</v>
      </c>
      <c r="BJ129" t="b">
        <v>0</v>
      </c>
      <c r="BK129" t="b">
        <v>0</v>
      </c>
      <c r="BL129" t="b">
        <v>0</v>
      </c>
      <c r="BM129" t="b">
        <v>0</v>
      </c>
      <c r="BN129" t="b">
        <v>0</v>
      </c>
      <c r="BO129" t="b">
        <v>0</v>
      </c>
      <c r="BP129" t="b">
        <v>0</v>
      </c>
      <c r="BR129" t="b">
        <f>IFERROR(IF(M129="PASSED",VLOOKUP(J129,Current!$J$1:$N$500,1,FALSE)),N129)</f>
        <v>0</v>
      </c>
    </row>
    <row r="130" spans="1:70" ht="15" hidden="1" customHeight="1" x14ac:dyDescent="0.25">
      <c r="A130">
        <v>21156</v>
      </c>
      <c r="C130">
        <v>0</v>
      </c>
      <c r="D130" t="s">
        <v>83</v>
      </c>
      <c r="E130" t="s">
        <v>66</v>
      </c>
      <c r="F130" t="s">
        <v>84</v>
      </c>
      <c r="G130">
        <v>0</v>
      </c>
      <c r="H130" t="s">
        <v>85</v>
      </c>
      <c r="I130" t="s">
        <v>86</v>
      </c>
      <c r="J130" t="str">
        <f>MID($N130,FIND("1.",$N130),FIND("-",$N130)-FIND("1.",$N130)-1)</f>
        <v>1.0129</v>
      </c>
      <c r="K130" t="str">
        <f t="shared" si="3"/>
        <v>e6db77e5-3df2-4cf1-b95a-636979351e5b</v>
      </c>
      <c r="L130" t="str">
        <f t="shared" si="4"/>
        <v>1.0129 - MSWRK - e6db77e5-3df2-4cf1-b95a-636979351e5b</v>
      </c>
      <c r="M130" t="str">
        <f t="shared" si="5"/>
        <v>FAILED</v>
      </c>
      <c r="N130" s="1" t="s">
        <v>367</v>
      </c>
      <c r="O130" t="s">
        <v>67</v>
      </c>
      <c r="R130" t="s">
        <v>68</v>
      </c>
      <c r="T130" t="s">
        <v>69</v>
      </c>
      <c r="U130" t="s">
        <v>70</v>
      </c>
      <c r="W130" t="s">
        <v>71</v>
      </c>
      <c r="X130" s="1" t="s">
        <v>72</v>
      </c>
      <c r="Y130" t="s">
        <v>88</v>
      </c>
      <c r="Z130">
        <v>0</v>
      </c>
      <c r="AA130">
        <v>0</v>
      </c>
      <c r="AD130">
        <v>0</v>
      </c>
      <c r="AE130">
        <v>0</v>
      </c>
      <c r="AH130" t="s">
        <v>73</v>
      </c>
      <c r="AI130" t="s">
        <v>318</v>
      </c>
      <c r="AJ130" t="s">
        <v>319</v>
      </c>
      <c r="AK130" t="s">
        <v>76</v>
      </c>
      <c r="AN130" t="s">
        <v>77</v>
      </c>
      <c r="AO130" t="s">
        <v>320</v>
      </c>
      <c r="AP130" t="s">
        <v>365</v>
      </c>
      <c r="AQ130" t="s">
        <v>322</v>
      </c>
      <c r="AS130" t="b">
        <v>1</v>
      </c>
      <c r="AT130" t="s">
        <v>65</v>
      </c>
      <c r="AU130">
        <v>0</v>
      </c>
      <c r="AV130">
        <v>0</v>
      </c>
      <c r="AX130">
        <v>39</v>
      </c>
      <c r="AY130" t="s">
        <v>81</v>
      </c>
      <c r="AZ130" t="s">
        <v>90</v>
      </c>
      <c r="BB130" t="s">
        <v>91</v>
      </c>
      <c r="BC130" t="s">
        <v>92</v>
      </c>
      <c r="BD130" t="b">
        <v>0</v>
      </c>
      <c r="BE130" t="b">
        <v>0</v>
      </c>
      <c r="BF130" t="b">
        <v>0</v>
      </c>
      <c r="BG130" t="b">
        <v>0</v>
      </c>
      <c r="BH130" t="b">
        <v>0</v>
      </c>
      <c r="BI130" t="b">
        <v>0</v>
      </c>
      <c r="BJ130" t="b">
        <v>0</v>
      </c>
      <c r="BK130" t="b">
        <v>0</v>
      </c>
      <c r="BL130" t="b">
        <v>0</v>
      </c>
      <c r="BM130" t="b">
        <v>0</v>
      </c>
      <c r="BN130" t="b">
        <v>0</v>
      </c>
      <c r="BO130" t="b">
        <v>0</v>
      </c>
      <c r="BP130" t="b">
        <v>0</v>
      </c>
      <c r="BR130" t="b">
        <f>IFERROR(IF(M130="PASSED",VLOOKUP(J130,Current!$J$1:$N$500,1,FALSE)),N130)</f>
        <v>0</v>
      </c>
    </row>
    <row r="131" spans="1:70" ht="15" hidden="1" customHeight="1" x14ac:dyDescent="0.25">
      <c r="A131">
        <v>21156</v>
      </c>
      <c r="C131">
        <v>0</v>
      </c>
      <c r="D131" t="s">
        <v>83</v>
      </c>
      <c r="E131" t="s">
        <v>66</v>
      </c>
      <c r="F131" t="s">
        <v>84</v>
      </c>
      <c r="G131">
        <v>0</v>
      </c>
      <c r="H131" t="s">
        <v>85</v>
      </c>
      <c r="I131" t="s">
        <v>86</v>
      </c>
      <c r="J131" t="str">
        <f>MID($N131,FIND("1.",$N131),FIND("-",$N131)-FIND("1.",$N131)-1)</f>
        <v>1.0130</v>
      </c>
      <c r="K131" t="str">
        <f t="shared" ref="K131:K194" si="6">MID($N131,FIND("MSWRK - ",$N131)+8,FIND(":",$N131,40)-FIND("MSWRK - ",$N131)-8)</f>
        <v>92e97fa1-2edf-4476-bdd6-9dd0b4dddc7b</v>
      </c>
      <c r="L131" t="str">
        <f t="shared" ref="L131:L194" si="7">MID($N131,FIND("1.",$N131),FIND("[",$N131)-1-FIND("1.",$N131)-1)</f>
        <v>1.0130 - MSWRK - 92e97fa1-2edf-4476-bdd6-9dd0b4dddc7b</v>
      </c>
      <c r="M131" t="str">
        <f t="shared" ref="M131:M194" si="8">MID($N131,FIND("[",$N131)+1,FIND("]",$N131)-FIND("[",$N131)-1)</f>
        <v>FAILED</v>
      </c>
      <c r="N131" s="1" t="s">
        <v>382</v>
      </c>
      <c r="O131" t="s">
        <v>67</v>
      </c>
      <c r="R131" t="s">
        <v>68</v>
      </c>
      <c r="T131" t="s">
        <v>69</v>
      </c>
      <c r="U131" t="s">
        <v>70</v>
      </c>
      <c r="W131" t="s">
        <v>71</v>
      </c>
      <c r="X131" s="1" t="s">
        <v>72</v>
      </c>
      <c r="Y131" t="s">
        <v>88</v>
      </c>
      <c r="Z131">
        <v>0</v>
      </c>
      <c r="AA131">
        <v>0</v>
      </c>
      <c r="AD131">
        <v>0</v>
      </c>
      <c r="AE131">
        <v>0</v>
      </c>
      <c r="AH131" t="s">
        <v>73</v>
      </c>
      <c r="AI131" t="s">
        <v>318</v>
      </c>
      <c r="AJ131" t="s">
        <v>319</v>
      </c>
      <c r="AK131" t="s">
        <v>76</v>
      </c>
      <c r="AN131" t="s">
        <v>77</v>
      </c>
      <c r="AO131" t="s">
        <v>320</v>
      </c>
      <c r="AP131" t="s">
        <v>381</v>
      </c>
      <c r="AQ131" t="s">
        <v>322</v>
      </c>
      <c r="AS131" t="b">
        <v>1</v>
      </c>
      <c r="AT131" t="s">
        <v>65</v>
      </c>
      <c r="AU131">
        <v>0</v>
      </c>
      <c r="AV131">
        <v>0</v>
      </c>
      <c r="AX131">
        <v>39</v>
      </c>
      <c r="AY131" t="s">
        <v>81</v>
      </c>
      <c r="AZ131" t="s">
        <v>90</v>
      </c>
      <c r="BB131" t="s">
        <v>91</v>
      </c>
      <c r="BC131" t="s">
        <v>92</v>
      </c>
      <c r="BD131" t="b">
        <v>0</v>
      </c>
      <c r="BE131" t="b">
        <v>0</v>
      </c>
      <c r="BF131" t="b">
        <v>0</v>
      </c>
      <c r="BG131" t="b">
        <v>0</v>
      </c>
      <c r="BH131" t="b">
        <v>0</v>
      </c>
      <c r="BI131" t="b">
        <v>0</v>
      </c>
      <c r="BJ131" t="b">
        <v>0</v>
      </c>
      <c r="BK131" t="b">
        <v>0</v>
      </c>
      <c r="BL131" t="b">
        <v>0</v>
      </c>
      <c r="BM131" t="b">
        <v>0</v>
      </c>
      <c r="BN131" t="b">
        <v>0</v>
      </c>
      <c r="BO131" t="b">
        <v>0</v>
      </c>
      <c r="BP131" t="b">
        <v>0</v>
      </c>
      <c r="BR131" t="b">
        <f>IFERROR(IF(M131="PASSED",VLOOKUP(J131,Current!$J$1:$N$500,1,FALSE)),N131)</f>
        <v>0</v>
      </c>
    </row>
    <row r="132" spans="1:70" ht="15" hidden="1" customHeight="1" x14ac:dyDescent="0.25">
      <c r="A132">
        <v>21156</v>
      </c>
      <c r="C132">
        <v>0</v>
      </c>
      <c r="D132" t="s">
        <v>83</v>
      </c>
      <c r="E132" t="s">
        <v>66</v>
      </c>
      <c r="F132" t="s">
        <v>84</v>
      </c>
      <c r="G132">
        <v>0</v>
      </c>
      <c r="H132" t="s">
        <v>85</v>
      </c>
      <c r="I132" t="s">
        <v>86</v>
      </c>
      <c r="J132" t="str">
        <f>MID($N132,FIND("1.",$N132),FIND("-",$N132)-FIND("1.",$N132)-1)</f>
        <v>1.0131</v>
      </c>
      <c r="K132" t="str">
        <f t="shared" si="6"/>
        <v>d3e037e1-3eb8-44c8-a917-57927947596d</v>
      </c>
      <c r="L132" t="str">
        <f t="shared" si="7"/>
        <v>1.0131 - MSWRK - d3e037e1-3eb8-44c8-a917-57927947596d</v>
      </c>
      <c r="M132" t="str">
        <f t="shared" si="8"/>
        <v>FAILED</v>
      </c>
      <c r="N132" s="1" t="s">
        <v>478</v>
      </c>
      <c r="O132" t="s">
        <v>67</v>
      </c>
      <c r="R132" t="s">
        <v>68</v>
      </c>
      <c r="T132" t="s">
        <v>69</v>
      </c>
      <c r="U132" t="s">
        <v>70</v>
      </c>
      <c r="W132" t="s">
        <v>71</v>
      </c>
      <c r="X132" s="1" t="s">
        <v>72</v>
      </c>
      <c r="Y132" t="s">
        <v>88</v>
      </c>
      <c r="Z132">
        <v>0</v>
      </c>
      <c r="AA132">
        <v>0</v>
      </c>
      <c r="AD132">
        <v>0</v>
      </c>
      <c r="AE132">
        <v>0</v>
      </c>
      <c r="AH132" t="s">
        <v>73</v>
      </c>
      <c r="AI132" t="s">
        <v>318</v>
      </c>
      <c r="AJ132" t="s">
        <v>319</v>
      </c>
      <c r="AK132" t="s">
        <v>76</v>
      </c>
      <c r="AN132" t="s">
        <v>77</v>
      </c>
      <c r="AO132" t="s">
        <v>320</v>
      </c>
      <c r="AP132" t="s">
        <v>476</v>
      </c>
      <c r="AQ132" t="s">
        <v>322</v>
      </c>
      <c r="AS132" t="b">
        <v>1</v>
      </c>
      <c r="AT132" t="s">
        <v>65</v>
      </c>
      <c r="AU132">
        <v>0</v>
      </c>
      <c r="AV132">
        <v>0</v>
      </c>
      <c r="AX132">
        <v>39</v>
      </c>
      <c r="AY132" t="s">
        <v>81</v>
      </c>
      <c r="AZ132" t="s">
        <v>90</v>
      </c>
      <c r="BB132" t="s">
        <v>91</v>
      </c>
      <c r="BC132" t="s">
        <v>92</v>
      </c>
      <c r="BD132" t="b">
        <v>0</v>
      </c>
      <c r="BE132" t="b">
        <v>0</v>
      </c>
      <c r="BF132" t="b">
        <v>0</v>
      </c>
      <c r="BG132" t="b">
        <v>0</v>
      </c>
      <c r="BH132" t="b">
        <v>0</v>
      </c>
      <c r="BI132" t="b">
        <v>0</v>
      </c>
      <c r="BJ132" t="b">
        <v>0</v>
      </c>
      <c r="BK132" t="b">
        <v>0</v>
      </c>
      <c r="BL132" t="b">
        <v>0</v>
      </c>
      <c r="BM132" t="b">
        <v>0</v>
      </c>
      <c r="BN132" t="b">
        <v>0</v>
      </c>
      <c r="BO132" t="b">
        <v>0</v>
      </c>
      <c r="BP132" t="b">
        <v>0</v>
      </c>
      <c r="BR132" t="b">
        <f>IFERROR(IF(M132="PASSED",VLOOKUP(J132,Current!$J$1:$N$500,1,FALSE)),N132)</f>
        <v>0</v>
      </c>
    </row>
    <row r="133" spans="1:70" ht="15" hidden="1" customHeight="1" x14ac:dyDescent="0.25">
      <c r="A133">
        <v>21156</v>
      </c>
      <c r="C133">
        <v>0</v>
      </c>
      <c r="D133" t="s">
        <v>83</v>
      </c>
      <c r="E133" t="s">
        <v>66</v>
      </c>
      <c r="F133" t="s">
        <v>84</v>
      </c>
      <c r="G133">
        <v>0</v>
      </c>
      <c r="H133" t="s">
        <v>85</v>
      </c>
      <c r="I133" t="s">
        <v>86</v>
      </c>
      <c r="J133" t="str">
        <f>MID($N133,FIND("1.",$N133),FIND("-",$N133)-FIND("1.",$N133)-1)</f>
        <v>1.0132</v>
      </c>
      <c r="K133" t="str">
        <f t="shared" si="6"/>
        <v>5beb7efe-fd9a-4556-801d-275e5ffc04cc</v>
      </c>
      <c r="L133" t="str">
        <f t="shared" si="7"/>
        <v>1.0132 - MSWRK - 5beb7efe-fd9a-4556-801d-275e5ffc04cc</v>
      </c>
      <c r="M133" t="str">
        <f t="shared" si="8"/>
        <v>FAILED</v>
      </c>
      <c r="N133" s="1" t="s">
        <v>497</v>
      </c>
      <c r="O133" t="s">
        <v>67</v>
      </c>
      <c r="R133" t="s">
        <v>68</v>
      </c>
      <c r="T133" t="s">
        <v>69</v>
      </c>
      <c r="U133" t="s">
        <v>70</v>
      </c>
      <c r="W133" t="s">
        <v>71</v>
      </c>
      <c r="X133" s="1" t="s">
        <v>72</v>
      </c>
      <c r="Y133" t="s">
        <v>88</v>
      </c>
      <c r="Z133">
        <v>0</v>
      </c>
      <c r="AA133">
        <v>0</v>
      </c>
      <c r="AD133">
        <v>0</v>
      </c>
      <c r="AE133">
        <v>0</v>
      </c>
      <c r="AH133" t="s">
        <v>73</v>
      </c>
      <c r="AI133" t="s">
        <v>318</v>
      </c>
      <c r="AJ133" t="s">
        <v>319</v>
      </c>
      <c r="AK133" t="s">
        <v>76</v>
      </c>
      <c r="AN133" t="s">
        <v>77</v>
      </c>
      <c r="AO133" t="s">
        <v>320</v>
      </c>
      <c r="AP133" t="s">
        <v>495</v>
      </c>
      <c r="AQ133" t="s">
        <v>322</v>
      </c>
      <c r="AS133" t="b">
        <v>1</v>
      </c>
      <c r="AT133" t="s">
        <v>65</v>
      </c>
      <c r="AU133">
        <v>0</v>
      </c>
      <c r="AV133">
        <v>0</v>
      </c>
      <c r="AX133">
        <v>39</v>
      </c>
      <c r="AY133" t="s">
        <v>81</v>
      </c>
      <c r="AZ133" t="s">
        <v>90</v>
      </c>
      <c r="BB133" t="s">
        <v>91</v>
      </c>
      <c r="BC133" t="s">
        <v>92</v>
      </c>
      <c r="BD133" t="b">
        <v>0</v>
      </c>
      <c r="BE133" t="b">
        <v>0</v>
      </c>
      <c r="BF133" t="b">
        <v>0</v>
      </c>
      <c r="BG133" t="b">
        <v>0</v>
      </c>
      <c r="BH133" t="b">
        <v>0</v>
      </c>
      <c r="BI133" t="b">
        <v>0</v>
      </c>
      <c r="BJ133" t="b">
        <v>0</v>
      </c>
      <c r="BK133" t="b">
        <v>0</v>
      </c>
      <c r="BL133" t="b">
        <v>0</v>
      </c>
      <c r="BM133" t="b">
        <v>0</v>
      </c>
      <c r="BN133" t="b">
        <v>0</v>
      </c>
      <c r="BO133" t="b">
        <v>0</v>
      </c>
      <c r="BP133" t="b">
        <v>0</v>
      </c>
      <c r="BR133" t="b">
        <f>IFERROR(IF(M133="PASSED",VLOOKUP(J133,Current!$J$1:$N$500,1,FALSE)),N133)</f>
        <v>0</v>
      </c>
    </row>
    <row r="134" spans="1:70" ht="15" hidden="1" customHeight="1" x14ac:dyDescent="0.25">
      <c r="A134">
        <v>21156</v>
      </c>
      <c r="C134">
        <v>0</v>
      </c>
      <c r="D134" t="s">
        <v>83</v>
      </c>
      <c r="E134" t="s">
        <v>66</v>
      </c>
      <c r="F134" t="s">
        <v>84</v>
      </c>
      <c r="G134">
        <v>0</v>
      </c>
      <c r="H134" t="s">
        <v>85</v>
      </c>
      <c r="I134" t="s">
        <v>86</v>
      </c>
      <c r="J134" t="str">
        <f>MID($N134,FIND("1.",$N134),FIND("-",$N134)-FIND("1.",$N134)-1)</f>
        <v>1.0133</v>
      </c>
      <c r="K134" t="str">
        <f t="shared" si="6"/>
        <v>26190899-1602-49e8-8b27-eb1d0a1ce869</v>
      </c>
      <c r="L134" t="str">
        <f t="shared" si="7"/>
        <v>1.0133 - MSWRK - 26190899-1602-49e8-8b27-eb1d0a1ce869</v>
      </c>
      <c r="M134" t="str">
        <f t="shared" si="8"/>
        <v>FAILED</v>
      </c>
      <c r="N134" s="1" t="s">
        <v>530</v>
      </c>
      <c r="O134" t="s">
        <v>67</v>
      </c>
      <c r="R134" t="s">
        <v>68</v>
      </c>
      <c r="T134" t="s">
        <v>69</v>
      </c>
      <c r="U134" t="s">
        <v>70</v>
      </c>
      <c r="W134" t="s">
        <v>71</v>
      </c>
      <c r="X134" s="1" t="s">
        <v>72</v>
      </c>
      <c r="Y134" t="s">
        <v>88</v>
      </c>
      <c r="Z134">
        <v>0</v>
      </c>
      <c r="AA134">
        <v>0</v>
      </c>
      <c r="AD134">
        <v>0</v>
      </c>
      <c r="AE134">
        <v>0</v>
      </c>
      <c r="AH134" t="s">
        <v>73</v>
      </c>
      <c r="AI134" t="s">
        <v>318</v>
      </c>
      <c r="AJ134" t="s">
        <v>319</v>
      </c>
      <c r="AK134" t="s">
        <v>76</v>
      </c>
      <c r="AN134" t="s">
        <v>77</v>
      </c>
      <c r="AO134" t="s">
        <v>320</v>
      </c>
      <c r="AP134" t="s">
        <v>529</v>
      </c>
      <c r="AQ134" t="s">
        <v>322</v>
      </c>
      <c r="AS134" t="b">
        <v>1</v>
      </c>
      <c r="AT134" t="s">
        <v>65</v>
      </c>
      <c r="AU134">
        <v>0</v>
      </c>
      <c r="AV134">
        <v>0</v>
      </c>
      <c r="AX134">
        <v>39</v>
      </c>
      <c r="AY134" t="s">
        <v>81</v>
      </c>
      <c r="AZ134" t="s">
        <v>90</v>
      </c>
      <c r="BB134" t="s">
        <v>91</v>
      </c>
      <c r="BC134" t="s">
        <v>92</v>
      </c>
      <c r="BD134" t="b">
        <v>0</v>
      </c>
      <c r="BE134" t="b">
        <v>0</v>
      </c>
      <c r="BF134" t="b">
        <v>0</v>
      </c>
      <c r="BG134" t="b">
        <v>0</v>
      </c>
      <c r="BH134" t="b">
        <v>0</v>
      </c>
      <c r="BI134" t="b">
        <v>0</v>
      </c>
      <c r="BJ134" t="b">
        <v>0</v>
      </c>
      <c r="BK134" t="b">
        <v>0</v>
      </c>
      <c r="BL134" t="b">
        <v>0</v>
      </c>
      <c r="BM134" t="b">
        <v>0</v>
      </c>
      <c r="BN134" t="b">
        <v>0</v>
      </c>
      <c r="BO134" t="b">
        <v>0</v>
      </c>
      <c r="BP134" t="b">
        <v>0</v>
      </c>
      <c r="BR134" t="b">
        <f>IFERROR(IF(M134="PASSED",VLOOKUP(J134,Current!$J$1:$N$500,1,FALSE)),N134)</f>
        <v>0</v>
      </c>
    </row>
    <row r="135" spans="1:70" ht="15" hidden="1" customHeight="1" x14ac:dyDescent="0.25">
      <c r="A135">
        <v>21156</v>
      </c>
      <c r="C135">
        <v>0</v>
      </c>
      <c r="D135" t="s">
        <v>83</v>
      </c>
      <c r="E135" t="s">
        <v>66</v>
      </c>
      <c r="F135" t="s">
        <v>84</v>
      </c>
      <c r="G135">
        <v>0</v>
      </c>
      <c r="H135" t="s">
        <v>85</v>
      </c>
      <c r="I135" t="s">
        <v>86</v>
      </c>
      <c r="J135" t="str">
        <f>MID($N135,FIND("1.",$N135),FIND("-",$N135)-FIND("1.",$N135)-1)</f>
        <v>1.0134</v>
      </c>
      <c r="K135" t="str">
        <f t="shared" si="6"/>
        <v>b2b3f03d-6a65-4f7b-a9c7-1c7ef74a9ba4</v>
      </c>
      <c r="L135" t="str">
        <f t="shared" si="7"/>
        <v>1.0134 - MSWRK - b2b3f03d-6a65-4f7b-a9c7-1c7ef74a9ba4</v>
      </c>
      <c r="M135" t="str">
        <f t="shared" si="8"/>
        <v>FAILED</v>
      </c>
      <c r="N135" s="1" t="s">
        <v>766</v>
      </c>
      <c r="O135" t="s">
        <v>67</v>
      </c>
      <c r="R135" t="s">
        <v>68</v>
      </c>
      <c r="T135" t="s">
        <v>69</v>
      </c>
      <c r="U135" t="s">
        <v>70</v>
      </c>
      <c r="W135" t="s">
        <v>71</v>
      </c>
      <c r="X135" s="1" t="s">
        <v>72</v>
      </c>
      <c r="Y135" t="s">
        <v>88</v>
      </c>
      <c r="Z135">
        <v>0</v>
      </c>
      <c r="AA135">
        <v>0</v>
      </c>
      <c r="AD135">
        <v>0</v>
      </c>
      <c r="AE135">
        <v>0</v>
      </c>
      <c r="AH135" t="s">
        <v>73</v>
      </c>
      <c r="AI135" t="s">
        <v>318</v>
      </c>
      <c r="AJ135" t="s">
        <v>319</v>
      </c>
      <c r="AK135" t="s">
        <v>76</v>
      </c>
      <c r="AN135" t="s">
        <v>77</v>
      </c>
      <c r="AO135" t="s">
        <v>320</v>
      </c>
      <c r="AP135" t="s">
        <v>324</v>
      </c>
      <c r="AQ135" t="s">
        <v>322</v>
      </c>
      <c r="AS135" t="b">
        <v>1</v>
      </c>
      <c r="AT135" t="s">
        <v>65</v>
      </c>
      <c r="AU135">
        <v>0</v>
      </c>
      <c r="AV135">
        <v>0</v>
      </c>
      <c r="AX135">
        <v>39</v>
      </c>
      <c r="AY135" t="s">
        <v>81</v>
      </c>
      <c r="AZ135" t="s">
        <v>90</v>
      </c>
      <c r="BB135" t="s">
        <v>91</v>
      </c>
      <c r="BC135" t="s">
        <v>92</v>
      </c>
      <c r="BD135" t="b">
        <v>0</v>
      </c>
      <c r="BE135" t="b">
        <v>0</v>
      </c>
      <c r="BF135" t="b">
        <v>0</v>
      </c>
      <c r="BG135" t="b">
        <v>0</v>
      </c>
      <c r="BH135" t="b">
        <v>0</v>
      </c>
      <c r="BI135" t="b">
        <v>0</v>
      </c>
      <c r="BJ135" t="b">
        <v>0</v>
      </c>
      <c r="BK135" t="b">
        <v>0</v>
      </c>
      <c r="BL135" t="b">
        <v>0</v>
      </c>
      <c r="BM135" t="b">
        <v>0</v>
      </c>
      <c r="BN135" t="b">
        <v>0</v>
      </c>
      <c r="BO135" t="b">
        <v>0</v>
      </c>
      <c r="BP135" t="b">
        <v>0</v>
      </c>
      <c r="BR135" t="b">
        <f>IFERROR(IF(M135="PASSED",VLOOKUP(J135,Current!$J$1:$N$500,1,FALSE)),N135)</f>
        <v>0</v>
      </c>
    </row>
    <row r="136" spans="1:70" ht="15" hidden="1" customHeight="1" x14ac:dyDescent="0.25">
      <c r="A136">
        <v>21156</v>
      </c>
      <c r="C136">
        <v>0</v>
      </c>
      <c r="D136" t="s">
        <v>83</v>
      </c>
      <c r="E136" t="s">
        <v>66</v>
      </c>
      <c r="F136" t="s">
        <v>84</v>
      </c>
      <c r="G136">
        <v>0</v>
      </c>
      <c r="H136" t="s">
        <v>85</v>
      </c>
      <c r="I136" t="s">
        <v>86</v>
      </c>
      <c r="J136" t="str">
        <f>MID($N136,FIND("1.",$N136),FIND("-",$N136)-FIND("1.",$N136)-1)</f>
        <v>1.0135</v>
      </c>
      <c r="K136" t="str">
        <f t="shared" si="6"/>
        <v>be9ba2d9-53ea-4cdc-84e5-9b1eeee46550</v>
      </c>
      <c r="L136" t="str">
        <f t="shared" si="7"/>
        <v>1.0135 - MSWRK - be9ba2d9-53ea-4cdc-84e5-9b1eeee46550</v>
      </c>
      <c r="M136" t="str">
        <f t="shared" si="8"/>
        <v>FAILED</v>
      </c>
      <c r="N136" s="1" t="s">
        <v>687</v>
      </c>
      <c r="O136" t="s">
        <v>67</v>
      </c>
      <c r="R136" t="s">
        <v>68</v>
      </c>
      <c r="T136" t="s">
        <v>69</v>
      </c>
      <c r="U136" t="s">
        <v>70</v>
      </c>
      <c r="W136" t="s">
        <v>71</v>
      </c>
      <c r="X136" s="1" t="s">
        <v>72</v>
      </c>
      <c r="Y136" t="s">
        <v>88</v>
      </c>
      <c r="Z136">
        <v>0</v>
      </c>
      <c r="AA136">
        <v>0</v>
      </c>
      <c r="AD136">
        <v>0</v>
      </c>
      <c r="AE136">
        <v>0</v>
      </c>
      <c r="AH136" t="s">
        <v>73</v>
      </c>
      <c r="AI136" t="s">
        <v>318</v>
      </c>
      <c r="AJ136" t="s">
        <v>319</v>
      </c>
      <c r="AK136" t="s">
        <v>76</v>
      </c>
      <c r="AN136" t="s">
        <v>77</v>
      </c>
      <c r="AO136" t="s">
        <v>320</v>
      </c>
      <c r="AP136" t="s">
        <v>686</v>
      </c>
      <c r="AQ136" t="s">
        <v>322</v>
      </c>
      <c r="AS136" t="b">
        <v>1</v>
      </c>
      <c r="AT136" t="s">
        <v>65</v>
      </c>
      <c r="AU136">
        <v>0</v>
      </c>
      <c r="AV136">
        <v>0</v>
      </c>
      <c r="AX136">
        <v>39</v>
      </c>
      <c r="AY136" t="s">
        <v>81</v>
      </c>
      <c r="AZ136" t="s">
        <v>90</v>
      </c>
      <c r="BB136" t="s">
        <v>91</v>
      </c>
      <c r="BC136" t="s">
        <v>92</v>
      </c>
      <c r="BD136" t="b">
        <v>0</v>
      </c>
      <c r="BE136" t="b">
        <v>0</v>
      </c>
      <c r="BF136" t="b">
        <v>0</v>
      </c>
      <c r="BG136" t="b">
        <v>0</v>
      </c>
      <c r="BH136" t="b">
        <v>0</v>
      </c>
      <c r="BI136" t="b">
        <v>0</v>
      </c>
      <c r="BJ136" t="b">
        <v>0</v>
      </c>
      <c r="BK136" t="b">
        <v>0</v>
      </c>
      <c r="BL136" t="b">
        <v>0</v>
      </c>
      <c r="BM136" t="b">
        <v>0</v>
      </c>
      <c r="BN136" t="b">
        <v>0</v>
      </c>
      <c r="BO136" t="b">
        <v>0</v>
      </c>
      <c r="BP136" t="b">
        <v>0</v>
      </c>
      <c r="BR136" t="b">
        <f>IFERROR(IF(M136="PASSED",VLOOKUP(J136,Current!$J$1:$N$500,1,FALSE)),N136)</f>
        <v>0</v>
      </c>
    </row>
    <row r="137" spans="1:70" ht="15" hidden="1" customHeight="1" x14ac:dyDescent="0.25">
      <c r="A137">
        <v>21156</v>
      </c>
      <c r="C137">
        <v>0</v>
      </c>
      <c r="D137" t="s">
        <v>83</v>
      </c>
      <c r="E137" t="s">
        <v>66</v>
      </c>
      <c r="F137" t="s">
        <v>84</v>
      </c>
      <c r="G137">
        <v>0</v>
      </c>
      <c r="H137" t="s">
        <v>85</v>
      </c>
      <c r="I137" t="s">
        <v>86</v>
      </c>
      <c r="J137" t="str">
        <f>MID($N137,FIND("1.",$N137),FIND("-",$N137)-FIND("1.",$N137)-1)</f>
        <v>1.0136</v>
      </c>
      <c r="K137" t="str">
        <f t="shared" si="6"/>
        <v>75668c1f-73b5-4cf0-bb93-3ecf5cb7cc84</v>
      </c>
      <c r="L137" t="str">
        <f t="shared" si="7"/>
        <v>1.0136 - MSWRK - 75668c1f-73b5-4cf0-bb93-3ecf5cb7cc84</v>
      </c>
      <c r="M137" t="str">
        <f t="shared" si="8"/>
        <v>FAILED</v>
      </c>
      <c r="N137" s="1" t="s">
        <v>379</v>
      </c>
      <c r="O137" t="s">
        <v>67</v>
      </c>
      <c r="R137" t="s">
        <v>68</v>
      </c>
      <c r="T137" t="s">
        <v>69</v>
      </c>
      <c r="U137" t="s">
        <v>70</v>
      </c>
      <c r="W137" t="s">
        <v>71</v>
      </c>
      <c r="X137" s="1" t="s">
        <v>72</v>
      </c>
      <c r="Y137" t="s">
        <v>88</v>
      </c>
      <c r="Z137">
        <v>0</v>
      </c>
      <c r="AA137">
        <v>0</v>
      </c>
      <c r="AD137">
        <v>0</v>
      </c>
      <c r="AE137">
        <v>0</v>
      </c>
      <c r="AH137" t="s">
        <v>73</v>
      </c>
      <c r="AI137" t="s">
        <v>318</v>
      </c>
      <c r="AJ137" t="s">
        <v>319</v>
      </c>
      <c r="AK137" t="s">
        <v>76</v>
      </c>
      <c r="AN137" t="s">
        <v>77</v>
      </c>
      <c r="AO137" t="s">
        <v>320</v>
      </c>
      <c r="AP137" t="s">
        <v>377</v>
      </c>
      <c r="AQ137" t="s">
        <v>322</v>
      </c>
      <c r="AS137" t="b">
        <v>1</v>
      </c>
      <c r="AT137" t="s">
        <v>65</v>
      </c>
      <c r="AU137">
        <v>0</v>
      </c>
      <c r="AV137">
        <v>0</v>
      </c>
      <c r="AX137">
        <v>39</v>
      </c>
      <c r="AY137" t="s">
        <v>81</v>
      </c>
      <c r="AZ137" t="s">
        <v>90</v>
      </c>
      <c r="BB137" t="s">
        <v>91</v>
      </c>
      <c r="BC137" t="s">
        <v>92</v>
      </c>
      <c r="BD137" t="b">
        <v>0</v>
      </c>
      <c r="BE137" t="b">
        <v>0</v>
      </c>
      <c r="BF137" t="b">
        <v>0</v>
      </c>
      <c r="BG137" t="b">
        <v>0</v>
      </c>
      <c r="BH137" t="b">
        <v>0</v>
      </c>
      <c r="BI137" t="b">
        <v>0</v>
      </c>
      <c r="BJ137" t="b">
        <v>0</v>
      </c>
      <c r="BK137" t="b">
        <v>0</v>
      </c>
      <c r="BL137" t="b">
        <v>0</v>
      </c>
      <c r="BM137" t="b">
        <v>0</v>
      </c>
      <c r="BN137" t="b">
        <v>0</v>
      </c>
      <c r="BO137" t="b">
        <v>0</v>
      </c>
      <c r="BP137" t="b">
        <v>0</v>
      </c>
      <c r="BR137" t="b">
        <f>IFERROR(IF(M137="PASSED",VLOOKUP(J137,Current!$J$1:$N$500,1,FALSE)),N137)</f>
        <v>0</v>
      </c>
    </row>
    <row r="138" spans="1:70" ht="15" hidden="1" customHeight="1" x14ac:dyDescent="0.25">
      <c r="A138">
        <v>21156</v>
      </c>
      <c r="C138">
        <v>0</v>
      </c>
      <c r="D138" t="s">
        <v>83</v>
      </c>
      <c r="E138" t="s">
        <v>66</v>
      </c>
      <c r="F138" t="s">
        <v>84</v>
      </c>
      <c r="G138">
        <v>0</v>
      </c>
      <c r="H138" t="s">
        <v>85</v>
      </c>
      <c r="I138" t="s">
        <v>86</v>
      </c>
      <c r="J138" t="str">
        <f>MID($N138,FIND("1.",$N138),FIND("-",$N138)-FIND("1.",$N138)-1)</f>
        <v>1.0137</v>
      </c>
      <c r="K138" t="str">
        <f t="shared" si="6"/>
        <v>Ensure Prevent users and apps from accessing dangerous websites is set to Enabled</v>
      </c>
      <c r="L138" t="str">
        <f t="shared" si="7"/>
        <v>1.0137 - MSWRK - Ensure Prevent users and apps from accessing dangerous websites is set to Enabled: Block</v>
      </c>
      <c r="M138" t="str">
        <f t="shared" si="8"/>
        <v>FAILED</v>
      </c>
      <c r="N138" s="1" t="s">
        <v>519</v>
      </c>
      <c r="O138" t="s">
        <v>67</v>
      </c>
      <c r="R138" t="s">
        <v>68</v>
      </c>
      <c r="T138" t="s">
        <v>69</v>
      </c>
      <c r="U138" t="s">
        <v>70</v>
      </c>
      <c r="W138" t="s">
        <v>71</v>
      </c>
      <c r="X138" s="1" t="s">
        <v>72</v>
      </c>
      <c r="Y138" t="s">
        <v>88</v>
      </c>
      <c r="Z138">
        <v>0</v>
      </c>
      <c r="AA138">
        <v>0</v>
      </c>
      <c r="AD138">
        <v>0</v>
      </c>
      <c r="AE138">
        <v>0</v>
      </c>
      <c r="AH138" t="s">
        <v>73</v>
      </c>
      <c r="AI138" t="s">
        <v>318</v>
      </c>
      <c r="AJ138" t="s">
        <v>319</v>
      </c>
      <c r="AK138" t="s">
        <v>76</v>
      </c>
      <c r="AN138" t="s">
        <v>77</v>
      </c>
      <c r="AO138" t="s">
        <v>320</v>
      </c>
      <c r="AP138" t="s">
        <v>520</v>
      </c>
      <c r="AQ138" t="s">
        <v>322</v>
      </c>
      <c r="AS138" t="b">
        <v>1</v>
      </c>
      <c r="AT138" t="s">
        <v>65</v>
      </c>
      <c r="AU138">
        <v>0</v>
      </c>
      <c r="AV138">
        <v>0</v>
      </c>
      <c r="AX138">
        <v>39</v>
      </c>
      <c r="AY138" t="s">
        <v>81</v>
      </c>
      <c r="AZ138" t="s">
        <v>90</v>
      </c>
      <c r="BB138" t="s">
        <v>91</v>
      </c>
      <c r="BC138" t="s">
        <v>92</v>
      </c>
      <c r="BD138" t="b">
        <v>0</v>
      </c>
      <c r="BE138" t="b">
        <v>0</v>
      </c>
      <c r="BF138" t="b">
        <v>0</v>
      </c>
      <c r="BG138" t="b">
        <v>0</v>
      </c>
      <c r="BH138" t="b">
        <v>0</v>
      </c>
      <c r="BI138" t="b">
        <v>0</v>
      </c>
      <c r="BJ138" t="b">
        <v>0</v>
      </c>
      <c r="BK138" t="b">
        <v>0</v>
      </c>
      <c r="BL138" t="b">
        <v>0</v>
      </c>
      <c r="BM138" t="b">
        <v>0</v>
      </c>
      <c r="BN138" t="b">
        <v>0</v>
      </c>
      <c r="BO138" t="b">
        <v>0</v>
      </c>
      <c r="BP138" t="b">
        <v>0</v>
      </c>
      <c r="BR138" t="b">
        <f>IFERROR(IF(M138="PASSED",VLOOKUP(J138,Current!$J$1:$N$500,1,FALSE)),N138)</f>
        <v>0</v>
      </c>
    </row>
    <row r="139" spans="1:70" ht="15" hidden="1" customHeight="1" x14ac:dyDescent="0.25">
      <c r="A139">
        <v>21156</v>
      </c>
      <c r="C139">
        <v>0</v>
      </c>
      <c r="D139" t="s">
        <v>83</v>
      </c>
      <c r="E139" t="s">
        <v>66</v>
      </c>
      <c r="F139" t="s">
        <v>84</v>
      </c>
      <c r="G139">
        <v>0</v>
      </c>
      <c r="H139" t="s">
        <v>85</v>
      </c>
      <c r="I139" t="s">
        <v>86</v>
      </c>
      <c r="J139" t="str">
        <f>MID($N139,FIND("1.",$N139),FIND("-",$N139)-FIND("1.",$N139)-1)</f>
        <v>1.0138</v>
      </c>
      <c r="K139" t="str">
        <f t="shared" si="6"/>
        <v>Ensure Enable file hash computation feature is set to Enabled</v>
      </c>
      <c r="L139" t="str">
        <f t="shared" si="7"/>
        <v>1.0138 - MSWRK - Ensure Enable file hash computation feature is set to Enabled</v>
      </c>
      <c r="M139" t="str">
        <f t="shared" si="8"/>
        <v>FAILED</v>
      </c>
      <c r="N139" s="1" t="s">
        <v>575</v>
      </c>
      <c r="O139" t="s">
        <v>67</v>
      </c>
      <c r="R139" t="s">
        <v>68</v>
      </c>
      <c r="T139" t="s">
        <v>69</v>
      </c>
      <c r="U139" t="s">
        <v>70</v>
      </c>
      <c r="W139" t="s">
        <v>71</v>
      </c>
      <c r="X139" s="1" t="s">
        <v>72</v>
      </c>
      <c r="Y139" t="s">
        <v>88</v>
      </c>
      <c r="Z139">
        <v>0</v>
      </c>
      <c r="AA139">
        <v>0</v>
      </c>
      <c r="AD139">
        <v>0</v>
      </c>
      <c r="AE139">
        <v>0</v>
      </c>
      <c r="AH139" t="s">
        <v>73</v>
      </c>
      <c r="AI139" t="s">
        <v>318</v>
      </c>
      <c r="AJ139" t="s">
        <v>319</v>
      </c>
      <c r="AK139" t="s">
        <v>76</v>
      </c>
      <c r="AN139" t="s">
        <v>77</v>
      </c>
      <c r="AO139" t="s">
        <v>320</v>
      </c>
      <c r="AP139" t="s">
        <v>574</v>
      </c>
      <c r="AQ139" t="s">
        <v>322</v>
      </c>
      <c r="AS139" t="b">
        <v>1</v>
      </c>
      <c r="AT139" t="s">
        <v>65</v>
      </c>
      <c r="AU139">
        <v>0</v>
      </c>
      <c r="AV139">
        <v>0</v>
      </c>
      <c r="AX139">
        <v>39</v>
      </c>
      <c r="AY139" t="s">
        <v>81</v>
      </c>
      <c r="AZ139" t="s">
        <v>90</v>
      </c>
      <c r="BB139" t="s">
        <v>91</v>
      </c>
      <c r="BC139" t="s">
        <v>92</v>
      </c>
      <c r="BD139" t="b">
        <v>0</v>
      </c>
      <c r="BE139" t="b">
        <v>0</v>
      </c>
      <c r="BF139" t="b">
        <v>0</v>
      </c>
      <c r="BG139" t="b">
        <v>0</v>
      </c>
      <c r="BH139" t="b">
        <v>0</v>
      </c>
      <c r="BI139" t="b">
        <v>0</v>
      </c>
      <c r="BJ139" t="b">
        <v>0</v>
      </c>
      <c r="BK139" t="b">
        <v>0</v>
      </c>
      <c r="BL139" t="b">
        <v>0</v>
      </c>
      <c r="BM139" t="b">
        <v>0</v>
      </c>
      <c r="BN139" t="b">
        <v>0</v>
      </c>
      <c r="BO139" t="b">
        <v>0</v>
      </c>
      <c r="BP139" t="b">
        <v>0</v>
      </c>
      <c r="BR139" t="b">
        <f>IFERROR(IF(M139="PASSED",VLOOKUP(J139,Current!$J$1:$N$500,1,FALSE)),N139)</f>
        <v>0</v>
      </c>
    </row>
    <row r="140" spans="1:70" ht="15" hidden="1" customHeight="1" x14ac:dyDescent="0.25">
      <c r="A140">
        <v>21156</v>
      </c>
      <c r="C140">
        <v>0</v>
      </c>
      <c r="D140" t="s">
        <v>83</v>
      </c>
      <c r="E140" t="s">
        <v>66</v>
      </c>
      <c r="F140" t="s">
        <v>84</v>
      </c>
      <c r="G140">
        <v>0</v>
      </c>
      <c r="H140" t="s">
        <v>85</v>
      </c>
      <c r="I140" t="s">
        <v>86</v>
      </c>
      <c r="J140" t="str">
        <f>MID($N140,FIND("1.",$N140),FIND("-",$N140)-FIND("1.",$N140)-1)</f>
        <v>1.0139</v>
      </c>
      <c r="K140" t="str">
        <f t="shared" si="6"/>
        <v>Ensure Prevent non-admin users from installing packaged Windows apps is set to Enabled</v>
      </c>
      <c r="L140" t="str">
        <f t="shared" si="7"/>
        <v>1.0139 - MSWRK - Ensure Prevent non-admin users from installing packaged Windows apps is set to Enabled</v>
      </c>
      <c r="M140" t="str">
        <f t="shared" si="8"/>
        <v>FAILED</v>
      </c>
      <c r="N140" s="1" t="s">
        <v>451</v>
      </c>
      <c r="O140" t="s">
        <v>67</v>
      </c>
      <c r="R140" t="s">
        <v>68</v>
      </c>
      <c r="T140" t="s">
        <v>69</v>
      </c>
      <c r="U140" t="s">
        <v>70</v>
      </c>
      <c r="W140" t="s">
        <v>71</v>
      </c>
      <c r="X140" s="1" t="s">
        <v>72</v>
      </c>
      <c r="Y140" t="s">
        <v>88</v>
      </c>
      <c r="Z140">
        <v>0</v>
      </c>
      <c r="AA140">
        <v>0</v>
      </c>
      <c r="AD140">
        <v>0</v>
      </c>
      <c r="AE140">
        <v>0</v>
      </c>
      <c r="AH140" t="s">
        <v>73</v>
      </c>
      <c r="AI140" t="s">
        <v>318</v>
      </c>
      <c r="AJ140" t="s">
        <v>319</v>
      </c>
      <c r="AK140" t="s">
        <v>76</v>
      </c>
      <c r="AN140" t="s">
        <v>77</v>
      </c>
      <c r="AO140" t="s">
        <v>320</v>
      </c>
      <c r="AP140" t="s">
        <v>448</v>
      </c>
      <c r="AQ140" t="s">
        <v>322</v>
      </c>
      <c r="AS140" t="b">
        <v>1</v>
      </c>
      <c r="AT140" t="s">
        <v>65</v>
      </c>
      <c r="AU140">
        <v>0</v>
      </c>
      <c r="AV140">
        <v>0</v>
      </c>
      <c r="AX140">
        <v>39</v>
      </c>
      <c r="AY140" t="s">
        <v>81</v>
      </c>
      <c r="AZ140" t="s">
        <v>90</v>
      </c>
      <c r="BB140" t="s">
        <v>91</v>
      </c>
      <c r="BC140" t="s">
        <v>92</v>
      </c>
      <c r="BD140" t="b">
        <v>0</v>
      </c>
      <c r="BE140" t="b">
        <v>0</v>
      </c>
      <c r="BF140" t="b">
        <v>0</v>
      </c>
      <c r="BG140" t="b">
        <v>0</v>
      </c>
      <c r="BH140" t="b">
        <v>0</v>
      </c>
      <c r="BI140" t="b">
        <v>0</v>
      </c>
      <c r="BJ140" t="b">
        <v>0</v>
      </c>
      <c r="BK140" t="b">
        <v>0</v>
      </c>
      <c r="BL140" t="b">
        <v>0</v>
      </c>
      <c r="BM140" t="b">
        <v>0</v>
      </c>
      <c r="BN140" t="b">
        <v>0</v>
      </c>
      <c r="BO140" t="b">
        <v>0</v>
      </c>
      <c r="BP140" t="b">
        <v>0</v>
      </c>
      <c r="BR140" t="b">
        <f>IFERROR(IF(M140="PASSED",VLOOKUP(J140,Current!$J$1:$N$500,1,FALSE)),N140)</f>
        <v>0</v>
      </c>
    </row>
    <row r="141" spans="1:70" ht="15" hidden="1" customHeight="1" x14ac:dyDescent="0.25">
      <c r="A141">
        <v>21156</v>
      </c>
      <c r="C141">
        <v>0</v>
      </c>
      <c r="D141" t="s">
        <v>83</v>
      </c>
      <c r="E141" t="s">
        <v>66</v>
      </c>
      <c r="F141" t="s">
        <v>84</v>
      </c>
      <c r="G141">
        <v>0</v>
      </c>
      <c r="H141" t="s">
        <v>85</v>
      </c>
      <c r="I141" t="s">
        <v>86</v>
      </c>
      <c r="J141" t="str">
        <f>MID($N141,FIND("1.",$N141),FIND("-",$N141)-FIND("1.",$N141)-1)</f>
        <v>1.0140</v>
      </c>
      <c r="K141" t="str">
        <f t="shared" si="6"/>
        <v>Ensure Allow auditing events in Microsoft Defender Application Guard is set to Enabled</v>
      </c>
      <c r="L141" t="str">
        <f t="shared" si="7"/>
        <v>1.0140 - MSWRK - Ensure Allow auditing events in Microsoft Defender Application Guard is set to Enabled</v>
      </c>
      <c r="M141" t="str">
        <f t="shared" si="8"/>
        <v>FAILED</v>
      </c>
      <c r="N141" s="1" t="s">
        <v>531</v>
      </c>
      <c r="O141" t="s">
        <v>67</v>
      </c>
      <c r="R141" t="s">
        <v>68</v>
      </c>
      <c r="T141" t="s">
        <v>69</v>
      </c>
      <c r="U141" t="s">
        <v>70</v>
      </c>
      <c r="W141" t="s">
        <v>71</v>
      </c>
      <c r="X141" s="1" t="s">
        <v>72</v>
      </c>
      <c r="Y141" t="s">
        <v>88</v>
      </c>
      <c r="Z141">
        <v>0</v>
      </c>
      <c r="AA141">
        <v>0</v>
      </c>
      <c r="AD141">
        <v>0</v>
      </c>
      <c r="AE141">
        <v>0</v>
      </c>
      <c r="AH141" t="s">
        <v>73</v>
      </c>
      <c r="AI141" t="s">
        <v>318</v>
      </c>
      <c r="AJ141" t="s">
        <v>319</v>
      </c>
      <c r="AK141" t="s">
        <v>76</v>
      </c>
      <c r="AN141" t="s">
        <v>77</v>
      </c>
      <c r="AO141" t="s">
        <v>320</v>
      </c>
      <c r="AP141" t="s">
        <v>532</v>
      </c>
      <c r="AQ141" t="s">
        <v>322</v>
      </c>
      <c r="AS141" t="b">
        <v>1</v>
      </c>
      <c r="AT141" t="s">
        <v>65</v>
      </c>
      <c r="AU141">
        <v>0</v>
      </c>
      <c r="AV141">
        <v>0</v>
      </c>
      <c r="AX141">
        <v>39</v>
      </c>
      <c r="AY141" t="s">
        <v>81</v>
      </c>
      <c r="AZ141" t="s">
        <v>90</v>
      </c>
      <c r="BB141" t="s">
        <v>91</v>
      </c>
      <c r="BC141" t="s">
        <v>92</v>
      </c>
      <c r="BD141" t="b">
        <v>0</v>
      </c>
      <c r="BE141" t="b">
        <v>0</v>
      </c>
      <c r="BF141" t="b">
        <v>0</v>
      </c>
      <c r="BG141" t="b">
        <v>0</v>
      </c>
      <c r="BH141" t="b">
        <v>0</v>
      </c>
      <c r="BI141" t="b">
        <v>0</v>
      </c>
      <c r="BJ141" t="b">
        <v>0</v>
      </c>
      <c r="BK141" t="b">
        <v>0</v>
      </c>
      <c r="BL141" t="b">
        <v>0</v>
      </c>
      <c r="BM141" t="b">
        <v>0</v>
      </c>
      <c r="BN141" t="b">
        <v>0</v>
      </c>
      <c r="BO141" t="b">
        <v>0</v>
      </c>
      <c r="BP141" t="b">
        <v>0</v>
      </c>
      <c r="BR141" t="b">
        <f>IFERROR(IF(M141="PASSED",VLOOKUP(J141,Current!$J$1:$N$500,1,FALSE)),N141)</f>
        <v>0</v>
      </c>
    </row>
    <row r="142" spans="1:70" ht="15" customHeight="1" x14ac:dyDescent="0.25">
      <c r="A142">
        <v>21156</v>
      </c>
      <c r="C142">
        <v>0</v>
      </c>
      <c r="D142" t="s">
        <v>65</v>
      </c>
      <c r="E142" t="s">
        <v>66</v>
      </c>
      <c r="F142" t="s">
        <v>84</v>
      </c>
      <c r="G142">
        <v>0</v>
      </c>
      <c r="H142" t="s">
        <v>85</v>
      </c>
      <c r="I142" t="s">
        <v>86</v>
      </c>
      <c r="J142" t="str">
        <f>MID($N142,FIND("1.",$N142),FIND("-",$N142)-FIND("1.",$N142)-1)</f>
        <v>1.0141</v>
      </c>
      <c r="K142" t="str">
        <f t="shared" si="6"/>
        <v>Ensure Allow camera and microphone access in Microsoft Defender Application Guard is set to Disabled</v>
      </c>
      <c r="L142" t="str">
        <f t="shared" si="7"/>
        <v>1.0141 - MSWRK - Ensure Allow camera and microphone access in Microsoft Defender Application Guard is set to Disabled</v>
      </c>
      <c r="M142" t="str">
        <f t="shared" si="8"/>
        <v>PASSED</v>
      </c>
      <c r="N142" s="1" t="s">
        <v>558</v>
      </c>
      <c r="O142" t="s">
        <v>67</v>
      </c>
      <c r="R142" t="s">
        <v>68</v>
      </c>
      <c r="T142" t="s">
        <v>69</v>
      </c>
      <c r="U142" t="s">
        <v>70</v>
      </c>
      <c r="W142" t="s">
        <v>71</v>
      </c>
      <c r="X142" s="1" t="s">
        <v>72</v>
      </c>
      <c r="Y142" t="s">
        <v>88</v>
      </c>
      <c r="Z142">
        <v>0</v>
      </c>
      <c r="AA142">
        <v>0</v>
      </c>
      <c r="AD142">
        <v>0</v>
      </c>
      <c r="AE142">
        <v>0</v>
      </c>
      <c r="AH142" t="s">
        <v>73</v>
      </c>
      <c r="AI142" t="s">
        <v>318</v>
      </c>
      <c r="AJ142" t="s">
        <v>319</v>
      </c>
      <c r="AK142" t="s">
        <v>76</v>
      </c>
      <c r="AN142" t="s">
        <v>77</v>
      </c>
      <c r="AO142" t="s">
        <v>320</v>
      </c>
      <c r="AP142" t="s">
        <v>557</v>
      </c>
      <c r="AQ142" t="s">
        <v>322</v>
      </c>
      <c r="AS142" t="b">
        <v>1</v>
      </c>
      <c r="AT142" t="s">
        <v>65</v>
      </c>
      <c r="AU142">
        <v>0</v>
      </c>
      <c r="AV142">
        <v>0</v>
      </c>
      <c r="AX142">
        <v>39</v>
      </c>
      <c r="AY142" t="s">
        <v>81</v>
      </c>
      <c r="AZ142" t="s">
        <v>90</v>
      </c>
      <c r="BB142" t="s">
        <v>91</v>
      </c>
      <c r="BC142" t="s">
        <v>92</v>
      </c>
      <c r="BD142" t="b">
        <v>0</v>
      </c>
      <c r="BE142" t="b">
        <v>0</v>
      </c>
      <c r="BF142" t="b">
        <v>0</v>
      </c>
      <c r="BG142" t="b">
        <v>0</v>
      </c>
      <c r="BH142" t="b">
        <v>0</v>
      </c>
      <c r="BI142" t="b">
        <v>0</v>
      </c>
      <c r="BJ142" t="b">
        <v>0</v>
      </c>
      <c r="BK142" t="b">
        <v>0</v>
      </c>
      <c r="BL142" t="b">
        <v>0</v>
      </c>
      <c r="BM142" t="b">
        <v>0</v>
      </c>
      <c r="BN142" t="b">
        <v>0</v>
      </c>
      <c r="BO142" t="b">
        <v>0</v>
      </c>
      <c r="BP142" t="b">
        <v>0</v>
      </c>
      <c r="BR142" t="str">
        <f>IFERROR(IF(M142="PASSED",VLOOKUP(J142,Current!$J$1:$N$500,1,FALSE)),N142)</f>
        <v>"1.0141 - MSWRK - Ensure Allow camera and microphone access in Microsoft Defender Application Guard is set to Disabled: [PASSED]"
The policy allows you to determine whether applications inside Microsoft Defender Application Guard can access the device's camera and microphone.
See Also:
See HTH Policies and Standards
Reference:
NIST 800-53r5|CM-6 CM-7
Policy Value:
'0'
Actual Value:
'0'</v>
      </c>
    </row>
    <row r="143" spans="1:70" ht="15" customHeight="1" x14ac:dyDescent="0.25">
      <c r="A143">
        <v>21156</v>
      </c>
      <c r="C143">
        <v>0</v>
      </c>
      <c r="D143" t="s">
        <v>65</v>
      </c>
      <c r="E143" t="s">
        <v>66</v>
      </c>
      <c r="F143" t="s">
        <v>84</v>
      </c>
      <c r="G143">
        <v>0</v>
      </c>
      <c r="H143" t="s">
        <v>85</v>
      </c>
      <c r="I143" t="s">
        <v>86</v>
      </c>
      <c r="J143" t="str">
        <f>MID($N143,FIND("1.",$N143),FIND("-",$N143)-FIND("1.",$N143)-1)</f>
        <v>1.0142</v>
      </c>
      <c r="K143" t="str">
        <f t="shared" si="6"/>
        <v>Ensure Allow data persistence for Microsoft Defender Application Guard is set to Disabled</v>
      </c>
      <c r="L143" t="str">
        <f t="shared" si="7"/>
        <v>1.0142 - MSWRK - Ensure Allow data persistence for Microsoft Defender Application Guard is set to Disabled</v>
      </c>
      <c r="M143" t="str">
        <f t="shared" si="8"/>
        <v>PASSED</v>
      </c>
      <c r="N143" s="1" t="s">
        <v>807</v>
      </c>
      <c r="O143" t="s">
        <v>67</v>
      </c>
      <c r="R143" t="s">
        <v>68</v>
      </c>
      <c r="T143" t="s">
        <v>69</v>
      </c>
      <c r="U143" t="s">
        <v>70</v>
      </c>
      <c r="W143" t="s">
        <v>71</v>
      </c>
      <c r="X143" s="1" t="s">
        <v>72</v>
      </c>
      <c r="Y143" t="s">
        <v>88</v>
      </c>
      <c r="Z143">
        <v>0</v>
      </c>
      <c r="AA143">
        <v>0</v>
      </c>
      <c r="AD143">
        <v>0</v>
      </c>
      <c r="AE143">
        <v>0</v>
      </c>
      <c r="AH143" t="s">
        <v>73</v>
      </c>
      <c r="AI143" t="s">
        <v>318</v>
      </c>
      <c r="AJ143" t="s">
        <v>319</v>
      </c>
      <c r="AK143" t="s">
        <v>76</v>
      </c>
      <c r="AN143" t="s">
        <v>77</v>
      </c>
      <c r="AO143" t="s">
        <v>320</v>
      </c>
      <c r="AP143" t="s">
        <v>806</v>
      </c>
      <c r="AQ143" t="s">
        <v>322</v>
      </c>
      <c r="AS143" t="b">
        <v>1</v>
      </c>
      <c r="AT143" t="s">
        <v>65</v>
      </c>
      <c r="AU143">
        <v>0</v>
      </c>
      <c r="AV143">
        <v>0</v>
      </c>
      <c r="AX143">
        <v>39</v>
      </c>
      <c r="AY143" t="s">
        <v>81</v>
      </c>
      <c r="AZ143" t="s">
        <v>90</v>
      </c>
      <c r="BB143" t="s">
        <v>91</v>
      </c>
      <c r="BC143" t="s">
        <v>92</v>
      </c>
      <c r="BD143" t="b">
        <v>0</v>
      </c>
      <c r="BE143" t="b">
        <v>0</v>
      </c>
      <c r="BF143" t="b">
        <v>0</v>
      </c>
      <c r="BG143" t="b">
        <v>0</v>
      </c>
      <c r="BH143" t="b">
        <v>0</v>
      </c>
      <c r="BI143" t="b">
        <v>0</v>
      </c>
      <c r="BJ143" t="b">
        <v>0</v>
      </c>
      <c r="BK143" t="b">
        <v>0</v>
      </c>
      <c r="BL143" t="b">
        <v>0</v>
      </c>
      <c r="BM143" t="b">
        <v>0</v>
      </c>
      <c r="BN143" t="b">
        <v>0</v>
      </c>
      <c r="BO143" t="b">
        <v>0</v>
      </c>
      <c r="BP143" t="b">
        <v>0</v>
      </c>
      <c r="BR143" t="str">
        <f>IFERROR(IF(M143="PASSED",VLOOKUP(J143,Current!$J$1:$N$500,1,FALSE)),N143)</f>
        <v>"1.0142 - MSWRK - Ensure Allow data persistence for Microsoft Defender Application Guard is set to Disabled: [PASSED]"
This policy setting allows you to decide whether data should persist across different sessions in Microsoft Defender Application Guard.
See Also:
See HTH Policies and Standards
Reference:
NIST 800-53r5|CM-6 CM-7
Policy Value:
'0'
Actual Value:
'0'</v>
      </c>
    </row>
    <row r="144" spans="1:70" ht="15" customHeight="1" x14ac:dyDescent="0.25">
      <c r="A144">
        <v>21156</v>
      </c>
      <c r="C144">
        <v>0</v>
      </c>
      <c r="D144" t="s">
        <v>65</v>
      </c>
      <c r="E144" t="s">
        <v>66</v>
      </c>
      <c r="F144" t="s">
        <v>84</v>
      </c>
      <c r="G144">
        <v>0</v>
      </c>
      <c r="H144" t="s">
        <v>85</v>
      </c>
      <c r="I144" t="s">
        <v>86</v>
      </c>
      <c r="J144" t="str">
        <f>MID($N144,FIND("1.",$N144),FIND("-",$N144)-FIND("1.",$N144)-1)</f>
        <v>1.0143</v>
      </c>
      <c r="K144" t="str">
        <f t="shared" si="6"/>
        <v>Ensure Allow files to download and save to the host operating system from Microsoft Defender Application Guard is set to Disabled</v>
      </c>
      <c r="L144" t="str">
        <f t="shared" si="7"/>
        <v>1.0143 - MSWRK - Ensure Allow files to download and save to the host operating system from Microsoft Defender Application Guard is set to Disabled</v>
      </c>
      <c r="M144" t="str">
        <f t="shared" si="8"/>
        <v>PASSED</v>
      </c>
      <c r="N144" s="1" t="s">
        <v>543</v>
      </c>
      <c r="O144" t="s">
        <v>67</v>
      </c>
      <c r="R144" t="s">
        <v>68</v>
      </c>
      <c r="T144" t="s">
        <v>69</v>
      </c>
      <c r="U144" t="s">
        <v>70</v>
      </c>
      <c r="W144" t="s">
        <v>71</v>
      </c>
      <c r="X144" s="1" t="s">
        <v>72</v>
      </c>
      <c r="Y144" t="s">
        <v>88</v>
      </c>
      <c r="Z144">
        <v>0</v>
      </c>
      <c r="AA144">
        <v>0</v>
      </c>
      <c r="AD144">
        <v>0</v>
      </c>
      <c r="AE144">
        <v>0</v>
      </c>
      <c r="AH144" t="s">
        <v>73</v>
      </c>
      <c r="AI144" t="s">
        <v>318</v>
      </c>
      <c r="AJ144" t="s">
        <v>319</v>
      </c>
      <c r="AK144" t="s">
        <v>76</v>
      </c>
      <c r="AN144" t="s">
        <v>77</v>
      </c>
      <c r="AO144" t="s">
        <v>320</v>
      </c>
      <c r="AP144" t="s">
        <v>542</v>
      </c>
      <c r="AQ144" t="s">
        <v>322</v>
      </c>
      <c r="AS144" t="b">
        <v>1</v>
      </c>
      <c r="AT144" t="s">
        <v>65</v>
      </c>
      <c r="AU144">
        <v>0</v>
      </c>
      <c r="AV144">
        <v>0</v>
      </c>
      <c r="AX144">
        <v>39</v>
      </c>
      <c r="AY144" t="s">
        <v>81</v>
      </c>
      <c r="AZ144" t="s">
        <v>90</v>
      </c>
      <c r="BB144" t="s">
        <v>91</v>
      </c>
      <c r="BC144" t="s">
        <v>92</v>
      </c>
      <c r="BD144" t="b">
        <v>0</v>
      </c>
      <c r="BE144" t="b">
        <v>0</v>
      </c>
      <c r="BF144" t="b">
        <v>0</v>
      </c>
      <c r="BG144" t="b">
        <v>0</v>
      </c>
      <c r="BH144" t="b">
        <v>0</v>
      </c>
      <c r="BI144" t="b">
        <v>0</v>
      </c>
      <c r="BJ144" t="b">
        <v>0</v>
      </c>
      <c r="BK144" t="b">
        <v>0</v>
      </c>
      <c r="BL144" t="b">
        <v>0</v>
      </c>
      <c r="BM144" t="b">
        <v>0</v>
      </c>
      <c r="BN144" t="b">
        <v>0</v>
      </c>
      <c r="BO144" t="b">
        <v>0</v>
      </c>
      <c r="BP144" t="b">
        <v>0</v>
      </c>
      <c r="BR144" t="str">
        <f>IFERROR(IF(M144="PASSED",VLOOKUP(J144,Current!$J$1:$N$500,1,FALSE)),N144)</f>
        <v>"1.0143 - MSWRK - Ensure Allow files to download and save to the host operating system from Microsoft Defender Application Guard is set to Disabled: [PASSED]"
This policy setting determines whether to save downloaded files to the host operating system from the Microsoft Defender Application Guard container.
See Also:
See HTH Policies and Standards
Reference:
NIST 800-53r5|CM-6 CM-7
Policy Value:
'0'
Actual Value:
'0'</v>
      </c>
    </row>
    <row r="145" spans="1:70" ht="15" hidden="1" customHeight="1" x14ac:dyDescent="0.25">
      <c r="A145">
        <v>21156</v>
      </c>
      <c r="C145">
        <v>0</v>
      </c>
      <c r="D145" t="s">
        <v>83</v>
      </c>
      <c r="E145" t="s">
        <v>66</v>
      </c>
      <c r="F145" t="s">
        <v>84</v>
      </c>
      <c r="G145">
        <v>0</v>
      </c>
      <c r="H145" t="s">
        <v>85</v>
      </c>
      <c r="I145" t="s">
        <v>86</v>
      </c>
      <c r="J145" t="str">
        <f>MID($N145,FIND("1.",$N145),FIND("-",$N145)-FIND("1.",$N145)-1)</f>
        <v>1.0144</v>
      </c>
      <c r="K145" t="str">
        <f t="shared" si="6"/>
        <v>Ensure Configure Microsoft Defender Application Guard clipboard settings</v>
      </c>
      <c r="L145" t="str">
        <f t="shared" si="7"/>
        <v>1.0144 - MSWRK - Ensure Configure Microsoft Defender Application Guard clipboard settings: Clipboard behavior setting is set to Enabled: Enable clipboard operation from an isolated session to the host</v>
      </c>
      <c r="M145" t="str">
        <f t="shared" si="8"/>
        <v>FAILED</v>
      </c>
      <c r="N145" s="1" t="s">
        <v>516</v>
      </c>
      <c r="O145" t="s">
        <v>67</v>
      </c>
      <c r="R145" t="s">
        <v>68</v>
      </c>
      <c r="T145" t="s">
        <v>69</v>
      </c>
      <c r="U145" t="s">
        <v>70</v>
      </c>
      <c r="W145" t="s">
        <v>71</v>
      </c>
      <c r="X145" s="1" t="s">
        <v>72</v>
      </c>
      <c r="Y145" t="s">
        <v>88</v>
      </c>
      <c r="Z145">
        <v>0</v>
      </c>
      <c r="AA145">
        <v>0</v>
      </c>
      <c r="AD145">
        <v>0</v>
      </c>
      <c r="AE145">
        <v>0</v>
      </c>
      <c r="AH145" t="s">
        <v>73</v>
      </c>
      <c r="AI145" t="s">
        <v>318</v>
      </c>
      <c r="AJ145" t="s">
        <v>319</v>
      </c>
      <c r="AK145" t="s">
        <v>76</v>
      </c>
      <c r="AN145" t="s">
        <v>77</v>
      </c>
      <c r="AO145" t="s">
        <v>320</v>
      </c>
      <c r="AP145" t="s">
        <v>517</v>
      </c>
      <c r="AQ145" t="s">
        <v>322</v>
      </c>
      <c r="AS145" t="b">
        <v>1</v>
      </c>
      <c r="AT145" t="s">
        <v>65</v>
      </c>
      <c r="AU145">
        <v>0</v>
      </c>
      <c r="AV145">
        <v>0</v>
      </c>
      <c r="AX145">
        <v>39</v>
      </c>
      <c r="AY145" t="s">
        <v>81</v>
      </c>
      <c r="AZ145" t="s">
        <v>90</v>
      </c>
      <c r="BB145" t="s">
        <v>91</v>
      </c>
      <c r="BC145" t="s">
        <v>92</v>
      </c>
      <c r="BD145" t="b">
        <v>0</v>
      </c>
      <c r="BE145" t="b">
        <v>0</v>
      </c>
      <c r="BF145" t="b">
        <v>0</v>
      </c>
      <c r="BG145" t="b">
        <v>0</v>
      </c>
      <c r="BH145" t="b">
        <v>0</v>
      </c>
      <c r="BI145" t="b">
        <v>0</v>
      </c>
      <c r="BJ145" t="b">
        <v>0</v>
      </c>
      <c r="BK145" t="b">
        <v>0</v>
      </c>
      <c r="BL145" t="b">
        <v>0</v>
      </c>
      <c r="BM145" t="b">
        <v>0</v>
      </c>
      <c r="BN145" t="b">
        <v>0</v>
      </c>
      <c r="BO145" t="b">
        <v>0</v>
      </c>
      <c r="BP145" t="b">
        <v>0</v>
      </c>
      <c r="BR145" t="b">
        <f>IFERROR(IF(M145="PASSED",VLOOKUP(J145,Current!$J$1:$N$500,1,FALSE)),N145)</f>
        <v>0</v>
      </c>
    </row>
    <row r="146" spans="1:70" ht="15" hidden="1" customHeight="1" x14ac:dyDescent="0.25">
      <c r="A146">
        <v>21156</v>
      </c>
      <c r="C146">
        <v>0</v>
      </c>
      <c r="D146" t="s">
        <v>83</v>
      </c>
      <c r="E146" t="s">
        <v>66</v>
      </c>
      <c r="F146" t="s">
        <v>84</v>
      </c>
      <c r="G146">
        <v>0</v>
      </c>
      <c r="H146" t="s">
        <v>85</v>
      </c>
      <c r="I146" t="s">
        <v>86</v>
      </c>
      <c r="J146" t="str">
        <f>MID($N146,FIND("1.",$N146),FIND("-",$N146)-FIND("1.",$N146)-1)</f>
        <v>1.0145</v>
      </c>
      <c r="K146" t="str">
        <f t="shared" si="6"/>
        <v>Ensure Turn on Microsoft Defender Application Guard in Managed Mode is set to Enabled</v>
      </c>
      <c r="L146" t="str">
        <f t="shared" si="7"/>
        <v>1.0145 - MSWRK - Ensure Turn on Microsoft Defender Application Guard in Managed Mode is set to Enabled: 1</v>
      </c>
      <c r="M146" t="str">
        <f t="shared" si="8"/>
        <v>FAILED</v>
      </c>
      <c r="N146" s="1" t="s">
        <v>405</v>
      </c>
      <c r="O146" t="s">
        <v>67</v>
      </c>
      <c r="R146" t="s">
        <v>68</v>
      </c>
      <c r="T146" t="s">
        <v>69</v>
      </c>
      <c r="U146" t="s">
        <v>70</v>
      </c>
      <c r="W146" t="s">
        <v>71</v>
      </c>
      <c r="X146" s="1" t="s">
        <v>72</v>
      </c>
      <c r="Y146" t="s">
        <v>88</v>
      </c>
      <c r="Z146">
        <v>0</v>
      </c>
      <c r="AA146">
        <v>0</v>
      </c>
      <c r="AD146">
        <v>0</v>
      </c>
      <c r="AE146">
        <v>0</v>
      </c>
      <c r="AH146" t="s">
        <v>73</v>
      </c>
      <c r="AI146" t="s">
        <v>318</v>
      </c>
      <c r="AJ146" t="s">
        <v>319</v>
      </c>
      <c r="AK146" t="s">
        <v>76</v>
      </c>
      <c r="AN146" t="s">
        <v>77</v>
      </c>
      <c r="AO146" t="s">
        <v>320</v>
      </c>
      <c r="AP146" t="s">
        <v>404</v>
      </c>
      <c r="AQ146" t="s">
        <v>322</v>
      </c>
      <c r="AS146" t="b">
        <v>1</v>
      </c>
      <c r="AT146" t="s">
        <v>65</v>
      </c>
      <c r="AU146">
        <v>0</v>
      </c>
      <c r="AV146">
        <v>0</v>
      </c>
      <c r="AX146">
        <v>39</v>
      </c>
      <c r="AY146" t="s">
        <v>81</v>
      </c>
      <c r="AZ146" t="s">
        <v>90</v>
      </c>
      <c r="BB146" t="s">
        <v>91</v>
      </c>
      <c r="BC146" t="s">
        <v>92</v>
      </c>
      <c r="BD146" t="b">
        <v>0</v>
      </c>
      <c r="BE146" t="b">
        <v>0</v>
      </c>
      <c r="BF146" t="b">
        <v>0</v>
      </c>
      <c r="BG146" t="b">
        <v>0</v>
      </c>
      <c r="BH146" t="b">
        <v>0</v>
      </c>
      <c r="BI146" t="b">
        <v>0</v>
      </c>
      <c r="BJ146" t="b">
        <v>0</v>
      </c>
      <c r="BK146" t="b">
        <v>0</v>
      </c>
      <c r="BL146" t="b">
        <v>0</v>
      </c>
      <c r="BM146" t="b">
        <v>0</v>
      </c>
      <c r="BN146" t="b">
        <v>0</v>
      </c>
      <c r="BO146" t="b">
        <v>0</v>
      </c>
      <c r="BP146" t="b">
        <v>0</v>
      </c>
      <c r="BR146" t="b">
        <f>IFERROR(IF(M146="PASSED",VLOOKUP(J146,Current!$J$1:$N$500,1,FALSE)),N146)</f>
        <v>0</v>
      </c>
    </row>
    <row r="147" spans="1:70" ht="15" hidden="1" customHeight="1" x14ac:dyDescent="0.25">
      <c r="A147">
        <v>21156</v>
      </c>
      <c r="C147">
        <v>0</v>
      </c>
      <c r="D147" t="s">
        <v>83</v>
      </c>
      <c r="E147" t="s">
        <v>66</v>
      </c>
      <c r="F147" t="s">
        <v>84</v>
      </c>
      <c r="G147">
        <v>0</v>
      </c>
      <c r="H147" t="s">
        <v>85</v>
      </c>
      <c r="I147" t="s">
        <v>86</v>
      </c>
      <c r="J147" t="str">
        <f>MID($N147,FIND("1.",$N147),FIND("-",$N147)-FIND("1.",$N147)-1)</f>
        <v>1.0146</v>
      </c>
      <c r="K147" t="str">
        <f t="shared" si="6"/>
        <v>Ensure Let Windows apps activate with voice while the system is locked is set to Enabled</v>
      </c>
      <c r="L147" t="str">
        <f t="shared" si="7"/>
        <v>1.0146 - MSWRK - Ensure Let Windows apps activate with voice while the system is locked is set to Enabled: Force Deny</v>
      </c>
      <c r="M147" t="str">
        <f t="shared" si="8"/>
        <v>FAILED</v>
      </c>
      <c r="N147" s="1" t="s">
        <v>786</v>
      </c>
      <c r="O147" t="s">
        <v>67</v>
      </c>
      <c r="R147" t="s">
        <v>68</v>
      </c>
      <c r="T147" t="s">
        <v>69</v>
      </c>
      <c r="U147" t="s">
        <v>70</v>
      </c>
      <c r="W147" t="s">
        <v>71</v>
      </c>
      <c r="X147" s="1" t="s">
        <v>72</v>
      </c>
      <c r="Y147" t="s">
        <v>88</v>
      </c>
      <c r="Z147">
        <v>0</v>
      </c>
      <c r="AA147">
        <v>0</v>
      </c>
      <c r="AD147">
        <v>0</v>
      </c>
      <c r="AE147">
        <v>0</v>
      </c>
      <c r="AH147" t="s">
        <v>73</v>
      </c>
      <c r="AI147" t="s">
        <v>318</v>
      </c>
      <c r="AJ147" t="s">
        <v>319</v>
      </c>
      <c r="AK147" t="s">
        <v>76</v>
      </c>
      <c r="AN147" t="s">
        <v>77</v>
      </c>
      <c r="AO147" t="s">
        <v>320</v>
      </c>
      <c r="AP147" t="s">
        <v>787</v>
      </c>
      <c r="AQ147" t="s">
        <v>322</v>
      </c>
      <c r="AS147" t="b">
        <v>1</v>
      </c>
      <c r="AT147" t="s">
        <v>65</v>
      </c>
      <c r="AU147">
        <v>0</v>
      </c>
      <c r="AV147">
        <v>0</v>
      </c>
      <c r="AX147">
        <v>39</v>
      </c>
      <c r="AY147" t="s">
        <v>81</v>
      </c>
      <c r="AZ147" t="s">
        <v>90</v>
      </c>
      <c r="BB147" t="s">
        <v>91</v>
      </c>
      <c r="BC147" t="s">
        <v>92</v>
      </c>
      <c r="BD147" t="b">
        <v>0</v>
      </c>
      <c r="BE147" t="b">
        <v>0</v>
      </c>
      <c r="BF147" t="b">
        <v>0</v>
      </c>
      <c r="BG147" t="b">
        <v>0</v>
      </c>
      <c r="BH147" t="b">
        <v>0</v>
      </c>
      <c r="BI147" t="b">
        <v>0</v>
      </c>
      <c r="BJ147" t="b">
        <v>0</v>
      </c>
      <c r="BK147" t="b">
        <v>0</v>
      </c>
      <c r="BL147" t="b">
        <v>0</v>
      </c>
      <c r="BM147" t="b">
        <v>0</v>
      </c>
      <c r="BN147" t="b">
        <v>0</v>
      </c>
      <c r="BO147" t="b">
        <v>0</v>
      </c>
      <c r="BP147" t="b">
        <v>0</v>
      </c>
      <c r="BR147" t="b">
        <f>IFERROR(IF(M147="PASSED",VLOOKUP(J147,Current!$J$1:$N$500,1,FALSE)),N147)</f>
        <v>0</v>
      </c>
    </row>
    <row r="148" spans="1:70" ht="15" hidden="1" customHeight="1" x14ac:dyDescent="0.25">
      <c r="A148">
        <v>21156</v>
      </c>
      <c r="C148">
        <v>0</v>
      </c>
      <c r="D148" t="s">
        <v>83</v>
      </c>
      <c r="E148" t="s">
        <v>66</v>
      </c>
      <c r="F148" t="s">
        <v>84</v>
      </c>
      <c r="G148">
        <v>0</v>
      </c>
      <c r="H148" t="s">
        <v>85</v>
      </c>
      <c r="I148" t="s">
        <v>86</v>
      </c>
      <c r="J148" t="str">
        <f>MID($N148,FIND("1.",$N148),FIND("-",$N148)-FIND("1.",$N148)-1)</f>
        <v>1.0147</v>
      </c>
      <c r="K148" t="str">
        <f t="shared" si="6"/>
        <v>Ensure Do not allow passwords to be saved is set to Enabled</v>
      </c>
      <c r="L148" t="str">
        <f t="shared" si="7"/>
        <v>1.0147 - MSWRK - Ensure Do not allow passwords to be saved is set to Enabled</v>
      </c>
      <c r="M148" t="str">
        <f t="shared" si="8"/>
        <v>FAILED</v>
      </c>
      <c r="N148" s="1" t="s">
        <v>477</v>
      </c>
      <c r="O148" t="s">
        <v>67</v>
      </c>
      <c r="R148" t="s">
        <v>68</v>
      </c>
      <c r="T148" t="s">
        <v>69</v>
      </c>
      <c r="U148" t="s">
        <v>70</v>
      </c>
      <c r="W148" t="s">
        <v>71</v>
      </c>
      <c r="X148" s="1" t="s">
        <v>72</v>
      </c>
      <c r="Y148" t="s">
        <v>88</v>
      </c>
      <c r="Z148">
        <v>0</v>
      </c>
      <c r="AA148">
        <v>0</v>
      </c>
      <c r="AD148">
        <v>0</v>
      </c>
      <c r="AE148">
        <v>0</v>
      </c>
      <c r="AH148" t="s">
        <v>73</v>
      </c>
      <c r="AI148" t="s">
        <v>318</v>
      </c>
      <c r="AJ148" t="s">
        <v>319</v>
      </c>
      <c r="AK148" t="s">
        <v>76</v>
      </c>
      <c r="AN148" t="s">
        <v>77</v>
      </c>
      <c r="AO148" t="s">
        <v>320</v>
      </c>
      <c r="AP148" t="s">
        <v>476</v>
      </c>
      <c r="AQ148" t="s">
        <v>322</v>
      </c>
      <c r="AS148" t="b">
        <v>1</v>
      </c>
      <c r="AT148" t="s">
        <v>65</v>
      </c>
      <c r="AU148">
        <v>0</v>
      </c>
      <c r="AV148">
        <v>0</v>
      </c>
      <c r="AX148">
        <v>39</v>
      </c>
      <c r="AY148" t="s">
        <v>81</v>
      </c>
      <c r="AZ148" t="s">
        <v>90</v>
      </c>
      <c r="BB148" t="s">
        <v>91</v>
      </c>
      <c r="BC148" t="s">
        <v>92</v>
      </c>
      <c r="BD148" t="b">
        <v>0</v>
      </c>
      <c r="BE148" t="b">
        <v>0</v>
      </c>
      <c r="BF148" t="b">
        <v>0</v>
      </c>
      <c r="BG148" t="b">
        <v>0</v>
      </c>
      <c r="BH148" t="b">
        <v>0</v>
      </c>
      <c r="BI148" t="b">
        <v>0</v>
      </c>
      <c r="BJ148" t="b">
        <v>0</v>
      </c>
      <c r="BK148" t="b">
        <v>0</v>
      </c>
      <c r="BL148" t="b">
        <v>0</v>
      </c>
      <c r="BM148" t="b">
        <v>0</v>
      </c>
      <c r="BN148" t="b">
        <v>0</v>
      </c>
      <c r="BO148" t="b">
        <v>0</v>
      </c>
      <c r="BP148" t="b">
        <v>0</v>
      </c>
      <c r="BR148" t="b">
        <f>IFERROR(IF(M148="PASSED",VLOOKUP(J148,Current!$J$1:$N$500,1,FALSE)),N148)</f>
        <v>0</v>
      </c>
    </row>
    <row r="149" spans="1:70" ht="15" hidden="1" customHeight="1" x14ac:dyDescent="0.25">
      <c r="A149">
        <v>21156</v>
      </c>
      <c r="C149">
        <v>0</v>
      </c>
      <c r="D149" t="s">
        <v>83</v>
      </c>
      <c r="E149" t="s">
        <v>66</v>
      </c>
      <c r="F149" t="s">
        <v>84</v>
      </c>
      <c r="G149">
        <v>0</v>
      </c>
      <c r="H149" t="s">
        <v>85</v>
      </c>
      <c r="I149" t="s">
        <v>86</v>
      </c>
      <c r="J149" t="str">
        <f>MID($N149,FIND("1.",$N149),FIND("-",$N149)-FIND("1.",$N149)-1)</f>
        <v>1.0148</v>
      </c>
      <c r="K149" t="str">
        <f t="shared" si="6"/>
        <v>Ensure Do not delete temp folders upon exit is set to Disabled</v>
      </c>
      <c r="L149" t="str">
        <f t="shared" si="7"/>
        <v>1.0148 - MSWRK - Ensure Do not delete temp folders upon exit is set to Disabled</v>
      </c>
      <c r="M149" t="str">
        <f t="shared" si="8"/>
        <v>FAILED</v>
      </c>
      <c r="N149" s="1" t="s">
        <v>664</v>
      </c>
      <c r="O149" t="s">
        <v>67</v>
      </c>
      <c r="R149" t="s">
        <v>68</v>
      </c>
      <c r="T149" t="s">
        <v>69</v>
      </c>
      <c r="U149" t="s">
        <v>70</v>
      </c>
      <c r="W149" t="s">
        <v>71</v>
      </c>
      <c r="X149" s="1" t="s">
        <v>72</v>
      </c>
      <c r="Y149" t="s">
        <v>88</v>
      </c>
      <c r="Z149">
        <v>0</v>
      </c>
      <c r="AA149">
        <v>0</v>
      </c>
      <c r="AD149">
        <v>0</v>
      </c>
      <c r="AE149">
        <v>0</v>
      </c>
      <c r="AH149" t="s">
        <v>73</v>
      </c>
      <c r="AI149" t="s">
        <v>318</v>
      </c>
      <c r="AJ149" t="s">
        <v>319</v>
      </c>
      <c r="AK149" t="s">
        <v>76</v>
      </c>
      <c r="AN149" t="s">
        <v>77</v>
      </c>
      <c r="AO149" t="s">
        <v>320</v>
      </c>
      <c r="AP149" t="s">
        <v>663</v>
      </c>
      <c r="AQ149" t="s">
        <v>322</v>
      </c>
      <c r="AS149" t="b">
        <v>1</v>
      </c>
      <c r="AT149" t="s">
        <v>65</v>
      </c>
      <c r="AU149">
        <v>0</v>
      </c>
      <c r="AV149">
        <v>0</v>
      </c>
      <c r="AX149">
        <v>39</v>
      </c>
      <c r="AY149" t="s">
        <v>81</v>
      </c>
      <c r="AZ149" t="s">
        <v>90</v>
      </c>
      <c r="BB149" t="s">
        <v>91</v>
      </c>
      <c r="BC149" t="s">
        <v>92</v>
      </c>
      <c r="BD149" t="b">
        <v>0</v>
      </c>
      <c r="BE149" t="b">
        <v>0</v>
      </c>
      <c r="BF149" t="b">
        <v>0</v>
      </c>
      <c r="BG149" t="b">
        <v>0</v>
      </c>
      <c r="BH149" t="b">
        <v>0</v>
      </c>
      <c r="BI149" t="b">
        <v>0</v>
      </c>
      <c r="BJ149" t="b">
        <v>0</v>
      </c>
      <c r="BK149" t="b">
        <v>0</v>
      </c>
      <c r="BL149" t="b">
        <v>0</v>
      </c>
      <c r="BM149" t="b">
        <v>0</v>
      </c>
      <c r="BN149" t="b">
        <v>0</v>
      </c>
      <c r="BO149" t="b">
        <v>0</v>
      </c>
      <c r="BP149" t="b">
        <v>0</v>
      </c>
      <c r="BR149" t="b">
        <f>IFERROR(IF(M149="PASSED",VLOOKUP(J149,Current!$J$1:$N$500,1,FALSE)),N149)</f>
        <v>0</v>
      </c>
    </row>
    <row r="150" spans="1:70" ht="15" hidden="1" customHeight="1" x14ac:dyDescent="0.25">
      <c r="A150">
        <v>21156</v>
      </c>
      <c r="C150">
        <v>0</v>
      </c>
      <c r="D150" t="s">
        <v>83</v>
      </c>
      <c r="E150" t="s">
        <v>66</v>
      </c>
      <c r="F150" t="s">
        <v>84</v>
      </c>
      <c r="G150">
        <v>0</v>
      </c>
      <c r="H150" t="s">
        <v>85</v>
      </c>
      <c r="I150" t="s">
        <v>86</v>
      </c>
      <c r="J150" t="str">
        <f>MID($N150,FIND("1.",$N150),FIND("-",$N150)-FIND("1.",$N150)-1)</f>
        <v>1.0149</v>
      </c>
      <c r="K150" t="str">
        <f t="shared" si="6"/>
        <v>Ensure Do not allow drive redirection is set to Enabled</v>
      </c>
      <c r="L150" t="str">
        <f t="shared" si="7"/>
        <v>1.0149 - MSWRK - Ensure Do not allow drive redirection is set to Enabled</v>
      </c>
      <c r="M150" t="str">
        <f t="shared" si="8"/>
        <v>FAILED</v>
      </c>
      <c r="N150" s="1" t="s">
        <v>612</v>
      </c>
      <c r="O150" t="s">
        <v>67</v>
      </c>
      <c r="R150" t="s">
        <v>68</v>
      </c>
      <c r="T150" t="s">
        <v>69</v>
      </c>
      <c r="U150" t="s">
        <v>70</v>
      </c>
      <c r="W150" t="s">
        <v>71</v>
      </c>
      <c r="X150" s="1" t="s">
        <v>72</v>
      </c>
      <c r="Y150" t="s">
        <v>88</v>
      </c>
      <c r="Z150">
        <v>0</v>
      </c>
      <c r="AA150">
        <v>0</v>
      </c>
      <c r="AD150">
        <v>0</v>
      </c>
      <c r="AE150">
        <v>0</v>
      </c>
      <c r="AH150" t="s">
        <v>73</v>
      </c>
      <c r="AI150" t="s">
        <v>318</v>
      </c>
      <c r="AJ150" t="s">
        <v>319</v>
      </c>
      <c r="AK150" t="s">
        <v>76</v>
      </c>
      <c r="AN150" t="s">
        <v>77</v>
      </c>
      <c r="AO150" t="s">
        <v>320</v>
      </c>
      <c r="AP150" t="s">
        <v>613</v>
      </c>
      <c r="AQ150" t="s">
        <v>322</v>
      </c>
      <c r="AS150" t="b">
        <v>1</v>
      </c>
      <c r="AT150" t="s">
        <v>65</v>
      </c>
      <c r="AU150">
        <v>0</v>
      </c>
      <c r="AV150">
        <v>0</v>
      </c>
      <c r="AX150">
        <v>39</v>
      </c>
      <c r="AY150" t="s">
        <v>81</v>
      </c>
      <c r="AZ150" t="s">
        <v>90</v>
      </c>
      <c r="BB150" t="s">
        <v>91</v>
      </c>
      <c r="BC150" t="s">
        <v>92</v>
      </c>
      <c r="BD150" t="b">
        <v>0</v>
      </c>
      <c r="BE150" t="b">
        <v>0</v>
      </c>
      <c r="BF150" t="b">
        <v>0</v>
      </c>
      <c r="BG150" t="b">
        <v>0</v>
      </c>
      <c r="BH150" t="b">
        <v>0</v>
      </c>
      <c r="BI150" t="b">
        <v>0</v>
      </c>
      <c r="BJ150" t="b">
        <v>0</v>
      </c>
      <c r="BK150" t="b">
        <v>0</v>
      </c>
      <c r="BL150" t="b">
        <v>0</v>
      </c>
      <c r="BM150" t="b">
        <v>0</v>
      </c>
      <c r="BN150" t="b">
        <v>0</v>
      </c>
      <c r="BO150" t="b">
        <v>0</v>
      </c>
      <c r="BP150" t="b">
        <v>0</v>
      </c>
      <c r="BR150" t="b">
        <f>IFERROR(IF(M150="PASSED",VLOOKUP(J150,Current!$J$1:$N$500,1,FALSE)),N150)</f>
        <v>0</v>
      </c>
    </row>
    <row r="151" spans="1:70" ht="15" hidden="1" customHeight="1" x14ac:dyDescent="0.25">
      <c r="A151">
        <v>21156</v>
      </c>
      <c r="C151">
        <v>0</v>
      </c>
      <c r="D151" t="s">
        <v>65</v>
      </c>
      <c r="E151" t="s">
        <v>66</v>
      </c>
      <c r="F151" t="s">
        <v>84</v>
      </c>
      <c r="G151">
        <v>0</v>
      </c>
      <c r="H151" t="s">
        <v>85</v>
      </c>
      <c r="I151" t="s">
        <v>86</v>
      </c>
      <c r="J151" t="str">
        <f>MID($N151,FIND("1.",$N151),FIND("-",$N151)-FIND("1.",$N151)-1)</f>
        <v>1.0150</v>
      </c>
      <c r="K151" t="str">
        <f t="shared" si="6"/>
        <v>Ensure Always prompt for password upon connection is set to Enabled</v>
      </c>
      <c r="L151" t="str">
        <f t="shared" si="7"/>
        <v>1.0150 - MSWRK - Ensure Always prompt for password upon connection is set to Enabled</v>
      </c>
      <c r="M151" t="str">
        <f t="shared" si="8"/>
        <v>PASSED</v>
      </c>
      <c r="N151" s="1" t="s">
        <v>119</v>
      </c>
      <c r="O151" t="s">
        <v>67</v>
      </c>
      <c r="R151" t="s">
        <v>68</v>
      </c>
      <c r="T151" t="s">
        <v>69</v>
      </c>
      <c r="U151" t="s">
        <v>70</v>
      </c>
      <c r="W151" t="s">
        <v>71</v>
      </c>
      <c r="X151" s="1" t="s">
        <v>72</v>
      </c>
      <c r="Y151" t="s">
        <v>88</v>
      </c>
      <c r="Z151">
        <v>0</v>
      </c>
      <c r="AA151">
        <v>0</v>
      </c>
      <c r="AD151">
        <v>0</v>
      </c>
      <c r="AE151">
        <v>0</v>
      </c>
      <c r="AH151" t="s">
        <v>73</v>
      </c>
      <c r="AI151" t="s">
        <v>318</v>
      </c>
      <c r="AJ151" t="s">
        <v>319</v>
      </c>
      <c r="AK151" t="s">
        <v>76</v>
      </c>
      <c r="AN151" t="s">
        <v>77</v>
      </c>
      <c r="AO151" t="s">
        <v>320</v>
      </c>
      <c r="AP151" t="s">
        <v>325</v>
      </c>
      <c r="AQ151" t="s">
        <v>322</v>
      </c>
      <c r="AS151" t="b">
        <v>1</v>
      </c>
      <c r="AT151" t="s">
        <v>65</v>
      </c>
      <c r="AU151">
        <v>0</v>
      </c>
      <c r="AV151">
        <v>0</v>
      </c>
      <c r="AX151">
        <v>39</v>
      </c>
      <c r="AY151" t="s">
        <v>81</v>
      </c>
      <c r="AZ151" t="s">
        <v>90</v>
      </c>
      <c r="BB151" t="s">
        <v>91</v>
      </c>
      <c r="BC151" t="s">
        <v>92</v>
      </c>
      <c r="BD151" t="b">
        <v>0</v>
      </c>
      <c r="BE151" t="b">
        <v>0</v>
      </c>
      <c r="BF151" t="b">
        <v>0</v>
      </c>
      <c r="BG151" t="b">
        <v>0</v>
      </c>
      <c r="BH151" t="b">
        <v>0</v>
      </c>
      <c r="BI151" t="b">
        <v>0</v>
      </c>
      <c r="BJ151" t="b">
        <v>0</v>
      </c>
      <c r="BK151" t="b">
        <v>0</v>
      </c>
      <c r="BL151" t="b">
        <v>0</v>
      </c>
      <c r="BM151" t="b">
        <v>0</v>
      </c>
      <c r="BN151" t="b">
        <v>0</v>
      </c>
      <c r="BO151" t="b">
        <v>0</v>
      </c>
      <c r="BP151" t="b">
        <v>0</v>
      </c>
      <c r="BR151" t="str">
        <f>IFERROR(IF(M151="PASSED",VLOOKUP(J151,Current!$J$1:$N$500,1,FALSE)),N151)</f>
        <v>1.0150</v>
      </c>
    </row>
    <row r="152" spans="1:70" ht="15" hidden="1" customHeight="1" x14ac:dyDescent="0.25">
      <c r="A152">
        <v>21156</v>
      </c>
      <c r="C152">
        <v>0</v>
      </c>
      <c r="D152" t="s">
        <v>83</v>
      </c>
      <c r="E152" t="s">
        <v>66</v>
      </c>
      <c r="F152" t="s">
        <v>84</v>
      </c>
      <c r="G152">
        <v>0</v>
      </c>
      <c r="H152" t="s">
        <v>85</v>
      </c>
      <c r="I152" t="s">
        <v>86</v>
      </c>
      <c r="J152" t="str">
        <f>MID($N152,FIND("1.",$N152),FIND("-",$N152)-FIND("1.",$N152)-1)</f>
        <v>1.0151</v>
      </c>
      <c r="K152" t="str">
        <f t="shared" si="6"/>
        <v>Ensure Require secure RPC communication is set to Enabled</v>
      </c>
      <c r="L152" t="str">
        <f t="shared" si="7"/>
        <v>1.0151 - MSWRK - Ensure Require secure RPC communication is set to Enabled</v>
      </c>
      <c r="M152" t="str">
        <f t="shared" si="8"/>
        <v>FAILED</v>
      </c>
      <c r="N152" s="1" t="s">
        <v>727</v>
      </c>
      <c r="O152" t="s">
        <v>67</v>
      </c>
      <c r="R152" t="s">
        <v>68</v>
      </c>
      <c r="T152" t="s">
        <v>69</v>
      </c>
      <c r="U152" t="s">
        <v>70</v>
      </c>
      <c r="W152" t="s">
        <v>71</v>
      </c>
      <c r="X152" s="1" t="s">
        <v>72</v>
      </c>
      <c r="Y152" t="s">
        <v>88</v>
      </c>
      <c r="Z152">
        <v>0</v>
      </c>
      <c r="AA152">
        <v>0</v>
      </c>
      <c r="AD152">
        <v>0</v>
      </c>
      <c r="AE152">
        <v>0</v>
      </c>
      <c r="AH152" t="s">
        <v>73</v>
      </c>
      <c r="AI152" t="s">
        <v>318</v>
      </c>
      <c r="AJ152" t="s">
        <v>319</v>
      </c>
      <c r="AK152" t="s">
        <v>76</v>
      </c>
      <c r="AN152" t="s">
        <v>77</v>
      </c>
      <c r="AO152" t="s">
        <v>320</v>
      </c>
      <c r="AP152" t="s">
        <v>726</v>
      </c>
      <c r="AQ152" t="s">
        <v>322</v>
      </c>
      <c r="AS152" t="b">
        <v>1</v>
      </c>
      <c r="AT152" t="s">
        <v>65</v>
      </c>
      <c r="AU152">
        <v>0</v>
      </c>
      <c r="AV152">
        <v>0</v>
      </c>
      <c r="AX152">
        <v>39</v>
      </c>
      <c r="AY152" t="s">
        <v>81</v>
      </c>
      <c r="AZ152" t="s">
        <v>90</v>
      </c>
      <c r="BB152" t="s">
        <v>91</v>
      </c>
      <c r="BC152" t="s">
        <v>92</v>
      </c>
      <c r="BD152" t="b">
        <v>0</v>
      </c>
      <c r="BE152" t="b">
        <v>0</v>
      </c>
      <c r="BF152" t="b">
        <v>0</v>
      </c>
      <c r="BG152" t="b">
        <v>0</v>
      </c>
      <c r="BH152" t="b">
        <v>0</v>
      </c>
      <c r="BI152" t="b">
        <v>0</v>
      </c>
      <c r="BJ152" t="b">
        <v>0</v>
      </c>
      <c r="BK152" t="b">
        <v>0</v>
      </c>
      <c r="BL152" t="b">
        <v>0</v>
      </c>
      <c r="BM152" t="b">
        <v>0</v>
      </c>
      <c r="BN152" t="b">
        <v>0</v>
      </c>
      <c r="BO152" t="b">
        <v>0</v>
      </c>
      <c r="BP152" t="b">
        <v>0</v>
      </c>
      <c r="BR152" t="b">
        <f>IFERROR(IF(M152="PASSED",VLOOKUP(J152,Current!$J$1:$N$500,1,FALSE)),N152)</f>
        <v>0</v>
      </c>
    </row>
    <row r="153" spans="1:70" ht="15" hidden="1" customHeight="1" x14ac:dyDescent="0.25">
      <c r="A153">
        <v>21156</v>
      </c>
      <c r="C153">
        <v>0</v>
      </c>
      <c r="D153" t="s">
        <v>83</v>
      </c>
      <c r="E153" t="s">
        <v>66</v>
      </c>
      <c r="F153" t="s">
        <v>84</v>
      </c>
      <c r="G153">
        <v>0</v>
      </c>
      <c r="H153" t="s">
        <v>85</v>
      </c>
      <c r="I153" t="s">
        <v>86</v>
      </c>
      <c r="J153" t="str">
        <f>MID($N153,FIND("1.",$N153),FIND("-",$N153)-FIND("1.",$N153)-1)</f>
        <v>1.0152</v>
      </c>
      <c r="K153" t="str">
        <f t="shared" si="6"/>
        <v>Ensure Require use of specific security layer for remote (RDP) connections is set to Enabled</v>
      </c>
      <c r="L153" t="str">
        <f t="shared" si="7"/>
        <v>1.0152 - MSWRK - Ensure Require use of specific security layer for remote (RDP) connections is set to Enabled: SSL</v>
      </c>
      <c r="M153" t="str">
        <f t="shared" si="8"/>
        <v>FAILED</v>
      </c>
      <c r="N153" s="1" t="s">
        <v>518</v>
      </c>
      <c r="O153" t="s">
        <v>67</v>
      </c>
      <c r="R153" t="s">
        <v>68</v>
      </c>
      <c r="T153" t="s">
        <v>69</v>
      </c>
      <c r="U153" t="s">
        <v>70</v>
      </c>
      <c r="W153" t="s">
        <v>71</v>
      </c>
      <c r="X153" s="1" t="s">
        <v>72</v>
      </c>
      <c r="Y153" t="s">
        <v>88</v>
      </c>
      <c r="Z153">
        <v>0</v>
      </c>
      <c r="AA153">
        <v>0</v>
      </c>
      <c r="AD153">
        <v>0</v>
      </c>
      <c r="AE153">
        <v>0</v>
      </c>
      <c r="AH153" t="s">
        <v>73</v>
      </c>
      <c r="AI153" t="s">
        <v>318</v>
      </c>
      <c r="AJ153" t="s">
        <v>319</v>
      </c>
      <c r="AK153" t="s">
        <v>76</v>
      </c>
      <c r="AN153" t="s">
        <v>77</v>
      </c>
      <c r="AO153" t="s">
        <v>320</v>
      </c>
      <c r="AP153" t="s">
        <v>517</v>
      </c>
      <c r="AQ153" t="s">
        <v>322</v>
      </c>
      <c r="AS153" t="b">
        <v>1</v>
      </c>
      <c r="AT153" t="s">
        <v>65</v>
      </c>
      <c r="AU153">
        <v>0</v>
      </c>
      <c r="AV153">
        <v>0</v>
      </c>
      <c r="AX153">
        <v>39</v>
      </c>
      <c r="AY153" t="s">
        <v>81</v>
      </c>
      <c r="AZ153" t="s">
        <v>90</v>
      </c>
      <c r="BB153" t="s">
        <v>91</v>
      </c>
      <c r="BC153" t="s">
        <v>92</v>
      </c>
      <c r="BD153" t="b">
        <v>0</v>
      </c>
      <c r="BE153" t="b">
        <v>0</v>
      </c>
      <c r="BF153" t="b">
        <v>0</v>
      </c>
      <c r="BG153" t="b">
        <v>0</v>
      </c>
      <c r="BH153" t="b">
        <v>0</v>
      </c>
      <c r="BI153" t="b">
        <v>0</v>
      </c>
      <c r="BJ153" t="b">
        <v>0</v>
      </c>
      <c r="BK153" t="b">
        <v>0</v>
      </c>
      <c r="BL153" t="b">
        <v>0</v>
      </c>
      <c r="BM153" t="b">
        <v>0</v>
      </c>
      <c r="BN153" t="b">
        <v>0</v>
      </c>
      <c r="BO153" t="b">
        <v>0</v>
      </c>
      <c r="BP153" t="b">
        <v>0</v>
      </c>
      <c r="BR153" t="b">
        <f>IFERROR(IF(M153="PASSED",VLOOKUP(J153,Current!$J$1:$N$500,1,FALSE)),N153)</f>
        <v>0</v>
      </c>
    </row>
    <row r="154" spans="1:70" ht="15" hidden="1" customHeight="1" x14ac:dyDescent="0.25">
      <c r="A154">
        <v>21156</v>
      </c>
      <c r="C154">
        <v>0</v>
      </c>
      <c r="D154" t="s">
        <v>65</v>
      </c>
      <c r="E154" t="s">
        <v>66</v>
      </c>
      <c r="F154" t="s">
        <v>84</v>
      </c>
      <c r="G154">
        <v>0</v>
      </c>
      <c r="H154" t="s">
        <v>85</v>
      </c>
      <c r="I154" t="s">
        <v>86</v>
      </c>
      <c r="J154" t="str">
        <f>MID($N154,FIND("1.",$N154),FIND("-",$N154)-FIND("1.",$N154)-1)</f>
        <v>1.0153</v>
      </c>
      <c r="K154" t="str">
        <f t="shared" si="6"/>
        <v>Ensure Require user authentication for remote connections by using Network Level Authentication is set to Enabled</v>
      </c>
      <c r="L154" t="str">
        <f t="shared" si="7"/>
        <v>1.0153 - MSWRK - Ensure Require user authentication for remote connections by using Network Level Authentication is set to Enabled</v>
      </c>
      <c r="M154" t="str">
        <f t="shared" si="8"/>
        <v>PASSED</v>
      </c>
      <c r="N154" s="1" t="s">
        <v>121</v>
      </c>
      <c r="O154" t="s">
        <v>67</v>
      </c>
      <c r="R154" t="s">
        <v>68</v>
      </c>
      <c r="T154" t="s">
        <v>69</v>
      </c>
      <c r="U154" t="s">
        <v>70</v>
      </c>
      <c r="W154" t="s">
        <v>71</v>
      </c>
      <c r="X154" s="1" t="s">
        <v>72</v>
      </c>
      <c r="Y154" t="s">
        <v>88</v>
      </c>
      <c r="Z154">
        <v>0</v>
      </c>
      <c r="AA154">
        <v>0</v>
      </c>
      <c r="AD154">
        <v>0</v>
      </c>
      <c r="AE154">
        <v>0</v>
      </c>
      <c r="AH154" t="s">
        <v>73</v>
      </c>
      <c r="AI154" t="s">
        <v>318</v>
      </c>
      <c r="AJ154" t="s">
        <v>319</v>
      </c>
      <c r="AK154" t="s">
        <v>76</v>
      </c>
      <c r="AN154" t="s">
        <v>77</v>
      </c>
      <c r="AO154" t="s">
        <v>320</v>
      </c>
      <c r="AP154" t="s">
        <v>553</v>
      </c>
      <c r="AQ154" t="s">
        <v>322</v>
      </c>
      <c r="AS154" t="b">
        <v>1</v>
      </c>
      <c r="AT154" t="s">
        <v>65</v>
      </c>
      <c r="AU154">
        <v>0</v>
      </c>
      <c r="AV154">
        <v>0</v>
      </c>
      <c r="AX154">
        <v>39</v>
      </c>
      <c r="AY154" t="s">
        <v>81</v>
      </c>
      <c r="AZ154" t="s">
        <v>90</v>
      </c>
      <c r="BB154" t="s">
        <v>91</v>
      </c>
      <c r="BC154" t="s">
        <v>92</v>
      </c>
      <c r="BD154" t="b">
        <v>0</v>
      </c>
      <c r="BE154" t="b">
        <v>0</v>
      </c>
      <c r="BF154" t="b">
        <v>0</v>
      </c>
      <c r="BG154" t="b">
        <v>0</v>
      </c>
      <c r="BH154" t="b">
        <v>0</v>
      </c>
      <c r="BI154" t="b">
        <v>0</v>
      </c>
      <c r="BJ154" t="b">
        <v>0</v>
      </c>
      <c r="BK154" t="b">
        <v>0</v>
      </c>
      <c r="BL154" t="b">
        <v>0</v>
      </c>
      <c r="BM154" t="b">
        <v>0</v>
      </c>
      <c r="BN154" t="b">
        <v>0</v>
      </c>
      <c r="BO154" t="b">
        <v>0</v>
      </c>
      <c r="BP154" t="b">
        <v>0</v>
      </c>
      <c r="BR154" t="str">
        <f>IFERROR(IF(M154="PASSED",VLOOKUP(J154,Current!$J$1:$N$500,1,FALSE)),N154)</f>
        <v>1.0153</v>
      </c>
    </row>
    <row r="155" spans="1:70" ht="15" hidden="1" customHeight="1" x14ac:dyDescent="0.25">
      <c r="A155">
        <v>21156</v>
      </c>
      <c r="C155">
        <v>0</v>
      </c>
      <c r="D155" t="s">
        <v>65</v>
      </c>
      <c r="E155" t="s">
        <v>66</v>
      </c>
      <c r="F155" t="s">
        <v>84</v>
      </c>
      <c r="G155">
        <v>0</v>
      </c>
      <c r="H155" t="s">
        <v>85</v>
      </c>
      <c r="I155" t="s">
        <v>86</v>
      </c>
      <c r="J155" t="str">
        <f>MID($N155,FIND("1.",$N155),FIND("-",$N155)-FIND("1.",$N155)-1)</f>
        <v>1.0154</v>
      </c>
      <c r="K155" t="str">
        <f t="shared" si="6"/>
        <v>Ensure Set client connection encryption level is set to Enabled</v>
      </c>
      <c r="L155" t="str">
        <f t="shared" si="7"/>
        <v>1.0154 - MSWRK - Ensure Set client connection encryption level is set to Enabled: High Level</v>
      </c>
      <c r="M155" t="str">
        <f t="shared" si="8"/>
        <v>PASSED</v>
      </c>
      <c r="N155" s="1" t="s">
        <v>128</v>
      </c>
      <c r="O155" t="s">
        <v>67</v>
      </c>
      <c r="R155" t="s">
        <v>68</v>
      </c>
      <c r="T155" t="s">
        <v>69</v>
      </c>
      <c r="U155" t="s">
        <v>70</v>
      </c>
      <c r="W155" t="s">
        <v>71</v>
      </c>
      <c r="X155" s="1" t="s">
        <v>72</v>
      </c>
      <c r="Y155" t="s">
        <v>88</v>
      </c>
      <c r="Z155">
        <v>0</v>
      </c>
      <c r="AA155">
        <v>0</v>
      </c>
      <c r="AD155">
        <v>0</v>
      </c>
      <c r="AE155">
        <v>0</v>
      </c>
      <c r="AH155" t="s">
        <v>73</v>
      </c>
      <c r="AI155" t="s">
        <v>318</v>
      </c>
      <c r="AJ155" t="s">
        <v>319</v>
      </c>
      <c r="AK155" t="s">
        <v>76</v>
      </c>
      <c r="AN155" t="s">
        <v>77</v>
      </c>
      <c r="AO155" t="s">
        <v>320</v>
      </c>
      <c r="AP155" t="s">
        <v>577</v>
      </c>
      <c r="AQ155" t="s">
        <v>322</v>
      </c>
      <c r="AS155" t="b">
        <v>1</v>
      </c>
      <c r="AT155" t="s">
        <v>65</v>
      </c>
      <c r="AU155">
        <v>0</v>
      </c>
      <c r="AV155">
        <v>0</v>
      </c>
      <c r="AX155">
        <v>39</v>
      </c>
      <c r="AY155" t="s">
        <v>81</v>
      </c>
      <c r="AZ155" t="s">
        <v>90</v>
      </c>
      <c r="BB155" t="s">
        <v>91</v>
      </c>
      <c r="BC155" t="s">
        <v>92</v>
      </c>
      <c r="BD155" t="b">
        <v>0</v>
      </c>
      <c r="BE155" t="b">
        <v>0</v>
      </c>
      <c r="BF155" t="b">
        <v>0</v>
      </c>
      <c r="BG155" t="b">
        <v>0</v>
      </c>
      <c r="BH155" t="b">
        <v>0</v>
      </c>
      <c r="BI155" t="b">
        <v>0</v>
      </c>
      <c r="BJ155" t="b">
        <v>0</v>
      </c>
      <c r="BK155" t="b">
        <v>0</v>
      </c>
      <c r="BL155" t="b">
        <v>0</v>
      </c>
      <c r="BM155" t="b">
        <v>0</v>
      </c>
      <c r="BN155" t="b">
        <v>0</v>
      </c>
      <c r="BO155" t="b">
        <v>0</v>
      </c>
      <c r="BP155" t="b">
        <v>0</v>
      </c>
      <c r="BR155" t="str">
        <f>IFERROR(IF(M155="PASSED",VLOOKUP(J155,Current!$J$1:$N$500,1,FALSE)),N155)</f>
        <v>1.0154</v>
      </c>
    </row>
    <row r="156" spans="1:70" ht="15" hidden="1" customHeight="1" x14ac:dyDescent="0.25">
      <c r="A156">
        <v>21156</v>
      </c>
      <c r="C156">
        <v>0</v>
      </c>
      <c r="D156" t="s">
        <v>83</v>
      </c>
      <c r="E156" t="s">
        <v>66</v>
      </c>
      <c r="F156" t="s">
        <v>84</v>
      </c>
      <c r="G156">
        <v>0</v>
      </c>
      <c r="H156" t="s">
        <v>85</v>
      </c>
      <c r="I156" t="s">
        <v>86</v>
      </c>
      <c r="J156" t="str">
        <f>MID($N156,FIND("1.",$N156),FIND("-",$N156)-FIND("1.",$N156)-1)</f>
        <v>1.0155</v>
      </c>
      <c r="K156" t="str">
        <f t="shared" si="6"/>
        <v>Ensure Prevent downloading of enclosures is set to Enabled</v>
      </c>
      <c r="L156" t="str">
        <f t="shared" si="7"/>
        <v>1.0155 - MSWRK - Ensure Prevent downloading of enclosures is set to Enabled</v>
      </c>
      <c r="M156" t="str">
        <f t="shared" si="8"/>
        <v>FAILED</v>
      </c>
      <c r="N156" s="1" t="s">
        <v>329</v>
      </c>
      <c r="O156" t="s">
        <v>67</v>
      </c>
      <c r="R156" t="s">
        <v>68</v>
      </c>
      <c r="T156" t="s">
        <v>69</v>
      </c>
      <c r="U156" t="s">
        <v>70</v>
      </c>
      <c r="W156" t="s">
        <v>71</v>
      </c>
      <c r="X156" s="1" t="s">
        <v>72</v>
      </c>
      <c r="Y156" t="s">
        <v>88</v>
      </c>
      <c r="Z156">
        <v>0</v>
      </c>
      <c r="AA156">
        <v>0</v>
      </c>
      <c r="AD156">
        <v>0</v>
      </c>
      <c r="AE156">
        <v>0</v>
      </c>
      <c r="AH156" t="s">
        <v>73</v>
      </c>
      <c r="AI156" t="s">
        <v>318</v>
      </c>
      <c r="AJ156" t="s">
        <v>319</v>
      </c>
      <c r="AK156" t="s">
        <v>76</v>
      </c>
      <c r="AN156" t="s">
        <v>77</v>
      </c>
      <c r="AO156" t="s">
        <v>320</v>
      </c>
      <c r="AP156" t="s">
        <v>328</v>
      </c>
      <c r="AQ156" t="s">
        <v>322</v>
      </c>
      <c r="AS156" t="b">
        <v>1</v>
      </c>
      <c r="AT156" t="s">
        <v>65</v>
      </c>
      <c r="AU156">
        <v>0</v>
      </c>
      <c r="AV156">
        <v>0</v>
      </c>
      <c r="AX156">
        <v>39</v>
      </c>
      <c r="AY156" t="s">
        <v>81</v>
      </c>
      <c r="AZ156" t="s">
        <v>90</v>
      </c>
      <c r="BB156" t="s">
        <v>91</v>
      </c>
      <c r="BC156" t="s">
        <v>92</v>
      </c>
      <c r="BD156" t="b">
        <v>0</v>
      </c>
      <c r="BE156" t="b">
        <v>0</v>
      </c>
      <c r="BF156" t="b">
        <v>0</v>
      </c>
      <c r="BG156" t="b">
        <v>0</v>
      </c>
      <c r="BH156" t="b">
        <v>0</v>
      </c>
      <c r="BI156" t="b">
        <v>0</v>
      </c>
      <c r="BJ156" t="b">
        <v>0</v>
      </c>
      <c r="BK156" t="b">
        <v>0</v>
      </c>
      <c r="BL156" t="b">
        <v>0</v>
      </c>
      <c r="BM156" t="b">
        <v>0</v>
      </c>
      <c r="BN156" t="b">
        <v>0</v>
      </c>
      <c r="BO156" t="b">
        <v>0</v>
      </c>
      <c r="BP156" t="b">
        <v>0</v>
      </c>
      <c r="BR156" t="b">
        <f>IFERROR(IF(M156="PASSED",VLOOKUP(J156,Current!$J$1:$N$500,1,FALSE)),N156)</f>
        <v>0</v>
      </c>
    </row>
    <row r="157" spans="1:70" ht="15" hidden="1" customHeight="1" x14ac:dyDescent="0.25">
      <c r="A157">
        <v>21156</v>
      </c>
      <c r="C157">
        <v>0</v>
      </c>
      <c r="D157" t="s">
        <v>65</v>
      </c>
      <c r="E157" t="s">
        <v>66</v>
      </c>
      <c r="F157" t="s">
        <v>84</v>
      </c>
      <c r="G157">
        <v>0</v>
      </c>
      <c r="H157" t="s">
        <v>85</v>
      </c>
      <c r="I157" t="s">
        <v>86</v>
      </c>
      <c r="J157" t="str">
        <f>MID($N157,FIND("1.",$N157),FIND("-",$N157)-FIND("1.",$N157)-1)</f>
        <v>1.0156</v>
      </c>
      <c r="K157" t="str">
        <f t="shared" si="6"/>
        <v>Ensure Allow Cortana is set to Disabled</v>
      </c>
      <c r="L157" t="str">
        <f t="shared" si="7"/>
        <v>1.0156 - MSWRK - Ensure Allow Cortana is set to Disabled</v>
      </c>
      <c r="M157" t="str">
        <f t="shared" si="8"/>
        <v>PASSED</v>
      </c>
      <c r="N157" s="1" t="s">
        <v>222</v>
      </c>
      <c r="O157" t="s">
        <v>67</v>
      </c>
      <c r="R157" t="s">
        <v>68</v>
      </c>
      <c r="T157" t="s">
        <v>69</v>
      </c>
      <c r="U157" t="s">
        <v>70</v>
      </c>
      <c r="W157" t="s">
        <v>71</v>
      </c>
      <c r="X157" s="1" t="s">
        <v>72</v>
      </c>
      <c r="Y157" t="s">
        <v>88</v>
      </c>
      <c r="Z157">
        <v>0</v>
      </c>
      <c r="AA157">
        <v>0</v>
      </c>
      <c r="AD157">
        <v>0</v>
      </c>
      <c r="AE157">
        <v>0</v>
      </c>
      <c r="AH157" t="s">
        <v>73</v>
      </c>
      <c r="AI157" t="s">
        <v>318</v>
      </c>
      <c r="AJ157" t="s">
        <v>319</v>
      </c>
      <c r="AK157" t="s">
        <v>76</v>
      </c>
      <c r="AN157" t="s">
        <v>77</v>
      </c>
      <c r="AO157" t="s">
        <v>320</v>
      </c>
      <c r="AP157" t="s">
        <v>386</v>
      </c>
      <c r="AQ157" t="s">
        <v>322</v>
      </c>
      <c r="AS157" t="b">
        <v>1</v>
      </c>
      <c r="AT157" t="s">
        <v>65</v>
      </c>
      <c r="AU157">
        <v>0</v>
      </c>
      <c r="AV157">
        <v>0</v>
      </c>
      <c r="AX157">
        <v>39</v>
      </c>
      <c r="AY157" t="s">
        <v>81</v>
      </c>
      <c r="AZ157" t="s">
        <v>90</v>
      </c>
      <c r="BB157" t="s">
        <v>91</v>
      </c>
      <c r="BC157" t="s">
        <v>92</v>
      </c>
      <c r="BD157" t="b">
        <v>0</v>
      </c>
      <c r="BE157" t="b">
        <v>0</v>
      </c>
      <c r="BF157" t="b">
        <v>0</v>
      </c>
      <c r="BG157" t="b">
        <v>0</v>
      </c>
      <c r="BH157" t="b">
        <v>0</v>
      </c>
      <c r="BI157" t="b">
        <v>0</v>
      </c>
      <c r="BJ157" t="b">
        <v>0</v>
      </c>
      <c r="BK157" t="b">
        <v>0</v>
      </c>
      <c r="BL157" t="b">
        <v>0</v>
      </c>
      <c r="BM157" t="b">
        <v>0</v>
      </c>
      <c r="BN157" t="b">
        <v>0</v>
      </c>
      <c r="BO157" t="b">
        <v>0</v>
      </c>
      <c r="BP157" t="b">
        <v>0</v>
      </c>
      <c r="BR157" t="str">
        <f>IFERROR(IF(M157="PASSED",VLOOKUP(J157,Current!$J$1:$N$500,1,FALSE)),N157)</f>
        <v>1.0156</v>
      </c>
    </row>
    <row r="158" spans="1:70" ht="15" customHeight="1" x14ac:dyDescent="0.25">
      <c r="A158">
        <v>21156</v>
      </c>
      <c r="C158">
        <v>0</v>
      </c>
      <c r="D158" t="s">
        <v>65</v>
      </c>
      <c r="E158" t="s">
        <v>66</v>
      </c>
      <c r="F158" t="s">
        <v>84</v>
      </c>
      <c r="G158">
        <v>0</v>
      </c>
      <c r="H158" t="s">
        <v>85</v>
      </c>
      <c r="I158" t="s">
        <v>86</v>
      </c>
      <c r="J158" t="str">
        <f>MID($N158,FIND("1.",$N158),FIND("-",$N158)-FIND("1.",$N158)-1)</f>
        <v>1.0157</v>
      </c>
      <c r="K158" t="str">
        <f t="shared" si="6"/>
        <v>Ensure Allow Cortana above lock screen is set to Disabled</v>
      </c>
      <c r="L158" t="str">
        <f t="shared" si="7"/>
        <v>1.0157 - MSWRK - Ensure Allow Cortana above lock screen is set to Disabled</v>
      </c>
      <c r="M158" t="str">
        <f t="shared" si="8"/>
        <v>PASSED</v>
      </c>
      <c r="N158" s="1" t="s">
        <v>672</v>
      </c>
      <c r="O158" t="s">
        <v>67</v>
      </c>
      <c r="R158" t="s">
        <v>68</v>
      </c>
      <c r="T158" t="s">
        <v>69</v>
      </c>
      <c r="U158" t="s">
        <v>70</v>
      </c>
      <c r="W158" t="s">
        <v>71</v>
      </c>
      <c r="X158" s="1" t="s">
        <v>72</v>
      </c>
      <c r="Y158" t="s">
        <v>88</v>
      </c>
      <c r="Z158">
        <v>0</v>
      </c>
      <c r="AA158">
        <v>0</v>
      </c>
      <c r="AD158">
        <v>0</v>
      </c>
      <c r="AE158">
        <v>0</v>
      </c>
      <c r="AH158" t="s">
        <v>73</v>
      </c>
      <c r="AI158" t="s">
        <v>318</v>
      </c>
      <c r="AJ158" t="s">
        <v>319</v>
      </c>
      <c r="AK158" t="s">
        <v>76</v>
      </c>
      <c r="AN158" t="s">
        <v>77</v>
      </c>
      <c r="AO158" t="s">
        <v>320</v>
      </c>
      <c r="AP158" t="s">
        <v>670</v>
      </c>
      <c r="AQ158" t="s">
        <v>322</v>
      </c>
      <c r="AS158" t="b">
        <v>1</v>
      </c>
      <c r="AT158" t="s">
        <v>65</v>
      </c>
      <c r="AU158">
        <v>0</v>
      </c>
      <c r="AV158">
        <v>0</v>
      </c>
      <c r="AX158">
        <v>39</v>
      </c>
      <c r="AY158" t="s">
        <v>81</v>
      </c>
      <c r="AZ158" t="s">
        <v>90</v>
      </c>
      <c r="BB158" t="s">
        <v>91</v>
      </c>
      <c r="BC158" t="s">
        <v>92</v>
      </c>
      <c r="BD158" t="b">
        <v>0</v>
      </c>
      <c r="BE158" t="b">
        <v>0</v>
      </c>
      <c r="BF158" t="b">
        <v>0</v>
      </c>
      <c r="BG158" t="b">
        <v>0</v>
      </c>
      <c r="BH158" t="b">
        <v>0</v>
      </c>
      <c r="BI158" t="b">
        <v>0</v>
      </c>
      <c r="BJ158" t="b">
        <v>0</v>
      </c>
      <c r="BK158" t="b">
        <v>0</v>
      </c>
      <c r="BL158" t="b">
        <v>0</v>
      </c>
      <c r="BM158" t="b">
        <v>0</v>
      </c>
      <c r="BN158" t="b">
        <v>0</v>
      </c>
      <c r="BO158" t="b">
        <v>0</v>
      </c>
      <c r="BP158" t="b">
        <v>0</v>
      </c>
      <c r="BR158" t="str">
        <f>IFERROR(IF(M158="PASSED",VLOOKUP(J158,Current!$J$1:$N$500,1,FALSE)),N158)</f>
        <v>"1.0157 - MSWRK - Ensure Allow Cortana above lock screen is set to Disabled: [PASSED]"
This policy setting determines whether or not the user can interact with Cortana using speech while the system is locked.
See Also:
See HTH Policies and Standards
Reference:
NIST 800-53r5|CM-6 CM-7
Policy Value:
'0'
Actual Value:
'0'</v>
      </c>
    </row>
    <row r="159" spans="1:70" ht="15" customHeight="1" x14ac:dyDescent="0.25">
      <c r="A159">
        <v>21156</v>
      </c>
      <c r="C159">
        <v>0</v>
      </c>
      <c r="D159" t="s">
        <v>65</v>
      </c>
      <c r="E159" t="s">
        <v>66</v>
      </c>
      <c r="F159" t="s">
        <v>84</v>
      </c>
      <c r="G159">
        <v>0</v>
      </c>
      <c r="H159" t="s">
        <v>85</v>
      </c>
      <c r="I159" t="s">
        <v>86</v>
      </c>
      <c r="J159" t="str">
        <f>MID($N159,FIND("1.",$N159),FIND("-",$N159)-FIND("1.",$N159)-1)</f>
        <v>1.0158</v>
      </c>
      <c r="K159" t="str">
        <f t="shared" si="6"/>
        <v>Ensure Allow indexing of encrypted files is set to Disabled</v>
      </c>
      <c r="L159" t="str">
        <f t="shared" si="7"/>
        <v>1.0158 - MSWRK - Ensure Allow indexing of encrypted files is set to Disabled</v>
      </c>
      <c r="M159" t="str">
        <f t="shared" si="8"/>
        <v>PASSED</v>
      </c>
      <c r="N159" s="1" t="s">
        <v>352</v>
      </c>
      <c r="O159" t="s">
        <v>67</v>
      </c>
      <c r="R159" t="s">
        <v>68</v>
      </c>
      <c r="T159" t="s">
        <v>69</v>
      </c>
      <c r="U159" t="s">
        <v>70</v>
      </c>
      <c r="W159" t="s">
        <v>71</v>
      </c>
      <c r="X159" s="1" t="s">
        <v>72</v>
      </c>
      <c r="Y159" t="s">
        <v>88</v>
      </c>
      <c r="Z159">
        <v>0</v>
      </c>
      <c r="AA159">
        <v>0</v>
      </c>
      <c r="AD159">
        <v>0</v>
      </c>
      <c r="AE159">
        <v>0</v>
      </c>
      <c r="AH159" t="s">
        <v>73</v>
      </c>
      <c r="AI159" t="s">
        <v>318</v>
      </c>
      <c r="AJ159" t="s">
        <v>319</v>
      </c>
      <c r="AK159" t="s">
        <v>76</v>
      </c>
      <c r="AN159" t="s">
        <v>77</v>
      </c>
      <c r="AO159" t="s">
        <v>320</v>
      </c>
      <c r="AP159" t="s">
        <v>353</v>
      </c>
      <c r="AQ159" t="s">
        <v>322</v>
      </c>
      <c r="AS159" t="b">
        <v>1</v>
      </c>
      <c r="AT159" t="s">
        <v>65</v>
      </c>
      <c r="AU159">
        <v>0</v>
      </c>
      <c r="AV159">
        <v>0</v>
      </c>
      <c r="AX159">
        <v>39</v>
      </c>
      <c r="AY159" t="s">
        <v>81</v>
      </c>
      <c r="AZ159" t="s">
        <v>90</v>
      </c>
      <c r="BB159" t="s">
        <v>91</v>
      </c>
      <c r="BC159" t="s">
        <v>92</v>
      </c>
      <c r="BD159" t="b">
        <v>0</v>
      </c>
      <c r="BE159" t="b">
        <v>0</v>
      </c>
      <c r="BF159" t="b">
        <v>0</v>
      </c>
      <c r="BG159" t="b">
        <v>0</v>
      </c>
      <c r="BH159" t="b">
        <v>0</v>
      </c>
      <c r="BI159" t="b">
        <v>0</v>
      </c>
      <c r="BJ159" t="b">
        <v>0</v>
      </c>
      <c r="BK159" t="b">
        <v>0</v>
      </c>
      <c r="BL159" t="b">
        <v>0</v>
      </c>
      <c r="BM159" t="b">
        <v>0</v>
      </c>
      <c r="BN159" t="b">
        <v>0</v>
      </c>
      <c r="BO159" t="b">
        <v>0</v>
      </c>
      <c r="BP159" t="b">
        <v>0</v>
      </c>
      <c r="BR159" t="str">
        <f>IFERROR(IF(M159="PASSED",VLOOKUP(J159,Current!$J$1:$N$500,1,FALSE)),N159)</f>
        <v>"1.0158 - MSWRK - Ensure Allow indexing of encrypted files is set to Disabled: [PASSED]"
This policy setting controls whether encrypted items are allowed to be indexed.
See Also:
See HTH Policies and Standards
Reference:
NIST 800-53r5|CM-6 CM-7
Policy Value:
'0'
Actual Value:
'0'</v>
      </c>
    </row>
    <row r="160" spans="1:70" ht="15" customHeight="1" x14ac:dyDescent="0.25">
      <c r="A160">
        <v>21156</v>
      </c>
      <c r="C160">
        <v>0</v>
      </c>
      <c r="D160" t="s">
        <v>65</v>
      </c>
      <c r="E160" t="s">
        <v>66</v>
      </c>
      <c r="F160" t="s">
        <v>84</v>
      </c>
      <c r="G160">
        <v>0</v>
      </c>
      <c r="H160" t="s">
        <v>85</v>
      </c>
      <c r="I160" t="s">
        <v>86</v>
      </c>
      <c r="J160" t="str">
        <f>MID($N160,FIND("1.",$N160),FIND("-",$N160)-FIND("1.",$N160)-1)</f>
        <v>1.0159</v>
      </c>
      <c r="K160" t="str">
        <f t="shared" si="6"/>
        <v>Ensure Allow search and Cortana to use location is set to Disabled</v>
      </c>
      <c r="L160" t="str">
        <f t="shared" si="7"/>
        <v>1.0159 - MSWRK - Ensure Allow search and Cortana to use location is set to Disabled</v>
      </c>
      <c r="M160" t="str">
        <f t="shared" si="8"/>
        <v>PASSED</v>
      </c>
      <c r="N160" s="1" t="s">
        <v>800</v>
      </c>
      <c r="O160" t="s">
        <v>67</v>
      </c>
      <c r="R160" t="s">
        <v>68</v>
      </c>
      <c r="T160" t="s">
        <v>69</v>
      </c>
      <c r="U160" t="s">
        <v>70</v>
      </c>
      <c r="W160" t="s">
        <v>71</v>
      </c>
      <c r="X160" s="1" t="s">
        <v>72</v>
      </c>
      <c r="Y160" t="s">
        <v>88</v>
      </c>
      <c r="Z160">
        <v>0</v>
      </c>
      <c r="AA160">
        <v>0</v>
      </c>
      <c r="AD160">
        <v>0</v>
      </c>
      <c r="AE160">
        <v>0</v>
      </c>
      <c r="AH160" t="s">
        <v>73</v>
      </c>
      <c r="AI160" t="s">
        <v>318</v>
      </c>
      <c r="AJ160" t="s">
        <v>319</v>
      </c>
      <c r="AK160" t="s">
        <v>76</v>
      </c>
      <c r="AN160" t="s">
        <v>77</v>
      </c>
      <c r="AO160" t="s">
        <v>320</v>
      </c>
      <c r="AP160" t="s">
        <v>801</v>
      </c>
      <c r="AQ160" t="s">
        <v>322</v>
      </c>
      <c r="AS160" t="b">
        <v>1</v>
      </c>
      <c r="AT160" t="s">
        <v>65</v>
      </c>
      <c r="AU160">
        <v>0</v>
      </c>
      <c r="AV160">
        <v>0</v>
      </c>
      <c r="AX160">
        <v>39</v>
      </c>
      <c r="AY160" t="s">
        <v>81</v>
      </c>
      <c r="AZ160" t="s">
        <v>90</v>
      </c>
      <c r="BB160" t="s">
        <v>91</v>
      </c>
      <c r="BC160" t="s">
        <v>92</v>
      </c>
      <c r="BD160" t="b">
        <v>0</v>
      </c>
      <c r="BE160" t="b">
        <v>0</v>
      </c>
      <c r="BF160" t="b">
        <v>0</v>
      </c>
      <c r="BG160" t="b">
        <v>0</v>
      </c>
      <c r="BH160" t="b">
        <v>0</v>
      </c>
      <c r="BI160" t="b">
        <v>0</v>
      </c>
      <c r="BJ160" t="b">
        <v>0</v>
      </c>
      <c r="BK160" t="b">
        <v>0</v>
      </c>
      <c r="BL160" t="b">
        <v>0</v>
      </c>
      <c r="BM160" t="b">
        <v>0</v>
      </c>
      <c r="BN160" t="b">
        <v>0</v>
      </c>
      <c r="BO160" t="b">
        <v>0</v>
      </c>
      <c r="BP160" t="b">
        <v>0</v>
      </c>
      <c r="BR160" t="str">
        <f>IFERROR(IF(M160="PASSED",VLOOKUP(J160,Current!$J$1:$N$500,1,FALSE)),N160)</f>
        <v>"1.0159 - MSWRK - Ensure Allow search and Cortana to use location is set to Disabled: [PASSED]"
This policy setting specifies whether search and Cortana can provide location aware search and Cortana results.
See Also:
See HTH Policies and Standards
Reference:
NIST 800-53r5|CM-6 CM-7
Policy Value:
'0'
Actual Value:
'0'</v>
      </c>
    </row>
    <row r="161" spans="1:70" ht="15" hidden="1" customHeight="1" x14ac:dyDescent="0.25">
      <c r="A161">
        <v>21156</v>
      </c>
      <c r="C161">
        <v>0</v>
      </c>
      <c r="D161" t="s">
        <v>83</v>
      </c>
      <c r="E161" t="s">
        <v>66</v>
      </c>
      <c r="F161" t="s">
        <v>84</v>
      </c>
      <c r="G161">
        <v>0</v>
      </c>
      <c r="H161" t="s">
        <v>85</v>
      </c>
      <c r="I161" t="s">
        <v>86</v>
      </c>
      <c r="J161" t="str">
        <f>MID($N161,FIND("1.",$N161),FIND("-",$N161)-FIND("1.",$N161)-1)</f>
        <v>1.0160</v>
      </c>
      <c r="K161" t="str">
        <f t="shared" si="6"/>
        <v>Ensure Allow Microsoft accounts to be optional is set to Enabled</v>
      </c>
      <c r="L161" t="str">
        <f t="shared" si="7"/>
        <v>1.0160 - MSWRK - Ensure Allow Microsoft accounts to be optional is set to Enabled</v>
      </c>
      <c r="M161" t="str">
        <f t="shared" si="8"/>
        <v>FAILED</v>
      </c>
      <c r="N161" s="1" t="s">
        <v>590</v>
      </c>
      <c r="O161" t="s">
        <v>67</v>
      </c>
      <c r="R161" t="s">
        <v>68</v>
      </c>
      <c r="T161" t="s">
        <v>69</v>
      </c>
      <c r="U161" t="s">
        <v>70</v>
      </c>
      <c r="W161" t="s">
        <v>71</v>
      </c>
      <c r="X161" s="1" t="s">
        <v>72</v>
      </c>
      <c r="Y161" t="s">
        <v>88</v>
      </c>
      <c r="Z161">
        <v>0</v>
      </c>
      <c r="AA161">
        <v>0</v>
      </c>
      <c r="AD161">
        <v>0</v>
      </c>
      <c r="AE161">
        <v>0</v>
      </c>
      <c r="AH161" t="s">
        <v>73</v>
      </c>
      <c r="AI161" t="s">
        <v>318</v>
      </c>
      <c r="AJ161" t="s">
        <v>319</v>
      </c>
      <c r="AK161" t="s">
        <v>76</v>
      </c>
      <c r="AN161" t="s">
        <v>77</v>
      </c>
      <c r="AO161" t="s">
        <v>320</v>
      </c>
      <c r="AP161" t="s">
        <v>591</v>
      </c>
      <c r="AQ161" t="s">
        <v>322</v>
      </c>
      <c r="AS161" t="b">
        <v>1</v>
      </c>
      <c r="AT161" t="s">
        <v>65</v>
      </c>
      <c r="AU161">
        <v>0</v>
      </c>
      <c r="AV161">
        <v>0</v>
      </c>
      <c r="AX161">
        <v>39</v>
      </c>
      <c r="AY161" t="s">
        <v>81</v>
      </c>
      <c r="AZ161" t="s">
        <v>90</v>
      </c>
      <c r="BB161" t="s">
        <v>91</v>
      </c>
      <c r="BC161" t="s">
        <v>92</v>
      </c>
      <c r="BD161" t="b">
        <v>0</v>
      </c>
      <c r="BE161" t="b">
        <v>0</v>
      </c>
      <c r="BF161" t="b">
        <v>0</v>
      </c>
      <c r="BG161" t="b">
        <v>0</v>
      </c>
      <c r="BH161" t="b">
        <v>0</v>
      </c>
      <c r="BI161" t="b">
        <v>0</v>
      </c>
      <c r="BJ161" t="b">
        <v>0</v>
      </c>
      <c r="BK161" t="b">
        <v>0</v>
      </c>
      <c r="BL161" t="b">
        <v>0</v>
      </c>
      <c r="BM161" t="b">
        <v>0</v>
      </c>
      <c r="BN161" t="b">
        <v>0</v>
      </c>
      <c r="BO161" t="b">
        <v>0</v>
      </c>
      <c r="BP161" t="b">
        <v>0</v>
      </c>
      <c r="BR161" t="b">
        <f>IFERROR(IF(M161="PASSED",VLOOKUP(J161,Current!$J$1:$N$500,1,FALSE)),N161)</f>
        <v>0</v>
      </c>
    </row>
    <row r="162" spans="1:70" ht="15" hidden="1" customHeight="1" x14ac:dyDescent="0.25">
      <c r="A162">
        <v>21156</v>
      </c>
      <c r="C162">
        <v>0</v>
      </c>
      <c r="D162" t="s">
        <v>65</v>
      </c>
      <c r="E162" t="s">
        <v>66</v>
      </c>
      <c r="F162" t="s">
        <v>84</v>
      </c>
      <c r="G162">
        <v>0</v>
      </c>
      <c r="H162" t="s">
        <v>85</v>
      </c>
      <c r="I162" t="s">
        <v>86</v>
      </c>
      <c r="J162" t="str">
        <f>MID($N162,FIND("1.",$N162),FIND("-",$N162)-FIND("1.",$N162)-1)</f>
        <v>1.0161</v>
      </c>
      <c r="K162" t="str">
        <f t="shared" si="6"/>
        <v>Ensure Turn off Automatic Download and Install of updates is set to Disabled</v>
      </c>
      <c r="L162" t="str">
        <f t="shared" si="7"/>
        <v>1.0161 - MSWRK - Ensure Turn off Automatic Download and Install of updates is set to Disabled</v>
      </c>
      <c r="M162" t="str">
        <f t="shared" si="8"/>
        <v>PASSED</v>
      </c>
      <c r="N162" s="1" t="s">
        <v>291</v>
      </c>
      <c r="O162" t="s">
        <v>67</v>
      </c>
      <c r="R162" t="s">
        <v>68</v>
      </c>
      <c r="T162" t="s">
        <v>69</v>
      </c>
      <c r="U162" t="s">
        <v>70</v>
      </c>
      <c r="W162" t="s">
        <v>71</v>
      </c>
      <c r="X162" s="1" t="s">
        <v>72</v>
      </c>
      <c r="Y162" t="s">
        <v>88</v>
      </c>
      <c r="Z162">
        <v>0</v>
      </c>
      <c r="AA162">
        <v>0</v>
      </c>
      <c r="AD162">
        <v>0</v>
      </c>
      <c r="AE162">
        <v>0</v>
      </c>
      <c r="AH162" t="s">
        <v>73</v>
      </c>
      <c r="AI162" t="s">
        <v>318</v>
      </c>
      <c r="AJ162" t="s">
        <v>319</v>
      </c>
      <c r="AK162" t="s">
        <v>76</v>
      </c>
      <c r="AN162" t="s">
        <v>77</v>
      </c>
      <c r="AO162" t="s">
        <v>320</v>
      </c>
      <c r="AP162" t="s">
        <v>344</v>
      </c>
      <c r="AQ162" t="s">
        <v>322</v>
      </c>
      <c r="AS162" t="b">
        <v>1</v>
      </c>
      <c r="AT162" t="s">
        <v>65</v>
      </c>
      <c r="AU162">
        <v>0</v>
      </c>
      <c r="AV162">
        <v>0</v>
      </c>
      <c r="AX162">
        <v>39</v>
      </c>
      <c r="AY162" t="s">
        <v>81</v>
      </c>
      <c r="AZ162" t="s">
        <v>90</v>
      </c>
      <c r="BB162" t="s">
        <v>91</v>
      </c>
      <c r="BC162" t="s">
        <v>92</v>
      </c>
      <c r="BD162" t="b">
        <v>0</v>
      </c>
      <c r="BE162" t="b">
        <v>0</v>
      </c>
      <c r="BF162" t="b">
        <v>0</v>
      </c>
      <c r="BG162" t="b">
        <v>0</v>
      </c>
      <c r="BH162" t="b">
        <v>0</v>
      </c>
      <c r="BI162" t="b">
        <v>0</v>
      </c>
      <c r="BJ162" t="b">
        <v>0</v>
      </c>
      <c r="BK162" t="b">
        <v>0</v>
      </c>
      <c r="BL162" t="b">
        <v>0</v>
      </c>
      <c r="BM162" t="b">
        <v>0</v>
      </c>
      <c r="BN162" t="b">
        <v>0</v>
      </c>
      <c r="BO162" t="b">
        <v>0</v>
      </c>
      <c r="BP162" t="b">
        <v>0</v>
      </c>
      <c r="BR162" t="str">
        <f>IFERROR(IF(M162="PASSED",VLOOKUP(J162,Current!$J$1:$N$500,1,FALSE)),N162)</f>
        <v>1.0161</v>
      </c>
    </row>
    <row r="163" spans="1:70" ht="15" hidden="1" customHeight="1" x14ac:dyDescent="0.25">
      <c r="A163">
        <v>21156</v>
      </c>
      <c r="C163">
        <v>0</v>
      </c>
      <c r="D163" t="s">
        <v>83</v>
      </c>
      <c r="E163" t="s">
        <v>66</v>
      </c>
      <c r="F163" t="s">
        <v>84</v>
      </c>
      <c r="G163">
        <v>0</v>
      </c>
      <c r="H163" t="s">
        <v>85</v>
      </c>
      <c r="I163" t="s">
        <v>86</v>
      </c>
      <c r="J163" t="str">
        <f>MID($N163,FIND("1.",$N163),FIND("-",$N163)-FIND("1.",$N163)-1)</f>
        <v>1.0162</v>
      </c>
      <c r="K163" t="str">
        <f t="shared" si="6"/>
        <v>Ensure Turn off the offer to update to the latest version of Windows is set to Enabled</v>
      </c>
      <c r="L163" t="str">
        <f t="shared" si="7"/>
        <v>1.0162 - MSWRK - Ensure Turn off the offer to update to the latest version of Windows is set to Enabled</v>
      </c>
      <c r="M163" t="str">
        <f t="shared" si="8"/>
        <v>FAILED</v>
      </c>
      <c r="N163" s="1" t="s">
        <v>757</v>
      </c>
      <c r="O163" t="s">
        <v>67</v>
      </c>
      <c r="R163" t="s">
        <v>68</v>
      </c>
      <c r="T163" t="s">
        <v>69</v>
      </c>
      <c r="U163" t="s">
        <v>70</v>
      </c>
      <c r="W163" t="s">
        <v>71</v>
      </c>
      <c r="X163" s="1" t="s">
        <v>72</v>
      </c>
      <c r="Y163" t="s">
        <v>88</v>
      </c>
      <c r="Z163">
        <v>0</v>
      </c>
      <c r="AA163">
        <v>0</v>
      </c>
      <c r="AD163">
        <v>0</v>
      </c>
      <c r="AE163">
        <v>0</v>
      </c>
      <c r="AH163" t="s">
        <v>73</v>
      </c>
      <c r="AI163" t="s">
        <v>318</v>
      </c>
      <c r="AJ163" t="s">
        <v>319</v>
      </c>
      <c r="AK163" t="s">
        <v>76</v>
      </c>
      <c r="AN163" t="s">
        <v>77</v>
      </c>
      <c r="AO163" t="s">
        <v>320</v>
      </c>
      <c r="AP163" t="s">
        <v>755</v>
      </c>
      <c r="AQ163" t="s">
        <v>322</v>
      </c>
      <c r="AS163" t="b">
        <v>1</v>
      </c>
      <c r="AT163" t="s">
        <v>65</v>
      </c>
      <c r="AU163">
        <v>0</v>
      </c>
      <c r="AV163">
        <v>0</v>
      </c>
      <c r="AX163">
        <v>39</v>
      </c>
      <c r="AY163" t="s">
        <v>81</v>
      </c>
      <c r="AZ163" t="s">
        <v>90</v>
      </c>
      <c r="BB163" t="s">
        <v>91</v>
      </c>
      <c r="BC163" t="s">
        <v>92</v>
      </c>
      <c r="BD163" t="b">
        <v>0</v>
      </c>
      <c r="BE163" t="b">
        <v>0</v>
      </c>
      <c r="BF163" t="b">
        <v>0</v>
      </c>
      <c r="BG163" t="b">
        <v>0</v>
      </c>
      <c r="BH163" t="b">
        <v>0</v>
      </c>
      <c r="BI163" t="b">
        <v>0</v>
      </c>
      <c r="BJ163" t="b">
        <v>0</v>
      </c>
      <c r="BK163" t="b">
        <v>0</v>
      </c>
      <c r="BL163" t="b">
        <v>0</v>
      </c>
      <c r="BM163" t="b">
        <v>0</v>
      </c>
      <c r="BN163" t="b">
        <v>0</v>
      </c>
      <c r="BO163" t="b">
        <v>0</v>
      </c>
      <c r="BP163" t="b">
        <v>0</v>
      </c>
      <c r="BR163" t="b">
        <f>IFERROR(IF(M163="PASSED",VLOOKUP(J163,Current!$J$1:$N$500,1,FALSE)),N163)</f>
        <v>0</v>
      </c>
    </row>
    <row r="164" spans="1:70" ht="15" customHeight="1" x14ac:dyDescent="0.25">
      <c r="A164">
        <v>21156</v>
      </c>
      <c r="C164">
        <v>0</v>
      </c>
      <c r="D164" t="s">
        <v>65</v>
      </c>
      <c r="E164" t="s">
        <v>66</v>
      </c>
      <c r="F164" t="s">
        <v>84</v>
      </c>
      <c r="G164">
        <v>0</v>
      </c>
      <c r="H164" t="s">
        <v>85</v>
      </c>
      <c r="I164" t="s">
        <v>86</v>
      </c>
      <c r="J164" t="str">
        <f>MID($N164,FIND("1.",$N164),FIND("-",$N164)-FIND("1.",$N164)-1)</f>
        <v>1.0163</v>
      </c>
      <c r="K164" t="str">
        <f t="shared" si="6"/>
        <v>Ensure Allow Recall to be enabled is set to Disabled</v>
      </c>
      <c r="L164" t="str">
        <f t="shared" si="7"/>
        <v>1.0163 - MSWRK - Ensure Allow Recall to be enabled is set to Disabled</v>
      </c>
      <c r="M164" t="str">
        <f t="shared" si="8"/>
        <v>PASSED</v>
      </c>
      <c r="N164" s="1" t="s">
        <v>788</v>
      </c>
      <c r="O164" t="s">
        <v>67</v>
      </c>
      <c r="R164" t="s">
        <v>68</v>
      </c>
      <c r="T164" t="s">
        <v>69</v>
      </c>
      <c r="U164" t="s">
        <v>70</v>
      </c>
      <c r="W164" t="s">
        <v>71</v>
      </c>
      <c r="X164" s="1" t="s">
        <v>72</v>
      </c>
      <c r="Y164" t="s">
        <v>88</v>
      </c>
      <c r="Z164">
        <v>0</v>
      </c>
      <c r="AA164">
        <v>0</v>
      </c>
      <c r="AD164">
        <v>0</v>
      </c>
      <c r="AE164">
        <v>0</v>
      </c>
      <c r="AH164" t="s">
        <v>73</v>
      </c>
      <c r="AI164" t="s">
        <v>318</v>
      </c>
      <c r="AJ164" t="s">
        <v>319</v>
      </c>
      <c r="AK164" t="s">
        <v>76</v>
      </c>
      <c r="AN164" t="s">
        <v>77</v>
      </c>
      <c r="AO164" t="s">
        <v>320</v>
      </c>
      <c r="AP164" t="s">
        <v>787</v>
      </c>
      <c r="AQ164" t="s">
        <v>322</v>
      </c>
      <c r="AS164" t="b">
        <v>1</v>
      </c>
      <c r="AT164" t="s">
        <v>65</v>
      </c>
      <c r="AU164">
        <v>0</v>
      </c>
      <c r="AV164">
        <v>0</v>
      </c>
      <c r="AX164">
        <v>39</v>
      </c>
      <c r="AY164" t="s">
        <v>81</v>
      </c>
      <c r="AZ164" t="s">
        <v>90</v>
      </c>
      <c r="BB164" t="s">
        <v>91</v>
      </c>
      <c r="BC164" t="s">
        <v>92</v>
      </c>
      <c r="BD164" t="b">
        <v>0</v>
      </c>
      <c r="BE164" t="b">
        <v>0</v>
      </c>
      <c r="BF164" t="b">
        <v>0</v>
      </c>
      <c r="BG164" t="b">
        <v>0</v>
      </c>
      <c r="BH164" t="b">
        <v>0</v>
      </c>
      <c r="BI164" t="b">
        <v>0</v>
      </c>
      <c r="BJ164" t="b">
        <v>0</v>
      </c>
      <c r="BK164" t="b">
        <v>0</v>
      </c>
      <c r="BL164" t="b">
        <v>0</v>
      </c>
      <c r="BM164" t="b">
        <v>0</v>
      </c>
      <c r="BN164" t="b">
        <v>0</v>
      </c>
      <c r="BO164" t="b">
        <v>0</v>
      </c>
      <c r="BP164" t="b">
        <v>0</v>
      </c>
      <c r="BR164" t="str">
        <f>IFERROR(IF(M164="PASSED",VLOOKUP(J164,Current!$J$1:$N$500,1,FALSE)),N164)</f>
        <v>"1.0163 - MSWRK - Ensure Allow Recall to be enabled is set to Disabled: [PASSED]"
This policy setting controls whether the Recall optional component is available for end users to enable on the system.
See Also:
See HTH Policies and Standards
Reference:
NIST 800-53r5|CM-6 CM-7
Policy Value:
'0'
Actual Value:
'0'</v>
      </c>
    </row>
    <row r="165" spans="1:70" ht="15" hidden="1" customHeight="1" x14ac:dyDescent="0.25">
      <c r="A165">
        <v>21156</v>
      </c>
      <c r="C165">
        <v>0</v>
      </c>
      <c r="D165" t="s">
        <v>83</v>
      </c>
      <c r="E165" t="s">
        <v>66</v>
      </c>
      <c r="F165" t="s">
        <v>84</v>
      </c>
      <c r="G165">
        <v>0</v>
      </c>
      <c r="H165" t="s">
        <v>85</v>
      </c>
      <c r="I165" t="s">
        <v>86</v>
      </c>
      <c r="J165" t="str">
        <f>MID($N165,FIND("1.",$N165),FIND("-",$N165)-FIND("1.",$N165)-1)</f>
        <v>1.0164</v>
      </c>
      <c r="K165" t="str">
        <f t="shared" si="6"/>
        <v>Ensure Automatic Data Collection is set to Enabled</v>
      </c>
      <c r="L165" t="str">
        <f t="shared" si="7"/>
        <v>1.0164 - MSWRK - Ensure Automatic Data Collection is set to Enabled</v>
      </c>
      <c r="M165" t="str">
        <f t="shared" si="8"/>
        <v>FAILED</v>
      </c>
      <c r="N165" s="1" t="s">
        <v>654</v>
      </c>
      <c r="O165" t="s">
        <v>67</v>
      </c>
      <c r="R165" t="s">
        <v>68</v>
      </c>
      <c r="T165" t="s">
        <v>69</v>
      </c>
      <c r="U165" t="s">
        <v>70</v>
      </c>
      <c r="W165" t="s">
        <v>71</v>
      </c>
      <c r="X165" s="1" t="s">
        <v>72</v>
      </c>
      <c r="Y165" t="s">
        <v>88</v>
      </c>
      <c r="Z165">
        <v>0</v>
      </c>
      <c r="AA165">
        <v>0</v>
      </c>
      <c r="AD165">
        <v>0</v>
      </c>
      <c r="AE165">
        <v>0</v>
      </c>
      <c r="AH165" t="s">
        <v>73</v>
      </c>
      <c r="AI165" t="s">
        <v>318</v>
      </c>
      <c r="AJ165" t="s">
        <v>319</v>
      </c>
      <c r="AK165" t="s">
        <v>76</v>
      </c>
      <c r="AN165" t="s">
        <v>77</v>
      </c>
      <c r="AO165" t="s">
        <v>320</v>
      </c>
      <c r="AP165" t="s">
        <v>655</v>
      </c>
      <c r="AQ165" t="s">
        <v>322</v>
      </c>
      <c r="AS165" t="b">
        <v>1</v>
      </c>
      <c r="AT165" t="s">
        <v>65</v>
      </c>
      <c r="AU165">
        <v>0</v>
      </c>
      <c r="AV165">
        <v>0</v>
      </c>
      <c r="AX165">
        <v>39</v>
      </c>
      <c r="AY165" t="s">
        <v>81</v>
      </c>
      <c r="AZ165" t="s">
        <v>90</v>
      </c>
      <c r="BB165" t="s">
        <v>91</v>
      </c>
      <c r="BC165" t="s">
        <v>92</v>
      </c>
      <c r="BD165" t="b">
        <v>0</v>
      </c>
      <c r="BE165" t="b">
        <v>0</v>
      </c>
      <c r="BF165" t="b">
        <v>0</v>
      </c>
      <c r="BG165" t="b">
        <v>0</v>
      </c>
      <c r="BH165" t="b">
        <v>0</v>
      </c>
      <c r="BI165" t="b">
        <v>0</v>
      </c>
      <c r="BJ165" t="b">
        <v>0</v>
      </c>
      <c r="BK165" t="b">
        <v>0</v>
      </c>
      <c r="BL165" t="b">
        <v>0</v>
      </c>
      <c r="BM165" t="b">
        <v>0</v>
      </c>
      <c r="BN165" t="b">
        <v>0</v>
      </c>
      <c r="BO165" t="b">
        <v>0</v>
      </c>
      <c r="BP165" t="b">
        <v>0</v>
      </c>
      <c r="BR165" t="b">
        <f>IFERROR(IF(M165="PASSED",VLOOKUP(J165,Current!$J$1:$N$500,1,FALSE)),N165)</f>
        <v>0</v>
      </c>
    </row>
    <row r="166" spans="1:70" ht="15" hidden="1" customHeight="1" x14ac:dyDescent="0.25">
      <c r="A166">
        <v>21156</v>
      </c>
      <c r="C166">
        <v>0</v>
      </c>
      <c r="D166" t="s">
        <v>83</v>
      </c>
      <c r="E166" t="s">
        <v>66</v>
      </c>
      <c r="F166" t="s">
        <v>84</v>
      </c>
      <c r="G166">
        <v>0</v>
      </c>
      <c r="H166" t="s">
        <v>85</v>
      </c>
      <c r="I166" t="s">
        <v>86</v>
      </c>
      <c r="J166" t="str">
        <f>MID($N166,FIND("1.",$N166),FIND("-",$N166)-FIND("1.",$N166)-1)</f>
        <v>1.0165</v>
      </c>
      <c r="K166" t="str">
        <f t="shared" si="6"/>
        <v>Ensure Notify Malicious is set to Enabled</v>
      </c>
      <c r="L166" t="str">
        <f t="shared" si="7"/>
        <v>1.0165 - MSWRK - Ensure Notify Malicious is set to Enabled</v>
      </c>
      <c r="M166" t="str">
        <f t="shared" si="8"/>
        <v>FAILED</v>
      </c>
      <c r="N166" s="1" t="s">
        <v>819</v>
      </c>
      <c r="O166" t="s">
        <v>67</v>
      </c>
      <c r="R166" t="s">
        <v>68</v>
      </c>
      <c r="T166" t="s">
        <v>69</v>
      </c>
      <c r="U166" t="s">
        <v>70</v>
      </c>
      <c r="W166" t="s">
        <v>71</v>
      </c>
      <c r="X166" s="1" t="s">
        <v>72</v>
      </c>
      <c r="Y166" t="s">
        <v>88</v>
      </c>
      <c r="Z166">
        <v>0</v>
      </c>
      <c r="AA166">
        <v>0</v>
      </c>
      <c r="AD166">
        <v>0</v>
      </c>
      <c r="AE166">
        <v>0</v>
      </c>
      <c r="AH166" t="s">
        <v>73</v>
      </c>
      <c r="AI166" t="s">
        <v>318</v>
      </c>
      <c r="AJ166" t="s">
        <v>319</v>
      </c>
      <c r="AK166" t="s">
        <v>76</v>
      </c>
      <c r="AN166" t="s">
        <v>77</v>
      </c>
      <c r="AO166" t="s">
        <v>320</v>
      </c>
      <c r="AP166" t="s">
        <v>820</v>
      </c>
      <c r="AQ166" t="s">
        <v>322</v>
      </c>
      <c r="AS166" t="b">
        <v>1</v>
      </c>
      <c r="AT166" t="s">
        <v>65</v>
      </c>
      <c r="AU166">
        <v>0</v>
      </c>
      <c r="AV166">
        <v>0</v>
      </c>
      <c r="AX166">
        <v>39</v>
      </c>
      <c r="AY166" t="s">
        <v>81</v>
      </c>
      <c r="AZ166" t="s">
        <v>90</v>
      </c>
      <c r="BB166" t="s">
        <v>91</v>
      </c>
      <c r="BC166" t="s">
        <v>92</v>
      </c>
      <c r="BD166" t="b">
        <v>0</v>
      </c>
      <c r="BE166" t="b">
        <v>0</v>
      </c>
      <c r="BF166" t="b">
        <v>0</v>
      </c>
      <c r="BG166" t="b">
        <v>0</v>
      </c>
      <c r="BH166" t="b">
        <v>0</v>
      </c>
      <c r="BI166" t="b">
        <v>0</v>
      </c>
      <c r="BJ166" t="b">
        <v>0</v>
      </c>
      <c r="BK166" t="b">
        <v>0</v>
      </c>
      <c r="BL166" t="b">
        <v>0</v>
      </c>
      <c r="BM166" t="b">
        <v>0</v>
      </c>
      <c r="BN166" t="b">
        <v>0</v>
      </c>
      <c r="BO166" t="b">
        <v>0</v>
      </c>
      <c r="BP166" t="b">
        <v>0</v>
      </c>
      <c r="BR166" t="b">
        <f>IFERROR(IF(M166="PASSED",VLOOKUP(J166,Current!$J$1:$N$500,1,FALSE)),N166)</f>
        <v>0</v>
      </c>
    </row>
    <row r="167" spans="1:70" ht="15" hidden="1" customHeight="1" x14ac:dyDescent="0.25">
      <c r="A167">
        <v>21156</v>
      </c>
      <c r="C167">
        <v>0</v>
      </c>
      <c r="D167" t="s">
        <v>83</v>
      </c>
      <c r="E167" t="s">
        <v>66</v>
      </c>
      <c r="F167" t="s">
        <v>84</v>
      </c>
      <c r="G167">
        <v>0</v>
      </c>
      <c r="H167" t="s">
        <v>85</v>
      </c>
      <c r="I167" t="s">
        <v>86</v>
      </c>
      <c r="J167" t="str">
        <f>MID($N167,FIND("1.",$N167),FIND("-",$N167)-FIND("1.",$N167)-1)</f>
        <v>1.0166</v>
      </c>
      <c r="K167" t="str">
        <f t="shared" si="6"/>
        <v>Ensure Notify Password Reuse is set to Enabled</v>
      </c>
      <c r="L167" t="str">
        <f t="shared" si="7"/>
        <v>1.0166 - MSWRK - Ensure Notify Password Reuse is set to Enabled</v>
      </c>
      <c r="M167" t="str">
        <f t="shared" si="8"/>
        <v>FAILED</v>
      </c>
      <c r="N167" s="1" t="s">
        <v>739</v>
      </c>
      <c r="O167" t="s">
        <v>67</v>
      </c>
      <c r="R167" t="s">
        <v>68</v>
      </c>
      <c r="T167" t="s">
        <v>69</v>
      </c>
      <c r="U167" t="s">
        <v>70</v>
      </c>
      <c r="W167" t="s">
        <v>71</v>
      </c>
      <c r="X167" s="1" t="s">
        <v>72</v>
      </c>
      <c r="Y167" t="s">
        <v>88</v>
      </c>
      <c r="Z167">
        <v>0</v>
      </c>
      <c r="AA167">
        <v>0</v>
      </c>
      <c r="AD167">
        <v>0</v>
      </c>
      <c r="AE167">
        <v>0</v>
      </c>
      <c r="AH167" t="s">
        <v>73</v>
      </c>
      <c r="AI167" t="s">
        <v>318</v>
      </c>
      <c r="AJ167" t="s">
        <v>319</v>
      </c>
      <c r="AK167" t="s">
        <v>76</v>
      </c>
      <c r="AN167" t="s">
        <v>77</v>
      </c>
      <c r="AO167" t="s">
        <v>320</v>
      </c>
      <c r="AP167" t="s">
        <v>738</v>
      </c>
      <c r="AQ167" t="s">
        <v>322</v>
      </c>
      <c r="AS167" t="b">
        <v>1</v>
      </c>
      <c r="AT167" t="s">
        <v>65</v>
      </c>
      <c r="AU167">
        <v>0</v>
      </c>
      <c r="AV167">
        <v>0</v>
      </c>
      <c r="AX167">
        <v>39</v>
      </c>
      <c r="AY167" t="s">
        <v>81</v>
      </c>
      <c r="AZ167" t="s">
        <v>90</v>
      </c>
      <c r="BB167" t="s">
        <v>91</v>
      </c>
      <c r="BC167" t="s">
        <v>92</v>
      </c>
      <c r="BD167" t="b">
        <v>0</v>
      </c>
      <c r="BE167" t="b">
        <v>0</v>
      </c>
      <c r="BF167" t="b">
        <v>0</v>
      </c>
      <c r="BG167" t="b">
        <v>0</v>
      </c>
      <c r="BH167" t="b">
        <v>0</v>
      </c>
      <c r="BI167" t="b">
        <v>0</v>
      </c>
      <c r="BJ167" t="b">
        <v>0</v>
      </c>
      <c r="BK167" t="b">
        <v>0</v>
      </c>
      <c r="BL167" t="b">
        <v>0</v>
      </c>
      <c r="BM167" t="b">
        <v>0</v>
      </c>
      <c r="BN167" t="b">
        <v>0</v>
      </c>
      <c r="BO167" t="b">
        <v>0</v>
      </c>
      <c r="BP167" t="b">
        <v>0</v>
      </c>
      <c r="BR167" t="b">
        <f>IFERROR(IF(M167="PASSED",VLOOKUP(J167,Current!$J$1:$N$500,1,FALSE)),N167)</f>
        <v>0</v>
      </c>
    </row>
    <row r="168" spans="1:70" ht="15" hidden="1" customHeight="1" x14ac:dyDescent="0.25">
      <c r="A168">
        <v>21156</v>
      </c>
      <c r="C168">
        <v>0</v>
      </c>
      <c r="D168" t="s">
        <v>83</v>
      </c>
      <c r="E168" t="s">
        <v>66</v>
      </c>
      <c r="F168" t="s">
        <v>84</v>
      </c>
      <c r="G168">
        <v>0</v>
      </c>
      <c r="H168" t="s">
        <v>85</v>
      </c>
      <c r="I168" t="s">
        <v>86</v>
      </c>
      <c r="J168" t="str">
        <f>MID($N168,FIND("1.",$N168),FIND("-",$N168)-FIND("1.",$N168)-1)</f>
        <v>1.0167</v>
      </c>
      <c r="K168" t="str">
        <f t="shared" si="6"/>
        <v>Ensure Notify Unsafe App is set to Enabled</v>
      </c>
      <c r="L168" t="str">
        <f t="shared" si="7"/>
        <v>1.0167 - MSWRK - Ensure Notify Unsafe App is set to Enabled</v>
      </c>
      <c r="M168" t="str">
        <f t="shared" si="8"/>
        <v>FAILED</v>
      </c>
      <c r="N168" s="1" t="s">
        <v>330</v>
      </c>
      <c r="O168" t="s">
        <v>67</v>
      </c>
      <c r="R168" t="s">
        <v>68</v>
      </c>
      <c r="T168" t="s">
        <v>69</v>
      </c>
      <c r="U168" t="s">
        <v>70</v>
      </c>
      <c r="W168" t="s">
        <v>71</v>
      </c>
      <c r="X168" s="1" t="s">
        <v>72</v>
      </c>
      <c r="Y168" t="s">
        <v>88</v>
      </c>
      <c r="Z168">
        <v>0</v>
      </c>
      <c r="AA168">
        <v>0</v>
      </c>
      <c r="AD168">
        <v>0</v>
      </c>
      <c r="AE168">
        <v>0</v>
      </c>
      <c r="AH168" t="s">
        <v>73</v>
      </c>
      <c r="AI168" t="s">
        <v>318</v>
      </c>
      <c r="AJ168" t="s">
        <v>319</v>
      </c>
      <c r="AK168" t="s">
        <v>76</v>
      </c>
      <c r="AN168" t="s">
        <v>77</v>
      </c>
      <c r="AO168" t="s">
        <v>320</v>
      </c>
      <c r="AP168" t="s">
        <v>328</v>
      </c>
      <c r="AQ168" t="s">
        <v>322</v>
      </c>
      <c r="AS168" t="b">
        <v>1</v>
      </c>
      <c r="AT168" t="s">
        <v>65</v>
      </c>
      <c r="AU168">
        <v>0</v>
      </c>
      <c r="AV168">
        <v>0</v>
      </c>
      <c r="AX168">
        <v>39</v>
      </c>
      <c r="AY168" t="s">
        <v>81</v>
      </c>
      <c r="AZ168" t="s">
        <v>90</v>
      </c>
      <c r="BB168" t="s">
        <v>91</v>
      </c>
      <c r="BC168" t="s">
        <v>92</v>
      </c>
      <c r="BD168" t="b">
        <v>0</v>
      </c>
      <c r="BE168" t="b">
        <v>0</v>
      </c>
      <c r="BF168" t="b">
        <v>0</v>
      </c>
      <c r="BG168" t="b">
        <v>0</v>
      </c>
      <c r="BH168" t="b">
        <v>0</v>
      </c>
      <c r="BI168" t="b">
        <v>0</v>
      </c>
      <c r="BJ168" t="b">
        <v>0</v>
      </c>
      <c r="BK168" t="b">
        <v>0</v>
      </c>
      <c r="BL168" t="b">
        <v>0</v>
      </c>
      <c r="BM168" t="b">
        <v>0</v>
      </c>
      <c r="BN168" t="b">
        <v>0</v>
      </c>
      <c r="BO168" t="b">
        <v>0</v>
      </c>
      <c r="BP168" t="b">
        <v>0</v>
      </c>
      <c r="BR168" t="b">
        <f>IFERROR(IF(M168="PASSED",VLOOKUP(J168,Current!$J$1:$N$500,1,FALSE)),N168)</f>
        <v>0</v>
      </c>
    </row>
    <row r="169" spans="1:70" ht="15" hidden="1" customHeight="1" x14ac:dyDescent="0.25">
      <c r="A169">
        <v>21156</v>
      </c>
      <c r="C169">
        <v>0</v>
      </c>
      <c r="D169" t="s">
        <v>83</v>
      </c>
      <c r="E169" t="s">
        <v>66</v>
      </c>
      <c r="F169" t="s">
        <v>84</v>
      </c>
      <c r="G169">
        <v>0</v>
      </c>
      <c r="H169" t="s">
        <v>85</v>
      </c>
      <c r="I169" t="s">
        <v>86</v>
      </c>
      <c r="J169" t="str">
        <f>MID($N169,FIND("1.",$N169),FIND("-",$N169)-FIND("1.",$N169)-1)</f>
        <v>1.0168</v>
      </c>
      <c r="K169" t="str">
        <f t="shared" si="6"/>
        <v>Ensure Service Enabled is set to Enabled</v>
      </c>
      <c r="L169" t="str">
        <f t="shared" si="7"/>
        <v>1.0168 - MSWRK - Ensure Service Enabled is set to Enabled</v>
      </c>
      <c r="M169" t="str">
        <f t="shared" si="8"/>
        <v>FAILED</v>
      </c>
      <c r="N169" s="1" t="s">
        <v>602</v>
      </c>
      <c r="O169" t="s">
        <v>67</v>
      </c>
      <c r="R169" t="s">
        <v>68</v>
      </c>
      <c r="T169" t="s">
        <v>69</v>
      </c>
      <c r="U169" t="s">
        <v>70</v>
      </c>
      <c r="W169" t="s">
        <v>71</v>
      </c>
      <c r="X169" s="1" t="s">
        <v>72</v>
      </c>
      <c r="Y169" t="s">
        <v>88</v>
      </c>
      <c r="Z169">
        <v>0</v>
      </c>
      <c r="AA169">
        <v>0</v>
      </c>
      <c r="AD169">
        <v>0</v>
      </c>
      <c r="AE169">
        <v>0</v>
      </c>
      <c r="AH169" t="s">
        <v>73</v>
      </c>
      <c r="AI169" t="s">
        <v>318</v>
      </c>
      <c r="AJ169" t="s">
        <v>319</v>
      </c>
      <c r="AK169" t="s">
        <v>76</v>
      </c>
      <c r="AN169" t="s">
        <v>77</v>
      </c>
      <c r="AO169" t="s">
        <v>320</v>
      </c>
      <c r="AP169" t="s">
        <v>601</v>
      </c>
      <c r="AQ169" t="s">
        <v>322</v>
      </c>
      <c r="AS169" t="b">
        <v>1</v>
      </c>
      <c r="AT169" t="s">
        <v>65</v>
      </c>
      <c r="AU169">
        <v>0</v>
      </c>
      <c r="AV169">
        <v>0</v>
      </c>
      <c r="AX169">
        <v>39</v>
      </c>
      <c r="AY169" t="s">
        <v>81</v>
      </c>
      <c r="AZ169" t="s">
        <v>90</v>
      </c>
      <c r="BB169" t="s">
        <v>91</v>
      </c>
      <c r="BC169" t="s">
        <v>92</v>
      </c>
      <c r="BD169" t="b">
        <v>0</v>
      </c>
      <c r="BE169" t="b">
        <v>0</v>
      </c>
      <c r="BF169" t="b">
        <v>0</v>
      </c>
      <c r="BG169" t="b">
        <v>0</v>
      </c>
      <c r="BH169" t="b">
        <v>0</v>
      </c>
      <c r="BI169" t="b">
        <v>0</v>
      </c>
      <c r="BJ169" t="b">
        <v>0</v>
      </c>
      <c r="BK169" t="b">
        <v>0</v>
      </c>
      <c r="BL169" t="b">
        <v>0</v>
      </c>
      <c r="BM169" t="b">
        <v>0</v>
      </c>
      <c r="BN169" t="b">
        <v>0</v>
      </c>
      <c r="BO169" t="b">
        <v>0</v>
      </c>
      <c r="BP169" t="b">
        <v>0</v>
      </c>
      <c r="BR169" t="b">
        <f>IFERROR(IF(M169="PASSED",VLOOKUP(J169,Current!$J$1:$N$500,1,FALSE)),N169)</f>
        <v>0</v>
      </c>
    </row>
    <row r="170" spans="1:70" ht="15" hidden="1" customHeight="1" x14ac:dyDescent="0.25">
      <c r="A170">
        <v>21156</v>
      </c>
      <c r="C170">
        <v>0</v>
      </c>
      <c r="D170" t="s">
        <v>83</v>
      </c>
      <c r="E170" t="s">
        <v>66</v>
      </c>
      <c r="F170" t="s">
        <v>84</v>
      </c>
      <c r="G170">
        <v>0</v>
      </c>
      <c r="H170" t="s">
        <v>85</v>
      </c>
      <c r="I170" t="s">
        <v>86</v>
      </c>
      <c r="J170" t="str">
        <f>MID($N170,FIND("1.",$N170),FIND("-",$N170)-FIND("1.",$N170)-1)</f>
        <v>1.0169</v>
      </c>
      <c r="K170" t="str">
        <f t="shared" si="6"/>
        <v>Ensure ShellSmartScreenLevel is Windows</v>
      </c>
      <c r="L170" t="str">
        <f t="shared" si="7"/>
        <v>1.0169 - MSWRK - Ensure ShellSmartScreenLevel is Windows: Registry Value to Block</v>
      </c>
      <c r="M170" t="str">
        <f t="shared" si="8"/>
        <v>FAILED</v>
      </c>
      <c r="N170" s="1" t="s">
        <v>356</v>
      </c>
      <c r="O170" t="s">
        <v>67</v>
      </c>
      <c r="R170" t="s">
        <v>68</v>
      </c>
      <c r="T170" t="s">
        <v>69</v>
      </c>
      <c r="U170" t="s">
        <v>70</v>
      </c>
      <c r="W170" t="s">
        <v>71</v>
      </c>
      <c r="X170" s="1" t="s">
        <v>72</v>
      </c>
      <c r="Y170" t="s">
        <v>88</v>
      </c>
      <c r="Z170">
        <v>0</v>
      </c>
      <c r="AA170">
        <v>0</v>
      </c>
      <c r="AD170">
        <v>0</v>
      </c>
      <c r="AE170">
        <v>0</v>
      </c>
      <c r="AH170" t="s">
        <v>73</v>
      </c>
      <c r="AI170" t="s">
        <v>318</v>
      </c>
      <c r="AJ170" t="s">
        <v>319</v>
      </c>
      <c r="AK170" t="s">
        <v>76</v>
      </c>
      <c r="AN170" t="s">
        <v>77</v>
      </c>
      <c r="AO170" t="s">
        <v>320</v>
      </c>
      <c r="AP170" t="s">
        <v>353</v>
      </c>
      <c r="AQ170" t="s">
        <v>322</v>
      </c>
      <c r="AS170" t="b">
        <v>1</v>
      </c>
      <c r="AT170" t="s">
        <v>65</v>
      </c>
      <c r="AU170">
        <v>0</v>
      </c>
      <c r="AV170">
        <v>0</v>
      </c>
      <c r="AX170">
        <v>39</v>
      </c>
      <c r="AY170" t="s">
        <v>81</v>
      </c>
      <c r="AZ170" t="s">
        <v>90</v>
      </c>
      <c r="BB170" t="s">
        <v>91</v>
      </c>
      <c r="BC170" t="s">
        <v>92</v>
      </c>
      <c r="BD170" t="b">
        <v>0</v>
      </c>
      <c r="BE170" t="b">
        <v>0</v>
      </c>
      <c r="BF170" t="b">
        <v>0</v>
      </c>
      <c r="BG170" t="b">
        <v>0</v>
      </c>
      <c r="BH170" t="b">
        <v>0</v>
      </c>
      <c r="BI170" t="b">
        <v>0</v>
      </c>
      <c r="BJ170" t="b">
        <v>0</v>
      </c>
      <c r="BK170" t="b">
        <v>0</v>
      </c>
      <c r="BL170" t="b">
        <v>0</v>
      </c>
      <c r="BM170" t="b">
        <v>0</v>
      </c>
      <c r="BN170" t="b">
        <v>0</v>
      </c>
      <c r="BO170" t="b">
        <v>0</v>
      </c>
      <c r="BP170" t="b">
        <v>0</v>
      </c>
      <c r="BR170" t="b">
        <f>IFERROR(IF(M170="PASSED",VLOOKUP(J170,Current!$J$1:$N$500,1,FALSE)),N170)</f>
        <v>0</v>
      </c>
    </row>
    <row r="171" spans="1:70" ht="15" hidden="1" customHeight="1" x14ac:dyDescent="0.25">
      <c r="A171">
        <v>21156</v>
      </c>
      <c r="C171">
        <v>0</v>
      </c>
      <c r="D171" t="s">
        <v>83</v>
      </c>
      <c r="E171" t="s">
        <v>66</v>
      </c>
      <c r="F171" t="s">
        <v>84</v>
      </c>
      <c r="G171">
        <v>0</v>
      </c>
      <c r="H171" t="s">
        <v>85</v>
      </c>
      <c r="I171" t="s">
        <v>86</v>
      </c>
      <c r="J171" t="str">
        <f>MID($N171,FIND("1.",$N171),FIND("-",$N171)-FIND("1.",$N171)-1)</f>
        <v>1.0170</v>
      </c>
      <c r="K171" t="str">
        <f t="shared" si="6"/>
        <v>EnableSmartScreen: [FAILED]"
Policy Value</v>
      </c>
      <c r="L171" t="str">
        <f t="shared" si="7"/>
        <v>1.0170 - MSWRK - EnableSmartScreen</v>
      </c>
      <c r="M171" t="str">
        <f t="shared" si="8"/>
        <v>FAILED</v>
      </c>
      <c r="N171" s="1" t="s">
        <v>697</v>
      </c>
      <c r="O171" t="s">
        <v>67</v>
      </c>
      <c r="R171" t="s">
        <v>68</v>
      </c>
      <c r="T171" t="s">
        <v>69</v>
      </c>
      <c r="U171" t="s">
        <v>70</v>
      </c>
      <c r="W171" t="s">
        <v>71</v>
      </c>
      <c r="X171" s="1" t="s">
        <v>72</v>
      </c>
      <c r="Y171" t="s">
        <v>88</v>
      </c>
      <c r="Z171">
        <v>0</v>
      </c>
      <c r="AA171">
        <v>0</v>
      </c>
      <c r="AD171">
        <v>0</v>
      </c>
      <c r="AE171">
        <v>0</v>
      </c>
      <c r="AH171" t="s">
        <v>73</v>
      </c>
      <c r="AI171" t="s">
        <v>318</v>
      </c>
      <c r="AJ171" t="s">
        <v>319</v>
      </c>
      <c r="AK171" t="s">
        <v>76</v>
      </c>
      <c r="AN171" t="s">
        <v>77</v>
      </c>
      <c r="AO171" t="s">
        <v>320</v>
      </c>
      <c r="AP171" t="s">
        <v>698</v>
      </c>
      <c r="AQ171" t="s">
        <v>322</v>
      </c>
      <c r="AS171" t="b">
        <v>1</v>
      </c>
      <c r="AT171" t="s">
        <v>65</v>
      </c>
      <c r="AU171">
        <v>0</v>
      </c>
      <c r="AV171">
        <v>0</v>
      </c>
      <c r="AX171">
        <v>39</v>
      </c>
      <c r="AY171" t="s">
        <v>81</v>
      </c>
      <c r="AZ171" t="s">
        <v>90</v>
      </c>
      <c r="BB171" t="s">
        <v>91</v>
      </c>
      <c r="BC171" t="s">
        <v>92</v>
      </c>
      <c r="BD171" t="b">
        <v>0</v>
      </c>
      <c r="BE171" t="b">
        <v>0</v>
      </c>
      <c r="BF171" t="b">
        <v>0</v>
      </c>
      <c r="BG171" t="b">
        <v>0</v>
      </c>
      <c r="BH171" t="b">
        <v>0</v>
      </c>
      <c r="BI171" t="b">
        <v>0</v>
      </c>
      <c r="BJ171" t="b">
        <v>0</v>
      </c>
      <c r="BK171" t="b">
        <v>0</v>
      </c>
      <c r="BL171" t="b">
        <v>0</v>
      </c>
      <c r="BM171" t="b">
        <v>0</v>
      </c>
      <c r="BN171" t="b">
        <v>0</v>
      </c>
      <c r="BO171" t="b">
        <v>0</v>
      </c>
      <c r="BP171" t="b">
        <v>0</v>
      </c>
      <c r="BR171" t="b">
        <f>IFERROR(IF(M171="PASSED",VLOOKUP(J171,Current!$J$1:$N$500,1,FALSE)),N171)</f>
        <v>0</v>
      </c>
    </row>
    <row r="172" spans="1:70" ht="15" hidden="1" customHeight="1" x14ac:dyDescent="0.25">
      <c r="A172">
        <v>21156</v>
      </c>
      <c r="C172">
        <v>0</v>
      </c>
      <c r="D172" t="s">
        <v>65</v>
      </c>
      <c r="E172" t="s">
        <v>66</v>
      </c>
      <c r="F172" t="s">
        <v>84</v>
      </c>
      <c r="G172">
        <v>0</v>
      </c>
      <c r="H172" t="s">
        <v>85</v>
      </c>
      <c r="I172" t="s">
        <v>86</v>
      </c>
      <c r="J172" t="str">
        <f>MID($N172,FIND("1.",$N172),FIND("-",$N172)-FIND("1.",$N172)-1)</f>
        <v>1.0171</v>
      </c>
      <c r="K172" t="str">
        <f t="shared" si="6"/>
        <v>Ensure Enables or disables Windows Game Recording and Broadcasting is set to Disabled</v>
      </c>
      <c r="L172" t="str">
        <f t="shared" si="7"/>
        <v>1.0171 - MSWRK - Ensure Enables or disables Windows Game Recording and Broadcasting is set to Disabled</v>
      </c>
      <c r="M172" t="str">
        <f t="shared" si="8"/>
        <v>PASSED</v>
      </c>
      <c r="N172" s="1" t="s">
        <v>129</v>
      </c>
      <c r="O172" t="s">
        <v>67</v>
      </c>
      <c r="R172" t="s">
        <v>68</v>
      </c>
      <c r="T172" t="s">
        <v>69</v>
      </c>
      <c r="U172" t="s">
        <v>70</v>
      </c>
      <c r="W172" t="s">
        <v>71</v>
      </c>
      <c r="X172" s="1" t="s">
        <v>72</v>
      </c>
      <c r="Y172" t="s">
        <v>88</v>
      </c>
      <c r="Z172">
        <v>0</v>
      </c>
      <c r="AA172">
        <v>0</v>
      </c>
      <c r="AD172">
        <v>0</v>
      </c>
      <c r="AE172">
        <v>0</v>
      </c>
      <c r="AH172" t="s">
        <v>73</v>
      </c>
      <c r="AI172" t="s">
        <v>318</v>
      </c>
      <c r="AJ172" t="s">
        <v>319</v>
      </c>
      <c r="AK172" t="s">
        <v>76</v>
      </c>
      <c r="AN172" t="s">
        <v>77</v>
      </c>
      <c r="AO172" t="s">
        <v>320</v>
      </c>
      <c r="AP172" t="s">
        <v>686</v>
      </c>
      <c r="AQ172" t="s">
        <v>322</v>
      </c>
      <c r="AS172" t="b">
        <v>1</v>
      </c>
      <c r="AT172" t="s">
        <v>65</v>
      </c>
      <c r="AU172">
        <v>0</v>
      </c>
      <c r="AV172">
        <v>0</v>
      </c>
      <c r="AX172">
        <v>39</v>
      </c>
      <c r="AY172" t="s">
        <v>81</v>
      </c>
      <c r="AZ172" t="s">
        <v>90</v>
      </c>
      <c r="BB172" t="s">
        <v>91</v>
      </c>
      <c r="BC172" t="s">
        <v>92</v>
      </c>
      <c r="BD172" t="b">
        <v>0</v>
      </c>
      <c r="BE172" t="b">
        <v>0</v>
      </c>
      <c r="BF172" t="b">
        <v>0</v>
      </c>
      <c r="BG172" t="b">
        <v>0</v>
      </c>
      <c r="BH172" t="b">
        <v>0</v>
      </c>
      <c r="BI172" t="b">
        <v>0</v>
      </c>
      <c r="BJ172" t="b">
        <v>0</v>
      </c>
      <c r="BK172" t="b">
        <v>0</v>
      </c>
      <c r="BL172" t="b">
        <v>0</v>
      </c>
      <c r="BM172" t="b">
        <v>0</v>
      </c>
      <c r="BN172" t="b">
        <v>0</v>
      </c>
      <c r="BO172" t="b">
        <v>0</v>
      </c>
      <c r="BP172" t="b">
        <v>0</v>
      </c>
      <c r="BR172" t="str">
        <f>IFERROR(IF(M172="PASSED",VLOOKUP(J172,Current!$J$1:$N$500,1,FALSE)),N172)</f>
        <v>1.0171</v>
      </c>
    </row>
    <row r="173" spans="1:70" ht="15" hidden="1" customHeight="1" x14ac:dyDescent="0.25">
      <c r="A173">
        <v>21156</v>
      </c>
      <c r="C173">
        <v>0</v>
      </c>
      <c r="D173" t="s">
        <v>83</v>
      </c>
      <c r="E173" t="s">
        <v>66</v>
      </c>
      <c r="F173" t="s">
        <v>84</v>
      </c>
      <c r="G173">
        <v>0</v>
      </c>
      <c r="H173" t="s">
        <v>85</v>
      </c>
      <c r="I173" t="s">
        <v>86</v>
      </c>
      <c r="J173" t="str">
        <f>MID($N173,FIND("1.",$N173),FIND("-",$N173)-FIND("1.",$N173)-1)</f>
        <v>1.0172</v>
      </c>
      <c r="K173" t="str">
        <f t="shared" si="6"/>
        <v>Ensure Enable ESS with Supported Peripherals is set to Enabled</v>
      </c>
      <c r="L173" t="str">
        <f t="shared" si="7"/>
        <v>1.0172 - MSWRK - Ensure Enable ESS with Supported Peripherals is set to Enabled: 1</v>
      </c>
      <c r="M173" t="str">
        <f t="shared" si="8"/>
        <v>FAILED</v>
      </c>
      <c r="N173" s="1" t="s">
        <v>614</v>
      </c>
      <c r="O173" t="s">
        <v>67</v>
      </c>
      <c r="R173" t="s">
        <v>68</v>
      </c>
      <c r="T173" t="s">
        <v>69</v>
      </c>
      <c r="U173" t="s">
        <v>70</v>
      </c>
      <c r="W173" t="s">
        <v>71</v>
      </c>
      <c r="X173" s="1" t="s">
        <v>72</v>
      </c>
      <c r="Y173" t="s">
        <v>88</v>
      </c>
      <c r="Z173">
        <v>0</v>
      </c>
      <c r="AA173">
        <v>0</v>
      </c>
      <c r="AD173">
        <v>0</v>
      </c>
      <c r="AE173">
        <v>0</v>
      </c>
      <c r="AH173" t="s">
        <v>73</v>
      </c>
      <c r="AI173" t="s">
        <v>318</v>
      </c>
      <c r="AJ173" t="s">
        <v>319</v>
      </c>
      <c r="AK173" t="s">
        <v>76</v>
      </c>
      <c r="AN173" t="s">
        <v>77</v>
      </c>
      <c r="AO173" t="s">
        <v>320</v>
      </c>
      <c r="AP173" t="s">
        <v>613</v>
      </c>
      <c r="AQ173" t="s">
        <v>322</v>
      </c>
      <c r="AS173" t="b">
        <v>1</v>
      </c>
      <c r="AT173" t="s">
        <v>65</v>
      </c>
      <c r="AU173">
        <v>0</v>
      </c>
      <c r="AV173">
        <v>0</v>
      </c>
      <c r="AX173">
        <v>39</v>
      </c>
      <c r="AY173" t="s">
        <v>81</v>
      </c>
      <c r="AZ173" t="s">
        <v>90</v>
      </c>
      <c r="BB173" t="s">
        <v>91</v>
      </c>
      <c r="BC173" t="s">
        <v>92</v>
      </c>
      <c r="BD173" t="b">
        <v>0</v>
      </c>
      <c r="BE173" t="b">
        <v>0</v>
      </c>
      <c r="BF173" t="b">
        <v>0</v>
      </c>
      <c r="BG173" t="b">
        <v>0</v>
      </c>
      <c r="BH173" t="b">
        <v>0</v>
      </c>
      <c r="BI173" t="b">
        <v>0</v>
      </c>
      <c r="BJ173" t="b">
        <v>0</v>
      </c>
      <c r="BK173" t="b">
        <v>0</v>
      </c>
      <c r="BL173" t="b">
        <v>0</v>
      </c>
      <c r="BM173" t="b">
        <v>0</v>
      </c>
      <c r="BN173" t="b">
        <v>0</v>
      </c>
      <c r="BO173" t="b">
        <v>0</v>
      </c>
      <c r="BP173" t="b">
        <v>0</v>
      </c>
      <c r="BR173" t="b">
        <f>IFERROR(IF(M173="PASSED",VLOOKUP(J173,Current!$J$1:$N$500,1,FALSE)),N173)</f>
        <v>0</v>
      </c>
    </row>
    <row r="174" spans="1:70" ht="15" hidden="1" customHeight="1" x14ac:dyDescent="0.25">
      <c r="A174">
        <v>21156</v>
      </c>
      <c r="C174">
        <v>0</v>
      </c>
      <c r="D174" t="s">
        <v>83</v>
      </c>
      <c r="E174" t="s">
        <v>66</v>
      </c>
      <c r="F174" t="s">
        <v>84</v>
      </c>
      <c r="G174">
        <v>0</v>
      </c>
      <c r="H174" t="s">
        <v>85</v>
      </c>
      <c r="I174" t="s">
        <v>86</v>
      </c>
      <c r="J174" t="str">
        <f>MID($N174,FIND("1.",$N174),FIND("-",$N174)-FIND("1.",$N174)-1)</f>
        <v>1.0173</v>
      </c>
      <c r="K174" t="str">
        <f t="shared" si="6"/>
        <v>Ensure Disallow Autoplay for non-volume devices is set to Enabled</v>
      </c>
      <c r="L174" t="str">
        <f t="shared" si="7"/>
        <v>1.0173 - MSWRK - Ensure Disallow Autoplay for non-volume devices is set to Enabled</v>
      </c>
      <c r="M174" t="str">
        <f t="shared" si="8"/>
        <v>FAILED</v>
      </c>
      <c r="N174" s="1" t="s">
        <v>391</v>
      </c>
      <c r="O174" t="s">
        <v>67</v>
      </c>
      <c r="R174" t="s">
        <v>68</v>
      </c>
      <c r="T174" t="s">
        <v>69</v>
      </c>
      <c r="U174" t="s">
        <v>70</v>
      </c>
      <c r="W174" t="s">
        <v>71</v>
      </c>
      <c r="X174" s="1" t="s">
        <v>72</v>
      </c>
      <c r="Y174" t="s">
        <v>88</v>
      </c>
      <c r="Z174">
        <v>0</v>
      </c>
      <c r="AA174">
        <v>0</v>
      </c>
      <c r="AD174">
        <v>0</v>
      </c>
      <c r="AE174">
        <v>0</v>
      </c>
      <c r="AH174" t="s">
        <v>73</v>
      </c>
      <c r="AI174" t="s">
        <v>318</v>
      </c>
      <c r="AJ174" t="s">
        <v>319</v>
      </c>
      <c r="AK174" t="s">
        <v>76</v>
      </c>
      <c r="AN174" t="s">
        <v>77</v>
      </c>
      <c r="AO174" t="s">
        <v>320</v>
      </c>
      <c r="AP174" t="s">
        <v>390</v>
      </c>
      <c r="AQ174" t="s">
        <v>322</v>
      </c>
      <c r="AS174" t="b">
        <v>1</v>
      </c>
      <c r="AT174" t="s">
        <v>65</v>
      </c>
      <c r="AU174">
        <v>0</v>
      </c>
      <c r="AV174">
        <v>0</v>
      </c>
      <c r="AX174">
        <v>39</v>
      </c>
      <c r="AY174" t="s">
        <v>81</v>
      </c>
      <c r="AZ174" t="s">
        <v>90</v>
      </c>
      <c r="BB174" t="s">
        <v>91</v>
      </c>
      <c r="BC174" t="s">
        <v>92</v>
      </c>
      <c r="BD174" t="b">
        <v>0</v>
      </c>
      <c r="BE174" t="b">
        <v>0</v>
      </c>
      <c r="BF174" t="b">
        <v>0</v>
      </c>
      <c r="BG174" t="b">
        <v>0</v>
      </c>
      <c r="BH174" t="b">
        <v>0</v>
      </c>
      <c r="BI174" t="b">
        <v>0</v>
      </c>
      <c r="BJ174" t="b">
        <v>0</v>
      </c>
      <c r="BK174" t="b">
        <v>0</v>
      </c>
      <c r="BL174" t="b">
        <v>0</v>
      </c>
      <c r="BM174" t="b">
        <v>0</v>
      </c>
      <c r="BN174" t="b">
        <v>0</v>
      </c>
      <c r="BO174" t="b">
        <v>0</v>
      </c>
      <c r="BP174" t="b">
        <v>0</v>
      </c>
      <c r="BR174" t="b">
        <f>IFERROR(IF(M174="PASSED",VLOOKUP(J174,Current!$J$1:$N$500,1,FALSE)),N174)</f>
        <v>0</v>
      </c>
    </row>
    <row r="175" spans="1:70" ht="15" customHeight="1" x14ac:dyDescent="0.25">
      <c r="A175">
        <v>21156</v>
      </c>
      <c r="C175">
        <v>0</v>
      </c>
      <c r="D175" t="s">
        <v>65</v>
      </c>
      <c r="E175" t="s">
        <v>66</v>
      </c>
      <c r="F175" t="s">
        <v>84</v>
      </c>
      <c r="G175">
        <v>0</v>
      </c>
      <c r="H175" t="s">
        <v>85</v>
      </c>
      <c r="I175" t="s">
        <v>86</v>
      </c>
      <c r="J175" t="str">
        <f>MID($N175,FIND("1.",$N175),FIND("-",$N175)-FIND("1.",$N175)-1)</f>
        <v>1.0174</v>
      </c>
      <c r="K175" t="str">
        <f t="shared" si="6"/>
        <v>Ensure Allow Windows Ink Workspace is set to Enabled</v>
      </c>
      <c r="L175" t="str">
        <f t="shared" si="7"/>
        <v>1.0174 - MSWRK - Ensure Allow Windows Ink Workspace is set to Enabled: On, but disallow access above lock OR Enabled: Disabled</v>
      </c>
      <c r="M175" t="str">
        <f t="shared" si="8"/>
        <v>PASSED</v>
      </c>
      <c r="N175" s="1" t="s">
        <v>640</v>
      </c>
      <c r="O175" t="s">
        <v>67</v>
      </c>
      <c r="R175" t="s">
        <v>68</v>
      </c>
      <c r="T175" t="s">
        <v>69</v>
      </c>
      <c r="U175" t="s">
        <v>70</v>
      </c>
      <c r="W175" t="s">
        <v>71</v>
      </c>
      <c r="X175" s="1" t="s">
        <v>72</v>
      </c>
      <c r="Y175" t="s">
        <v>88</v>
      </c>
      <c r="Z175">
        <v>0</v>
      </c>
      <c r="AA175">
        <v>0</v>
      </c>
      <c r="AD175">
        <v>0</v>
      </c>
      <c r="AE175">
        <v>0</v>
      </c>
      <c r="AH175" t="s">
        <v>73</v>
      </c>
      <c r="AI175" t="s">
        <v>318</v>
      </c>
      <c r="AJ175" t="s">
        <v>319</v>
      </c>
      <c r="AK175" t="s">
        <v>76</v>
      </c>
      <c r="AN175" t="s">
        <v>77</v>
      </c>
      <c r="AO175" t="s">
        <v>320</v>
      </c>
      <c r="AP175" t="s">
        <v>641</v>
      </c>
      <c r="AQ175" t="s">
        <v>322</v>
      </c>
      <c r="AS175" t="b">
        <v>1</v>
      </c>
      <c r="AT175" t="s">
        <v>65</v>
      </c>
      <c r="AU175">
        <v>0</v>
      </c>
      <c r="AV175">
        <v>0</v>
      </c>
      <c r="AX175">
        <v>39</v>
      </c>
      <c r="AY175" t="s">
        <v>81</v>
      </c>
      <c r="AZ175" t="s">
        <v>90</v>
      </c>
      <c r="BB175" t="s">
        <v>91</v>
      </c>
      <c r="BC175" t="s">
        <v>92</v>
      </c>
      <c r="BD175" t="b">
        <v>0</v>
      </c>
      <c r="BE175" t="b">
        <v>0</v>
      </c>
      <c r="BF175" t="b">
        <v>0</v>
      </c>
      <c r="BG175" t="b">
        <v>0</v>
      </c>
      <c r="BH175" t="b">
        <v>0</v>
      </c>
      <c r="BI175" t="b">
        <v>0</v>
      </c>
      <c r="BJ175" t="b">
        <v>0</v>
      </c>
      <c r="BK175" t="b">
        <v>0</v>
      </c>
      <c r="BL175" t="b">
        <v>0</v>
      </c>
      <c r="BM175" t="b">
        <v>0</v>
      </c>
      <c r="BN175" t="b">
        <v>0</v>
      </c>
      <c r="BO175" t="b">
        <v>0</v>
      </c>
      <c r="BP175" t="b">
        <v>0</v>
      </c>
      <c r="BR175" t="str">
        <f>IFERROR(IF(M175="PASSED",VLOOKUP(J175,Current!$J$1:$N$500,1,FALSE)),N175)</f>
        <v>"1.0174 - MSWRK - Ensure Allow Windows Ink Workspace is set to Enabled: On, but disallow access above lock OR Enabled: Disabled: [PASSED]"
This policy setting determines whether Windows Ink items are allowed above the lock screen.
See Also:
See HTH Policies and Standards
Reference:
NIST 800-53r5|CM-7b.
Policy Value:
'0' || '1'
Actual Value:
'0'</v>
      </c>
    </row>
    <row r="176" spans="1:70" ht="15" hidden="1" customHeight="1" x14ac:dyDescent="0.25">
      <c r="A176">
        <v>21156</v>
      </c>
      <c r="C176">
        <v>0</v>
      </c>
      <c r="D176" t="s">
        <v>83</v>
      </c>
      <c r="E176" t="s">
        <v>66</v>
      </c>
      <c r="F176" t="s">
        <v>84</v>
      </c>
      <c r="G176">
        <v>0</v>
      </c>
      <c r="H176" t="s">
        <v>85</v>
      </c>
      <c r="I176" t="s">
        <v>86</v>
      </c>
      <c r="J176" t="str">
        <f>MID($N176,FIND("1.",$N176),FIND("-",$N176)-FIND("1.",$N176)-1)</f>
        <v>1.0175</v>
      </c>
      <c r="K176" t="str">
        <f t="shared" si="6"/>
        <v>Ensure Set the default behavior for AutoRun is set to Enabled</v>
      </c>
      <c r="L176" t="str">
        <f t="shared" si="7"/>
        <v>1.0175 - MSWRK - Ensure Set the default behavior for AutoRun is set to Enabled: Do not execute any autorun commands</v>
      </c>
      <c r="M176" t="str">
        <f t="shared" si="8"/>
        <v>FAILED</v>
      </c>
      <c r="N176" s="1" t="s">
        <v>456</v>
      </c>
      <c r="O176" t="s">
        <v>67</v>
      </c>
      <c r="R176" t="s">
        <v>68</v>
      </c>
      <c r="T176" t="s">
        <v>69</v>
      </c>
      <c r="U176" t="s">
        <v>70</v>
      </c>
      <c r="W176" t="s">
        <v>71</v>
      </c>
      <c r="X176" s="1" t="s">
        <v>72</v>
      </c>
      <c r="Y176" t="s">
        <v>88</v>
      </c>
      <c r="Z176">
        <v>0</v>
      </c>
      <c r="AA176">
        <v>0</v>
      </c>
      <c r="AD176">
        <v>0</v>
      </c>
      <c r="AE176">
        <v>0</v>
      </c>
      <c r="AH176" t="s">
        <v>73</v>
      </c>
      <c r="AI176" t="s">
        <v>318</v>
      </c>
      <c r="AJ176" t="s">
        <v>319</v>
      </c>
      <c r="AK176" t="s">
        <v>76</v>
      </c>
      <c r="AN176" t="s">
        <v>77</v>
      </c>
      <c r="AO176" t="s">
        <v>320</v>
      </c>
      <c r="AP176" t="s">
        <v>457</v>
      </c>
      <c r="AQ176" t="s">
        <v>322</v>
      </c>
      <c r="AS176" t="b">
        <v>1</v>
      </c>
      <c r="AT176" t="s">
        <v>65</v>
      </c>
      <c r="AU176">
        <v>0</v>
      </c>
      <c r="AV176">
        <v>0</v>
      </c>
      <c r="AX176">
        <v>39</v>
      </c>
      <c r="AY176" t="s">
        <v>81</v>
      </c>
      <c r="AZ176" t="s">
        <v>90</v>
      </c>
      <c r="BB176" t="s">
        <v>91</v>
      </c>
      <c r="BC176" t="s">
        <v>92</v>
      </c>
      <c r="BD176" t="b">
        <v>0</v>
      </c>
      <c r="BE176" t="b">
        <v>0</v>
      </c>
      <c r="BF176" t="b">
        <v>0</v>
      </c>
      <c r="BG176" t="b">
        <v>0</v>
      </c>
      <c r="BH176" t="b">
        <v>0</v>
      </c>
      <c r="BI176" t="b">
        <v>0</v>
      </c>
      <c r="BJ176" t="b">
        <v>0</v>
      </c>
      <c r="BK176" t="b">
        <v>0</v>
      </c>
      <c r="BL176" t="b">
        <v>0</v>
      </c>
      <c r="BM176" t="b">
        <v>0</v>
      </c>
      <c r="BN176" t="b">
        <v>0</v>
      </c>
      <c r="BO176" t="b">
        <v>0</v>
      </c>
      <c r="BP176" t="b">
        <v>0</v>
      </c>
      <c r="BR176" t="b">
        <f>IFERROR(IF(M176="PASSED",VLOOKUP(J176,Current!$J$1:$N$500,1,FALSE)),N176)</f>
        <v>0</v>
      </c>
    </row>
    <row r="177" spans="1:70" ht="15" customHeight="1" x14ac:dyDescent="0.25">
      <c r="A177">
        <v>21156</v>
      </c>
      <c r="C177">
        <v>0</v>
      </c>
      <c r="D177" t="s">
        <v>65</v>
      </c>
      <c r="E177" t="s">
        <v>66</v>
      </c>
      <c r="F177" t="s">
        <v>84</v>
      </c>
      <c r="G177">
        <v>0</v>
      </c>
      <c r="H177" t="s">
        <v>85</v>
      </c>
      <c r="I177" t="s">
        <v>86</v>
      </c>
      <c r="J177" t="str">
        <f>MID($N177,FIND("1.",$N177),FIND("-",$N177)-FIND("1.",$N177)-1)</f>
        <v>1.0176</v>
      </c>
      <c r="K177" t="str">
        <f t="shared" si="6"/>
        <v>Ensure Allow user control over installs is set to Disabled</v>
      </c>
      <c r="L177" t="str">
        <f t="shared" si="7"/>
        <v>1.0176 - MSWRK - Ensure Allow user control over installs is set to Disabled</v>
      </c>
      <c r="M177" t="str">
        <f t="shared" si="8"/>
        <v>PASSED</v>
      </c>
      <c r="N177" s="1" t="s">
        <v>434</v>
      </c>
      <c r="O177" t="s">
        <v>67</v>
      </c>
      <c r="R177" t="s">
        <v>68</v>
      </c>
      <c r="T177" t="s">
        <v>69</v>
      </c>
      <c r="U177" t="s">
        <v>70</v>
      </c>
      <c r="W177" t="s">
        <v>71</v>
      </c>
      <c r="X177" s="1" t="s">
        <v>72</v>
      </c>
      <c r="Y177" t="s">
        <v>88</v>
      </c>
      <c r="Z177">
        <v>0</v>
      </c>
      <c r="AA177">
        <v>0</v>
      </c>
      <c r="AD177">
        <v>0</v>
      </c>
      <c r="AE177">
        <v>0</v>
      </c>
      <c r="AH177" t="s">
        <v>73</v>
      </c>
      <c r="AI177" t="s">
        <v>318</v>
      </c>
      <c r="AJ177" t="s">
        <v>319</v>
      </c>
      <c r="AK177" t="s">
        <v>76</v>
      </c>
      <c r="AN177" t="s">
        <v>77</v>
      </c>
      <c r="AO177" t="s">
        <v>320</v>
      </c>
      <c r="AP177" t="s">
        <v>321</v>
      </c>
      <c r="AQ177" t="s">
        <v>322</v>
      </c>
      <c r="AS177" t="b">
        <v>1</v>
      </c>
      <c r="AT177" t="s">
        <v>65</v>
      </c>
      <c r="AU177">
        <v>0</v>
      </c>
      <c r="AV177">
        <v>0</v>
      </c>
      <c r="AX177">
        <v>39</v>
      </c>
      <c r="AY177" t="s">
        <v>81</v>
      </c>
      <c r="AZ177" t="s">
        <v>90</v>
      </c>
      <c r="BB177" t="s">
        <v>91</v>
      </c>
      <c r="BC177" t="s">
        <v>92</v>
      </c>
      <c r="BD177" t="b">
        <v>0</v>
      </c>
      <c r="BE177" t="b">
        <v>0</v>
      </c>
      <c r="BF177" t="b">
        <v>0</v>
      </c>
      <c r="BG177" t="b">
        <v>0</v>
      </c>
      <c r="BH177" t="b">
        <v>0</v>
      </c>
      <c r="BI177" t="b">
        <v>0</v>
      </c>
      <c r="BJ177" t="b">
        <v>0</v>
      </c>
      <c r="BK177" t="b">
        <v>0</v>
      </c>
      <c r="BL177" t="b">
        <v>0</v>
      </c>
      <c r="BM177" t="b">
        <v>0</v>
      </c>
      <c r="BN177" t="b">
        <v>0</v>
      </c>
      <c r="BO177" t="b">
        <v>0</v>
      </c>
      <c r="BP177" t="b">
        <v>0</v>
      </c>
      <c r="BR177" t="str">
        <f>IFERROR(IF(M177="PASSED",VLOOKUP(J177,Current!$J$1:$N$500,1,FALSE)),N177)</f>
        <v>"1.0176 - MSWRK - Ensure Allow user control over installs is set to Disabled: [PASSED]"
This setting controls whether users are permitted to change installation options that typically are available only to system administrators.
See Also:
See HTH Policies and Standards
Reference:
NIST 800-53r5|AC-6(10)
Policy Value:
'0'
Actual Value:
'0'</v>
      </c>
    </row>
    <row r="178" spans="1:70" ht="15" customHeight="1" x14ac:dyDescent="0.25">
      <c r="A178">
        <v>21156</v>
      </c>
      <c r="C178">
        <v>0</v>
      </c>
      <c r="D178" t="s">
        <v>65</v>
      </c>
      <c r="E178" t="s">
        <v>66</v>
      </c>
      <c r="F178" t="s">
        <v>84</v>
      </c>
      <c r="G178">
        <v>0</v>
      </c>
      <c r="H178" t="s">
        <v>85</v>
      </c>
      <c r="I178" t="s">
        <v>86</v>
      </c>
      <c r="J178" t="str">
        <f>MID($N178,FIND("1.",$N178),FIND("-",$N178)-FIND("1.",$N178)-1)</f>
        <v>1.0177</v>
      </c>
      <c r="K178" t="str">
        <f t="shared" si="6"/>
        <v>Ensure Always install with elevated privileges is set to Disabled</v>
      </c>
      <c r="L178" t="str">
        <f t="shared" si="7"/>
        <v>1.0177 - MSWRK - Ensure Always install with elevated privileges is set to Disabled</v>
      </c>
      <c r="M178" t="str">
        <f t="shared" si="8"/>
        <v>PASSED</v>
      </c>
      <c r="N178" s="1" t="s">
        <v>615</v>
      </c>
      <c r="O178" t="s">
        <v>67</v>
      </c>
      <c r="R178" t="s">
        <v>68</v>
      </c>
      <c r="T178" t="s">
        <v>69</v>
      </c>
      <c r="U178" t="s">
        <v>70</v>
      </c>
      <c r="W178" t="s">
        <v>71</v>
      </c>
      <c r="X178" s="1" t="s">
        <v>72</v>
      </c>
      <c r="Y178" t="s">
        <v>88</v>
      </c>
      <c r="Z178">
        <v>0</v>
      </c>
      <c r="AA178">
        <v>0</v>
      </c>
      <c r="AD178">
        <v>0</v>
      </c>
      <c r="AE178">
        <v>0</v>
      </c>
      <c r="AH178" t="s">
        <v>73</v>
      </c>
      <c r="AI178" t="s">
        <v>318</v>
      </c>
      <c r="AJ178" t="s">
        <v>319</v>
      </c>
      <c r="AK178" t="s">
        <v>76</v>
      </c>
      <c r="AN178" t="s">
        <v>77</v>
      </c>
      <c r="AO178" t="s">
        <v>320</v>
      </c>
      <c r="AP178" t="s">
        <v>613</v>
      </c>
      <c r="AQ178" t="s">
        <v>322</v>
      </c>
      <c r="AS178" t="b">
        <v>1</v>
      </c>
      <c r="AT178" t="s">
        <v>65</v>
      </c>
      <c r="AU178">
        <v>0</v>
      </c>
      <c r="AV178">
        <v>0</v>
      </c>
      <c r="AX178">
        <v>39</v>
      </c>
      <c r="AY178" t="s">
        <v>81</v>
      </c>
      <c r="AZ178" t="s">
        <v>90</v>
      </c>
      <c r="BB178" t="s">
        <v>91</v>
      </c>
      <c r="BC178" t="s">
        <v>92</v>
      </c>
      <c r="BD178" t="b">
        <v>0</v>
      </c>
      <c r="BE178" t="b">
        <v>0</v>
      </c>
      <c r="BF178" t="b">
        <v>0</v>
      </c>
      <c r="BG178" t="b">
        <v>0</v>
      </c>
      <c r="BH178" t="b">
        <v>0</v>
      </c>
      <c r="BI178" t="b">
        <v>0</v>
      </c>
      <c r="BJ178" t="b">
        <v>0</v>
      </c>
      <c r="BK178" t="b">
        <v>0</v>
      </c>
      <c r="BL178" t="b">
        <v>0</v>
      </c>
      <c r="BM178" t="b">
        <v>0</v>
      </c>
      <c r="BN178" t="b">
        <v>0</v>
      </c>
      <c r="BO178" t="b">
        <v>0</v>
      </c>
      <c r="BP178" t="b">
        <v>0</v>
      </c>
      <c r="BR178" t="str">
        <f>IFERROR(IF(M178="PASSED",VLOOKUP(J178,Current!$J$1:$N$500,1,FALSE)),N178)</f>
        <v>"1.0177 - MSWRK - Ensure Always install with elevated privileges is set to Disabled: [PASSED]"
This setting controls whether or not Windows Installer should use system permissions when it installs any program on the system.
See Also:
See HTH Policies and Standards
Reference:
NIST 800-53r5|AC-2(9)
Policy Value:
'0'
Actual Value:
'0'</v>
      </c>
    </row>
    <row r="179" spans="1:70" ht="15" hidden="1" customHeight="1" x14ac:dyDescent="0.25">
      <c r="A179">
        <v>21156</v>
      </c>
      <c r="C179">
        <v>0</v>
      </c>
      <c r="D179" t="s">
        <v>83</v>
      </c>
      <c r="E179" t="s">
        <v>66</v>
      </c>
      <c r="F179" t="s">
        <v>84</v>
      </c>
      <c r="G179">
        <v>0</v>
      </c>
      <c r="H179" t="s">
        <v>85</v>
      </c>
      <c r="I179" t="s">
        <v>86</v>
      </c>
      <c r="J179" t="str">
        <f>MID($N179,FIND("1.",$N179),FIND("-",$N179)-FIND("1.",$N179)-1)</f>
        <v>1.0178</v>
      </c>
      <c r="K179" t="str">
        <f t="shared" si="6"/>
        <v>Ensure Turn off Autoplay is set to Enabled</v>
      </c>
      <c r="L179" t="str">
        <f t="shared" si="7"/>
        <v>1.0178 - MSWRK - Ensure Turn off Autoplay is set to Enabled: All drives</v>
      </c>
      <c r="M179" t="str">
        <f t="shared" si="8"/>
        <v>FAILED</v>
      </c>
      <c r="N179" s="1" t="s">
        <v>642</v>
      </c>
      <c r="O179" t="s">
        <v>67</v>
      </c>
      <c r="R179" t="s">
        <v>68</v>
      </c>
      <c r="T179" t="s">
        <v>69</v>
      </c>
      <c r="U179" t="s">
        <v>70</v>
      </c>
      <c r="W179" t="s">
        <v>71</v>
      </c>
      <c r="X179" s="1" t="s">
        <v>72</v>
      </c>
      <c r="Y179" t="s">
        <v>88</v>
      </c>
      <c r="Z179">
        <v>0</v>
      </c>
      <c r="AA179">
        <v>0</v>
      </c>
      <c r="AD179">
        <v>0</v>
      </c>
      <c r="AE179">
        <v>0</v>
      </c>
      <c r="AH179" t="s">
        <v>73</v>
      </c>
      <c r="AI179" t="s">
        <v>318</v>
      </c>
      <c r="AJ179" t="s">
        <v>319</v>
      </c>
      <c r="AK179" t="s">
        <v>76</v>
      </c>
      <c r="AN179" t="s">
        <v>77</v>
      </c>
      <c r="AO179" t="s">
        <v>320</v>
      </c>
      <c r="AP179" t="s">
        <v>641</v>
      </c>
      <c r="AQ179" t="s">
        <v>322</v>
      </c>
      <c r="AS179" t="b">
        <v>1</v>
      </c>
      <c r="AT179" t="s">
        <v>65</v>
      </c>
      <c r="AU179">
        <v>0</v>
      </c>
      <c r="AV179">
        <v>0</v>
      </c>
      <c r="AX179">
        <v>39</v>
      </c>
      <c r="AY179" t="s">
        <v>81</v>
      </c>
      <c r="AZ179" t="s">
        <v>90</v>
      </c>
      <c r="BB179" t="s">
        <v>91</v>
      </c>
      <c r="BC179" t="s">
        <v>92</v>
      </c>
      <c r="BD179" t="b">
        <v>0</v>
      </c>
      <c r="BE179" t="b">
        <v>0</v>
      </c>
      <c r="BF179" t="b">
        <v>0</v>
      </c>
      <c r="BG179" t="b">
        <v>0</v>
      </c>
      <c r="BH179" t="b">
        <v>0</v>
      </c>
      <c r="BI179" t="b">
        <v>0</v>
      </c>
      <c r="BJ179" t="b">
        <v>0</v>
      </c>
      <c r="BK179" t="b">
        <v>0</v>
      </c>
      <c r="BL179" t="b">
        <v>0</v>
      </c>
      <c r="BM179" t="b">
        <v>0</v>
      </c>
      <c r="BN179" t="b">
        <v>0</v>
      </c>
      <c r="BO179" t="b">
        <v>0</v>
      </c>
      <c r="BP179" t="b">
        <v>0</v>
      </c>
      <c r="BR179" t="b">
        <f>IFERROR(IF(M179="PASSED",VLOOKUP(J179,Current!$J$1:$N$500,1,FALSE)),N179)</f>
        <v>0</v>
      </c>
    </row>
    <row r="180" spans="1:70" ht="15" customHeight="1" x14ac:dyDescent="0.25">
      <c r="A180">
        <v>21156</v>
      </c>
      <c r="C180">
        <v>0</v>
      </c>
      <c r="D180" t="s">
        <v>65</v>
      </c>
      <c r="E180" t="s">
        <v>66</v>
      </c>
      <c r="F180" t="s">
        <v>84</v>
      </c>
      <c r="G180">
        <v>0</v>
      </c>
      <c r="H180" t="s">
        <v>85</v>
      </c>
      <c r="I180" t="s">
        <v>86</v>
      </c>
      <c r="J180" t="str">
        <f>MID($N180,FIND("1.",$N180),FIND("-",$N180)-FIND("1.",$N180)-1)</f>
        <v>1.0179</v>
      </c>
      <c r="K180" t="str">
        <f t="shared" si="6"/>
        <v>Ensure Configure the transmission of the users password in the content of MPR notifications sent by winlogon. is set to Disabled</v>
      </c>
      <c r="L180" t="str">
        <f t="shared" si="7"/>
        <v>1.0179 - MSWRK - Ensure Configure the transmission of the users password in the content of MPR notifications sent by winlogon. is set to Disabled</v>
      </c>
      <c r="M180" t="str">
        <f t="shared" si="8"/>
        <v>PASSED</v>
      </c>
      <c r="N180" s="1" t="s">
        <v>576</v>
      </c>
      <c r="O180" t="s">
        <v>67</v>
      </c>
      <c r="R180" t="s">
        <v>68</v>
      </c>
      <c r="T180" t="s">
        <v>69</v>
      </c>
      <c r="U180" t="s">
        <v>70</v>
      </c>
      <c r="W180" t="s">
        <v>71</v>
      </c>
      <c r="X180" s="1" t="s">
        <v>72</v>
      </c>
      <c r="Y180" t="s">
        <v>88</v>
      </c>
      <c r="Z180">
        <v>0</v>
      </c>
      <c r="AA180">
        <v>0</v>
      </c>
      <c r="AD180">
        <v>0</v>
      </c>
      <c r="AE180">
        <v>0</v>
      </c>
      <c r="AH180" t="s">
        <v>73</v>
      </c>
      <c r="AI180" t="s">
        <v>318</v>
      </c>
      <c r="AJ180" t="s">
        <v>319</v>
      </c>
      <c r="AK180" t="s">
        <v>76</v>
      </c>
      <c r="AN180" t="s">
        <v>77</v>
      </c>
      <c r="AO180" t="s">
        <v>320</v>
      </c>
      <c r="AP180" t="s">
        <v>574</v>
      </c>
      <c r="AQ180" t="s">
        <v>322</v>
      </c>
      <c r="AS180" t="b">
        <v>1</v>
      </c>
      <c r="AT180" t="s">
        <v>65</v>
      </c>
      <c r="AU180">
        <v>0</v>
      </c>
      <c r="AV180">
        <v>0</v>
      </c>
      <c r="AX180">
        <v>39</v>
      </c>
      <c r="AY180" t="s">
        <v>81</v>
      </c>
      <c r="AZ180" t="s">
        <v>90</v>
      </c>
      <c r="BB180" t="s">
        <v>91</v>
      </c>
      <c r="BC180" t="s">
        <v>92</v>
      </c>
      <c r="BD180" t="b">
        <v>0</v>
      </c>
      <c r="BE180" t="b">
        <v>0</v>
      </c>
      <c r="BF180" t="b">
        <v>0</v>
      </c>
      <c r="BG180" t="b">
        <v>0</v>
      </c>
      <c r="BH180" t="b">
        <v>0</v>
      </c>
      <c r="BI180" t="b">
        <v>0</v>
      </c>
      <c r="BJ180" t="b">
        <v>0</v>
      </c>
      <c r="BK180" t="b">
        <v>0</v>
      </c>
      <c r="BL180" t="b">
        <v>0</v>
      </c>
      <c r="BM180" t="b">
        <v>0</v>
      </c>
      <c r="BN180" t="b">
        <v>0</v>
      </c>
      <c r="BO180" t="b">
        <v>0</v>
      </c>
      <c r="BP180" t="b">
        <v>0</v>
      </c>
      <c r="BR180" t="str">
        <f>IFERROR(IF(M180="PASSED",VLOOKUP(J180,Current!$J$1:$N$500,1,FALSE)),N180)</f>
        <v>"1.0179 - MSWRK - Ensure Configure the transmission of the users password in the content of MPR notifications sent by winlogon. is set to Disabled: [PASSED]"
This policy setting controls whether winlogon includes a user's password in the content of Multiple Provider Router (MPR) notifications.
See Also:
See HTH Policies and Standards
Reference:
NIST 800-53r5|CM-6 CM-7
Policy Value:
'0'
Actual Value:
'0'</v>
      </c>
    </row>
    <row r="181" spans="1:70" ht="15" hidden="1" customHeight="1" x14ac:dyDescent="0.25">
      <c r="A181">
        <v>21156</v>
      </c>
      <c r="C181">
        <v>0</v>
      </c>
      <c r="D181" t="s">
        <v>65</v>
      </c>
      <c r="E181" t="s">
        <v>66</v>
      </c>
      <c r="F181" t="s">
        <v>84</v>
      </c>
      <c r="G181">
        <v>0</v>
      </c>
      <c r="H181" t="s">
        <v>85</v>
      </c>
      <c r="I181" t="s">
        <v>86</v>
      </c>
      <c r="J181" t="str">
        <f>MID($N181,FIND("1.",$N181),FIND("-",$N181)-FIND("1.",$N181)-1)</f>
        <v>1.0180</v>
      </c>
      <c r="K181" t="str">
        <f t="shared" si="6"/>
        <v>Ensure Sign-in and lock last interactive user automatically after a restart is set to Disabled</v>
      </c>
      <c r="L181" t="str">
        <f t="shared" si="7"/>
        <v>1.0180 - MSWRK - Ensure Sign-in and lock last interactive user automatically after a restart is set to Disabled</v>
      </c>
      <c r="M181" t="str">
        <f t="shared" si="8"/>
        <v>PASSED</v>
      </c>
      <c r="N181" s="1" t="s">
        <v>181</v>
      </c>
      <c r="O181" t="s">
        <v>67</v>
      </c>
      <c r="R181" t="s">
        <v>68</v>
      </c>
      <c r="T181" t="s">
        <v>69</v>
      </c>
      <c r="U181" t="s">
        <v>70</v>
      </c>
      <c r="W181" t="s">
        <v>71</v>
      </c>
      <c r="X181" s="1" t="s">
        <v>72</v>
      </c>
      <c r="Y181" t="s">
        <v>88</v>
      </c>
      <c r="Z181">
        <v>0</v>
      </c>
      <c r="AA181">
        <v>0</v>
      </c>
      <c r="AD181">
        <v>0</v>
      </c>
      <c r="AE181">
        <v>0</v>
      </c>
      <c r="AH181" t="s">
        <v>73</v>
      </c>
      <c r="AI181" t="s">
        <v>318</v>
      </c>
      <c r="AJ181" t="s">
        <v>319</v>
      </c>
      <c r="AK181" t="s">
        <v>76</v>
      </c>
      <c r="AN181" t="s">
        <v>77</v>
      </c>
      <c r="AO181" t="s">
        <v>320</v>
      </c>
      <c r="AP181" t="s">
        <v>523</v>
      </c>
      <c r="AQ181" t="s">
        <v>322</v>
      </c>
      <c r="AS181" t="b">
        <v>1</v>
      </c>
      <c r="AT181" t="s">
        <v>65</v>
      </c>
      <c r="AU181">
        <v>0</v>
      </c>
      <c r="AV181">
        <v>0</v>
      </c>
      <c r="AX181">
        <v>39</v>
      </c>
      <c r="AY181" t="s">
        <v>81</v>
      </c>
      <c r="AZ181" t="s">
        <v>90</v>
      </c>
      <c r="BB181" t="s">
        <v>91</v>
      </c>
      <c r="BC181" t="s">
        <v>92</v>
      </c>
      <c r="BD181" t="b">
        <v>0</v>
      </c>
      <c r="BE181" t="b">
        <v>0</v>
      </c>
      <c r="BF181" t="b">
        <v>0</v>
      </c>
      <c r="BG181" t="b">
        <v>0</v>
      </c>
      <c r="BH181" t="b">
        <v>0</v>
      </c>
      <c r="BI181" t="b">
        <v>0</v>
      </c>
      <c r="BJ181" t="b">
        <v>0</v>
      </c>
      <c r="BK181" t="b">
        <v>0</v>
      </c>
      <c r="BL181" t="b">
        <v>0</v>
      </c>
      <c r="BM181" t="b">
        <v>0</v>
      </c>
      <c r="BN181" t="b">
        <v>0</v>
      </c>
      <c r="BO181" t="b">
        <v>0</v>
      </c>
      <c r="BP181" t="b">
        <v>0</v>
      </c>
      <c r="BR181" t="str">
        <f>IFERROR(IF(M181="PASSED",VLOOKUP(J181,Current!$J$1:$N$500,1,FALSE)),N181)</f>
        <v>1.0180</v>
      </c>
    </row>
    <row r="182" spans="1:70" ht="15" customHeight="1" x14ac:dyDescent="0.25">
      <c r="A182">
        <v>21156</v>
      </c>
      <c r="C182">
        <v>0</v>
      </c>
      <c r="D182" t="s">
        <v>65</v>
      </c>
      <c r="E182" t="s">
        <v>66</v>
      </c>
      <c r="F182" t="s">
        <v>84</v>
      </c>
      <c r="G182">
        <v>0</v>
      </c>
      <c r="H182" t="s">
        <v>85</v>
      </c>
      <c r="I182" t="s">
        <v>86</v>
      </c>
      <c r="J182" t="str">
        <f>MID($N182,FIND("1.",$N182),FIND("-",$N182)-FIND("1.",$N182)-1)</f>
        <v>1.0181</v>
      </c>
      <c r="K182" t="str">
        <f t="shared" si="6"/>
        <v>Ensure Allow Basic authentication is set to Disabled - Client</v>
      </c>
      <c r="L182" t="str">
        <f t="shared" si="7"/>
        <v>1.0181 - MSWRK - Ensure Allow Basic authentication is set to Disabled - Client</v>
      </c>
      <c r="M182" t="str">
        <f t="shared" si="8"/>
        <v>PASSED</v>
      </c>
      <c r="N182" s="1" t="s">
        <v>721</v>
      </c>
      <c r="O182" t="s">
        <v>67</v>
      </c>
      <c r="R182" t="s">
        <v>68</v>
      </c>
      <c r="T182" t="s">
        <v>69</v>
      </c>
      <c r="U182" t="s">
        <v>70</v>
      </c>
      <c r="W182" t="s">
        <v>71</v>
      </c>
      <c r="X182" s="1" t="s">
        <v>72</v>
      </c>
      <c r="Y182" t="s">
        <v>88</v>
      </c>
      <c r="Z182">
        <v>0</v>
      </c>
      <c r="AA182">
        <v>0</v>
      </c>
      <c r="AD182">
        <v>0</v>
      </c>
      <c r="AE182">
        <v>0</v>
      </c>
      <c r="AH182" t="s">
        <v>73</v>
      </c>
      <c r="AI182" t="s">
        <v>318</v>
      </c>
      <c r="AJ182" t="s">
        <v>319</v>
      </c>
      <c r="AK182" t="s">
        <v>76</v>
      </c>
      <c r="AN182" t="s">
        <v>77</v>
      </c>
      <c r="AO182" t="s">
        <v>320</v>
      </c>
      <c r="AP182" t="s">
        <v>719</v>
      </c>
      <c r="AQ182" t="s">
        <v>322</v>
      </c>
      <c r="AS182" t="b">
        <v>1</v>
      </c>
      <c r="AT182" t="s">
        <v>65</v>
      </c>
      <c r="AU182">
        <v>0</v>
      </c>
      <c r="AV182">
        <v>0</v>
      </c>
      <c r="AX182">
        <v>39</v>
      </c>
      <c r="AY182" t="s">
        <v>81</v>
      </c>
      <c r="AZ182" t="s">
        <v>90</v>
      </c>
      <c r="BB182" t="s">
        <v>91</v>
      </c>
      <c r="BC182" t="s">
        <v>92</v>
      </c>
      <c r="BD182" t="b">
        <v>0</v>
      </c>
      <c r="BE182" t="b">
        <v>0</v>
      </c>
      <c r="BF182" t="b">
        <v>0</v>
      </c>
      <c r="BG182" t="b">
        <v>0</v>
      </c>
      <c r="BH182" t="b">
        <v>0</v>
      </c>
      <c r="BI182" t="b">
        <v>0</v>
      </c>
      <c r="BJ182" t="b">
        <v>0</v>
      </c>
      <c r="BK182" t="b">
        <v>0</v>
      </c>
      <c r="BL182" t="b">
        <v>0</v>
      </c>
      <c r="BM182" t="b">
        <v>0</v>
      </c>
      <c r="BN182" t="b">
        <v>0</v>
      </c>
      <c r="BO182" t="b">
        <v>0</v>
      </c>
      <c r="BP182" t="b">
        <v>0</v>
      </c>
      <c r="BR182" t="str">
        <f>IFERROR(IF(M182="PASSED",VLOOKUP(J182,Current!$J$1:$N$500,1,FALSE)),N182)</f>
        <v>"1.0181 - MSWRK - Ensure Allow Basic authentication is set to Disabled - Client: [PASSED]"
This policy setting allows you to manage whether the Windows Remote Management (WinRM) client uses Basic authentication.
See Also:
See HTH Policies and Standards
Reference:
NIST 800-53r5|AC-17(2) IA-5 IA-5(1) SC-8 SC-8(1)
Policy Value:
'0'
Actual Value:
'0'</v>
      </c>
    </row>
    <row r="183" spans="1:70" ht="15" customHeight="1" x14ac:dyDescent="0.25">
      <c r="A183">
        <v>21156</v>
      </c>
      <c r="C183">
        <v>0</v>
      </c>
      <c r="D183" t="s">
        <v>65</v>
      </c>
      <c r="E183" t="s">
        <v>66</v>
      </c>
      <c r="F183" t="s">
        <v>84</v>
      </c>
      <c r="G183">
        <v>0</v>
      </c>
      <c r="H183" t="s">
        <v>85</v>
      </c>
      <c r="I183" t="s">
        <v>86</v>
      </c>
      <c r="J183" t="str">
        <f>MID($N183,FIND("1.",$N183),FIND("-",$N183)-FIND("1.",$N183)-1)</f>
        <v>1.0182</v>
      </c>
      <c r="K183" t="str">
        <f t="shared" si="6"/>
        <v>Ensure Allow unencrypted traffic is set to Disabled - Client</v>
      </c>
      <c r="L183" t="str">
        <f t="shared" si="7"/>
        <v>1.0182 - MSWRK - Ensure Allow unencrypted traffic is set to Disabled - Client</v>
      </c>
      <c r="M183" t="str">
        <f t="shared" si="8"/>
        <v>PASSED</v>
      </c>
      <c r="N183" s="1" t="s">
        <v>412</v>
      </c>
      <c r="O183" t="s">
        <v>67</v>
      </c>
      <c r="R183" t="s">
        <v>68</v>
      </c>
      <c r="T183" t="s">
        <v>69</v>
      </c>
      <c r="U183" t="s">
        <v>70</v>
      </c>
      <c r="W183" t="s">
        <v>71</v>
      </c>
      <c r="X183" s="1" t="s">
        <v>72</v>
      </c>
      <c r="Y183" t="s">
        <v>88</v>
      </c>
      <c r="Z183">
        <v>0</v>
      </c>
      <c r="AA183">
        <v>0</v>
      </c>
      <c r="AD183">
        <v>0</v>
      </c>
      <c r="AE183">
        <v>0</v>
      </c>
      <c r="AH183" t="s">
        <v>73</v>
      </c>
      <c r="AI183" t="s">
        <v>318</v>
      </c>
      <c r="AJ183" t="s">
        <v>319</v>
      </c>
      <c r="AK183" t="s">
        <v>76</v>
      </c>
      <c r="AN183" t="s">
        <v>77</v>
      </c>
      <c r="AO183" t="s">
        <v>320</v>
      </c>
      <c r="AP183" t="s">
        <v>410</v>
      </c>
      <c r="AQ183" t="s">
        <v>322</v>
      </c>
      <c r="AS183" t="b">
        <v>1</v>
      </c>
      <c r="AT183" t="s">
        <v>65</v>
      </c>
      <c r="AU183">
        <v>0</v>
      </c>
      <c r="AV183">
        <v>0</v>
      </c>
      <c r="AX183">
        <v>39</v>
      </c>
      <c r="AY183" t="s">
        <v>81</v>
      </c>
      <c r="AZ183" t="s">
        <v>90</v>
      </c>
      <c r="BB183" t="s">
        <v>91</v>
      </c>
      <c r="BC183" t="s">
        <v>92</v>
      </c>
      <c r="BD183" t="b">
        <v>0</v>
      </c>
      <c r="BE183" t="b">
        <v>0</v>
      </c>
      <c r="BF183" t="b">
        <v>0</v>
      </c>
      <c r="BG183" t="b">
        <v>0</v>
      </c>
      <c r="BH183" t="b">
        <v>0</v>
      </c>
      <c r="BI183" t="b">
        <v>0</v>
      </c>
      <c r="BJ183" t="b">
        <v>0</v>
      </c>
      <c r="BK183" t="b">
        <v>0</v>
      </c>
      <c r="BL183" t="b">
        <v>0</v>
      </c>
      <c r="BM183" t="b">
        <v>0</v>
      </c>
      <c r="BN183" t="b">
        <v>0</v>
      </c>
      <c r="BO183" t="b">
        <v>0</v>
      </c>
      <c r="BP183" t="b">
        <v>0</v>
      </c>
      <c r="BR183" t="str">
        <f>IFERROR(IF(M183="PASSED",VLOOKUP(J183,Current!$J$1:$N$500,1,FALSE)),N183)</f>
        <v>"1.0182 - MSWRK - Ensure Allow unencrypted traffic is set to Disabled - Client: [PASSED]"
This policy setting allows you to manage whether the Windows Remote Management (WinRM) client sends and receives unencrypted messages over the network.
See Also:
See HTH Policies and Standards
Reference:
NIST 800-53r5|AC-17(2) IA-5 IA-5(1) SC-8 SC-8(1)
Policy Value:
'0'
Actual Value:
'0'</v>
      </c>
    </row>
    <row r="184" spans="1:70" ht="15" customHeight="1" x14ac:dyDescent="0.25">
      <c r="A184">
        <v>21156</v>
      </c>
      <c r="C184">
        <v>0</v>
      </c>
      <c r="D184" t="s">
        <v>65</v>
      </c>
      <c r="E184" t="s">
        <v>66</v>
      </c>
      <c r="F184" t="s">
        <v>84</v>
      </c>
      <c r="G184">
        <v>0</v>
      </c>
      <c r="H184" t="s">
        <v>85</v>
      </c>
      <c r="I184" t="s">
        <v>86</v>
      </c>
      <c r="J184" t="str">
        <f>MID($N184,FIND("1.",$N184),FIND("-",$N184)-FIND("1.",$N184)-1)</f>
        <v>1.0183</v>
      </c>
      <c r="K184" t="str">
        <f t="shared" si="6"/>
        <v>Ensure Disallow Digest authentication is set to Enabled</v>
      </c>
      <c r="L184" t="str">
        <f t="shared" si="7"/>
        <v>1.0183 - MSWRK - Ensure Disallow Digest authentication is set to Enabled</v>
      </c>
      <c r="M184" t="str">
        <f t="shared" si="8"/>
        <v>PASSED</v>
      </c>
      <c r="N184" s="1" t="s">
        <v>494</v>
      </c>
      <c r="O184" t="s">
        <v>67</v>
      </c>
      <c r="R184" t="s">
        <v>68</v>
      </c>
      <c r="T184" t="s">
        <v>69</v>
      </c>
      <c r="U184" t="s">
        <v>70</v>
      </c>
      <c r="W184" t="s">
        <v>71</v>
      </c>
      <c r="X184" s="1" t="s">
        <v>72</v>
      </c>
      <c r="Y184" t="s">
        <v>88</v>
      </c>
      <c r="Z184">
        <v>0</v>
      </c>
      <c r="AA184">
        <v>0</v>
      </c>
      <c r="AD184">
        <v>0</v>
      </c>
      <c r="AE184">
        <v>0</v>
      </c>
      <c r="AH184" t="s">
        <v>73</v>
      </c>
      <c r="AI184" t="s">
        <v>318</v>
      </c>
      <c r="AJ184" t="s">
        <v>319</v>
      </c>
      <c r="AK184" t="s">
        <v>76</v>
      </c>
      <c r="AN184" t="s">
        <v>77</v>
      </c>
      <c r="AO184" t="s">
        <v>320</v>
      </c>
      <c r="AP184" t="s">
        <v>495</v>
      </c>
      <c r="AQ184" t="s">
        <v>322</v>
      </c>
      <c r="AS184" t="b">
        <v>1</v>
      </c>
      <c r="AT184" t="s">
        <v>65</v>
      </c>
      <c r="AU184">
        <v>0</v>
      </c>
      <c r="AV184">
        <v>0</v>
      </c>
      <c r="AX184">
        <v>39</v>
      </c>
      <c r="AY184" t="s">
        <v>81</v>
      </c>
      <c r="AZ184" t="s">
        <v>90</v>
      </c>
      <c r="BB184" t="s">
        <v>91</v>
      </c>
      <c r="BC184" t="s">
        <v>92</v>
      </c>
      <c r="BD184" t="b">
        <v>0</v>
      </c>
      <c r="BE184" t="b">
        <v>0</v>
      </c>
      <c r="BF184" t="b">
        <v>0</v>
      </c>
      <c r="BG184" t="b">
        <v>0</v>
      </c>
      <c r="BH184" t="b">
        <v>0</v>
      </c>
      <c r="BI184" t="b">
        <v>0</v>
      </c>
      <c r="BJ184" t="b">
        <v>0</v>
      </c>
      <c r="BK184" t="b">
        <v>0</v>
      </c>
      <c r="BL184" t="b">
        <v>0</v>
      </c>
      <c r="BM184" t="b">
        <v>0</v>
      </c>
      <c r="BN184" t="b">
        <v>0</v>
      </c>
      <c r="BO184" t="b">
        <v>0</v>
      </c>
      <c r="BP184" t="b">
        <v>0</v>
      </c>
      <c r="BR184" t="str">
        <f>IFERROR(IF(M184="PASSED",VLOOKUP(J184,Current!$J$1:$N$500,1,FALSE)),N184)</f>
        <v>"1.0183 - MSWRK - Ensure Disallow Digest authentication is set to Enabled: [PASSED]"
This policy setting allows you to manage whether the Windows Remote Management (WinRM) client will not use Digest authentication.
See Also:
See HTH Policies and Standards
Reference:
NIST 800-53r5|AC-17(2) IA-5 IA-5(1) SC-8 SC-8(1)
Policy Value:
'0'
Actual Value:
'0'</v>
      </c>
    </row>
    <row r="185" spans="1:70" ht="15" hidden="1" customHeight="1" x14ac:dyDescent="0.25">
      <c r="A185">
        <v>21156</v>
      </c>
      <c r="C185">
        <v>0</v>
      </c>
      <c r="D185" t="s">
        <v>83</v>
      </c>
      <c r="E185" t="s">
        <v>66</v>
      </c>
      <c r="F185" t="s">
        <v>84</v>
      </c>
      <c r="G185">
        <v>0</v>
      </c>
      <c r="H185" t="s">
        <v>85</v>
      </c>
      <c r="I185" t="s">
        <v>86</v>
      </c>
      <c r="J185" t="str">
        <f>MID($N185,FIND("1.",$N185),FIND("-",$N185)-FIND("1.",$N185)-1)</f>
        <v>1.0184</v>
      </c>
      <c r="K185" t="str">
        <f t="shared" si="6"/>
        <v>Ensure Allow Basic authentication is set to Disabled - Service</v>
      </c>
      <c r="L185" t="str">
        <f t="shared" si="7"/>
        <v>1.0184 - MSWRK - Ensure Allow Basic authentication is set to Disabled - Service</v>
      </c>
      <c r="M185" t="str">
        <f t="shared" si="8"/>
        <v>FAILED</v>
      </c>
      <c r="N185" s="1" t="s">
        <v>210</v>
      </c>
      <c r="O185" t="s">
        <v>67</v>
      </c>
      <c r="R185" t="s">
        <v>68</v>
      </c>
      <c r="T185" t="s">
        <v>69</v>
      </c>
      <c r="U185" t="s">
        <v>70</v>
      </c>
      <c r="W185" t="s">
        <v>71</v>
      </c>
      <c r="X185" s="1" t="s">
        <v>72</v>
      </c>
      <c r="Y185" t="s">
        <v>88</v>
      </c>
      <c r="Z185">
        <v>0</v>
      </c>
      <c r="AA185">
        <v>0</v>
      </c>
      <c r="AD185">
        <v>0</v>
      </c>
      <c r="AE185">
        <v>0</v>
      </c>
      <c r="AH185" t="s">
        <v>73</v>
      </c>
      <c r="AI185" t="s">
        <v>318</v>
      </c>
      <c r="AJ185" t="s">
        <v>319</v>
      </c>
      <c r="AK185" t="s">
        <v>76</v>
      </c>
      <c r="AN185" t="s">
        <v>77</v>
      </c>
      <c r="AO185" t="s">
        <v>320</v>
      </c>
      <c r="AP185" t="s">
        <v>761</v>
      </c>
      <c r="AQ185" t="s">
        <v>322</v>
      </c>
      <c r="AS185" t="b">
        <v>1</v>
      </c>
      <c r="AT185" t="s">
        <v>65</v>
      </c>
      <c r="AU185">
        <v>0</v>
      </c>
      <c r="AV185">
        <v>0</v>
      </c>
      <c r="AX185">
        <v>39</v>
      </c>
      <c r="AY185" t="s">
        <v>81</v>
      </c>
      <c r="AZ185" t="s">
        <v>90</v>
      </c>
      <c r="BB185" t="s">
        <v>91</v>
      </c>
      <c r="BC185" t="s">
        <v>92</v>
      </c>
      <c r="BD185" t="b">
        <v>0</v>
      </c>
      <c r="BE185" t="b">
        <v>0</v>
      </c>
      <c r="BF185" t="b">
        <v>0</v>
      </c>
      <c r="BG185" t="b">
        <v>0</v>
      </c>
      <c r="BH185" t="b">
        <v>0</v>
      </c>
      <c r="BI185" t="b">
        <v>0</v>
      </c>
      <c r="BJ185" t="b">
        <v>0</v>
      </c>
      <c r="BK185" t="b">
        <v>0</v>
      </c>
      <c r="BL185" t="b">
        <v>0</v>
      </c>
      <c r="BM185" t="b">
        <v>0</v>
      </c>
      <c r="BN185" t="b">
        <v>0</v>
      </c>
      <c r="BO185" t="b">
        <v>0</v>
      </c>
      <c r="BP185" t="b">
        <v>0</v>
      </c>
      <c r="BR185" t="b">
        <f>IFERROR(IF(M185="PASSED",VLOOKUP(J185,Current!$J$1:$N$500,1,FALSE)),N185)</f>
        <v>0</v>
      </c>
    </row>
    <row r="186" spans="1:70" ht="15" hidden="1" customHeight="1" x14ac:dyDescent="0.25">
      <c r="A186">
        <v>21156</v>
      </c>
      <c r="C186">
        <v>0</v>
      </c>
      <c r="D186" t="s">
        <v>65</v>
      </c>
      <c r="E186" t="s">
        <v>66</v>
      </c>
      <c r="F186" t="s">
        <v>84</v>
      </c>
      <c r="G186">
        <v>0</v>
      </c>
      <c r="H186" t="s">
        <v>85</v>
      </c>
      <c r="I186" t="s">
        <v>86</v>
      </c>
      <c r="J186" t="str">
        <f>MID($N186,FIND("1.",$N186),FIND("-",$N186)-FIND("1.",$N186)-1)</f>
        <v>1.0185</v>
      </c>
      <c r="K186" t="str">
        <f t="shared" si="6"/>
        <v>Ensure Allow unencrypted traffic is set to Disabled - Service</v>
      </c>
      <c r="L186" t="str">
        <f t="shared" si="7"/>
        <v>1.0185 - MSWRK - Ensure Allow unencrypted traffic is set to Disabled - Service</v>
      </c>
      <c r="M186" t="str">
        <f t="shared" si="8"/>
        <v>PASSED</v>
      </c>
      <c r="N186" s="1" t="s">
        <v>235</v>
      </c>
      <c r="O186" t="s">
        <v>67</v>
      </c>
      <c r="R186" t="s">
        <v>68</v>
      </c>
      <c r="T186" t="s">
        <v>69</v>
      </c>
      <c r="U186" t="s">
        <v>70</v>
      </c>
      <c r="W186" t="s">
        <v>71</v>
      </c>
      <c r="X186" s="1" t="s">
        <v>72</v>
      </c>
      <c r="Y186" t="s">
        <v>88</v>
      </c>
      <c r="Z186">
        <v>0</v>
      </c>
      <c r="AA186">
        <v>0</v>
      </c>
      <c r="AD186">
        <v>0</v>
      </c>
      <c r="AE186">
        <v>0</v>
      </c>
      <c r="AH186" t="s">
        <v>73</v>
      </c>
      <c r="AI186" t="s">
        <v>318</v>
      </c>
      <c r="AJ186" t="s">
        <v>319</v>
      </c>
      <c r="AK186" t="s">
        <v>76</v>
      </c>
      <c r="AN186" t="s">
        <v>77</v>
      </c>
      <c r="AO186" t="s">
        <v>320</v>
      </c>
      <c r="AP186" t="s">
        <v>625</v>
      </c>
      <c r="AQ186" t="s">
        <v>322</v>
      </c>
      <c r="AS186" t="b">
        <v>1</v>
      </c>
      <c r="AT186" t="s">
        <v>65</v>
      </c>
      <c r="AU186">
        <v>0</v>
      </c>
      <c r="AV186">
        <v>0</v>
      </c>
      <c r="AX186">
        <v>39</v>
      </c>
      <c r="AY186" t="s">
        <v>81</v>
      </c>
      <c r="AZ186" t="s">
        <v>90</v>
      </c>
      <c r="BB186" t="s">
        <v>91</v>
      </c>
      <c r="BC186" t="s">
        <v>92</v>
      </c>
      <c r="BD186" t="b">
        <v>0</v>
      </c>
      <c r="BE186" t="b">
        <v>0</v>
      </c>
      <c r="BF186" t="b">
        <v>0</v>
      </c>
      <c r="BG186" t="b">
        <v>0</v>
      </c>
      <c r="BH186" t="b">
        <v>0</v>
      </c>
      <c r="BI186" t="b">
        <v>0</v>
      </c>
      <c r="BJ186" t="b">
        <v>0</v>
      </c>
      <c r="BK186" t="b">
        <v>0</v>
      </c>
      <c r="BL186" t="b">
        <v>0</v>
      </c>
      <c r="BM186" t="b">
        <v>0</v>
      </c>
      <c r="BN186" t="b">
        <v>0</v>
      </c>
      <c r="BO186" t="b">
        <v>0</v>
      </c>
      <c r="BP186" t="b">
        <v>0</v>
      </c>
      <c r="BR186" t="str">
        <f>IFERROR(IF(M186="PASSED",VLOOKUP(J186,Current!$J$1:$N$500,1,FALSE)),N186)</f>
        <v>1.0185</v>
      </c>
    </row>
    <row r="187" spans="1:70" ht="15" hidden="1" customHeight="1" x14ac:dyDescent="0.25">
      <c r="A187">
        <v>21156</v>
      </c>
      <c r="C187">
        <v>0</v>
      </c>
      <c r="D187" t="s">
        <v>83</v>
      </c>
      <c r="E187" t="s">
        <v>66</v>
      </c>
      <c r="F187" t="s">
        <v>84</v>
      </c>
      <c r="G187">
        <v>0</v>
      </c>
      <c r="H187" t="s">
        <v>85</v>
      </c>
      <c r="I187" t="s">
        <v>86</v>
      </c>
      <c r="J187" t="str">
        <f>MID($N187,FIND("1.",$N187),FIND("-",$N187)-FIND("1.",$N187)-1)</f>
        <v>1.0186</v>
      </c>
      <c r="K187" t="str">
        <f t="shared" si="6"/>
        <v>Ensure Disallow WinRM from storing RunAs credentials is set to Enabled</v>
      </c>
      <c r="L187" t="str">
        <f t="shared" si="7"/>
        <v>1.0186 - MSWRK - Ensure Disallow WinRM from storing RunAs credentials is set to Enabled</v>
      </c>
      <c r="M187" t="str">
        <f t="shared" si="8"/>
        <v>FAILED</v>
      </c>
      <c r="N187" s="1" t="s">
        <v>609</v>
      </c>
      <c r="O187" t="s">
        <v>67</v>
      </c>
      <c r="R187" t="s">
        <v>68</v>
      </c>
      <c r="T187" t="s">
        <v>69</v>
      </c>
      <c r="U187" t="s">
        <v>70</v>
      </c>
      <c r="W187" t="s">
        <v>71</v>
      </c>
      <c r="X187" s="1" t="s">
        <v>72</v>
      </c>
      <c r="Y187" t="s">
        <v>88</v>
      </c>
      <c r="Z187">
        <v>0</v>
      </c>
      <c r="AA187">
        <v>0</v>
      </c>
      <c r="AD187">
        <v>0</v>
      </c>
      <c r="AE187">
        <v>0</v>
      </c>
      <c r="AH187" t="s">
        <v>73</v>
      </c>
      <c r="AI187" t="s">
        <v>318</v>
      </c>
      <c r="AJ187" t="s">
        <v>319</v>
      </c>
      <c r="AK187" t="s">
        <v>76</v>
      </c>
      <c r="AN187" t="s">
        <v>77</v>
      </c>
      <c r="AO187" t="s">
        <v>320</v>
      </c>
      <c r="AP187" t="s">
        <v>608</v>
      </c>
      <c r="AQ187" t="s">
        <v>322</v>
      </c>
      <c r="AS187" t="b">
        <v>1</v>
      </c>
      <c r="AT187" t="s">
        <v>65</v>
      </c>
      <c r="AU187">
        <v>0</v>
      </c>
      <c r="AV187">
        <v>0</v>
      </c>
      <c r="AX187">
        <v>39</v>
      </c>
      <c r="AY187" t="s">
        <v>81</v>
      </c>
      <c r="AZ187" t="s">
        <v>90</v>
      </c>
      <c r="BB187" t="s">
        <v>91</v>
      </c>
      <c r="BC187" t="s">
        <v>92</v>
      </c>
      <c r="BD187" t="b">
        <v>0</v>
      </c>
      <c r="BE187" t="b">
        <v>0</v>
      </c>
      <c r="BF187" t="b">
        <v>0</v>
      </c>
      <c r="BG187" t="b">
        <v>0</v>
      </c>
      <c r="BH187" t="b">
        <v>0</v>
      </c>
      <c r="BI187" t="b">
        <v>0</v>
      </c>
      <c r="BJ187" t="b">
        <v>0</v>
      </c>
      <c r="BK187" t="b">
        <v>0</v>
      </c>
      <c r="BL187" t="b">
        <v>0</v>
      </c>
      <c r="BM187" t="b">
        <v>0</v>
      </c>
      <c r="BN187" t="b">
        <v>0</v>
      </c>
      <c r="BO187" t="b">
        <v>0</v>
      </c>
      <c r="BP187" t="b">
        <v>0</v>
      </c>
      <c r="BR187" t="b">
        <f>IFERROR(IF(M187="PASSED",VLOOKUP(J187,Current!$J$1:$N$500,1,FALSE)),N187)</f>
        <v>0</v>
      </c>
    </row>
    <row r="188" spans="1:70" ht="15" hidden="1" customHeight="1" x14ac:dyDescent="0.25">
      <c r="A188">
        <v>21156</v>
      </c>
      <c r="C188">
        <v>0</v>
      </c>
      <c r="D188" t="s">
        <v>83</v>
      </c>
      <c r="E188" t="s">
        <v>66</v>
      </c>
      <c r="F188" t="s">
        <v>84</v>
      </c>
      <c r="G188">
        <v>0</v>
      </c>
      <c r="H188" t="s">
        <v>85</v>
      </c>
      <c r="I188" t="s">
        <v>86</v>
      </c>
      <c r="J188" t="str">
        <f>MID($N188,FIND("1.",$N188),FIND("-",$N188)-FIND("1.",$N188)-1)</f>
        <v>1.0187</v>
      </c>
      <c r="K188" t="str">
        <f t="shared" si="6"/>
        <v>Ensure Configure enhanced anti-spoofing is set to Enabled</v>
      </c>
      <c r="L188" t="str">
        <f t="shared" si="7"/>
        <v>1.0187 - MSWRK - Ensure Configure enhanced anti-spoofing is set to Enabled</v>
      </c>
      <c r="M188" t="str">
        <f t="shared" si="8"/>
        <v>FAILED</v>
      </c>
      <c r="N188" s="1" t="s">
        <v>725</v>
      </c>
      <c r="O188" t="s">
        <v>67</v>
      </c>
      <c r="R188" t="s">
        <v>68</v>
      </c>
      <c r="T188" t="s">
        <v>69</v>
      </c>
      <c r="U188" t="s">
        <v>70</v>
      </c>
      <c r="W188" t="s">
        <v>71</v>
      </c>
      <c r="X188" s="1" t="s">
        <v>72</v>
      </c>
      <c r="Y188" t="s">
        <v>88</v>
      </c>
      <c r="Z188">
        <v>0</v>
      </c>
      <c r="AA188">
        <v>0</v>
      </c>
      <c r="AD188">
        <v>0</v>
      </c>
      <c r="AE188">
        <v>0</v>
      </c>
      <c r="AH188" t="s">
        <v>73</v>
      </c>
      <c r="AI188" t="s">
        <v>318</v>
      </c>
      <c r="AJ188" t="s">
        <v>319</v>
      </c>
      <c r="AK188" t="s">
        <v>76</v>
      </c>
      <c r="AN188" t="s">
        <v>77</v>
      </c>
      <c r="AO188" t="s">
        <v>320</v>
      </c>
      <c r="AP188" t="s">
        <v>726</v>
      </c>
      <c r="AQ188" t="s">
        <v>322</v>
      </c>
      <c r="AS188" t="b">
        <v>1</v>
      </c>
      <c r="AT188" t="s">
        <v>65</v>
      </c>
      <c r="AU188">
        <v>0</v>
      </c>
      <c r="AV188">
        <v>0</v>
      </c>
      <c r="AX188">
        <v>39</v>
      </c>
      <c r="AY188" t="s">
        <v>81</v>
      </c>
      <c r="AZ188" t="s">
        <v>90</v>
      </c>
      <c r="BB188" t="s">
        <v>91</v>
      </c>
      <c r="BC188" t="s">
        <v>92</v>
      </c>
      <c r="BD188" t="b">
        <v>0</v>
      </c>
      <c r="BE188" t="b">
        <v>0</v>
      </c>
      <c r="BF188" t="b">
        <v>0</v>
      </c>
      <c r="BG188" t="b">
        <v>0</v>
      </c>
      <c r="BH188" t="b">
        <v>0</v>
      </c>
      <c r="BI188" t="b">
        <v>0</v>
      </c>
      <c r="BJ188" t="b">
        <v>0</v>
      </c>
      <c r="BK188" t="b">
        <v>0</v>
      </c>
      <c r="BL188" t="b">
        <v>0</v>
      </c>
      <c r="BM188" t="b">
        <v>0</v>
      </c>
      <c r="BN188" t="b">
        <v>0</v>
      </c>
      <c r="BO188" t="b">
        <v>0</v>
      </c>
      <c r="BP188" t="b">
        <v>0</v>
      </c>
      <c r="BR188" t="b">
        <f>IFERROR(IF(M188="PASSED",VLOOKUP(J188,Current!$J$1:$N$500,1,FALSE)),N188)</f>
        <v>0</v>
      </c>
    </row>
    <row r="189" spans="1:70" ht="15" hidden="1" customHeight="1" x14ac:dyDescent="0.25">
      <c r="A189">
        <v>21156</v>
      </c>
      <c r="C189">
        <v>0</v>
      </c>
      <c r="D189" t="s">
        <v>65</v>
      </c>
      <c r="E189" t="s">
        <v>66</v>
      </c>
      <c r="F189" t="s">
        <v>84</v>
      </c>
      <c r="G189">
        <v>0</v>
      </c>
      <c r="H189" t="s">
        <v>85</v>
      </c>
      <c r="I189" t="s">
        <v>86</v>
      </c>
      <c r="J189" t="str">
        <f>MID($N189,FIND("1.",$N189),FIND("-",$N189)-FIND("1.",$N189)-1)</f>
        <v>1.0188</v>
      </c>
      <c r="K189" t="str">
        <f t="shared" si="6"/>
        <v>Ensure Allow clipboard sharing with Windows Sandbox is set to Disabled</v>
      </c>
      <c r="L189" t="str">
        <f t="shared" si="7"/>
        <v>1.0188 - MSWRK - Ensure Allow clipboard sharing with Windows Sandbox is set to Disabled</v>
      </c>
      <c r="M189" t="str">
        <f t="shared" si="8"/>
        <v>PASSED</v>
      </c>
      <c r="N189" s="1" t="s">
        <v>294</v>
      </c>
      <c r="O189" t="s">
        <v>67</v>
      </c>
      <c r="R189" t="s">
        <v>68</v>
      </c>
      <c r="T189" t="s">
        <v>69</v>
      </c>
      <c r="U189" t="s">
        <v>70</v>
      </c>
      <c r="W189" t="s">
        <v>71</v>
      </c>
      <c r="X189" s="1" t="s">
        <v>72</v>
      </c>
      <c r="Y189" t="s">
        <v>88</v>
      </c>
      <c r="Z189">
        <v>0</v>
      </c>
      <c r="AA189">
        <v>0</v>
      </c>
      <c r="AD189">
        <v>0</v>
      </c>
      <c r="AE189">
        <v>0</v>
      </c>
      <c r="AH189" t="s">
        <v>73</v>
      </c>
      <c r="AI189" t="s">
        <v>318</v>
      </c>
      <c r="AJ189" t="s">
        <v>319</v>
      </c>
      <c r="AK189" t="s">
        <v>76</v>
      </c>
      <c r="AN189" t="s">
        <v>77</v>
      </c>
      <c r="AO189" t="s">
        <v>320</v>
      </c>
      <c r="AP189" t="s">
        <v>584</v>
      </c>
      <c r="AQ189" t="s">
        <v>322</v>
      </c>
      <c r="AS189" t="b">
        <v>1</v>
      </c>
      <c r="AT189" t="s">
        <v>65</v>
      </c>
      <c r="AU189">
        <v>0</v>
      </c>
      <c r="AV189">
        <v>0</v>
      </c>
      <c r="AX189">
        <v>39</v>
      </c>
      <c r="AY189" t="s">
        <v>81</v>
      </c>
      <c r="AZ189" t="s">
        <v>90</v>
      </c>
      <c r="BB189" t="s">
        <v>91</v>
      </c>
      <c r="BC189" t="s">
        <v>92</v>
      </c>
      <c r="BD189" t="b">
        <v>0</v>
      </c>
      <c r="BE189" t="b">
        <v>0</v>
      </c>
      <c r="BF189" t="b">
        <v>0</v>
      </c>
      <c r="BG189" t="b">
        <v>0</v>
      </c>
      <c r="BH189" t="b">
        <v>0</v>
      </c>
      <c r="BI189" t="b">
        <v>0</v>
      </c>
      <c r="BJ189" t="b">
        <v>0</v>
      </c>
      <c r="BK189" t="b">
        <v>0</v>
      </c>
      <c r="BL189" t="b">
        <v>0</v>
      </c>
      <c r="BM189" t="b">
        <v>0</v>
      </c>
      <c r="BN189" t="b">
        <v>0</v>
      </c>
      <c r="BO189" t="b">
        <v>0</v>
      </c>
      <c r="BP189" t="b">
        <v>0</v>
      </c>
      <c r="BR189" t="str">
        <f>IFERROR(IF(M189="PASSED",VLOOKUP(J189,Current!$J$1:$N$500,1,FALSE)),N189)</f>
        <v>1.0188</v>
      </c>
    </row>
    <row r="190" spans="1:70" ht="15" hidden="1" customHeight="1" x14ac:dyDescent="0.25">
      <c r="A190">
        <v>21156</v>
      </c>
      <c r="C190">
        <v>0</v>
      </c>
      <c r="D190" t="s">
        <v>65</v>
      </c>
      <c r="E190" t="s">
        <v>66</v>
      </c>
      <c r="F190" t="s">
        <v>84</v>
      </c>
      <c r="G190">
        <v>0</v>
      </c>
      <c r="H190" t="s">
        <v>85</v>
      </c>
      <c r="I190" t="s">
        <v>86</v>
      </c>
      <c r="J190" t="str">
        <f>MID($N190,FIND("1.",$N190),FIND("-",$N190)-FIND("1.",$N190)-1)</f>
        <v>1.0189</v>
      </c>
      <c r="K190" t="str">
        <f t="shared" si="6"/>
        <v>Ensure Allow networking in Windows Sandbox is set to Disabled</v>
      </c>
      <c r="L190" t="str">
        <f t="shared" si="7"/>
        <v>1.0189 - MSWRK - Ensure Allow networking in Windows Sandbox is set to Disabled</v>
      </c>
      <c r="M190" t="str">
        <f t="shared" si="8"/>
        <v>PASSED</v>
      </c>
      <c r="N190" s="1" t="s">
        <v>276</v>
      </c>
      <c r="O190" t="s">
        <v>67</v>
      </c>
      <c r="R190" t="s">
        <v>68</v>
      </c>
      <c r="T190" t="s">
        <v>69</v>
      </c>
      <c r="U190" t="s">
        <v>70</v>
      </c>
      <c r="W190" t="s">
        <v>71</v>
      </c>
      <c r="X190" s="1" t="s">
        <v>72</v>
      </c>
      <c r="Y190" t="s">
        <v>88</v>
      </c>
      <c r="Z190">
        <v>0</v>
      </c>
      <c r="AA190">
        <v>0</v>
      </c>
      <c r="AD190">
        <v>0</v>
      </c>
      <c r="AE190">
        <v>0</v>
      </c>
      <c r="AH190" t="s">
        <v>73</v>
      </c>
      <c r="AI190" t="s">
        <v>318</v>
      </c>
      <c r="AJ190" t="s">
        <v>319</v>
      </c>
      <c r="AK190" t="s">
        <v>76</v>
      </c>
      <c r="AN190" t="s">
        <v>77</v>
      </c>
      <c r="AO190" t="s">
        <v>320</v>
      </c>
      <c r="AP190" t="s">
        <v>442</v>
      </c>
      <c r="AQ190" t="s">
        <v>322</v>
      </c>
      <c r="AS190" t="b">
        <v>1</v>
      </c>
      <c r="AT190" t="s">
        <v>65</v>
      </c>
      <c r="AU190">
        <v>0</v>
      </c>
      <c r="AV190">
        <v>0</v>
      </c>
      <c r="AX190">
        <v>39</v>
      </c>
      <c r="AY190" t="s">
        <v>81</v>
      </c>
      <c r="AZ190" t="s">
        <v>90</v>
      </c>
      <c r="BB190" t="s">
        <v>91</v>
      </c>
      <c r="BC190" t="s">
        <v>92</v>
      </c>
      <c r="BD190" t="b">
        <v>0</v>
      </c>
      <c r="BE190" t="b">
        <v>0</v>
      </c>
      <c r="BF190" t="b">
        <v>0</v>
      </c>
      <c r="BG190" t="b">
        <v>0</v>
      </c>
      <c r="BH190" t="b">
        <v>0</v>
      </c>
      <c r="BI190" t="b">
        <v>0</v>
      </c>
      <c r="BJ190" t="b">
        <v>0</v>
      </c>
      <c r="BK190" t="b">
        <v>0</v>
      </c>
      <c r="BL190" t="b">
        <v>0</v>
      </c>
      <c r="BM190" t="b">
        <v>0</v>
      </c>
      <c r="BN190" t="b">
        <v>0</v>
      </c>
      <c r="BO190" t="b">
        <v>0</v>
      </c>
      <c r="BP190" t="b">
        <v>0</v>
      </c>
      <c r="BR190" t="str">
        <f>IFERROR(IF(M190="PASSED",VLOOKUP(J190,Current!$J$1:$N$500,1,FALSE)),N190)</f>
        <v>1.0189</v>
      </c>
    </row>
    <row r="191" spans="1:70" ht="15" hidden="1" customHeight="1" x14ac:dyDescent="0.25">
      <c r="A191">
        <v>21156</v>
      </c>
      <c r="C191">
        <v>0</v>
      </c>
      <c r="D191" t="s">
        <v>83</v>
      </c>
      <c r="E191" t="s">
        <v>66</v>
      </c>
      <c r="F191" t="s">
        <v>84</v>
      </c>
      <c r="G191">
        <v>0</v>
      </c>
      <c r="H191" t="s">
        <v>85</v>
      </c>
      <c r="I191" t="s">
        <v>86</v>
      </c>
      <c r="J191" t="str">
        <f>MID($N191,FIND("1.",$N191),FIND("-",$N191)-FIND("1.",$N191)-1)</f>
        <v>1.0190</v>
      </c>
      <c r="K191" t="str">
        <f t="shared" si="6"/>
        <v>Ensure Prevent users from modifying settings is set to Enabled</v>
      </c>
      <c r="L191" t="str">
        <f t="shared" si="7"/>
        <v>1.0190 - MSWRK - Ensure Prevent users from modifying settings is set to Enabled</v>
      </c>
      <c r="M191" t="str">
        <f t="shared" si="8"/>
        <v>FAILED</v>
      </c>
      <c r="N191" s="1" t="s">
        <v>501</v>
      </c>
      <c r="O191" t="s">
        <v>67</v>
      </c>
      <c r="R191" t="s">
        <v>68</v>
      </c>
      <c r="T191" t="s">
        <v>69</v>
      </c>
      <c r="U191" t="s">
        <v>70</v>
      </c>
      <c r="W191" t="s">
        <v>71</v>
      </c>
      <c r="X191" s="1" t="s">
        <v>72</v>
      </c>
      <c r="Y191" t="s">
        <v>88</v>
      </c>
      <c r="Z191">
        <v>0</v>
      </c>
      <c r="AA191">
        <v>0</v>
      </c>
      <c r="AD191">
        <v>0</v>
      </c>
      <c r="AE191">
        <v>0</v>
      </c>
      <c r="AH191" t="s">
        <v>73</v>
      </c>
      <c r="AI191" t="s">
        <v>318</v>
      </c>
      <c r="AJ191" t="s">
        <v>319</v>
      </c>
      <c r="AK191" t="s">
        <v>76</v>
      </c>
      <c r="AN191" t="s">
        <v>77</v>
      </c>
      <c r="AO191" t="s">
        <v>320</v>
      </c>
      <c r="AP191" t="s">
        <v>499</v>
      </c>
      <c r="AQ191" t="s">
        <v>322</v>
      </c>
      <c r="AS191" t="b">
        <v>1</v>
      </c>
      <c r="AT191" t="s">
        <v>65</v>
      </c>
      <c r="AU191">
        <v>0</v>
      </c>
      <c r="AV191">
        <v>0</v>
      </c>
      <c r="AX191">
        <v>39</v>
      </c>
      <c r="AY191" t="s">
        <v>81</v>
      </c>
      <c r="AZ191" t="s">
        <v>90</v>
      </c>
      <c r="BB191" t="s">
        <v>91</v>
      </c>
      <c r="BC191" t="s">
        <v>92</v>
      </c>
      <c r="BD191" t="b">
        <v>0</v>
      </c>
      <c r="BE191" t="b">
        <v>0</v>
      </c>
      <c r="BF191" t="b">
        <v>0</v>
      </c>
      <c r="BG191" t="b">
        <v>0</v>
      </c>
      <c r="BH191" t="b">
        <v>0</v>
      </c>
      <c r="BI191" t="b">
        <v>0</v>
      </c>
      <c r="BJ191" t="b">
        <v>0</v>
      </c>
      <c r="BK191" t="b">
        <v>0</v>
      </c>
      <c r="BL191" t="b">
        <v>0</v>
      </c>
      <c r="BM191" t="b">
        <v>0</v>
      </c>
      <c r="BN191" t="b">
        <v>0</v>
      </c>
      <c r="BO191" t="b">
        <v>0</v>
      </c>
      <c r="BP191" t="b">
        <v>0</v>
      </c>
      <c r="BR191" t="b">
        <f>IFERROR(IF(M191="PASSED",VLOOKUP(J191,Current!$J$1:$N$500,1,FALSE)),N191)</f>
        <v>0</v>
      </c>
    </row>
    <row r="192" spans="1:70" ht="15" customHeight="1" x14ac:dyDescent="0.25">
      <c r="A192">
        <v>21156</v>
      </c>
      <c r="C192">
        <v>0</v>
      </c>
      <c r="D192" t="s">
        <v>65</v>
      </c>
      <c r="E192" t="s">
        <v>66</v>
      </c>
      <c r="F192" t="s">
        <v>84</v>
      </c>
      <c r="G192">
        <v>0</v>
      </c>
      <c r="H192" t="s">
        <v>85</v>
      </c>
      <c r="I192" t="s">
        <v>86</v>
      </c>
      <c r="J192" t="str">
        <f>MID($N192,FIND("1.",$N192),FIND("-",$N192)-FIND("1.",$N192)-1)</f>
        <v>1.0191</v>
      </c>
      <c r="K192" t="str">
        <f t="shared" si="6"/>
        <v>Ensure No auto-restart with logged on users for scheduled automatic updates installations is set to Disabled</v>
      </c>
      <c r="L192" t="str">
        <f t="shared" si="7"/>
        <v>1.0191 - MSWRK - Ensure No auto-restart with logged on users for scheduled automatic updates installations is set to Disabled</v>
      </c>
      <c r="M192" t="str">
        <f t="shared" si="8"/>
        <v>PASSED</v>
      </c>
      <c r="N192" s="1" t="s">
        <v>333</v>
      </c>
      <c r="O192" t="s">
        <v>67</v>
      </c>
      <c r="R192" t="s">
        <v>68</v>
      </c>
      <c r="T192" t="s">
        <v>69</v>
      </c>
      <c r="U192" t="s">
        <v>70</v>
      </c>
      <c r="W192" t="s">
        <v>71</v>
      </c>
      <c r="X192" s="1" t="s">
        <v>72</v>
      </c>
      <c r="Y192" t="s">
        <v>88</v>
      </c>
      <c r="Z192">
        <v>0</v>
      </c>
      <c r="AA192">
        <v>0</v>
      </c>
      <c r="AD192">
        <v>0</v>
      </c>
      <c r="AE192">
        <v>0</v>
      </c>
      <c r="AH192" t="s">
        <v>73</v>
      </c>
      <c r="AI192" t="s">
        <v>318</v>
      </c>
      <c r="AJ192" t="s">
        <v>319</v>
      </c>
      <c r="AK192" t="s">
        <v>76</v>
      </c>
      <c r="AN192" t="s">
        <v>77</v>
      </c>
      <c r="AO192" t="s">
        <v>320</v>
      </c>
      <c r="AP192" t="s">
        <v>332</v>
      </c>
      <c r="AQ192" t="s">
        <v>322</v>
      </c>
      <c r="AS192" t="b">
        <v>1</v>
      </c>
      <c r="AT192" t="s">
        <v>65</v>
      </c>
      <c r="AU192">
        <v>0</v>
      </c>
      <c r="AV192">
        <v>0</v>
      </c>
      <c r="AX192">
        <v>39</v>
      </c>
      <c r="AY192" t="s">
        <v>81</v>
      </c>
      <c r="AZ192" t="s">
        <v>90</v>
      </c>
      <c r="BB192" t="s">
        <v>91</v>
      </c>
      <c r="BC192" t="s">
        <v>92</v>
      </c>
      <c r="BD192" t="b">
        <v>0</v>
      </c>
      <c r="BE192" t="b">
        <v>0</v>
      </c>
      <c r="BF192" t="b">
        <v>0</v>
      </c>
      <c r="BG192" t="b">
        <v>0</v>
      </c>
      <c r="BH192" t="b">
        <v>0</v>
      </c>
      <c r="BI192" t="b">
        <v>0</v>
      </c>
      <c r="BJ192" t="b">
        <v>0</v>
      </c>
      <c r="BK192" t="b">
        <v>0</v>
      </c>
      <c r="BL192" t="b">
        <v>0</v>
      </c>
      <c r="BM192" t="b">
        <v>0</v>
      </c>
      <c r="BN192" t="b">
        <v>0</v>
      </c>
      <c r="BO192" t="b">
        <v>0</v>
      </c>
      <c r="BP192" t="b">
        <v>0</v>
      </c>
      <c r="BR192" t="str">
        <f>IFERROR(IF(M192="PASSED",VLOOKUP(J192,Current!$J$1:$N$500,1,FALSE)),N192)</f>
        <v>"1.0191 - MSWRK - Ensure No auto-restart with logged on users for scheduled automatic updates installations is set to Disabled: [PASSED]"
This policy setting specifies that Automatic Updates will wait for computers to be restarted by the users who are logged on to them to complete a scheduled installation.
See Also:
See HTH Policies and Standards
Reference:
NIST 800-53r5|RA-5 RA-7 SI-2 SI-2(2)
Policy Value:
'0'
Actual Value:
'0'</v>
      </c>
    </row>
    <row r="193" spans="1:70" ht="15" hidden="1" customHeight="1" x14ac:dyDescent="0.25">
      <c r="A193">
        <v>21156</v>
      </c>
      <c r="C193">
        <v>0</v>
      </c>
      <c r="D193" t="s">
        <v>83</v>
      </c>
      <c r="E193" t="s">
        <v>66</v>
      </c>
      <c r="F193" t="s">
        <v>84</v>
      </c>
      <c r="G193">
        <v>0</v>
      </c>
      <c r="H193" t="s">
        <v>85</v>
      </c>
      <c r="I193" t="s">
        <v>86</v>
      </c>
      <c r="J193" t="str">
        <f>MID($N193,FIND("1.",$N193),FIND("-",$N193)-FIND("1.",$N193)-1)</f>
        <v>1.0192</v>
      </c>
      <c r="K193" t="str">
        <f t="shared" si="6"/>
        <v>Ensure Configure Automatic Updates is set to Enabled</v>
      </c>
      <c r="L193" t="str">
        <f t="shared" si="7"/>
        <v>1.0192 - MSWRK - Ensure Configure Automatic Updates is set to Enabled</v>
      </c>
      <c r="M193" t="str">
        <f t="shared" si="8"/>
        <v>FAILED</v>
      </c>
      <c r="N193" s="1" t="s">
        <v>153</v>
      </c>
      <c r="O193" t="s">
        <v>67</v>
      </c>
      <c r="R193" t="s">
        <v>68</v>
      </c>
      <c r="T193" t="s">
        <v>69</v>
      </c>
      <c r="U193" t="s">
        <v>70</v>
      </c>
      <c r="W193" t="s">
        <v>71</v>
      </c>
      <c r="X193" s="1" t="s">
        <v>72</v>
      </c>
      <c r="Y193" t="s">
        <v>88</v>
      </c>
      <c r="Z193">
        <v>0</v>
      </c>
      <c r="AA193">
        <v>0</v>
      </c>
      <c r="AD193">
        <v>0</v>
      </c>
      <c r="AE193">
        <v>0</v>
      </c>
      <c r="AH193" t="s">
        <v>73</v>
      </c>
      <c r="AI193" t="s">
        <v>318</v>
      </c>
      <c r="AJ193" t="s">
        <v>319</v>
      </c>
      <c r="AK193" t="s">
        <v>76</v>
      </c>
      <c r="AN193" t="s">
        <v>77</v>
      </c>
      <c r="AO193" t="s">
        <v>320</v>
      </c>
      <c r="AP193" t="s">
        <v>624</v>
      </c>
      <c r="AQ193" t="s">
        <v>322</v>
      </c>
      <c r="AS193" t="b">
        <v>1</v>
      </c>
      <c r="AT193" t="s">
        <v>65</v>
      </c>
      <c r="AU193">
        <v>0</v>
      </c>
      <c r="AV193">
        <v>0</v>
      </c>
      <c r="AX193">
        <v>39</v>
      </c>
      <c r="AY193" t="s">
        <v>81</v>
      </c>
      <c r="AZ193" t="s">
        <v>90</v>
      </c>
      <c r="BB193" t="s">
        <v>91</v>
      </c>
      <c r="BC193" t="s">
        <v>92</v>
      </c>
      <c r="BD193" t="b">
        <v>0</v>
      </c>
      <c r="BE193" t="b">
        <v>0</v>
      </c>
      <c r="BF193" t="b">
        <v>0</v>
      </c>
      <c r="BG193" t="b">
        <v>0</v>
      </c>
      <c r="BH193" t="b">
        <v>0</v>
      </c>
      <c r="BI193" t="b">
        <v>0</v>
      </c>
      <c r="BJ193" t="b">
        <v>0</v>
      </c>
      <c r="BK193" t="b">
        <v>0</v>
      </c>
      <c r="BL193" t="b">
        <v>0</v>
      </c>
      <c r="BM193" t="b">
        <v>0</v>
      </c>
      <c r="BN193" t="b">
        <v>0</v>
      </c>
      <c r="BO193" t="b">
        <v>0</v>
      </c>
      <c r="BP193" t="b">
        <v>0</v>
      </c>
      <c r="BR193" t="b">
        <f>IFERROR(IF(M193="PASSED",VLOOKUP(J193,Current!$J$1:$N$500,1,FALSE)),N193)</f>
        <v>0</v>
      </c>
    </row>
    <row r="194" spans="1:70" ht="15" customHeight="1" x14ac:dyDescent="0.25">
      <c r="A194">
        <v>21156</v>
      </c>
      <c r="C194">
        <v>0</v>
      </c>
      <c r="D194" t="s">
        <v>65</v>
      </c>
      <c r="E194" t="s">
        <v>66</v>
      </c>
      <c r="F194" t="s">
        <v>84</v>
      </c>
      <c r="G194">
        <v>0</v>
      </c>
      <c r="H194" t="s">
        <v>85</v>
      </c>
      <c r="I194" t="s">
        <v>86</v>
      </c>
      <c r="J194" t="str">
        <f>MID($N194,FIND("1.",$N194),FIND("-",$N194)-FIND("1.",$N194)-1)</f>
        <v>1.0193</v>
      </c>
      <c r="K194" t="str">
        <f t="shared" si="6"/>
        <v>Ensure Configure Automatic Updates</v>
      </c>
      <c r="L194" t="str">
        <f t="shared" si="7"/>
        <v>1.0193 - MSWRK - Ensure Configure Automatic Updates: Scheduled install day is set to 0 - Every day</v>
      </c>
      <c r="M194" t="str">
        <f t="shared" si="8"/>
        <v>PASSED</v>
      </c>
      <c r="N194" s="1" t="s">
        <v>496</v>
      </c>
      <c r="O194" t="s">
        <v>67</v>
      </c>
      <c r="R194" t="s">
        <v>68</v>
      </c>
      <c r="T194" t="s">
        <v>69</v>
      </c>
      <c r="U194" t="s">
        <v>70</v>
      </c>
      <c r="W194" t="s">
        <v>71</v>
      </c>
      <c r="X194" s="1" t="s">
        <v>72</v>
      </c>
      <c r="Y194" t="s">
        <v>88</v>
      </c>
      <c r="Z194">
        <v>0</v>
      </c>
      <c r="AA194">
        <v>0</v>
      </c>
      <c r="AD194">
        <v>0</v>
      </c>
      <c r="AE194">
        <v>0</v>
      </c>
      <c r="AH194" t="s">
        <v>73</v>
      </c>
      <c r="AI194" t="s">
        <v>318</v>
      </c>
      <c r="AJ194" t="s">
        <v>319</v>
      </c>
      <c r="AK194" t="s">
        <v>76</v>
      </c>
      <c r="AN194" t="s">
        <v>77</v>
      </c>
      <c r="AO194" t="s">
        <v>320</v>
      </c>
      <c r="AP194" t="s">
        <v>495</v>
      </c>
      <c r="AQ194" t="s">
        <v>322</v>
      </c>
      <c r="AS194" t="b">
        <v>1</v>
      </c>
      <c r="AT194" t="s">
        <v>65</v>
      </c>
      <c r="AU194">
        <v>0</v>
      </c>
      <c r="AV194">
        <v>0</v>
      </c>
      <c r="AX194">
        <v>39</v>
      </c>
      <c r="AY194" t="s">
        <v>81</v>
      </c>
      <c r="AZ194" t="s">
        <v>90</v>
      </c>
      <c r="BB194" t="s">
        <v>91</v>
      </c>
      <c r="BC194" t="s">
        <v>92</v>
      </c>
      <c r="BD194" t="b">
        <v>0</v>
      </c>
      <c r="BE194" t="b">
        <v>0</v>
      </c>
      <c r="BF194" t="b">
        <v>0</v>
      </c>
      <c r="BG194" t="b">
        <v>0</v>
      </c>
      <c r="BH194" t="b">
        <v>0</v>
      </c>
      <c r="BI194" t="b">
        <v>0</v>
      </c>
      <c r="BJ194" t="b">
        <v>0</v>
      </c>
      <c r="BK194" t="b">
        <v>0</v>
      </c>
      <c r="BL194" t="b">
        <v>0</v>
      </c>
      <c r="BM194" t="b">
        <v>0</v>
      </c>
      <c r="BN194" t="b">
        <v>0</v>
      </c>
      <c r="BO194" t="b">
        <v>0</v>
      </c>
      <c r="BP194" t="b">
        <v>0</v>
      </c>
      <c r="BR194" t="str">
        <f>IFERROR(IF(M194="PASSED",VLOOKUP(J194,Current!$J$1:$N$500,1,FALSE)),N194)</f>
        <v>"1.0193 - MSWRK - Ensure Configure Automatic Updates: Scheduled install day is set to 0 - Every day: [PASSED]"
This policy setting specifies when computers in your environment will receive security updates from Windows Update or WSUS.
See Also:
See HTH Policies and Standards
Reference:
NIST 800-53r5|RA-5 RA-7 SI-2 SI-2(2)
Policy Value:
'0'
Actual Value:
'0'</v>
      </c>
    </row>
    <row r="195" spans="1:70" ht="15" customHeight="1" x14ac:dyDescent="0.25">
      <c r="A195">
        <v>21156</v>
      </c>
      <c r="C195">
        <v>0</v>
      </c>
      <c r="D195" t="s">
        <v>65</v>
      </c>
      <c r="E195" t="s">
        <v>66</v>
      </c>
      <c r="F195" t="s">
        <v>84</v>
      </c>
      <c r="G195">
        <v>0</v>
      </c>
      <c r="H195" t="s">
        <v>85</v>
      </c>
      <c r="I195" t="s">
        <v>86</v>
      </c>
      <c r="J195" t="str">
        <f>MID($N195,FIND("1.",$N195),FIND("-",$N195)-FIND("1.",$N195)-1)</f>
        <v>1.0194</v>
      </c>
      <c r="K195" t="str">
        <f t="shared" ref="K195:K258" si="9">MID($N195,FIND("MSWRK - ",$N195)+8,FIND(":",$N195,40)-FIND("MSWRK - ",$N195)-8)</f>
        <v>Ensure Enable features introduced via servicing that are off by default is set to Disabled</v>
      </c>
      <c r="L195" t="str">
        <f t="shared" ref="L195:L258" si="10">MID($N195,FIND("1.",$N195),FIND("[",$N195)-1-FIND("1.",$N195)-1)</f>
        <v>1.0194 - MSWRK - Ensure Enable features introduced via servicing that are off by default is set to Disabled</v>
      </c>
      <c r="M195" t="str">
        <f t="shared" ref="M195:M258" si="11">MID($N195,FIND("[",$N195)+1,FIND("]",$N195)-FIND("[",$N195)-1)</f>
        <v>PASSED</v>
      </c>
      <c r="N195" s="1" t="s">
        <v>528</v>
      </c>
      <c r="O195" t="s">
        <v>67</v>
      </c>
      <c r="R195" t="s">
        <v>68</v>
      </c>
      <c r="T195" t="s">
        <v>69</v>
      </c>
      <c r="U195" t="s">
        <v>70</v>
      </c>
      <c r="W195" t="s">
        <v>71</v>
      </c>
      <c r="X195" s="1" t="s">
        <v>72</v>
      </c>
      <c r="Y195" t="s">
        <v>88</v>
      </c>
      <c r="Z195">
        <v>0</v>
      </c>
      <c r="AA195">
        <v>0</v>
      </c>
      <c r="AD195">
        <v>0</v>
      </c>
      <c r="AE195">
        <v>0</v>
      </c>
      <c r="AH195" t="s">
        <v>73</v>
      </c>
      <c r="AI195" t="s">
        <v>318</v>
      </c>
      <c r="AJ195" t="s">
        <v>319</v>
      </c>
      <c r="AK195" t="s">
        <v>76</v>
      </c>
      <c r="AN195" t="s">
        <v>77</v>
      </c>
      <c r="AO195" t="s">
        <v>320</v>
      </c>
      <c r="AP195" t="s">
        <v>529</v>
      </c>
      <c r="AQ195" t="s">
        <v>322</v>
      </c>
      <c r="AS195" t="b">
        <v>1</v>
      </c>
      <c r="AT195" t="s">
        <v>65</v>
      </c>
      <c r="AU195">
        <v>0</v>
      </c>
      <c r="AV195">
        <v>0</v>
      </c>
      <c r="AX195">
        <v>39</v>
      </c>
      <c r="AY195" t="s">
        <v>81</v>
      </c>
      <c r="AZ195" t="s">
        <v>90</v>
      </c>
      <c r="BB195" t="s">
        <v>91</v>
      </c>
      <c r="BC195" t="s">
        <v>92</v>
      </c>
      <c r="BD195" t="b">
        <v>0</v>
      </c>
      <c r="BE195" t="b">
        <v>0</v>
      </c>
      <c r="BF195" t="b">
        <v>0</v>
      </c>
      <c r="BG195" t="b">
        <v>0</v>
      </c>
      <c r="BH195" t="b">
        <v>0</v>
      </c>
      <c r="BI195" t="b">
        <v>0</v>
      </c>
      <c r="BJ195" t="b">
        <v>0</v>
      </c>
      <c r="BK195" t="b">
        <v>0</v>
      </c>
      <c r="BL195" t="b">
        <v>0</v>
      </c>
      <c r="BM195" t="b">
        <v>0</v>
      </c>
      <c r="BN195" t="b">
        <v>0</v>
      </c>
      <c r="BO195" t="b">
        <v>0</v>
      </c>
      <c r="BP195" t="b">
        <v>0</v>
      </c>
      <c r="BR195" t="str">
        <f>IFERROR(IF(M195="PASSED",VLOOKUP(J195,Current!$J$1:$N$500,1,FALSE)),N195)</f>
        <v>"1.0194 - MSWRK - Ensure Enable features introduced via servicing that are off by default is set to Disabled: [PASSED]"
This policy settings configures whether or not features and enhancements that are introduced through monthly cumulative updates (servicing), are enabled on the system.
See Also:
See HTH Policies and Standards
Reference:
NIST 800-53r5|RA-5 RA-7 SI-2 SI-2(2)
Policy Value:
'0'
Actual Value:
'0'</v>
      </c>
    </row>
    <row r="196" spans="1:70" ht="15" hidden="1" customHeight="1" x14ac:dyDescent="0.25">
      <c r="A196">
        <v>21156</v>
      </c>
      <c r="C196">
        <v>0</v>
      </c>
      <c r="D196" t="s">
        <v>83</v>
      </c>
      <c r="E196" t="s">
        <v>66</v>
      </c>
      <c r="F196" t="s">
        <v>84</v>
      </c>
      <c r="G196">
        <v>0</v>
      </c>
      <c r="H196" t="s">
        <v>85</v>
      </c>
      <c r="I196" t="s">
        <v>86</v>
      </c>
      <c r="J196" t="str">
        <f>MID($N196,FIND("1.",$N196),FIND("-",$N196)-FIND("1.",$N196)-1)</f>
        <v>1.0195</v>
      </c>
      <c r="K196" t="str">
        <f t="shared" si="9"/>
        <v>18.10.94.2.4 Ensure \Remove access to \Pause updates\ feature\ is set to \Enabled\</v>
      </c>
      <c r="L196" t="str">
        <f t="shared" si="10"/>
        <v>1.0195 - MSWRK - 18.10.94.2.4 Ensure \Remove access to \Pause updates\ feature\ is set to \Enabled\</v>
      </c>
      <c r="M196" t="str">
        <f t="shared" si="11"/>
        <v>FAILED</v>
      </c>
      <c r="N196" s="1" t="s">
        <v>720</v>
      </c>
      <c r="O196" t="s">
        <v>67</v>
      </c>
      <c r="R196" t="s">
        <v>68</v>
      </c>
      <c r="T196" t="s">
        <v>69</v>
      </c>
      <c r="U196" t="s">
        <v>70</v>
      </c>
      <c r="W196" t="s">
        <v>71</v>
      </c>
      <c r="X196" s="1" t="s">
        <v>72</v>
      </c>
      <c r="Y196" t="s">
        <v>88</v>
      </c>
      <c r="Z196">
        <v>0</v>
      </c>
      <c r="AA196">
        <v>0</v>
      </c>
      <c r="AD196">
        <v>0</v>
      </c>
      <c r="AE196">
        <v>0</v>
      </c>
      <c r="AH196" t="s">
        <v>73</v>
      </c>
      <c r="AI196" t="s">
        <v>318</v>
      </c>
      <c r="AJ196" t="s">
        <v>319</v>
      </c>
      <c r="AK196" t="s">
        <v>76</v>
      </c>
      <c r="AN196" t="s">
        <v>77</v>
      </c>
      <c r="AO196" t="s">
        <v>320</v>
      </c>
      <c r="AP196" t="s">
        <v>719</v>
      </c>
      <c r="AQ196" t="s">
        <v>322</v>
      </c>
      <c r="AS196" t="b">
        <v>1</v>
      </c>
      <c r="AT196" t="s">
        <v>65</v>
      </c>
      <c r="AU196">
        <v>0</v>
      </c>
      <c r="AV196">
        <v>0</v>
      </c>
      <c r="AX196">
        <v>39</v>
      </c>
      <c r="AY196" t="s">
        <v>81</v>
      </c>
      <c r="AZ196" t="s">
        <v>90</v>
      </c>
      <c r="BB196" t="s">
        <v>91</v>
      </c>
      <c r="BC196" t="s">
        <v>92</v>
      </c>
      <c r="BD196" t="b">
        <v>0</v>
      </c>
      <c r="BE196" t="b">
        <v>0</v>
      </c>
      <c r="BF196" t="b">
        <v>0</v>
      </c>
      <c r="BG196" t="b">
        <v>0</v>
      </c>
      <c r="BH196" t="b">
        <v>0</v>
      </c>
      <c r="BI196" t="b">
        <v>0</v>
      </c>
      <c r="BJ196" t="b">
        <v>0</v>
      </c>
      <c r="BK196" t="b">
        <v>0</v>
      </c>
      <c r="BL196" t="b">
        <v>0</v>
      </c>
      <c r="BM196" t="b">
        <v>0</v>
      </c>
      <c r="BN196" t="b">
        <v>0</v>
      </c>
      <c r="BO196" t="b">
        <v>0</v>
      </c>
      <c r="BP196" t="b">
        <v>0</v>
      </c>
      <c r="BR196" t="b">
        <f>IFERROR(IF(M196="PASSED",VLOOKUP(J196,Current!$J$1:$N$500,1,FALSE)),N196)</f>
        <v>0</v>
      </c>
    </row>
    <row r="197" spans="1:70" ht="15" hidden="1" customHeight="1" x14ac:dyDescent="0.25">
      <c r="A197">
        <v>21156</v>
      </c>
      <c r="C197">
        <v>0</v>
      </c>
      <c r="D197" t="s">
        <v>83</v>
      </c>
      <c r="E197" t="s">
        <v>66</v>
      </c>
      <c r="F197" t="s">
        <v>84</v>
      </c>
      <c r="G197">
        <v>0</v>
      </c>
      <c r="H197" t="s">
        <v>85</v>
      </c>
      <c r="I197" t="s">
        <v>86</v>
      </c>
      <c r="J197" t="str">
        <f>MID($N197,FIND("1.",$N197),FIND("-",$N197)-FIND("1.",$N197)-1)</f>
        <v>1.0196</v>
      </c>
      <c r="K197" t="str">
        <f t="shared" si="9"/>
        <v>Ensure Manage preview builds is set to Disabled</v>
      </c>
      <c r="L197" t="str">
        <f t="shared" si="10"/>
        <v>1.0196 - MSWRK - Ensure Manage preview builds is set to Disabled</v>
      </c>
      <c r="M197" t="str">
        <f t="shared" si="11"/>
        <v>FAILED</v>
      </c>
      <c r="N197" s="1" t="s">
        <v>621</v>
      </c>
      <c r="O197" t="s">
        <v>67</v>
      </c>
      <c r="R197" t="s">
        <v>68</v>
      </c>
      <c r="T197" t="s">
        <v>69</v>
      </c>
      <c r="U197" t="s">
        <v>70</v>
      </c>
      <c r="W197" t="s">
        <v>71</v>
      </c>
      <c r="X197" s="1" t="s">
        <v>72</v>
      </c>
      <c r="Y197" t="s">
        <v>88</v>
      </c>
      <c r="Z197">
        <v>0</v>
      </c>
      <c r="AA197">
        <v>0</v>
      </c>
      <c r="AD197">
        <v>0</v>
      </c>
      <c r="AE197">
        <v>0</v>
      </c>
      <c r="AH197" t="s">
        <v>73</v>
      </c>
      <c r="AI197" t="s">
        <v>318</v>
      </c>
      <c r="AJ197" t="s">
        <v>319</v>
      </c>
      <c r="AK197" t="s">
        <v>76</v>
      </c>
      <c r="AN197" t="s">
        <v>77</v>
      </c>
      <c r="AO197" t="s">
        <v>320</v>
      </c>
      <c r="AP197" t="s">
        <v>619</v>
      </c>
      <c r="AQ197" t="s">
        <v>322</v>
      </c>
      <c r="AS197" t="b">
        <v>1</v>
      </c>
      <c r="AT197" t="s">
        <v>65</v>
      </c>
      <c r="AU197">
        <v>0</v>
      </c>
      <c r="AV197">
        <v>0</v>
      </c>
      <c r="AX197">
        <v>39</v>
      </c>
      <c r="AY197" t="s">
        <v>81</v>
      </c>
      <c r="AZ197" t="s">
        <v>90</v>
      </c>
      <c r="BB197" t="s">
        <v>91</v>
      </c>
      <c r="BC197" t="s">
        <v>92</v>
      </c>
      <c r="BD197" t="b">
        <v>0</v>
      </c>
      <c r="BE197" t="b">
        <v>0</v>
      </c>
      <c r="BF197" t="b">
        <v>0</v>
      </c>
      <c r="BG197" t="b">
        <v>0</v>
      </c>
      <c r="BH197" t="b">
        <v>0</v>
      </c>
      <c r="BI197" t="b">
        <v>0</v>
      </c>
      <c r="BJ197" t="b">
        <v>0</v>
      </c>
      <c r="BK197" t="b">
        <v>0</v>
      </c>
      <c r="BL197" t="b">
        <v>0</v>
      </c>
      <c r="BM197" t="b">
        <v>0</v>
      </c>
      <c r="BN197" t="b">
        <v>0</v>
      </c>
      <c r="BO197" t="b">
        <v>0</v>
      </c>
      <c r="BP197" t="b">
        <v>0</v>
      </c>
      <c r="BR197" t="b">
        <f>IFERROR(IF(M197="PASSED",VLOOKUP(J197,Current!$J$1:$N$500,1,FALSE)),N197)</f>
        <v>0</v>
      </c>
    </row>
    <row r="198" spans="1:70" ht="15" customHeight="1" x14ac:dyDescent="0.25">
      <c r="A198">
        <v>21156</v>
      </c>
      <c r="C198">
        <v>0</v>
      </c>
      <c r="D198" t="s">
        <v>65</v>
      </c>
      <c r="E198" t="s">
        <v>66</v>
      </c>
      <c r="F198" t="s">
        <v>84</v>
      </c>
      <c r="G198">
        <v>0</v>
      </c>
      <c r="H198" t="s">
        <v>85</v>
      </c>
      <c r="I198" t="s">
        <v>86</v>
      </c>
      <c r="J198" t="str">
        <f>MID($N198,FIND("1.",$N198),FIND("-",$N198)-FIND("1.",$N198)-1)</f>
        <v>1.0197</v>
      </c>
      <c r="K198" t="str">
        <f t="shared" si="9"/>
        <v>Value of DeferQualityUpdatesPeriodInDays</v>
      </c>
      <c r="L198" t="str">
        <f t="shared" si="10"/>
        <v>1.0197 - MSWRK - Value of DeferQualityUpdatesPeriodInDays</v>
      </c>
      <c r="M198" t="str">
        <f t="shared" si="11"/>
        <v>PASSED</v>
      </c>
      <c r="N198" s="1" t="s">
        <v>796</v>
      </c>
      <c r="O198" t="s">
        <v>67</v>
      </c>
      <c r="R198" t="s">
        <v>68</v>
      </c>
      <c r="T198" t="s">
        <v>69</v>
      </c>
      <c r="U198" t="s">
        <v>70</v>
      </c>
      <c r="W198" t="s">
        <v>71</v>
      </c>
      <c r="X198" s="1" t="s">
        <v>72</v>
      </c>
      <c r="Y198" t="s">
        <v>88</v>
      </c>
      <c r="Z198">
        <v>0</v>
      </c>
      <c r="AA198">
        <v>0</v>
      </c>
      <c r="AD198">
        <v>0</v>
      </c>
      <c r="AE198">
        <v>0</v>
      </c>
      <c r="AH198" t="s">
        <v>73</v>
      </c>
      <c r="AI198" t="s">
        <v>318</v>
      </c>
      <c r="AJ198" t="s">
        <v>319</v>
      </c>
      <c r="AK198" t="s">
        <v>76</v>
      </c>
      <c r="AN198" t="s">
        <v>77</v>
      </c>
      <c r="AO198" t="s">
        <v>320</v>
      </c>
      <c r="AP198" t="s">
        <v>797</v>
      </c>
      <c r="AQ198" t="s">
        <v>322</v>
      </c>
      <c r="AS198" t="b">
        <v>1</v>
      </c>
      <c r="AT198" t="s">
        <v>65</v>
      </c>
      <c r="AU198">
        <v>0</v>
      </c>
      <c r="AV198">
        <v>0</v>
      </c>
      <c r="AX198">
        <v>39</v>
      </c>
      <c r="AY198" t="s">
        <v>81</v>
      </c>
      <c r="AZ198" t="s">
        <v>90</v>
      </c>
      <c r="BB198" t="s">
        <v>91</v>
      </c>
      <c r="BC198" t="s">
        <v>92</v>
      </c>
      <c r="BD198" t="b">
        <v>0</v>
      </c>
      <c r="BE198" t="b">
        <v>0</v>
      </c>
      <c r="BF198" t="b">
        <v>0</v>
      </c>
      <c r="BG198" t="b">
        <v>0</v>
      </c>
      <c r="BH198" t="b">
        <v>0</v>
      </c>
      <c r="BI198" t="b">
        <v>0</v>
      </c>
      <c r="BJ198" t="b">
        <v>0</v>
      </c>
      <c r="BK198" t="b">
        <v>0</v>
      </c>
      <c r="BL198" t="b">
        <v>0</v>
      </c>
      <c r="BM198" t="b">
        <v>0</v>
      </c>
      <c r="BN198" t="b">
        <v>0</v>
      </c>
      <c r="BO198" t="b">
        <v>0</v>
      </c>
      <c r="BP198" t="b">
        <v>0</v>
      </c>
      <c r="BR198" t="str">
        <f>IFERROR(IF(M198="PASSED",VLOOKUP(J198,Current!$J$1:$N$500,1,FALSE)),N198)</f>
        <v>"1.0197 - MSWRK - Value of DeferQualityUpdatesPeriodInDays: [PASSED]"
Policy Value:
'0'
Actual Value:
'0'</v>
      </c>
    </row>
    <row r="199" spans="1:70" ht="15" hidden="1" customHeight="1" x14ac:dyDescent="0.25">
      <c r="A199">
        <v>21156</v>
      </c>
      <c r="C199">
        <v>0</v>
      </c>
      <c r="D199" t="s">
        <v>83</v>
      </c>
      <c r="E199" t="s">
        <v>66</v>
      </c>
      <c r="F199" t="s">
        <v>84</v>
      </c>
      <c r="G199">
        <v>0</v>
      </c>
      <c r="H199" t="s">
        <v>85</v>
      </c>
      <c r="I199" t="s">
        <v>86</v>
      </c>
      <c r="J199" t="str">
        <f>MID($N199,FIND("1.",$N199),FIND("-",$N199)-FIND("1.",$N199)-1)</f>
        <v>1.0198</v>
      </c>
      <c r="K199" t="str">
        <f t="shared" si="9"/>
        <v>Value of DeferQualityUpdates</v>
      </c>
      <c r="L199" t="str">
        <f t="shared" si="10"/>
        <v>1.0198 - MSWRK - Value of DeferQualityUpdates</v>
      </c>
      <c r="M199" t="str">
        <f t="shared" si="11"/>
        <v>FAILED</v>
      </c>
      <c r="N199" s="1" t="s">
        <v>396</v>
      </c>
      <c r="O199" t="s">
        <v>67</v>
      </c>
      <c r="R199" t="s">
        <v>68</v>
      </c>
      <c r="T199" t="s">
        <v>69</v>
      </c>
      <c r="U199" t="s">
        <v>70</v>
      </c>
      <c r="W199" t="s">
        <v>71</v>
      </c>
      <c r="X199" s="1" t="s">
        <v>72</v>
      </c>
      <c r="Y199" t="s">
        <v>88</v>
      </c>
      <c r="Z199">
        <v>0</v>
      </c>
      <c r="AA199">
        <v>0</v>
      </c>
      <c r="AD199">
        <v>0</v>
      </c>
      <c r="AE199">
        <v>0</v>
      </c>
      <c r="AH199" t="s">
        <v>73</v>
      </c>
      <c r="AI199" t="s">
        <v>318</v>
      </c>
      <c r="AJ199" t="s">
        <v>319</v>
      </c>
      <c r="AK199" t="s">
        <v>76</v>
      </c>
      <c r="AN199" t="s">
        <v>77</v>
      </c>
      <c r="AO199" t="s">
        <v>320</v>
      </c>
      <c r="AP199" t="s">
        <v>393</v>
      </c>
      <c r="AQ199" t="s">
        <v>322</v>
      </c>
      <c r="AS199" t="b">
        <v>1</v>
      </c>
      <c r="AT199" t="s">
        <v>65</v>
      </c>
      <c r="AU199">
        <v>0</v>
      </c>
      <c r="AV199">
        <v>0</v>
      </c>
      <c r="AX199">
        <v>39</v>
      </c>
      <c r="AY199" t="s">
        <v>81</v>
      </c>
      <c r="AZ199" t="s">
        <v>90</v>
      </c>
      <c r="BB199" t="s">
        <v>91</v>
      </c>
      <c r="BC199" t="s">
        <v>92</v>
      </c>
      <c r="BD199" t="b">
        <v>0</v>
      </c>
      <c r="BE199" t="b">
        <v>0</v>
      </c>
      <c r="BF199" t="b">
        <v>0</v>
      </c>
      <c r="BG199" t="b">
        <v>0</v>
      </c>
      <c r="BH199" t="b">
        <v>0</v>
      </c>
      <c r="BI199" t="b">
        <v>0</v>
      </c>
      <c r="BJ199" t="b">
        <v>0</v>
      </c>
      <c r="BK199" t="b">
        <v>0</v>
      </c>
      <c r="BL199" t="b">
        <v>0</v>
      </c>
      <c r="BM199" t="b">
        <v>0</v>
      </c>
      <c r="BN199" t="b">
        <v>0</v>
      </c>
      <c r="BO199" t="b">
        <v>0</v>
      </c>
      <c r="BP199" t="b">
        <v>0</v>
      </c>
      <c r="BR199" t="b">
        <f>IFERROR(IF(M199="PASSED",VLOOKUP(J199,Current!$J$1:$N$500,1,FALSE)),N199)</f>
        <v>0</v>
      </c>
    </row>
    <row r="200" spans="1:70" ht="15" customHeight="1" x14ac:dyDescent="0.25">
      <c r="A200">
        <v>21156</v>
      </c>
      <c r="C200">
        <v>0</v>
      </c>
      <c r="D200" t="s">
        <v>65</v>
      </c>
      <c r="E200" t="s">
        <v>66</v>
      </c>
      <c r="F200" t="s">
        <v>84</v>
      </c>
      <c r="G200">
        <v>0</v>
      </c>
      <c r="H200" t="s">
        <v>85</v>
      </c>
      <c r="I200" t="s">
        <v>86</v>
      </c>
      <c r="J200" t="str">
        <f>MID($N200,FIND("1.",$N200),FIND("-",$N200)-FIND("1.",$N200)-1)</f>
        <v>1.0199</v>
      </c>
      <c r="K200" t="str">
        <f t="shared" si="9"/>
        <v>Ensure Enable optional updates is set to Disabled</v>
      </c>
      <c r="L200" t="str">
        <f t="shared" si="10"/>
        <v>1.0199 - MSWRK - Ensure Enable optional updates is set to Disabled</v>
      </c>
      <c r="M200" t="str">
        <f t="shared" si="11"/>
        <v>PASSED</v>
      </c>
      <c r="N200" s="1" t="s">
        <v>693</v>
      </c>
      <c r="O200" t="s">
        <v>67</v>
      </c>
      <c r="R200" t="s">
        <v>68</v>
      </c>
      <c r="T200" t="s">
        <v>69</v>
      </c>
      <c r="U200" t="s">
        <v>70</v>
      </c>
      <c r="W200" t="s">
        <v>71</v>
      </c>
      <c r="X200" s="1" t="s">
        <v>72</v>
      </c>
      <c r="Y200" t="s">
        <v>88</v>
      </c>
      <c r="Z200">
        <v>0</v>
      </c>
      <c r="AA200">
        <v>0</v>
      </c>
      <c r="AD200">
        <v>0</v>
      </c>
      <c r="AE200">
        <v>0</v>
      </c>
      <c r="AH200" t="s">
        <v>73</v>
      </c>
      <c r="AI200" t="s">
        <v>318</v>
      </c>
      <c r="AJ200" t="s">
        <v>319</v>
      </c>
      <c r="AK200" t="s">
        <v>76</v>
      </c>
      <c r="AN200" t="s">
        <v>77</v>
      </c>
      <c r="AO200" t="s">
        <v>320</v>
      </c>
      <c r="AP200" t="s">
        <v>694</v>
      </c>
      <c r="AQ200" t="s">
        <v>322</v>
      </c>
      <c r="AS200" t="b">
        <v>1</v>
      </c>
      <c r="AT200" t="s">
        <v>65</v>
      </c>
      <c r="AU200">
        <v>0</v>
      </c>
      <c r="AV200">
        <v>0</v>
      </c>
      <c r="AX200">
        <v>39</v>
      </c>
      <c r="AY200" t="s">
        <v>81</v>
      </c>
      <c r="AZ200" t="s">
        <v>90</v>
      </c>
      <c r="BB200" t="s">
        <v>91</v>
      </c>
      <c r="BC200" t="s">
        <v>92</v>
      </c>
      <c r="BD200" t="b">
        <v>0</v>
      </c>
      <c r="BE200" t="b">
        <v>0</v>
      </c>
      <c r="BF200" t="b">
        <v>0</v>
      </c>
      <c r="BG200" t="b">
        <v>0</v>
      </c>
      <c r="BH200" t="b">
        <v>0</v>
      </c>
      <c r="BI200" t="b">
        <v>0</v>
      </c>
      <c r="BJ200" t="b">
        <v>0</v>
      </c>
      <c r="BK200" t="b">
        <v>0</v>
      </c>
      <c r="BL200" t="b">
        <v>0</v>
      </c>
      <c r="BM200" t="b">
        <v>0</v>
      </c>
      <c r="BN200" t="b">
        <v>0</v>
      </c>
      <c r="BO200" t="b">
        <v>0</v>
      </c>
      <c r="BP200" t="b">
        <v>0</v>
      </c>
      <c r="BR200" t="str">
        <f>IFERROR(IF(M200="PASSED",VLOOKUP(J200,Current!$J$1:$N$500,1,FALSE)),N200)</f>
        <v>"1.0199 - MSWRK - Ensure Enable optional updates is set to Disabled: [PASSED]"
This policy setting controls whether devices are able to receive optional updates (including Controlled Feature Rollout (CFRs)).
See Also:
See HTH Policies and Standards
Reference:
NIST 800-53r5|RA-5 RA-7 SI-2 SI-2(2)
Policy Value:
'0'
Actual Value:
'0'</v>
      </c>
    </row>
    <row r="201" spans="1:70" ht="15" hidden="1" customHeight="1" x14ac:dyDescent="0.25">
      <c r="A201">
        <v>21156</v>
      </c>
      <c r="C201">
        <v>0</v>
      </c>
      <c r="D201" t="s">
        <v>83</v>
      </c>
      <c r="E201" t="s">
        <v>66</v>
      </c>
      <c r="F201" t="s">
        <v>84</v>
      </c>
      <c r="G201">
        <v>0</v>
      </c>
      <c r="H201" t="s">
        <v>85</v>
      </c>
      <c r="I201" t="s">
        <v>86</v>
      </c>
      <c r="J201" t="str">
        <f>MID($N201,FIND("1.",$N201),FIND("-",$N201)-FIND("1.",$N201)-1)</f>
        <v>1.0200</v>
      </c>
      <c r="K201" t="str">
        <f t="shared" si="9"/>
        <v>Ensure Prevent enabling lock screen camera is set to Enabled</v>
      </c>
      <c r="L201" t="str">
        <f t="shared" si="10"/>
        <v>1.0200 - MSWRK - Ensure Prevent enabling lock screen camera is set to Enabled</v>
      </c>
      <c r="M201" t="str">
        <f t="shared" si="11"/>
        <v>FAILED</v>
      </c>
      <c r="N201" s="1" t="s">
        <v>541</v>
      </c>
      <c r="O201" t="s">
        <v>67</v>
      </c>
      <c r="R201" t="s">
        <v>68</v>
      </c>
      <c r="T201" t="s">
        <v>69</v>
      </c>
      <c r="U201" t="s">
        <v>70</v>
      </c>
      <c r="W201" t="s">
        <v>71</v>
      </c>
      <c r="X201" s="1" t="s">
        <v>72</v>
      </c>
      <c r="Y201" t="s">
        <v>88</v>
      </c>
      <c r="Z201">
        <v>0</v>
      </c>
      <c r="AA201">
        <v>0</v>
      </c>
      <c r="AD201">
        <v>0</v>
      </c>
      <c r="AE201">
        <v>0</v>
      </c>
      <c r="AH201" t="s">
        <v>73</v>
      </c>
      <c r="AI201" t="s">
        <v>318</v>
      </c>
      <c r="AJ201" t="s">
        <v>319</v>
      </c>
      <c r="AK201" t="s">
        <v>76</v>
      </c>
      <c r="AN201" t="s">
        <v>77</v>
      </c>
      <c r="AO201" t="s">
        <v>320</v>
      </c>
      <c r="AP201" t="s">
        <v>542</v>
      </c>
      <c r="AQ201" t="s">
        <v>322</v>
      </c>
      <c r="AS201" t="b">
        <v>1</v>
      </c>
      <c r="AT201" t="s">
        <v>65</v>
      </c>
      <c r="AU201">
        <v>0</v>
      </c>
      <c r="AV201">
        <v>0</v>
      </c>
      <c r="AX201">
        <v>39</v>
      </c>
      <c r="AY201" t="s">
        <v>81</v>
      </c>
      <c r="AZ201" t="s">
        <v>90</v>
      </c>
      <c r="BB201" t="s">
        <v>91</v>
      </c>
      <c r="BC201" t="s">
        <v>92</v>
      </c>
      <c r="BD201" t="b">
        <v>0</v>
      </c>
      <c r="BE201" t="b">
        <v>0</v>
      </c>
      <c r="BF201" t="b">
        <v>0</v>
      </c>
      <c r="BG201" t="b">
        <v>0</v>
      </c>
      <c r="BH201" t="b">
        <v>0</v>
      </c>
      <c r="BI201" t="b">
        <v>0</v>
      </c>
      <c r="BJ201" t="b">
        <v>0</v>
      </c>
      <c r="BK201" t="b">
        <v>0</v>
      </c>
      <c r="BL201" t="b">
        <v>0</v>
      </c>
      <c r="BM201" t="b">
        <v>0</v>
      </c>
      <c r="BN201" t="b">
        <v>0</v>
      </c>
      <c r="BO201" t="b">
        <v>0</v>
      </c>
      <c r="BP201" t="b">
        <v>0</v>
      </c>
      <c r="BR201" t="b">
        <f>IFERROR(IF(M201="PASSED",VLOOKUP(J201,Current!$J$1:$N$500,1,FALSE)),N201)</f>
        <v>0</v>
      </c>
    </row>
    <row r="202" spans="1:70" ht="15" customHeight="1" x14ac:dyDescent="0.25">
      <c r="A202">
        <v>21156</v>
      </c>
      <c r="C202">
        <v>0</v>
      </c>
      <c r="D202" t="s">
        <v>65</v>
      </c>
      <c r="E202" t="s">
        <v>66</v>
      </c>
      <c r="F202" t="s">
        <v>84</v>
      </c>
      <c r="G202">
        <v>0</v>
      </c>
      <c r="H202" t="s">
        <v>85</v>
      </c>
      <c r="I202" t="s">
        <v>86</v>
      </c>
      <c r="J202" t="str">
        <f>MID($N202,FIND("1.",$N202),FIND("-",$N202)-FIND("1.",$N202)-1)</f>
        <v>1.0201</v>
      </c>
      <c r="K202" t="str">
        <f t="shared" si="9"/>
        <v>Ensure Disable HTTP proxy features</v>
      </c>
      <c r="L202" t="str">
        <f t="shared" si="10"/>
        <v>1.0201 - MSWRK - Ensure Disable HTTP proxy features: Disable WPAD is set to Enabled: Checked</v>
      </c>
      <c r="M202" t="str">
        <f t="shared" si="11"/>
        <v>PASSED</v>
      </c>
      <c r="N202" s="1" t="s">
        <v>637</v>
      </c>
      <c r="O202" t="s">
        <v>67</v>
      </c>
      <c r="R202" t="s">
        <v>68</v>
      </c>
      <c r="T202" t="s">
        <v>69</v>
      </c>
      <c r="U202" t="s">
        <v>70</v>
      </c>
      <c r="W202" t="s">
        <v>71</v>
      </c>
      <c r="X202" s="1" t="s">
        <v>72</v>
      </c>
      <c r="Y202" t="s">
        <v>88</v>
      </c>
      <c r="Z202">
        <v>0</v>
      </c>
      <c r="AA202">
        <v>0</v>
      </c>
      <c r="AD202">
        <v>0</v>
      </c>
      <c r="AE202">
        <v>0</v>
      </c>
      <c r="AH202" t="s">
        <v>73</v>
      </c>
      <c r="AI202" t="s">
        <v>318</v>
      </c>
      <c r="AJ202" t="s">
        <v>319</v>
      </c>
      <c r="AK202" t="s">
        <v>76</v>
      </c>
      <c r="AN202" t="s">
        <v>77</v>
      </c>
      <c r="AO202" t="s">
        <v>320</v>
      </c>
      <c r="AP202" t="s">
        <v>636</v>
      </c>
      <c r="AQ202" t="s">
        <v>322</v>
      </c>
      <c r="AS202" t="b">
        <v>1</v>
      </c>
      <c r="AT202" t="s">
        <v>65</v>
      </c>
      <c r="AU202">
        <v>0</v>
      </c>
      <c r="AV202">
        <v>0</v>
      </c>
      <c r="AX202">
        <v>39</v>
      </c>
      <c r="AY202" t="s">
        <v>81</v>
      </c>
      <c r="AZ202" t="s">
        <v>90</v>
      </c>
      <c r="BB202" t="s">
        <v>91</v>
      </c>
      <c r="BC202" t="s">
        <v>92</v>
      </c>
      <c r="BD202" t="b">
        <v>0</v>
      </c>
      <c r="BE202" t="b">
        <v>0</v>
      </c>
      <c r="BF202" t="b">
        <v>0</v>
      </c>
      <c r="BG202" t="b">
        <v>0</v>
      </c>
      <c r="BH202" t="b">
        <v>0</v>
      </c>
      <c r="BI202" t="b">
        <v>0</v>
      </c>
      <c r="BJ202" t="b">
        <v>0</v>
      </c>
      <c r="BK202" t="b">
        <v>0</v>
      </c>
      <c r="BL202" t="b">
        <v>0</v>
      </c>
      <c r="BM202" t="b">
        <v>0</v>
      </c>
      <c r="BN202" t="b">
        <v>0</v>
      </c>
      <c r="BO202" t="b">
        <v>0</v>
      </c>
      <c r="BP202" t="b">
        <v>0</v>
      </c>
      <c r="BR202" t="str">
        <f>IFERROR(IF(M202="PASSED",VLOOKUP(J202,Current!$J$1:$N$500,1,FALSE)),N202)</f>
        <v>"1.0201 - MSWRK - Ensure Disable HTTP proxy features: Disable WPAD is set to Enabled: Checked: [PASSED]"
This policy setting determines whether Web Proxy Auto-Discovery protocol (WPAD) is disabled on the system.
See Also:
See HTH Policies and Standards
Reference:
NIST 800-53r5|CM-7b.
Policy Value:
'1'
Actual Value:
'1'</v>
      </c>
    </row>
    <row r="203" spans="1:70" ht="15" hidden="1" customHeight="1" x14ac:dyDescent="0.25">
      <c r="A203">
        <v>21156</v>
      </c>
      <c r="C203">
        <v>0</v>
      </c>
      <c r="D203" t="s">
        <v>65</v>
      </c>
      <c r="E203" t="s">
        <v>66</v>
      </c>
      <c r="F203" t="s">
        <v>84</v>
      </c>
      <c r="G203">
        <v>0</v>
      </c>
      <c r="H203" t="s">
        <v>85</v>
      </c>
      <c r="I203" t="s">
        <v>86</v>
      </c>
      <c r="J203" t="str">
        <f>MID($N203,FIND("1.",$N203),FIND("-",$N203)-FIND("1.",$N203)-1)</f>
        <v>1.0202</v>
      </c>
      <c r="K203" t="str">
        <f t="shared" si="9"/>
        <v>Ensure Prevent enabling lock screen slide show is set to Enabled</v>
      </c>
      <c r="L203" t="str">
        <f t="shared" si="10"/>
        <v>1.0202 - MSWRK - Ensure Prevent enabling lock screen slide show is set to Enabled</v>
      </c>
      <c r="M203" t="str">
        <f t="shared" si="11"/>
        <v>PASSED</v>
      </c>
      <c r="N203" s="1" t="s">
        <v>223</v>
      </c>
      <c r="O203" t="s">
        <v>67</v>
      </c>
      <c r="R203" t="s">
        <v>68</v>
      </c>
      <c r="T203" t="s">
        <v>69</v>
      </c>
      <c r="U203" t="s">
        <v>70</v>
      </c>
      <c r="W203" t="s">
        <v>71</v>
      </c>
      <c r="X203" s="1" t="s">
        <v>72</v>
      </c>
      <c r="Y203" t="s">
        <v>88</v>
      </c>
      <c r="Z203">
        <v>0</v>
      </c>
      <c r="AA203">
        <v>0</v>
      </c>
      <c r="AD203">
        <v>0</v>
      </c>
      <c r="AE203">
        <v>0</v>
      </c>
      <c r="AH203" t="s">
        <v>73</v>
      </c>
      <c r="AI203" t="s">
        <v>318</v>
      </c>
      <c r="AJ203" t="s">
        <v>319</v>
      </c>
      <c r="AK203" t="s">
        <v>76</v>
      </c>
      <c r="AN203" t="s">
        <v>77</v>
      </c>
      <c r="AO203" t="s">
        <v>320</v>
      </c>
      <c r="AP203" t="s">
        <v>588</v>
      </c>
      <c r="AQ203" t="s">
        <v>322</v>
      </c>
      <c r="AS203" t="b">
        <v>1</v>
      </c>
      <c r="AT203" t="s">
        <v>65</v>
      </c>
      <c r="AU203">
        <v>0</v>
      </c>
      <c r="AV203">
        <v>0</v>
      </c>
      <c r="AX203">
        <v>39</v>
      </c>
      <c r="AY203" t="s">
        <v>81</v>
      </c>
      <c r="AZ203" t="s">
        <v>90</v>
      </c>
      <c r="BB203" t="s">
        <v>91</v>
      </c>
      <c r="BC203" t="s">
        <v>92</v>
      </c>
      <c r="BD203" t="b">
        <v>0</v>
      </c>
      <c r="BE203" t="b">
        <v>0</v>
      </c>
      <c r="BF203" t="b">
        <v>0</v>
      </c>
      <c r="BG203" t="b">
        <v>0</v>
      </c>
      <c r="BH203" t="b">
        <v>0</v>
      </c>
      <c r="BI203" t="b">
        <v>0</v>
      </c>
      <c r="BJ203" t="b">
        <v>0</v>
      </c>
      <c r="BK203" t="b">
        <v>0</v>
      </c>
      <c r="BL203" t="b">
        <v>0</v>
      </c>
      <c r="BM203" t="b">
        <v>0</v>
      </c>
      <c r="BN203" t="b">
        <v>0</v>
      </c>
      <c r="BO203" t="b">
        <v>0</v>
      </c>
      <c r="BP203" t="b">
        <v>0</v>
      </c>
      <c r="BR203" t="str">
        <f>IFERROR(IF(M203="PASSED",VLOOKUP(J203,Current!$J$1:$N$500,1,FALSE)),N203)</f>
        <v>1.0202</v>
      </c>
    </row>
    <row r="204" spans="1:70" ht="15" hidden="1" customHeight="1" x14ac:dyDescent="0.25">
      <c r="A204">
        <v>21156</v>
      </c>
      <c r="C204">
        <v>0</v>
      </c>
      <c r="D204" t="s">
        <v>83</v>
      </c>
      <c r="E204" t="s">
        <v>66</v>
      </c>
      <c r="F204" t="s">
        <v>84</v>
      </c>
      <c r="G204">
        <v>0</v>
      </c>
      <c r="H204" t="s">
        <v>85</v>
      </c>
      <c r="I204" t="s">
        <v>86</v>
      </c>
      <c r="J204" t="str">
        <f>MID($N204,FIND("1.",$N204),FIND("-",$N204)-FIND("1.",$N204)-1)</f>
        <v>1.0203</v>
      </c>
      <c r="K204" t="str">
        <f t="shared" si="9"/>
        <v>Ensure Disable HTTP proxy features</v>
      </c>
      <c r="L204" t="str">
        <f t="shared" si="10"/>
        <v>1.0203 - MSWRK - Ensure Disable HTTP proxy features: Disable proxy authentication is set to Enabled: Disable authentication over loopback interfaces or higher</v>
      </c>
      <c r="M204" t="str">
        <f t="shared" si="11"/>
        <v>FAILED</v>
      </c>
      <c r="N204" s="1" t="s">
        <v>526</v>
      </c>
      <c r="O204" t="s">
        <v>67</v>
      </c>
      <c r="R204" t="s">
        <v>68</v>
      </c>
      <c r="T204" t="s">
        <v>69</v>
      </c>
      <c r="U204" t="s">
        <v>70</v>
      </c>
      <c r="W204" t="s">
        <v>71</v>
      </c>
      <c r="X204" s="1" t="s">
        <v>72</v>
      </c>
      <c r="Y204" t="s">
        <v>88</v>
      </c>
      <c r="Z204">
        <v>0</v>
      </c>
      <c r="AA204">
        <v>0</v>
      </c>
      <c r="AD204">
        <v>0</v>
      </c>
      <c r="AE204">
        <v>0</v>
      </c>
      <c r="AH204" t="s">
        <v>73</v>
      </c>
      <c r="AI204" t="s">
        <v>318</v>
      </c>
      <c r="AJ204" t="s">
        <v>319</v>
      </c>
      <c r="AK204" t="s">
        <v>76</v>
      </c>
      <c r="AN204" t="s">
        <v>77</v>
      </c>
      <c r="AO204" t="s">
        <v>320</v>
      </c>
      <c r="AP204" t="s">
        <v>525</v>
      </c>
      <c r="AQ204" t="s">
        <v>322</v>
      </c>
      <c r="AS204" t="b">
        <v>1</v>
      </c>
      <c r="AT204" t="s">
        <v>65</v>
      </c>
      <c r="AU204">
        <v>0</v>
      </c>
      <c r="AV204">
        <v>0</v>
      </c>
      <c r="AX204">
        <v>39</v>
      </c>
      <c r="AY204" t="s">
        <v>81</v>
      </c>
      <c r="AZ204" t="s">
        <v>90</v>
      </c>
      <c r="BB204" t="s">
        <v>91</v>
      </c>
      <c r="BC204" t="s">
        <v>92</v>
      </c>
      <c r="BD204" t="b">
        <v>0</v>
      </c>
      <c r="BE204" t="b">
        <v>0</v>
      </c>
      <c r="BF204" t="b">
        <v>0</v>
      </c>
      <c r="BG204" t="b">
        <v>0</v>
      </c>
      <c r="BH204" t="b">
        <v>0</v>
      </c>
      <c r="BI204" t="b">
        <v>0</v>
      </c>
      <c r="BJ204" t="b">
        <v>0</v>
      </c>
      <c r="BK204" t="b">
        <v>0</v>
      </c>
      <c r="BL204" t="b">
        <v>0</v>
      </c>
      <c r="BM204" t="b">
        <v>0</v>
      </c>
      <c r="BN204" t="b">
        <v>0</v>
      </c>
      <c r="BO204" t="b">
        <v>0</v>
      </c>
      <c r="BP204" t="b">
        <v>0</v>
      </c>
      <c r="BR204" t="b">
        <f>IFERROR(IF(M204="PASSED",VLOOKUP(J204,Current!$J$1:$N$500,1,FALSE)),N204)</f>
        <v>0</v>
      </c>
    </row>
    <row r="205" spans="1:70" ht="15" hidden="1" customHeight="1" x14ac:dyDescent="0.25">
      <c r="A205">
        <v>21156</v>
      </c>
      <c r="C205">
        <v>0</v>
      </c>
      <c r="D205" t="s">
        <v>83</v>
      </c>
      <c r="E205" t="s">
        <v>66</v>
      </c>
      <c r="F205" t="s">
        <v>84</v>
      </c>
      <c r="G205">
        <v>0</v>
      </c>
      <c r="H205" t="s">
        <v>85</v>
      </c>
      <c r="I205" t="s">
        <v>86</v>
      </c>
      <c r="J205" t="str">
        <f>MID($N205,FIND("1.",$N205),FIND("-",$N205)-FIND("1.",$N205)-1)</f>
        <v>1.0204</v>
      </c>
      <c r="K205" t="str">
        <f t="shared" si="9"/>
        <v>Ensure Allow users to enable online speech recognition services is set to Disabled</v>
      </c>
      <c r="L205" t="str">
        <f t="shared" si="10"/>
        <v>1.0204 - MSWRK - Ensure Allow users to enable online speech recognition services is set to Disabled</v>
      </c>
      <c r="M205" t="str">
        <f t="shared" si="11"/>
        <v>FAILED</v>
      </c>
      <c r="N205" s="1" t="s">
        <v>295</v>
      </c>
      <c r="O205" t="s">
        <v>67</v>
      </c>
      <c r="R205" t="s">
        <v>68</v>
      </c>
      <c r="T205" t="s">
        <v>69</v>
      </c>
      <c r="U205" t="s">
        <v>70</v>
      </c>
      <c r="W205" t="s">
        <v>71</v>
      </c>
      <c r="X205" s="1" t="s">
        <v>72</v>
      </c>
      <c r="Y205" t="s">
        <v>88</v>
      </c>
      <c r="Z205">
        <v>0</v>
      </c>
      <c r="AA205">
        <v>0</v>
      </c>
      <c r="AD205">
        <v>0</v>
      </c>
      <c r="AE205">
        <v>0</v>
      </c>
      <c r="AH205" t="s">
        <v>73</v>
      </c>
      <c r="AI205" t="s">
        <v>318</v>
      </c>
      <c r="AJ205" t="s">
        <v>319</v>
      </c>
      <c r="AK205" t="s">
        <v>76</v>
      </c>
      <c r="AN205" t="s">
        <v>77</v>
      </c>
      <c r="AO205" t="s">
        <v>320</v>
      </c>
      <c r="AP205" t="s">
        <v>361</v>
      </c>
      <c r="AQ205" t="s">
        <v>322</v>
      </c>
      <c r="AS205" t="b">
        <v>1</v>
      </c>
      <c r="AT205" t="s">
        <v>65</v>
      </c>
      <c r="AU205">
        <v>0</v>
      </c>
      <c r="AV205">
        <v>0</v>
      </c>
      <c r="AX205">
        <v>39</v>
      </c>
      <c r="AY205" t="s">
        <v>81</v>
      </c>
      <c r="AZ205" t="s">
        <v>90</v>
      </c>
      <c r="BB205" t="s">
        <v>91</v>
      </c>
      <c r="BC205" t="s">
        <v>92</v>
      </c>
      <c r="BD205" t="b">
        <v>0</v>
      </c>
      <c r="BE205" t="b">
        <v>0</v>
      </c>
      <c r="BF205" t="b">
        <v>0</v>
      </c>
      <c r="BG205" t="b">
        <v>0</v>
      </c>
      <c r="BH205" t="b">
        <v>0</v>
      </c>
      <c r="BI205" t="b">
        <v>0</v>
      </c>
      <c r="BJ205" t="b">
        <v>0</v>
      </c>
      <c r="BK205" t="b">
        <v>0</v>
      </c>
      <c r="BL205" t="b">
        <v>0</v>
      </c>
      <c r="BM205" t="b">
        <v>0</v>
      </c>
      <c r="BN205" t="b">
        <v>0</v>
      </c>
      <c r="BO205" t="b">
        <v>0</v>
      </c>
      <c r="BP205" t="b">
        <v>0</v>
      </c>
      <c r="BR205" t="b">
        <f>IFERROR(IF(M205="PASSED",VLOOKUP(J205,Current!$J$1:$N$500,1,FALSE)),N205)</f>
        <v>0</v>
      </c>
    </row>
    <row r="206" spans="1:70" ht="15" customHeight="1" x14ac:dyDescent="0.25">
      <c r="A206">
        <v>21156</v>
      </c>
      <c r="C206">
        <v>0</v>
      </c>
      <c r="D206" t="s">
        <v>65</v>
      </c>
      <c r="E206" t="s">
        <v>66</v>
      </c>
      <c r="F206" t="s">
        <v>84</v>
      </c>
      <c r="G206">
        <v>0</v>
      </c>
      <c r="H206" t="s">
        <v>85</v>
      </c>
      <c r="I206" t="s">
        <v>86</v>
      </c>
      <c r="J206" t="str">
        <f>MID($N206,FIND("1.",$N206),FIND("-",$N206)-FIND("1.",$N206)-1)</f>
        <v>1.0205</v>
      </c>
      <c r="K206" t="str">
        <f t="shared" si="9"/>
        <v>Ensure Apply UAC restrictions to local accounts on network logons is set to Enabled</v>
      </c>
      <c r="L206" t="str">
        <f t="shared" si="10"/>
        <v>1.0205 - MSWRK - Ensure Apply UAC restrictions to local accounts on network logons is set to Enabled</v>
      </c>
      <c r="M206" t="str">
        <f t="shared" si="11"/>
        <v>PASSED</v>
      </c>
      <c r="N206" s="1" t="s">
        <v>791</v>
      </c>
      <c r="O206" t="s">
        <v>67</v>
      </c>
      <c r="R206" t="s">
        <v>68</v>
      </c>
      <c r="T206" t="s">
        <v>69</v>
      </c>
      <c r="U206" t="s">
        <v>70</v>
      </c>
      <c r="W206" t="s">
        <v>71</v>
      </c>
      <c r="X206" s="1" t="s">
        <v>72</v>
      </c>
      <c r="Y206" t="s">
        <v>88</v>
      </c>
      <c r="Z206">
        <v>0</v>
      </c>
      <c r="AA206">
        <v>0</v>
      </c>
      <c r="AD206">
        <v>0</v>
      </c>
      <c r="AE206">
        <v>0</v>
      </c>
      <c r="AH206" t="s">
        <v>73</v>
      </c>
      <c r="AI206" t="s">
        <v>318</v>
      </c>
      <c r="AJ206" t="s">
        <v>319</v>
      </c>
      <c r="AK206" t="s">
        <v>76</v>
      </c>
      <c r="AN206" t="s">
        <v>77</v>
      </c>
      <c r="AO206" t="s">
        <v>320</v>
      </c>
      <c r="AP206" t="s">
        <v>790</v>
      </c>
      <c r="AQ206" t="s">
        <v>322</v>
      </c>
      <c r="AS206" t="b">
        <v>1</v>
      </c>
      <c r="AT206" t="s">
        <v>65</v>
      </c>
      <c r="AU206">
        <v>0</v>
      </c>
      <c r="AV206">
        <v>0</v>
      </c>
      <c r="AX206">
        <v>39</v>
      </c>
      <c r="AY206" t="s">
        <v>81</v>
      </c>
      <c r="AZ206" t="s">
        <v>90</v>
      </c>
      <c r="BB206" t="s">
        <v>91</v>
      </c>
      <c r="BC206" t="s">
        <v>92</v>
      </c>
      <c r="BD206" t="b">
        <v>0</v>
      </c>
      <c r="BE206" t="b">
        <v>0</v>
      </c>
      <c r="BF206" t="b">
        <v>0</v>
      </c>
      <c r="BG206" t="b">
        <v>0</v>
      </c>
      <c r="BH206" t="b">
        <v>0</v>
      </c>
      <c r="BI206" t="b">
        <v>0</v>
      </c>
      <c r="BJ206" t="b">
        <v>0</v>
      </c>
      <c r="BK206" t="b">
        <v>0</v>
      </c>
      <c r="BL206" t="b">
        <v>0</v>
      </c>
      <c r="BM206" t="b">
        <v>0</v>
      </c>
      <c r="BN206" t="b">
        <v>0</v>
      </c>
      <c r="BO206" t="b">
        <v>0</v>
      </c>
      <c r="BP206" t="b">
        <v>0</v>
      </c>
      <c r="BR206" t="str">
        <f>IFERROR(IF(M206="PASSED",VLOOKUP(J206,Current!$J$1:$N$500,1,FALSE)),N206)</f>
        <v>"1.0205 - MSWRK - Ensure Apply UAC restrictions to local accounts on network logons is set to Enabled: [PASSED]"
This setting controls whether local accounts can be used for remote administration via network logon (e.
See Also:
See HTH Policies and Standards
Reference:
NIST 800-53r5|AC-2(9)
Policy Value:
'0'
Actual Value:
'0'</v>
      </c>
    </row>
    <row r="207" spans="1:70" ht="15" hidden="1" customHeight="1" x14ac:dyDescent="0.25">
      <c r="A207">
        <v>21156</v>
      </c>
      <c r="C207">
        <v>0</v>
      </c>
      <c r="D207" t="s">
        <v>65</v>
      </c>
      <c r="E207" t="s">
        <v>66</v>
      </c>
      <c r="F207" t="s">
        <v>84</v>
      </c>
      <c r="G207">
        <v>0</v>
      </c>
      <c r="H207" t="s">
        <v>85</v>
      </c>
      <c r="I207" t="s">
        <v>86</v>
      </c>
      <c r="J207" t="str">
        <f>MID($N207,FIND("1.",$N207),FIND("-",$N207)-FIND("1.",$N207)-1)</f>
        <v>1.0206</v>
      </c>
      <c r="K207" t="str">
        <f t="shared" si="9"/>
        <v>Ensure Configure SMB v1 client driver is set to Enabled</v>
      </c>
      <c r="L207" t="str">
        <f t="shared" si="10"/>
        <v>1.0206 - MSWRK - Ensure Configure SMB v1 client driver is set to Enabled: Disable driver (recommended) - Mrxsmb10</v>
      </c>
      <c r="M207" t="str">
        <f t="shared" si="11"/>
        <v>PASSED</v>
      </c>
      <c r="N207" s="1" t="s">
        <v>304</v>
      </c>
      <c r="O207" t="s">
        <v>67</v>
      </c>
      <c r="R207" t="s">
        <v>68</v>
      </c>
      <c r="T207" t="s">
        <v>69</v>
      </c>
      <c r="U207" t="s">
        <v>70</v>
      </c>
      <c r="W207" t="s">
        <v>71</v>
      </c>
      <c r="X207" s="1" t="s">
        <v>72</v>
      </c>
      <c r="Y207" t="s">
        <v>88</v>
      </c>
      <c r="Z207">
        <v>0</v>
      </c>
      <c r="AA207">
        <v>0</v>
      </c>
      <c r="AD207">
        <v>0</v>
      </c>
      <c r="AE207">
        <v>0</v>
      </c>
      <c r="AH207" t="s">
        <v>73</v>
      </c>
      <c r="AI207" t="s">
        <v>318</v>
      </c>
      <c r="AJ207" t="s">
        <v>319</v>
      </c>
      <c r="AK207" t="s">
        <v>76</v>
      </c>
      <c r="AN207" t="s">
        <v>77</v>
      </c>
      <c r="AO207" t="s">
        <v>320</v>
      </c>
      <c r="AP207" t="s">
        <v>661</v>
      </c>
      <c r="AQ207" t="s">
        <v>322</v>
      </c>
      <c r="AS207" t="b">
        <v>1</v>
      </c>
      <c r="AT207" t="s">
        <v>65</v>
      </c>
      <c r="AU207">
        <v>0</v>
      </c>
      <c r="AV207">
        <v>0</v>
      </c>
      <c r="AX207">
        <v>39</v>
      </c>
      <c r="AY207" t="s">
        <v>81</v>
      </c>
      <c r="AZ207" t="s">
        <v>90</v>
      </c>
      <c r="BB207" t="s">
        <v>91</v>
      </c>
      <c r="BC207" t="s">
        <v>92</v>
      </c>
      <c r="BD207" t="b">
        <v>0</v>
      </c>
      <c r="BE207" t="b">
        <v>0</v>
      </c>
      <c r="BF207" t="b">
        <v>0</v>
      </c>
      <c r="BG207" t="b">
        <v>0</v>
      </c>
      <c r="BH207" t="b">
        <v>0</v>
      </c>
      <c r="BI207" t="b">
        <v>0</v>
      </c>
      <c r="BJ207" t="b">
        <v>0</v>
      </c>
      <c r="BK207" t="b">
        <v>0</v>
      </c>
      <c r="BL207" t="b">
        <v>0</v>
      </c>
      <c r="BM207" t="b">
        <v>0</v>
      </c>
      <c r="BN207" t="b">
        <v>0</v>
      </c>
      <c r="BO207" t="b">
        <v>0</v>
      </c>
      <c r="BP207" t="b">
        <v>0</v>
      </c>
      <c r="BR207" t="str">
        <f>IFERROR(IF(M207="PASSED",VLOOKUP(J207,Current!$J$1:$N$500,1,FALSE)),N207)</f>
        <v>1.0206</v>
      </c>
    </row>
    <row r="208" spans="1:70" ht="15" customHeight="1" x14ac:dyDescent="0.25">
      <c r="A208">
        <v>21156</v>
      </c>
      <c r="C208">
        <v>0</v>
      </c>
      <c r="D208" t="s">
        <v>65</v>
      </c>
      <c r="E208" t="s">
        <v>66</v>
      </c>
      <c r="F208" t="s">
        <v>84</v>
      </c>
      <c r="G208">
        <v>0</v>
      </c>
      <c r="H208" t="s">
        <v>85</v>
      </c>
      <c r="I208" t="s">
        <v>86</v>
      </c>
      <c r="J208" t="str">
        <f>MID($N208,FIND("1.",$N208),FIND("-",$N208)-FIND("1.",$N208)-1)</f>
        <v>1.0207</v>
      </c>
      <c r="K208" t="str">
        <f t="shared" si="9"/>
        <v>Ensure Configure SMB v1 server is set to Disabled</v>
      </c>
      <c r="L208" t="str">
        <f t="shared" si="10"/>
        <v>1.0207 - MSWRK - Ensure Configure SMB v1 server is set to Disabled</v>
      </c>
      <c r="M208" t="str">
        <f t="shared" si="11"/>
        <v>PASSED</v>
      </c>
      <c r="N208" s="1" t="s">
        <v>376</v>
      </c>
      <c r="O208" t="s">
        <v>67</v>
      </c>
      <c r="R208" t="s">
        <v>68</v>
      </c>
      <c r="T208" t="s">
        <v>69</v>
      </c>
      <c r="U208" t="s">
        <v>70</v>
      </c>
      <c r="W208" t="s">
        <v>71</v>
      </c>
      <c r="X208" s="1" t="s">
        <v>72</v>
      </c>
      <c r="Y208" t="s">
        <v>88</v>
      </c>
      <c r="Z208">
        <v>0</v>
      </c>
      <c r="AA208">
        <v>0</v>
      </c>
      <c r="AD208">
        <v>0</v>
      </c>
      <c r="AE208">
        <v>0</v>
      </c>
      <c r="AH208" t="s">
        <v>73</v>
      </c>
      <c r="AI208" t="s">
        <v>318</v>
      </c>
      <c r="AJ208" t="s">
        <v>319</v>
      </c>
      <c r="AK208" t="s">
        <v>76</v>
      </c>
      <c r="AN208" t="s">
        <v>77</v>
      </c>
      <c r="AO208" t="s">
        <v>320</v>
      </c>
      <c r="AP208" t="s">
        <v>375</v>
      </c>
      <c r="AQ208" t="s">
        <v>322</v>
      </c>
      <c r="AS208" t="b">
        <v>1</v>
      </c>
      <c r="AT208" t="s">
        <v>65</v>
      </c>
      <c r="AU208">
        <v>0</v>
      </c>
      <c r="AV208">
        <v>0</v>
      </c>
      <c r="AX208">
        <v>39</v>
      </c>
      <c r="AY208" t="s">
        <v>81</v>
      </c>
      <c r="AZ208" t="s">
        <v>90</v>
      </c>
      <c r="BB208" t="s">
        <v>91</v>
      </c>
      <c r="BC208" t="s">
        <v>92</v>
      </c>
      <c r="BD208" t="b">
        <v>0</v>
      </c>
      <c r="BE208" t="b">
        <v>0</v>
      </c>
      <c r="BF208" t="b">
        <v>0</v>
      </c>
      <c r="BG208" t="b">
        <v>0</v>
      </c>
      <c r="BH208" t="b">
        <v>0</v>
      </c>
      <c r="BI208" t="b">
        <v>0</v>
      </c>
      <c r="BJ208" t="b">
        <v>0</v>
      </c>
      <c r="BK208" t="b">
        <v>0</v>
      </c>
      <c r="BL208" t="b">
        <v>0</v>
      </c>
      <c r="BM208" t="b">
        <v>0</v>
      </c>
      <c r="BN208" t="b">
        <v>0</v>
      </c>
      <c r="BO208" t="b">
        <v>0</v>
      </c>
      <c r="BP208" t="b">
        <v>0</v>
      </c>
      <c r="BR208" t="str">
        <f>IFERROR(IF(M208="PASSED",VLOOKUP(J208,Current!$J$1:$N$500,1,FALSE)),N208)</f>
        <v>"1.0207 - MSWRK - Ensure Configure SMB v1 server is set to Disabled: [PASSED]"
This setting configures the server-side processing of the Server Message Block version 1 (SMBv1) protocol.
See Also:
See HTH Policies and Standards
Reference:
NIST 800-53r5|CM-6 CM-7
Policy Value:
'0'
Actual Value:
'0'</v>
      </c>
    </row>
    <row r="209" spans="1:70" ht="15" hidden="1" customHeight="1" x14ac:dyDescent="0.25">
      <c r="A209">
        <v>21156</v>
      </c>
      <c r="C209">
        <v>0</v>
      </c>
      <c r="D209" t="s">
        <v>65</v>
      </c>
      <c r="E209" t="s">
        <v>66</v>
      </c>
      <c r="F209" t="s">
        <v>84</v>
      </c>
      <c r="G209">
        <v>0</v>
      </c>
      <c r="H209" t="s">
        <v>85</v>
      </c>
      <c r="I209" t="s">
        <v>86</v>
      </c>
      <c r="J209" t="str">
        <f>MID($N209,FIND("1.",$N209),FIND("-",$N209)-FIND("1.",$N209)-1)</f>
        <v>1.0208</v>
      </c>
      <c r="K209" t="str">
        <f t="shared" si="9"/>
        <v>default - Config: [PASSED]"
Policy Value</v>
      </c>
      <c r="L209" t="str">
        <f t="shared" si="10"/>
        <v>1.0208 - MSWRK - default - Config</v>
      </c>
      <c r="M209" t="str">
        <f t="shared" si="11"/>
        <v>PASSED</v>
      </c>
      <c r="N209" s="1" t="s">
        <v>98</v>
      </c>
      <c r="O209" t="s">
        <v>67</v>
      </c>
      <c r="R209" t="s">
        <v>68</v>
      </c>
      <c r="T209" t="s">
        <v>69</v>
      </c>
      <c r="U209" t="s">
        <v>70</v>
      </c>
      <c r="W209" t="s">
        <v>71</v>
      </c>
      <c r="X209" s="1" t="s">
        <v>72</v>
      </c>
      <c r="Y209" t="s">
        <v>88</v>
      </c>
      <c r="Z209">
        <v>0</v>
      </c>
      <c r="AA209">
        <v>0</v>
      </c>
      <c r="AD209">
        <v>0</v>
      </c>
      <c r="AE209">
        <v>0</v>
      </c>
      <c r="AH209" t="s">
        <v>73</v>
      </c>
      <c r="AI209" t="s">
        <v>318</v>
      </c>
      <c r="AJ209" t="s">
        <v>319</v>
      </c>
      <c r="AK209" t="s">
        <v>76</v>
      </c>
      <c r="AN209" t="s">
        <v>77</v>
      </c>
      <c r="AO209" t="s">
        <v>320</v>
      </c>
      <c r="AP209" t="s">
        <v>476</v>
      </c>
      <c r="AQ209" t="s">
        <v>322</v>
      </c>
      <c r="AS209" t="b">
        <v>1</v>
      </c>
      <c r="AT209" t="s">
        <v>65</v>
      </c>
      <c r="AU209">
        <v>0</v>
      </c>
      <c r="AV209">
        <v>0</v>
      </c>
      <c r="AX209">
        <v>39</v>
      </c>
      <c r="AY209" t="s">
        <v>81</v>
      </c>
      <c r="AZ209" t="s">
        <v>90</v>
      </c>
      <c r="BB209" t="s">
        <v>91</v>
      </c>
      <c r="BC209" t="s">
        <v>92</v>
      </c>
      <c r="BD209" t="b">
        <v>0</v>
      </c>
      <c r="BE209" t="b">
        <v>0</v>
      </c>
      <c r="BF209" t="b">
        <v>0</v>
      </c>
      <c r="BG209" t="b">
        <v>0</v>
      </c>
      <c r="BH209" t="b">
        <v>0</v>
      </c>
      <c r="BI209" t="b">
        <v>0</v>
      </c>
      <c r="BJ209" t="b">
        <v>0</v>
      </c>
      <c r="BK209" t="b">
        <v>0</v>
      </c>
      <c r="BL209" t="b">
        <v>0</v>
      </c>
      <c r="BM209" t="b">
        <v>0</v>
      </c>
      <c r="BN209" t="b">
        <v>0</v>
      </c>
      <c r="BO209" t="b">
        <v>0</v>
      </c>
      <c r="BP209" t="b">
        <v>0</v>
      </c>
      <c r="BR209" t="str">
        <f>IFERROR(IF(M209="PASSED",VLOOKUP(J209,Current!$J$1:$N$500,1,FALSE)),N209)</f>
        <v>1.0208</v>
      </c>
    </row>
    <row r="210" spans="1:70" ht="15" customHeight="1" x14ac:dyDescent="0.25">
      <c r="A210">
        <v>21156</v>
      </c>
      <c r="C210">
        <v>0</v>
      </c>
      <c r="D210" t="s">
        <v>65</v>
      </c>
      <c r="E210" t="s">
        <v>66</v>
      </c>
      <c r="F210" t="s">
        <v>84</v>
      </c>
      <c r="G210">
        <v>0</v>
      </c>
      <c r="H210" t="s">
        <v>85</v>
      </c>
      <c r="I210" t="s">
        <v>86</v>
      </c>
      <c r="J210" t="str">
        <f>MID($N210,FIND("1.",$N210),FIND("-",$N210)-FIND("1.",$N210)-1)</f>
        <v>1.0209</v>
      </c>
      <c r="K210" t="str">
        <f t="shared" si="9"/>
        <v>32-bit subsystem on 64-bit OS - Config</v>
      </c>
      <c r="L210" t="str">
        <f t="shared" si="10"/>
        <v>1.0209 - MSWRK - 32-bit subsystem on 64-bit OS - Config</v>
      </c>
      <c r="M210" t="str">
        <f t="shared" si="11"/>
        <v>PASSED</v>
      </c>
      <c r="N210" s="1" t="s">
        <v>378</v>
      </c>
      <c r="O210" t="s">
        <v>67</v>
      </c>
      <c r="R210" t="s">
        <v>68</v>
      </c>
      <c r="T210" t="s">
        <v>69</v>
      </c>
      <c r="U210" t="s">
        <v>70</v>
      </c>
      <c r="W210" t="s">
        <v>71</v>
      </c>
      <c r="X210" s="1" t="s">
        <v>72</v>
      </c>
      <c r="Y210" t="s">
        <v>88</v>
      </c>
      <c r="Z210">
        <v>0</v>
      </c>
      <c r="AA210">
        <v>0</v>
      </c>
      <c r="AD210">
        <v>0</v>
      </c>
      <c r="AE210">
        <v>0</v>
      </c>
      <c r="AH210" t="s">
        <v>73</v>
      </c>
      <c r="AI210" t="s">
        <v>318</v>
      </c>
      <c r="AJ210" t="s">
        <v>319</v>
      </c>
      <c r="AK210" t="s">
        <v>76</v>
      </c>
      <c r="AN210" t="s">
        <v>77</v>
      </c>
      <c r="AO210" t="s">
        <v>320</v>
      </c>
      <c r="AP210" t="s">
        <v>377</v>
      </c>
      <c r="AQ210" t="s">
        <v>322</v>
      </c>
      <c r="AS210" t="b">
        <v>1</v>
      </c>
      <c r="AT210" t="s">
        <v>65</v>
      </c>
      <c r="AU210">
        <v>0</v>
      </c>
      <c r="AV210">
        <v>0</v>
      </c>
      <c r="AX210">
        <v>39</v>
      </c>
      <c r="AY210" t="s">
        <v>81</v>
      </c>
      <c r="AZ210" t="s">
        <v>90</v>
      </c>
      <c r="BB210" t="s">
        <v>91</v>
      </c>
      <c r="BC210" t="s">
        <v>92</v>
      </c>
      <c r="BD210" t="b">
        <v>0</v>
      </c>
      <c r="BE210" t="b">
        <v>0</v>
      </c>
      <c r="BF210" t="b">
        <v>0</v>
      </c>
      <c r="BG210" t="b">
        <v>0</v>
      </c>
      <c r="BH210" t="b">
        <v>0</v>
      </c>
      <c r="BI210" t="b">
        <v>0</v>
      </c>
      <c r="BJ210" t="b">
        <v>0</v>
      </c>
      <c r="BK210" t="b">
        <v>0</v>
      </c>
      <c r="BL210" t="b">
        <v>0</v>
      </c>
      <c r="BM210" t="b">
        <v>0</v>
      </c>
      <c r="BN210" t="b">
        <v>0</v>
      </c>
      <c r="BO210" t="b">
        <v>0</v>
      </c>
      <c r="BP210" t="b">
        <v>0</v>
      </c>
      <c r="BR210" t="str">
        <f>IFERROR(IF(M210="PASSED",VLOOKUP(J210,Current!$J$1:$N$500,1,FALSE)),N210)</f>
        <v>"1.0209 - MSWRK - 32-bit subsystem on 64-bit OS - Config: [PASSED]"
Policy Value:
'1'
Actual Value:
'1'</v>
      </c>
    </row>
    <row r="211" spans="1:70" ht="15" customHeight="1" x14ac:dyDescent="0.25">
      <c r="A211">
        <v>21156</v>
      </c>
      <c r="C211">
        <v>0</v>
      </c>
      <c r="D211" t="s">
        <v>65</v>
      </c>
      <c r="E211" t="s">
        <v>66</v>
      </c>
      <c r="F211" t="s">
        <v>84</v>
      </c>
      <c r="G211">
        <v>0</v>
      </c>
      <c r="H211" t="s">
        <v>85</v>
      </c>
      <c r="I211" t="s">
        <v>86</v>
      </c>
      <c r="J211" t="str">
        <f>MID($N211,FIND("1.",$N211),FIND("-",$N211)-FIND("1.",$N211)-1)</f>
        <v>1.0210</v>
      </c>
      <c r="K211" t="str">
        <f t="shared" si="9"/>
        <v>Ensure Enable Structured Exception Handling Overwrite Protection (SEHOP) is set to Enabled</v>
      </c>
      <c r="L211" t="str">
        <f t="shared" si="10"/>
        <v>1.0210 - MSWRK - Ensure Enable Structured Exception Handling Overwrite Protection (SEHOP) is set to Enabled</v>
      </c>
      <c r="M211" t="str">
        <f t="shared" si="11"/>
        <v>PASSED</v>
      </c>
      <c r="N211" s="1" t="s">
        <v>713</v>
      </c>
      <c r="O211" t="s">
        <v>67</v>
      </c>
      <c r="R211" t="s">
        <v>68</v>
      </c>
      <c r="T211" t="s">
        <v>69</v>
      </c>
      <c r="U211" t="s">
        <v>70</v>
      </c>
      <c r="W211" t="s">
        <v>71</v>
      </c>
      <c r="X211" s="1" t="s">
        <v>72</v>
      </c>
      <c r="Y211" t="s">
        <v>88</v>
      </c>
      <c r="Z211">
        <v>0</v>
      </c>
      <c r="AA211">
        <v>0</v>
      </c>
      <c r="AD211">
        <v>0</v>
      </c>
      <c r="AE211">
        <v>0</v>
      </c>
      <c r="AH211" t="s">
        <v>73</v>
      </c>
      <c r="AI211" t="s">
        <v>318</v>
      </c>
      <c r="AJ211" t="s">
        <v>319</v>
      </c>
      <c r="AK211" t="s">
        <v>76</v>
      </c>
      <c r="AN211" t="s">
        <v>77</v>
      </c>
      <c r="AO211" t="s">
        <v>320</v>
      </c>
      <c r="AP211" t="s">
        <v>712</v>
      </c>
      <c r="AQ211" t="s">
        <v>322</v>
      </c>
      <c r="AS211" t="b">
        <v>1</v>
      </c>
      <c r="AT211" t="s">
        <v>65</v>
      </c>
      <c r="AU211">
        <v>0</v>
      </c>
      <c r="AV211">
        <v>0</v>
      </c>
      <c r="AX211">
        <v>39</v>
      </c>
      <c r="AY211" t="s">
        <v>81</v>
      </c>
      <c r="AZ211" t="s">
        <v>90</v>
      </c>
      <c r="BB211" t="s">
        <v>91</v>
      </c>
      <c r="BC211" t="s">
        <v>92</v>
      </c>
      <c r="BD211" t="b">
        <v>0</v>
      </c>
      <c r="BE211" t="b">
        <v>0</v>
      </c>
      <c r="BF211" t="b">
        <v>0</v>
      </c>
      <c r="BG211" t="b">
        <v>0</v>
      </c>
      <c r="BH211" t="b">
        <v>0</v>
      </c>
      <c r="BI211" t="b">
        <v>0</v>
      </c>
      <c r="BJ211" t="b">
        <v>0</v>
      </c>
      <c r="BK211" t="b">
        <v>0</v>
      </c>
      <c r="BL211" t="b">
        <v>0</v>
      </c>
      <c r="BM211" t="b">
        <v>0</v>
      </c>
      <c r="BN211" t="b">
        <v>0</v>
      </c>
      <c r="BO211" t="b">
        <v>0</v>
      </c>
      <c r="BP211" t="b">
        <v>0</v>
      </c>
      <c r="BR211" t="str">
        <f>IFERROR(IF(M211="PASSED",VLOOKUP(J211,Current!$J$1:$N$500,1,FALSE)),N211)</f>
        <v>"1.0210 - MSWRK - Ensure Enable Structured Exception Handling Overwrite Protection (SEHOP) is set to Enabled: [PASSED]"
Windows includes support for Structured Exception Handling Overwrite Protection (SEHOP).
See Also:
See HTH Policies and Standards
Reference:
NIST 800-53r5|SI-16
Policy Value:
'0'
Actual Value:
'0'</v>
      </c>
    </row>
    <row r="212" spans="1:70" ht="15" hidden="1" customHeight="1" x14ac:dyDescent="0.25">
      <c r="A212">
        <v>21156</v>
      </c>
      <c r="C212">
        <v>0</v>
      </c>
      <c r="D212" t="s">
        <v>65</v>
      </c>
      <c r="E212" t="s">
        <v>66</v>
      </c>
      <c r="F212" t="s">
        <v>84</v>
      </c>
      <c r="G212">
        <v>0</v>
      </c>
      <c r="H212" t="s">
        <v>85</v>
      </c>
      <c r="I212" t="s">
        <v>86</v>
      </c>
      <c r="J212" t="str">
        <f>MID($N212,FIND("1.",$N212),FIND("-",$N212)-FIND("1.",$N212)-1)</f>
        <v>1.0211</v>
      </c>
      <c r="K212" t="str">
        <f t="shared" si="9"/>
        <v>Ensure NetBT NodeType configuration is set to Enabled</v>
      </c>
      <c r="L212" t="str">
        <f t="shared" si="10"/>
        <v>1.0211 - MSWRK - Ensure NetBT NodeType configuration is set to Enabled: P-node (recommended)</v>
      </c>
      <c r="M212" t="str">
        <f t="shared" si="11"/>
        <v>PASSED</v>
      </c>
      <c r="N212" s="1" t="s">
        <v>189</v>
      </c>
      <c r="O212" t="s">
        <v>67</v>
      </c>
      <c r="R212" t="s">
        <v>68</v>
      </c>
      <c r="T212" t="s">
        <v>69</v>
      </c>
      <c r="U212" t="s">
        <v>70</v>
      </c>
      <c r="W212" t="s">
        <v>71</v>
      </c>
      <c r="X212" s="1" t="s">
        <v>72</v>
      </c>
      <c r="Y212" t="s">
        <v>88</v>
      </c>
      <c r="Z212">
        <v>0</v>
      </c>
      <c r="AA212">
        <v>0</v>
      </c>
      <c r="AD212">
        <v>0</v>
      </c>
      <c r="AE212">
        <v>0</v>
      </c>
      <c r="AH212" t="s">
        <v>73</v>
      </c>
      <c r="AI212" t="s">
        <v>318</v>
      </c>
      <c r="AJ212" t="s">
        <v>319</v>
      </c>
      <c r="AK212" t="s">
        <v>76</v>
      </c>
      <c r="AN212" t="s">
        <v>77</v>
      </c>
      <c r="AO212" t="s">
        <v>320</v>
      </c>
      <c r="AP212" t="s">
        <v>404</v>
      </c>
      <c r="AQ212" t="s">
        <v>322</v>
      </c>
      <c r="AS212" t="b">
        <v>1</v>
      </c>
      <c r="AT212" t="s">
        <v>65</v>
      </c>
      <c r="AU212">
        <v>0</v>
      </c>
      <c r="AV212">
        <v>0</v>
      </c>
      <c r="AX212">
        <v>39</v>
      </c>
      <c r="AY212" t="s">
        <v>81</v>
      </c>
      <c r="AZ212" t="s">
        <v>90</v>
      </c>
      <c r="BB212" t="s">
        <v>91</v>
      </c>
      <c r="BC212" t="s">
        <v>92</v>
      </c>
      <c r="BD212" t="b">
        <v>0</v>
      </c>
      <c r="BE212" t="b">
        <v>0</v>
      </c>
      <c r="BF212" t="b">
        <v>0</v>
      </c>
      <c r="BG212" t="b">
        <v>0</v>
      </c>
      <c r="BH212" t="b">
        <v>0</v>
      </c>
      <c r="BI212" t="b">
        <v>0</v>
      </c>
      <c r="BJ212" t="b">
        <v>0</v>
      </c>
      <c r="BK212" t="b">
        <v>0</v>
      </c>
      <c r="BL212" t="b">
        <v>0</v>
      </c>
      <c r="BM212" t="b">
        <v>0</v>
      </c>
      <c r="BN212" t="b">
        <v>0</v>
      </c>
      <c r="BO212" t="b">
        <v>0</v>
      </c>
      <c r="BP212" t="b">
        <v>0</v>
      </c>
      <c r="BR212" t="str">
        <f>IFERROR(IF(M212="PASSED",VLOOKUP(J212,Current!$J$1:$N$500,1,FALSE)),N212)</f>
        <v>1.0211</v>
      </c>
    </row>
    <row r="213" spans="1:70" ht="15" customHeight="1" x14ac:dyDescent="0.25">
      <c r="A213">
        <v>21156</v>
      </c>
      <c r="C213">
        <v>0</v>
      </c>
      <c r="D213" t="s">
        <v>65</v>
      </c>
      <c r="E213" t="s">
        <v>66</v>
      </c>
      <c r="F213" t="s">
        <v>84</v>
      </c>
      <c r="G213">
        <v>0</v>
      </c>
      <c r="H213" t="s">
        <v>85</v>
      </c>
      <c r="I213" t="s">
        <v>86</v>
      </c>
      <c r="J213" t="str">
        <f>MID($N213,FIND("1.",$N213),FIND("-",$N213)-FIND("1.",$N213)-1)</f>
        <v>1.0212</v>
      </c>
      <c r="K213" t="str">
        <f t="shared" si="9"/>
        <v>Ensure WDigest Authentication is set to Disabled</v>
      </c>
      <c r="L213" t="str">
        <f t="shared" si="10"/>
        <v>1.0212 - MSWRK - Ensure WDigest Authentication is set to Disabled</v>
      </c>
      <c r="M213" t="str">
        <f t="shared" si="11"/>
        <v>PASSED</v>
      </c>
      <c r="N213" s="1" t="s">
        <v>760</v>
      </c>
      <c r="O213" t="s">
        <v>67</v>
      </c>
      <c r="R213" t="s">
        <v>68</v>
      </c>
      <c r="T213" t="s">
        <v>69</v>
      </c>
      <c r="U213" t="s">
        <v>70</v>
      </c>
      <c r="W213" t="s">
        <v>71</v>
      </c>
      <c r="X213" s="1" t="s">
        <v>72</v>
      </c>
      <c r="Y213" t="s">
        <v>88</v>
      </c>
      <c r="Z213">
        <v>0</v>
      </c>
      <c r="AA213">
        <v>0</v>
      </c>
      <c r="AD213">
        <v>0</v>
      </c>
      <c r="AE213">
        <v>0</v>
      </c>
      <c r="AH213" t="s">
        <v>73</v>
      </c>
      <c r="AI213" t="s">
        <v>318</v>
      </c>
      <c r="AJ213" t="s">
        <v>319</v>
      </c>
      <c r="AK213" t="s">
        <v>76</v>
      </c>
      <c r="AN213" t="s">
        <v>77</v>
      </c>
      <c r="AO213" t="s">
        <v>320</v>
      </c>
      <c r="AP213" t="s">
        <v>761</v>
      </c>
      <c r="AQ213" t="s">
        <v>322</v>
      </c>
      <c r="AS213" t="b">
        <v>1</v>
      </c>
      <c r="AT213" t="s">
        <v>65</v>
      </c>
      <c r="AU213">
        <v>0</v>
      </c>
      <c r="AV213">
        <v>0</v>
      </c>
      <c r="AX213">
        <v>39</v>
      </c>
      <c r="AY213" t="s">
        <v>81</v>
      </c>
      <c r="AZ213" t="s">
        <v>90</v>
      </c>
      <c r="BB213" t="s">
        <v>91</v>
      </c>
      <c r="BC213" t="s">
        <v>92</v>
      </c>
      <c r="BD213" t="b">
        <v>0</v>
      </c>
      <c r="BE213" t="b">
        <v>0</v>
      </c>
      <c r="BF213" t="b">
        <v>0</v>
      </c>
      <c r="BG213" t="b">
        <v>0</v>
      </c>
      <c r="BH213" t="b">
        <v>0</v>
      </c>
      <c r="BI213" t="b">
        <v>0</v>
      </c>
      <c r="BJ213" t="b">
        <v>0</v>
      </c>
      <c r="BK213" t="b">
        <v>0</v>
      </c>
      <c r="BL213" t="b">
        <v>0</v>
      </c>
      <c r="BM213" t="b">
        <v>0</v>
      </c>
      <c r="BN213" t="b">
        <v>0</v>
      </c>
      <c r="BO213" t="b">
        <v>0</v>
      </c>
      <c r="BP213" t="b">
        <v>0</v>
      </c>
      <c r="BR213" t="str">
        <f>IFERROR(IF(M213="PASSED",VLOOKUP(J213,Current!$J$1:$N$500,1,FALSE)),N213)</f>
        <v>"1.0212 - MSWRK - Ensure WDigest Authentication is set to Disabled: [PASSED]"
When WDigest authentication is enabled, Lsass.
See Also:
See HTH Policies and Standards
Reference:
NIST 800-53r5|IA-5(1) SC-28 SC-28(1)
Policy Value:
'0'
Actual Value:
'0'</v>
      </c>
    </row>
    <row r="214" spans="1:70" ht="15" customHeight="1" x14ac:dyDescent="0.25">
      <c r="A214">
        <v>21156</v>
      </c>
      <c r="C214">
        <v>0</v>
      </c>
      <c r="D214" t="s">
        <v>65</v>
      </c>
      <c r="E214" t="s">
        <v>66</v>
      </c>
      <c r="F214" t="s">
        <v>84</v>
      </c>
      <c r="G214">
        <v>0</v>
      </c>
      <c r="H214" t="s">
        <v>85</v>
      </c>
      <c r="I214" t="s">
        <v>86</v>
      </c>
      <c r="J214" t="str">
        <f>MID($N214,FIND("1.",$N214),FIND("-",$N214)-FIND("1.",$N214)-1)</f>
        <v>1.0213</v>
      </c>
      <c r="K214" t="str">
        <f t="shared" si="9"/>
        <v>Ensure AutoAdminLogon is Windows</v>
      </c>
      <c r="L214" t="str">
        <f t="shared" si="10"/>
        <v>1.0213 - MSWRK - Ensure AutoAdminLogon is Windows: Registry Value to 0</v>
      </c>
      <c r="M214" t="str">
        <f t="shared" si="11"/>
        <v>PASSED</v>
      </c>
      <c r="N214" s="1" t="s">
        <v>798</v>
      </c>
      <c r="O214" t="s">
        <v>67</v>
      </c>
      <c r="R214" t="s">
        <v>68</v>
      </c>
      <c r="T214" t="s">
        <v>69</v>
      </c>
      <c r="U214" t="s">
        <v>70</v>
      </c>
      <c r="W214" t="s">
        <v>71</v>
      </c>
      <c r="X214" s="1" t="s">
        <v>72</v>
      </c>
      <c r="Y214" t="s">
        <v>88</v>
      </c>
      <c r="Z214">
        <v>0</v>
      </c>
      <c r="AA214">
        <v>0</v>
      </c>
      <c r="AD214">
        <v>0</v>
      </c>
      <c r="AE214">
        <v>0</v>
      </c>
      <c r="AH214" t="s">
        <v>73</v>
      </c>
      <c r="AI214" t="s">
        <v>318</v>
      </c>
      <c r="AJ214" t="s">
        <v>319</v>
      </c>
      <c r="AK214" t="s">
        <v>76</v>
      </c>
      <c r="AN214" t="s">
        <v>77</v>
      </c>
      <c r="AO214" t="s">
        <v>320</v>
      </c>
      <c r="AP214" t="s">
        <v>797</v>
      </c>
      <c r="AQ214" t="s">
        <v>322</v>
      </c>
      <c r="AS214" t="b">
        <v>1</v>
      </c>
      <c r="AT214" t="s">
        <v>65</v>
      </c>
      <c r="AU214">
        <v>0</v>
      </c>
      <c r="AV214">
        <v>0</v>
      </c>
      <c r="AX214">
        <v>39</v>
      </c>
      <c r="AY214" t="s">
        <v>81</v>
      </c>
      <c r="AZ214" t="s">
        <v>90</v>
      </c>
      <c r="BB214" t="s">
        <v>91</v>
      </c>
      <c r="BC214" t="s">
        <v>92</v>
      </c>
      <c r="BD214" t="b">
        <v>0</v>
      </c>
      <c r="BE214" t="b">
        <v>0</v>
      </c>
      <c r="BF214" t="b">
        <v>0</v>
      </c>
      <c r="BG214" t="b">
        <v>0</v>
      </c>
      <c r="BH214" t="b">
        <v>0</v>
      </c>
      <c r="BI214" t="b">
        <v>0</v>
      </c>
      <c r="BJ214" t="b">
        <v>0</v>
      </c>
      <c r="BK214" t="b">
        <v>0</v>
      </c>
      <c r="BL214" t="b">
        <v>0</v>
      </c>
      <c r="BM214" t="b">
        <v>0</v>
      </c>
      <c r="BN214" t="b">
        <v>0</v>
      </c>
      <c r="BO214" t="b">
        <v>0</v>
      </c>
      <c r="BP214" t="b">
        <v>0</v>
      </c>
      <c r="BR214" t="str">
        <f>IFERROR(IF(M214="PASSED",VLOOKUP(J214,Current!$J$1:$N$500,1,FALSE)),N214)</f>
        <v>"1.0213 - MSWRK - Ensure AutoAdminLogon is Windows: Registry Value to 0: [PASSED]"
Policy Value:
'0'
Actual Value:
'0'</v>
      </c>
    </row>
    <row r="215" spans="1:70" ht="15" customHeight="1" x14ac:dyDescent="0.25">
      <c r="A215">
        <v>21156</v>
      </c>
      <c r="C215">
        <v>0</v>
      </c>
      <c r="D215" t="s">
        <v>65</v>
      </c>
      <c r="E215" t="s">
        <v>66</v>
      </c>
      <c r="F215" t="s">
        <v>84</v>
      </c>
      <c r="G215">
        <v>0</v>
      </c>
      <c r="H215" t="s">
        <v>85</v>
      </c>
      <c r="I215" t="s">
        <v>86</v>
      </c>
      <c r="J215" t="str">
        <f>MID($N215,FIND("1.",$N215),FIND("-",$N215)-FIND("1.",$N215)-1)</f>
        <v>1.0214</v>
      </c>
      <c r="K215" t="str">
        <f t="shared" si="9"/>
        <v>Ensure DefaultPassword does not exist</v>
      </c>
      <c r="L215" t="str">
        <f t="shared" si="10"/>
        <v>1.0214 - MSWRK - Ensure DefaultPassword does not exist</v>
      </c>
      <c r="M215" t="str">
        <f t="shared" si="11"/>
        <v>PASSED</v>
      </c>
      <c r="N215" s="1" t="s">
        <v>354</v>
      </c>
      <c r="O215" t="s">
        <v>67</v>
      </c>
      <c r="R215" t="s">
        <v>68</v>
      </c>
      <c r="T215" t="s">
        <v>69</v>
      </c>
      <c r="U215" t="s">
        <v>70</v>
      </c>
      <c r="W215" t="s">
        <v>71</v>
      </c>
      <c r="X215" s="1" t="s">
        <v>72</v>
      </c>
      <c r="Y215" t="s">
        <v>88</v>
      </c>
      <c r="Z215">
        <v>0</v>
      </c>
      <c r="AA215">
        <v>0</v>
      </c>
      <c r="AD215">
        <v>0</v>
      </c>
      <c r="AE215">
        <v>0</v>
      </c>
      <c r="AH215" t="s">
        <v>73</v>
      </c>
      <c r="AI215" t="s">
        <v>318</v>
      </c>
      <c r="AJ215" t="s">
        <v>319</v>
      </c>
      <c r="AK215" t="s">
        <v>76</v>
      </c>
      <c r="AN215" t="s">
        <v>77</v>
      </c>
      <c r="AO215" t="s">
        <v>320</v>
      </c>
      <c r="AP215" t="s">
        <v>353</v>
      </c>
      <c r="AQ215" t="s">
        <v>322</v>
      </c>
      <c r="AS215" t="b">
        <v>1</v>
      </c>
      <c r="AT215" t="s">
        <v>65</v>
      </c>
      <c r="AU215">
        <v>0</v>
      </c>
      <c r="AV215">
        <v>0</v>
      </c>
      <c r="AX215">
        <v>39</v>
      </c>
      <c r="AY215" t="s">
        <v>81</v>
      </c>
      <c r="AZ215" t="s">
        <v>90</v>
      </c>
      <c r="BB215" t="s">
        <v>91</v>
      </c>
      <c r="BC215" t="s">
        <v>92</v>
      </c>
      <c r="BD215" t="b">
        <v>0</v>
      </c>
      <c r="BE215" t="b">
        <v>0</v>
      </c>
      <c r="BF215" t="b">
        <v>0</v>
      </c>
      <c r="BG215" t="b">
        <v>0</v>
      </c>
      <c r="BH215" t="b">
        <v>0</v>
      </c>
      <c r="BI215" t="b">
        <v>0</v>
      </c>
      <c r="BJ215" t="b">
        <v>0</v>
      </c>
      <c r="BK215" t="b">
        <v>0</v>
      </c>
      <c r="BL215" t="b">
        <v>0</v>
      </c>
      <c r="BM215" t="b">
        <v>0</v>
      </c>
      <c r="BN215" t="b">
        <v>0</v>
      </c>
      <c r="BO215" t="b">
        <v>0</v>
      </c>
      <c r="BP215" t="b">
        <v>0</v>
      </c>
      <c r="BR215" t="str">
        <f>IFERROR(IF(M215="PASSED",VLOOKUP(J215,Current!$J$1:$N$500,1,FALSE)),N215)</f>
        <v>"1.0214 - MSWRK - Ensure DefaultPassword does not exist: [PASSED]"
Policy Value:
'NOT_FOUND'
Actual Value:
'NOT_FOUND'</v>
      </c>
    </row>
    <row r="216" spans="1:70" ht="15" customHeight="1" x14ac:dyDescent="0.25">
      <c r="A216">
        <v>21156</v>
      </c>
      <c r="C216">
        <v>0</v>
      </c>
      <c r="D216" t="s">
        <v>65</v>
      </c>
      <c r="E216" t="s">
        <v>66</v>
      </c>
      <c r="F216" t="s">
        <v>84</v>
      </c>
      <c r="G216">
        <v>0</v>
      </c>
      <c r="H216" t="s">
        <v>85</v>
      </c>
      <c r="I216" t="s">
        <v>86</v>
      </c>
      <c r="J216" t="str">
        <f>MID($N216,FIND("1.",$N216),FIND("-",$N216)-FIND("1.",$N216)-1)</f>
        <v>1.0215</v>
      </c>
      <c r="K216" t="str">
        <f t="shared" si="9"/>
        <v>Ensure MSS: (WarningLevel) Percentage threshold for the security event log at which the system will generate a warning is set to Enabled</v>
      </c>
      <c r="L216" t="str">
        <f t="shared" si="10"/>
        <v>1.0215 - MSWRK - Ensure MSS: (WarningLevel) Percentage threshold for the security event log at which the system will generate a warning is set to Enabled: 90% or less</v>
      </c>
      <c r="M216" t="str">
        <f t="shared" si="11"/>
        <v>PASSED</v>
      </c>
      <c r="N216" s="1" t="s">
        <v>409</v>
      </c>
      <c r="O216" t="s">
        <v>67</v>
      </c>
      <c r="R216" t="s">
        <v>68</v>
      </c>
      <c r="T216" t="s">
        <v>69</v>
      </c>
      <c r="U216" t="s">
        <v>70</v>
      </c>
      <c r="W216" t="s">
        <v>71</v>
      </c>
      <c r="X216" s="1" t="s">
        <v>72</v>
      </c>
      <c r="Y216" t="s">
        <v>88</v>
      </c>
      <c r="Z216">
        <v>0</v>
      </c>
      <c r="AA216">
        <v>0</v>
      </c>
      <c r="AD216">
        <v>0</v>
      </c>
      <c r="AE216">
        <v>0</v>
      </c>
      <c r="AH216" t="s">
        <v>73</v>
      </c>
      <c r="AI216" t="s">
        <v>318</v>
      </c>
      <c r="AJ216" t="s">
        <v>319</v>
      </c>
      <c r="AK216" t="s">
        <v>76</v>
      </c>
      <c r="AN216" t="s">
        <v>77</v>
      </c>
      <c r="AO216" t="s">
        <v>320</v>
      </c>
      <c r="AP216" t="s">
        <v>410</v>
      </c>
      <c r="AQ216" t="s">
        <v>322</v>
      </c>
      <c r="AS216" t="b">
        <v>1</v>
      </c>
      <c r="AT216" t="s">
        <v>65</v>
      </c>
      <c r="AU216">
        <v>0</v>
      </c>
      <c r="AV216">
        <v>0</v>
      </c>
      <c r="AX216">
        <v>39</v>
      </c>
      <c r="AY216" t="s">
        <v>81</v>
      </c>
      <c r="AZ216" t="s">
        <v>90</v>
      </c>
      <c r="BB216" t="s">
        <v>91</v>
      </c>
      <c r="BC216" t="s">
        <v>92</v>
      </c>
      <c r="BD216" t="b">
        <v>0</v>
      </c>
      <c r="BE216" t="b">
        <v>0</v>
      </c>
      <c r="BF216" t="b">
        <v>0</v>
      </c>
      <c r="BG216" t="b">
        <v>0</v>
      </c>
      <c r="BH216" t="b">
        <v>0</v>
      </c>
      <c r="BI216" t="b">
        <v>0</v>
      </c>
      <c r="BJ216" t="b">
        <v>0</v>
      </c>
      <c r="BK216" t="b">
        <v>0</v>
      </c>
      <c r="BL216" t="b">
        <v>0</v>
      </c>
      <c r="BM216" t="b">
        <v>0</v>
      </c>
      <c r="BN216" t="b">
        <v>0</v>
      </c>
      <c r="BO216" t="b">
        <v>0</v>
      </c>
      <c r="BP216" t="b">
        <v>0</v>
      </c>
      <c r="BR216" t="str">
        <f>IFERROR(IF(M216="PASSED",VLOOKUP(J216,Current!$J$1:$N$500,1,FALSE)),N216)</f>
        <v>"1.0215 - MSWRK - Ensure MSS: (WarningLevel) Percentage threshold for the security event log at which the system will generate a warning is set to Enabled: 90% or less: [PASSED]"
This setting can generate a security audit in the Security event log when the log reaches a user-defined threshold.
See Also:
See HTH Policies and Standards
Reference:
NIST 800-53r5|AU-4
Policy Value:
'^(1|2|3|4|5|6|7|8|9|10|11|12|13|14|15|16|17|18|19|20|21|22|23|24|25|26|27|28|29|30|31|32|33|34|35|36|37|38|39|40|41|42|43|44|45|46|47|48|49|50|51|52|53|54|55|56|57|58|59|60|61|62|63|64|65|66|67|68|69|70|71|72|73|74|75|76|77|78|79|80|81|82|83|84|85|86|87|88|89|90)$'
Actual Value:
'90'</v>
      </c>
    </row>
    <row r="217" spans="1:70" ht="15" hidden="1" customHeight="1" x14ac:dyDescent="0.25">
      <c r="A217">
        <v>21156</v>
      </c>
      <c r="C217">
        <v>0</v>
      </c>
      <c r="D217" t="s">
        <v>65</v>
      </c>
      <c r="E217" t="s">
        <v>66</v>
      </c>
      <c r="F217" t="s">
        <v>84</v>
      </c>
      <c r="G217">
        <v>0</v>
      </c>
      <c r="H217" t="s">
        <v>85</v>
      </c>
      <c r="I217" t="s">
        <v>86</v>
      </c>
      <c r="J217" t="str">
        <f>MID($N217,FIND("1.",$N217),FIND("-",$N217)-FIND("1.",$N217)-1)</f>
        <v>1.0216</v>
      </c>
      <c r="K217" t="str">
        <f t="shared" si="9"/>
        <v>Ensure MSS: (DisableIPSourceRouting IPv6) IP source routing protection level is set to Enabled</v>
      </c>
      <c r="L217" t="str">
        <f t="shared" si="10"/>
        <v>1.0216 - MSWRK - Ensure MSS: (DisableIPSourceRouting IPv6) IP source routing protection level is set to Enabled: Highest protection, source routing is completely disabled - Parameters</v>
      </c>
      <c r="M217" t="str">
        <f t="shared" si="11"/>
        <v>PASSED</v>
      </c>
      <c r="N217" s="1" t="s">
        <v>300</v>
      </c>
      <c r="O217" t="s">
        <v>67</v>
      </c>
      <c r="R217" t="s">
        <v>68</v>
      </c>
      <c r="T217" t="s">
        <v>69</v>
      </c>
      <c r="U217" t="s">
        <v>70</v>
      </c>
      <c r="W217" t="s">
        <v>71</v>
      </c>
      <c r="X217" s="1" t="s">
        <v>72</v>
      </c>
      <c r="Y217" t="s">
        <v>88</v>
      </c>
      <c r="Z217">
        <v>0</v>
      </c>
      <c r="AA217">
        <v>0</v>
      </c>
      <c r="AD217">
        <v>0</v>
      </c>
      <c r="AE217">
        <v>0</v>
      </c>
      <c r="AH217" t="s">
        <v>73</v>
      </c>
      <c r="AI217" t="s">
        <v>318</v>
      </c>
      <c r="AJ217" t="s">
        <v>319</v>
      </c>
      <c r="AK217" t="s">
        <v>76</v>
      </c>
      <c r="AN217" t="s">
        <v>77</v>
      </c>
      <c r="AO217" t="s">
        <v>320</v>
      </c>
      <c r="AP217" t="s">
        <v>815</v>
      </c>
      <c r="AQ217" t="s">
        <v>322</v>
      </c>
      <c r="AS217" t="b">
        <v>1</v>
      </c>
      <c r="AT217" t="s">
        <v>65</v>
      </c>
      <c r="AU217">
        <v>0</v>
      </c>
      <c r="AV217">
        <v>0</v>
      </c>
      <c r="AX217">
        <v>39</v>
      </c>
      <c r="AY217" t="s">
        <v>81</v>
      </c>
      <c r="AZ217" t="s">
        <v>90</v>
      </c>
      <c r="BB217" t="s">
        <v>91</v>
      </c>
      <c r="BC217" t="s">
        <v>92</v>
      </c>
      <c r="BD217" t="b">
        <v>0</v>
      </c>
      <c r="BE217" t="b">
        <v>0</v>
      </c>
      <c r="BF217" t="b">
        <v>0</v>
      </c>
      <c r="BG217" t="b">
        <v>0</v>
      </c>
      <c r="BH217" t="b">
        <v>0</v>
      </c>
      <c r="BI217" t="b">
        <v>0</v>
      </c>
      <c r="BJ217" t="b">
        <v>0</v>
      </c>
      <c r="BK217" t="b">
        <v>0</v>
      </c>
      <c r="BL217" t="b">
        <v>0</v>
      </c>
      <c r="BM217" t="b">
        <v>0</v>
      </c>
      <c r="BN217" t="b">
        <v>0</v>
      </c>
      <c r="BO217" t="b">
        <v>0</v>
      </c>
      <c r="BP217" t="b">
        <v>0</v>
      </c>
      <c r="BR217" t="str">
        <f>IFERROR(IF(M217="PASSED",VLOOKUP(J217,Current!$J$1:$N$500,1,FALSE)),N217)</f>
        <v>1.0216</v>
      </c>
    </row>
    <row r="218" spans="1:70" ht="15" hidden="1" customHeight="1" x14ac:dyDescent="0.25">
      <c r="A218">
        <v>21156</v>
      </c>
      <c r="C218">
        <v>0</v>
      </c>
      <c r="D218" t="s">
        <v>65</v>
      </c>
      <c r="E218" t="s">
        <v>66</v>
      </c>
      <c r="F218" t="s">
        <v>84</v>
      </c>
      <c r="G218">
        <v>0</v>
      </c>
      <c r="H218" t="s">
        <v>85</v>
      </c>
      <c r="I218" t="s">
        <v>86</v>
      </c>
      <c r="J218" t="str">
        <f>MID($N218,FIND("1.",$N218),FIND("-",$N218)-FIND("1.",$N218)-1)</f>
        <v>1.0217</v>
      </c>
      <c r="K218" t="str">
        <f t="shared" si="9"/>
        <v>Ensure MSS: (DisableIPSourceRouting) IP source routing protection level is set to Enabled</v>
      </c>
      <c r="L218" t="str">
        <f t="shared" si="10"/>
        <v>1.0217 - MSWRK - Ensure MSS: (DisableIPSourceRouting) IP source routing protection level is set to Enabled: Highest protection, source routing is completely disabled - Parameters</v>
      </c>
      <c r="M218" t="str">
        <f t="shared" si="11"/>
        <v>PASSED</v>
      </c>
      <c r="N218" s="1" t="s">
        <v>137</v>
      </c>
      <c r="O218" t="s">
        <v>67</v>
      </c>
      <c r="R218" t="s">
        <v>68</v>
      </c>
      <c r="T218" t="s">
        <v>69</v>
      </c>
      <c r="U218" t="s">
        <v>70</v>
      </c>
      <c r="W218" t="s">
        <v>71</v>
      </c>
      <c r="X218" s="1" t="s">
        <v>72</v>
      </c>
      <c r="Y218" t="s">
        <v>88</v>
      </c>
      <c r="Z218">
        <v>0</v>
      </c>
      <c r="AA218">
        <v>0</v>
      </c>
      <c r="AD218">
        <v>0</v>
      </c>
      <c r="AE218">
        <v>0</v>
      </c>
      <c r="AH218" t="s">
        <v>73</v>
      </c>
      <c r="AI218" t="s">
        <v>318</v>
      </c>
      <c r="AJ218" t="s">
        <v>319</v>
      </c>
      <c r="AK218" t="s">
        <v>76</v>
      </c>
      <c r="AN218" t="s">
        <v>77</v>
      </c>
      <c r="AO218" t="s">
        <v>320</v>
      </c>
      <c r="AP218" t="s">
        <v>686</v>
      </c>
      <c r="AQ218" t="s">
        <v>322</v>
      </c>
      <c r="AS218" t="b">
        <v>1</v>
      </c>
      <c r="AT218" t="s">
        <v>65</v>
      </c>
      <c r="AU218">
        <v>0</v>
      </c>
      <c r="AV218">
        <v>0</v>
      </c>
      <c r="AX218">
        <v>39</v>
      </c>
      <c r="AY218" t="s">
        <v>81</v>
      </c>
      <c r="AZ218" t="s">
        <v>90</v>
      </c>
      <c r="BB218" t="s">
        <v>91</v>
      </c>
      <c r="BC218" t="s">
        <v>92</v>
      </c>
      <c r="BD218" t="b">
        <v>0</v>
      </c>
      <c r="BE218" t="b">
        <v>0</v>
      </c>
      <c r="BF218" t="b">
        <v>0</v>
      </c>
      <c r="BG218" t="b">
        <v>0</v>
      </c>
      <c r="BH218" t="b">
        <v>0</v>
      </c>
      <c r="BI218" t="b">
        <v>0</v>
      </c>
      <c r="BJ218" t="b">
        <v>0</v>
      </c>
      <c r="BK218" t="b">
        <v>0</v>
      </c>
      <c r="BL218" t="b">
        <v>0</v>
      </c>
      <c r="BM218" t="b">
        <v>0</v>
      </c>
      <c r="BN218" t="b">
        <v>0</v>
      </c>
      <c r="BO218" t="b">
        <v>0</v>
      </c>
      <c r="BP218" t="b">
        <v>0</v>
      </c>
      <c r="BR218" t="str">
        <f>IFERROR(IF(M218="PASSED",VLOOKUP(J218,Current!$J$1:$N$500,1,FALSE)),N218)</f>
        <v>1.0217</v>
      </c>
    </row>
    <row r="219" spans="1:70" ht="15" customHeight="1" x14ac:dyDescent="0.25">
      <c r="A219">
        <v>21156</v>
      </c>
      <c r="C219">
        <v>0</v>
      </c>
      <c r="D219" t="s">
        <v>65</v>
      </c>
      <c r="E219" t="s">
        <v>66</v>
      </c>
      <c r="F219" t="s">
        <v>84</v>
      </c>
      <c r="G219">
        <v>0</v>
      </c>
      <c r="H219" t="s">
        <v>85</v>
      </c>
      <c r="I219" t="s">
        <v>86</v>
      </c>
      <c r="J219" t="str">
        <f>MID($N219,FIND("1.",$N219),FIND("-",$N219)-FIND("1.",$N219)-1)</f>
        <v>1.0218</v>
      </c>
      <c r="K219" t="str">
        <f t="shared" si="9"/>
        <v>Ensure MSS: (EnableICMPRedirect) Allow ICMP redirects to override OSPF generated routes is set to Disabled</v>
      </c>
      <c r="L219" t="str">
        <f t="shared" si="10"/>
        <v>1.0218 - MSWRK - Ensure MSS: (EnableICMPRedirect) Allow ICMP redirects to override OSPF generated routes is set to Disabled</v>
      </c>
      <c r="M219" t="str">
        <f t="shared" si="11"/>
        <v>PASSED</v>
      </c>
      <c r="N219" s="1" t="s">
        <v>671</v>
      </c>
      <c r="O219" t="s">
        <v>67</v>
      </c>
      <c r="R219" t="s">
        <v>68</v>
      </c>
      <c r="T219" t="s">
        <v>69</v>
      </c>
      <c r="U219" t="s">
        <v>70</v>
      </c>
      <c r="W219" t="s">
        <v>71</v>
      </c>
      <c r="X219" s="1" t="s">
        <v>72</v>
      </c>
      <c r="Y219" t="s">
        <v>88</v>
      </c>
      <c r="Z219">
        <v>0</v>
      </c>
      <c r="AA219">
        <v>0</v>
      </c>
      <c r="AD219">
        <v>0</v>
      </c>
      <c r="AE219">
        <v>0</v>
      </c>
      <c r="AH219" t="s">
        <v>73</v>
      </c>
      <c r="AI219" t="s">
        <v>318</v>
      </c>
      <c r="AJ219" t="s">
        <v>319</v>
      </c>
      <c r="AK219" t="s">
        <v>76</v>
      </c>
      <c r="AN219" t="s">
        <v>77</v>
      </c>
      <c r="AO219" t="s">
        <v>320</v>
      </c>
      <c r="AP219" t="s">
        <v>670</v>
      </c>
      <c r="AQ219" t="s">
        <v>322</v>
      </c>
      <c r="AS219" t="b">
        <v>1</v>
      </c>
      <c r="AT219" t="s">
        <v>65</v>
      </c>
      <c r="AU219">
        <v>0</v>
      </c>
      <c r="AV219">
        <v>0</v>
      </c>
      <c r="AX219">
        <v>39</v>
      </c>
      <c r="AY219" t="s">
        <v>81</v>
      </c>
      <c r="AZ219" t="s">
        <v>90</v>
      </c>
      <c r="BB219" t="s">
        <v>91</v>
      </c>
      <c r="BC219" t="s">
        <v>92</v>
      </c>
      <c r="BD219" t="b">
        <v>0</v>
      </c>
      <c r="BE219" t="b">
        <v>0</v>
      </c>
      <c r="BF219" t="b">
        <v>0</v>
      </c>
      <c r="BG219" t="b">
        <v>0</v>
      </c>
      <c r="BH219" t="b">
        <v>0</v>
      </c>
      <c r="BI219" t="b">
        <v>0</v>
      </c>
      <c r="BJ219" t="b">
        <v>0</v>
      </c>
      <c r="BK219" t="b">
        <v>0</v>
      </c>
      <c r="BL219" t="b">
        <v>0</v>
      </c>
      <c r="BM219" t="b">
        <v>0</v>
      </c>
      <c r="BN219" t="b">
        <v>0</v>
      </c>
      <c r="BO219" t="b">
        <v>0</v>
      </c>
      <c r="BP219" t="b">
        <v>0</v>
      </c>
      <c r="BR219" t="str">
        <f>IFERROR(IF(M219="PASSED",VLOOKUP(J219,Current!$J$1:$N$500,1,FALSE)),N219)</f>
        <v>"1.0218 - MSWRK - Ensure MSS: (EnableICMPRedirect) Allow ICMP redirects to override OSPF generated routes is set to Disabled: [PASSED]"
Internet Control Message Protocol (ICMP) redirects cause the IPv4 stack to plumb host routes.
See Also:
See HTH Policies and Standards
Reference:
NIST 800-53r5|CM-1 CM-2 CM-6 CM-7 CM-7(1) CM-9 SA-3 SA-8 SA-10
Policy Value:
'0'
Actual Value:
'0'</v>
      </c>
    </row>
    <row r="220" spans="1:70" ht="15" customHeight="1" x14ac:dyDescent="0.25">
      <c r="A220">
        <v>21156</v>
      </c>
      <c r="C220">
        <v>0</v>
      </c>
      <c r="D220" t="s">
        <v>65</v>
      </c>
      <c r="E220" t="s">
        <v>66</v>
      </c>
      <c r="F220" t="s">
        <v>84</v>
      </c>
      <c r="G220">
        <v>0</v>
      </c>
      <c r="H220" t="s">
        <v>85</v>
      </c>
      <c r="I220" t="s">
        <v>86</v>
      </c>
      <c r="J220" t="str">
        <f>MID($N220,FIND("1.",$N220),FIND("-",$N220)-FIND("1.",$N220)-1)</f>
        <v>1.0219</v>
      </c>
      <c r="K220" t="str">
        <f t="shared" si="9"/>
        <v>Ensure MSS: (NoNameReleaseOnDemand) Allow the computer to ignore NetBIOS name release requests except from WINS servers is set to Enabled</v>
      </c>
      <c r="L220" t="str">
        <f t="shared" si="10"/>
        <v>1.0219 - MSWRK - Ensure MSS: (NoNameReleaseOnDemand) Allow the computer to ignore NetBIOS name release requests except from WINS servers is set to Enabled</v>
      </c>
      <c r="M220" t="str">
        <f t="shared" si="11"/>
        <v>PASSED</v>
      </c>
      <c r="N220" s="1" t="s">
        <v>792</v>
      </c>
      <c r="O220" t="s">
        <v>67</v>
      </c>
      <c r="R220" t="s">
        <v>68</v>
      </c>
      <c r="T220" t="s">
        <v>69</v>
      </c>
      <c r="U220" t="s">
        <v>70</v>
      </c>
      <c r="W220" t="s">
        <v>71</v>
      </c>
      <c r="X220" s="1" t="s">
        <v>72</v>
      </c>
      <c r="Y220" t="s">
        <v>88</v>
      </c>
      <c r="Z220">
        <v>0</v>
      </c>
      <c r="AA220">
        <v>0</v>
      </c>
      <c r="AD220">
        <v>0</v>
      </c>
      <c r="AE220">
        <v>0</v>
      </c>
      <c r="AH220" t="s">
        <v>73</v>
      </c>
      <c r="AI220" t="s">
        <v>318</v>
      </c>
      <c r="AJ220" t="s">
        <v>319</v>
      </c>
      <c r="AK220" t="s">
        <v>76</v>
      </c>
      <c r="AN220" t="s">
        <v>77</v>
      </c>
      <c r="AO220" t="s">
        <v>320</v>
      </c>
      <c r="AP220" t="s">
        <v>790</v>
      </c>
      <c r="AQ220" t="s">
        <v>322</v>
      </c>
      <c r="AS220" t="b">
        <v>1</v>
      </c>
      <c r="AT220" t="s">
        <v>65</v>
      </c>
      <c r="AU220">
        <v>0</v>
      </c>
      <c r="AV220">
        <v>0</v>
      </c>
      <c r="AX220">
        <v>39</v>
      </c>
      <c r="AY220" t="s">
        <v>81</v>
      </c>
      <c r="AZ220" t="s">
        <v>90</v>
      </c>
      <c r="BB220" t="s">
        <v>91</v>
      </c>
      <c r="BC220" t="s">
        <v>92</v>
      </c>
      <c r="BD220" t="b">
        <v>0</v>
      </c>
      <c r="BE220" t="b">
        <v>0</v>
      </c>
      <c r="BF220" t="b">
        <v>0</v>
      </c>
      <c r="BG220" t="b">
        <v>0</v>
      </c>
      <c r="BH220" t="b">
        <v>0</v>
      </c>
      <c r="BI220" t="b">
        <v>0</v>
      </c>
      <c r="BJ220" t="b">
        <v>0</v>
      </c>
      <c r="BK220" t="b">
        <v>0</v>
      </c>
      <c r="BL220" t="b">
        <v>0</v>
      </c>
      <c r="BM220" t="b">
        <v>0</v>
      </c>
      <c r="BN220" t="b">
        <v>0</v>
      </c>
      <c r="BO220" t="b">
        <v>0</v>
      </c>
      <c r="BP220" t="b">
        <v>0</v>
      </c>
      <c r="BR220" t="str">
        <f>IFERROR(IF(M220="PASSED",VLOOKUP(J220,Current!$J$1:$N$500,1,FALSE)),N220)</f>
        <v>"1.0219 - MSWRK - Ensure MSS: (NoNameReleaseOnDemand) Allow the computer to ignore NetBIOS name release requests except from WINS servers is set to Enabled: [PASSED]"
NetBIOS over TCP/IP is a network protocol that among other things provides a way to easily resolve NetBIOS names that are registered on Windows-based systems to the IP addresses that are configured on those systems.
See Also:
See HTH Policies and Standards
Reference:
NIST 800-53r5|AC-18 AC-18(1) AC-18(3) CM-2 CM-6 CM-7 CM-7(1) CM-9
Policy Value:
'1'
Actual Value:
'1'</v>
      </c>
    </row>
    <row r="221" spans="1:70" ht="15" customHeight="1" x14ac:dyDescent="0.25">
      <c r="A221">
        <v>21156</v>
      </c>
      <c r="C221">
        <v>0</v>
      </c>
      <c r="D221" t="s">
        <v>65</v>
      </c>
      <c r="E221" t="s">
        <v>66</v>
      </c>
      <c r="F221" t="s">
        <v>84</v>
      </c>
      <c r="G221">
        <v>0</v>
      </c>
      <c r="H221" t="s">
        <v>85</v>
      </c>
      <c r="I221" t="s">
        <v>86</v>
      </c>
      <c r="J221" t="str">
        <f>MID($N221,FIND("1.",$N221),FIND("-",$N221)-FIND("1.",$N221)-1)</f>
        <v>1.0220</v>
      </c>
      <c r="K221" t="str">
        <f t="shared" si="9"/>
        <v>Ensure MSS: (SafeDllSearchMode) Enable Safe DLL search mode is set to Enabled</v>
      </c>
      <c r="L221" t="str">
        <f t="shared" si="10"/>
        <v>1.0220 - MSWRK - Ensure MSS: (SafeDllSearchMode) Enable Safe DLL search mode is set to Enabled</v>
      </c>
      <c r="M221" t="str">
        <f t="shared" si="11"/>
        <v>PASSED</v>
      </c>
      <c r="N221" s="1" t="s">
        <v>438</v>
      </c>
      <c r="O221" t="s">
        <v>67</v>
      </c>
      <c r="R221" t="s">
        <v>68</v>
      </c>
      <c r="T221" t="s">
        <v>69</v>
      </c>
      <c r="U221" t="s">
        <v>70</v>
      </c>
      <c r="W221" t="s">
        <v>71</v>
      </c>
      <c r="X221" s="1" t="s">
        <v>72</v>
      </c>
      <c r="Y221" t="s">
        <v>88</v>
      </c>
      <c r="Z221">
        <v>0</v>
      </c>
      <c r="AA221">
        <v>0</v>
      </c>
      <c r="AD221">
        <v>0</v>
      </c>
      <c r="AE221">
        <v>0</v>
      </c>
      <c r="AH221" t="s">
        <v>73</v>
      </c>
      <c r="AI221" t="s">
        <v>318</v>
      </c>
      <c r="AJ221" t="s">
        <v>319</v>
      </c>
      <c r="AK221" t="s">
        <v>76</v>
      </c>
      <c r="AN221" t="s">
        <v>77</v>
      </c>
      <c r="AO221" t="s">
        <v>320</v>
      </c>
      <c r="AP221" t="s">
        <v>439</v>
      </c>
      <c r="AQ221" t="s">
        <v>322</v>
      </c>
      <c r="AS221" t="b">
        <v>1</v>
      </c>
      <c r="AT221" t="s">
        <v>65</v>
      </c>
      <c r="AU221">
        <v>0</v>
      </c>
      <c r="AV221">
        <v>0</v>
      </c>
      <c r="AX221">
        <v>39</v>
      </c>
      <c r="AY221" t="s">
        <v>81</v>
      </c>
      <c r="AZ221" t="s">
        <v>90</v>
      </c>
      <c r="BB221" t="s">
        <v>91</v>
      </c>
      <c r="BC221" t="s">
        <v>92</v>
      </c>
      <c r="BD221" t="b">
        <v>0</v>
      </c>
      <c r="BE221" t="b">
        <v>0</v>
      </c>
      <c r="BF221" t="b">
        <v>0</v>
      </c>
      <c r="BG221" t="b">
        <v>0</v>
      </c>
      <c r="BH221" t="b">
        <v>0</v>
      </c>
      <c r="BI221" t="b">
        <v>0</v>
      </c>
      <c r="BJ221" t="b">
        <v>0</v>
      </c>
      <c r="BK221" t="b">
        <v>0</v>
      </c>
      <c r="BL221" t="b">
        <v>0</v>
      </c>
      <c r="BM221" t="b">
        <v>0</v>
      </c>
      <c r="BN221" t="b">
        <v>0</v>
      </c>
      <c r="BO221" t="b">
        <v>0</v>
      </c>
      <c r="BP221" t="b">
        <v>0</v>
      </c>
      <c r="BR221" t="str">
        <f>IFERROR(IF(M221="PASSED",VLOOKUP(J221,Current!$J$1:$N$500,1,FALSE)),N221)</f>
        <v>"1.0220 - MSWRK - Ensure MSS: (SafeDllSearchMode) Enable Safe DLL search mode is set to Enabled: [PASSED]"
The DLL search order can be configured to search for DLLs that are requested by running processes in one of two ways: - Search folders specified in the system path first, and then search the current working folder.
See Also:
See HTH Policies and Standards
Reference:
NIST 800-53r5|SI-16
Policy Value:
'1'
Actual Value:
'1'</v>
      </c>
    </row>
    <row r="222" spans="1:70" ht="15" customHeight="1" x14ac:dyDescent="0.25">
      <c r="A222">
        <v>21156</v>
      </c>
      <c r="C222">
        <v>0</v>
      </c>
      <c r="D222" t="s">
        <v>65</v>
      </c>
      <c r="E222" t="s">
        <v>66</v>
      </c>
      <c r="F222" t="s">
        <v>84</v>
      </c>
      <c r="G222">
        <v>0</v>
      </c>
      <c r="H222" t="s">
        <v>85</v>
      </c>
      <c r="I222" t="s">
        <v>86</v>
      </c>
      <c r="J222" t="str">
        <f>MID($N222,FIND("1.",$N222),FIND("-",$N222)-FIND("1.",$N222)-1)</f>
        <v>1.0221</v>
      </c>
      <c r="K222" t="str">
        <f t="shared" si="9"/>
        <v>Ensure Prohibit installation and configuration of Network Bridge on your DNS domain network is set to Enabled</v>
      </c>
      <c r="L222" t="str">
        <f t="shared" si="10"/>
        <v>1.0221 - MSWRK - Ensure Prohibit installation and configuration of Network Bridge on your DNS domain network is set to Enabled</v>
      </c>
      <c r="M222" t="str">
        <f t="shared" si="11"/>
        <v>PASSED</v>
      </c>
      <c r="N222" s="1" t="s">
        <v>513</v>
      </c>
      <c r="O222" t="s">
        <v>67</v>
      </c>
      <c r="R222" t="s">
        <v>68</v>
      </c>
      <c r="T222" t="s">
        <v>69</v>
      </c>
      <c r="U222" t="s">
        <v>70</v>
      </c>
      <c r="W222" t="s">
        <v>71</v>
      </c>
      <c r="X222" s="1" t="s">
        <v>72</v>
      </c>
      <c r="Y222" t="s">
        <v>88</v>
      </c>
      <c r="Z222">
        <v>0</v>
      </c>
      <c r="AA222">
        <v>0</v>
      </c>
      <c r="AD222">
        <v>0</v>
      </c>
      <c r="AE222">
        <v>0</v>
      </c>
      <c r="AH222" t="s">
        <v>73</v>
      </c>
      <c r="AI222" t="s">
        <v>318</v>
      </c>
      <c r="AJ222" t="s">
        <v>319</v>
      </c>
      <c r="AK222" t="s">
        <v>76</v>
      </c>
      <c r="AN222" t="s">
        <v>77</v>
      </c>
      <c r="AO222" t="s">
        <v>320</v>
      </c>
      <c r="AP222" t="s">
        <v>514</v>
      </c>
      <c r="AQ222" t="s">
        <v>322</v>
      </c>
      <c r="AS222" t="b">
        <v>1</v>
      </c>
      <c r="AT222" t="s">
        <v>65</v>
      </c>
      <c r="AU222">
        <v>0</v>
      </c>
      <c r="AV222">
        <v>0</v>
      </c>
      <c r="AX222">
        <v>39</v>
      </c>
      <c r="AY222" t="s">
        <v>81</v>
      </c>
      <c r="AZ222" t="s">
        <v>90</v>
      </c>
      <c r="BB222" t="s">
        <v>91</v>
      </c>
      <c r="BC222" t="s">
        <v>92</v>
      </c>
      <c r="BD222" t="b">
        <v>0</v>
      </c>
      <c r="BE222" t="b">
        <v>0</v>
      </c>
      <c r="BF222" t="b">
        <v>0</v>
      </c>
      <c r="BG222" t="b">
        <v>0</v>
      </c>
      <c r="BH222" t="b">
        <v>0</v>
      </c>
      <c r="BI222" t="b">
        <v>0</v>
      </c>
      <c r="BJ222" t="b">
        <v>0</v>
      </c>
      <c r="BK222" t="b">
        <v>0</v>
      </c>
      <c r="BL222" t="b">
        <v>0</v>
      </c>
      <c r="BM222" t="b">
        <v>0</v>
      </c>
      <c r="BN222" t="b">
        <v>0</v>
      </c>
      <c r="BO222" t="b">
        <v>0</v>
      </c>
      <c r="BP222" t="b">
        <v>0</v>
      </c>
      <c r="BR222" t="str">
        <f>IFERROR(IF(M222="PASSED",VLOOKUP(J222,Current!$J$1:$N$500,1,FALSE)),N222)</f>
        <v>"1.0221 - MSWRK - Ensure Prohibit installation and configuration of Network Bridge on your DNS domain network is set to Enabled: [PASSED]"
You can use this procedure to control a user's ability to install and configure a Network Bridge.
See Also:
See HTH Policies and Standards
Reference:
NIST 800-53r5|AC-18 AC-18(1) AC-18(3) CM-2 CM-6 CM-7 CM-7(1) CM-9
Policy Value:
'0'
Actual Value:
'0'</v>
      </c>
    </row>
    <row r="223" spans="1:70" ht="15" customHeight="1" x14ac:dyDescent="0.25">
      <c r="A223">
        <v>21156</v>
      </c>
      <c r="C223">
        <v>0</v>
      </c>
      <c r="D223" t="s">
        <v>65</v>
      </c>
      <c r="E223" t="s">
        <v>66</v>
      </c>
      <c r="F223" t="s">
        <v>84</v>
      </c>
      <c r="G223">
        <v>0</v>
      </c>
      <c r="H223" t="s">
        <v>85</v>
      </c>
      <c r="I223" t="s">
        <v>86</v>
      </c>
      <c r="J223" t="str">
        <f>MID($N223,FIND("1.",$N223),FIND("-",$N223)-FIND("1.",$N223)-1)</f>
        <v>1.0222</v>
      </c>
      <c r="K223" t="str">
        <f t="shared" si="9"/>
        <v>Ensure Prohibit use of Internet Connection Sharing on your DNS domain network is set to Enabled</v>
      </c>
      <c r="L223" t="str">
        <f t="shared" si="10"/>
        <v>1.0222 - MSWRK - Ensure Prohibit use of Internet Connection Sharing on your DNS domain network is set to Enabled</v>
      </c>
      <c r="M223" t="str">
        <f t="shared" si="11"/>
        <v>PASSED</v>
      </c>
      <c r="N223" s="1" t="s">
        <v>385</v>
      </c>
      <c r="O223" t="s">
        <v>67</v>
      </c>
      <c r="R223" t="s">
        <v>68</v>
      </c>
      <c r="T223" t="s">
        <v>69</v>
      </c>
      <c r="U223" t="s">
        <v>70</v>
      </c>
      <c r="W223" t="s">
        <v>71</v>
      </c>
      <c r="X223" s="1" t="s">
        <v>72</v>
      </c>
      <c r="Y223" t="s">
        <v>88</v>
      </c>
      <c r="Z223">
        <v>0</v>
      </c>
      <c r="AA223">
        <v>0</v>
      </c>
      <c r="AD223">
        <v>0</v>
      </c>
      <c r="AE223">
        <v>0</v>
      </c>
      <c r="AH223" t="s">
        <v>73</v>
      </c>
      <c r="AI223" t="s">
        <v>318</v>
      </c>
      <c r="AJ223" t="s">
        <v>319</v>
      </c>
      <c r="AK223" t="s">
        <v>76</v>
      </c>
      <c r="AN223" t="s">
        <v>77</v>
      </c>
      <c r="AO223" t="s">
        <v>320</v>
      </c>
      <c r="AP223" t="s">
        <v>384</v>
      </c>
      <c r="AQ223" t="s">
        <v>322</v>
      </c>
      <c r="AS223" t="b">
        <v>1</v>
      </c>
      <c r="AT223" t="s">
        <v>65</v>
      </c>
      <c r="AU223">
        <v>0</v>
      </c>
      <c r="AV223">
        <v>0</v>
      </c>
      <c r="AX223">
        <v>39</v>
      </c>
      <c r="AY223" t="s">
        <v>81</v>
      </c>
      <c r="AZ223" t="s">
        <v>90</v>
      </c>
      <c r="BB223" t="s">
        <v>91</v>
      </c>
      <c r="BC223" t="s">
        <v>92</v>
      </c>
      <c r="BD223" t="b">
        <v>0</v>
      </c>
      <c r="BE223" t="b">
        <v>0</v>
      </c>
      <c r="BF223" t="b">
        <v>0</v>
      </c>
      <c r="BG223" t="b">
        <v>0</v>
      </c>
      <c r="BH223" t="b">
        <v>0</v>
      </c>
      <c r="BI223" t="b">
        <v>0</v>
      </c>
      <c r="BJ223" t="b">
        <v>0</v>
      </c>
      <c r="BK223" t="b">
        <v>0</v>
      </c>
      <c r="BL223" t="b">
        <v>0</v>
      </c>
      <c r="BM223" t="b">
        <v>0</v>
      </c>
      <c r="BN223" t="b">
        <v>0</v>
      </c>
      <c r="BO223" t="b">
        <v>0</v>
      </c>
      <c r="BP223" t="b">
        <v>0</v>
      </c>
      <c r="BR223" t="str">
        <f>IFERROR(IF(M223="PASSED",VLOOKUP(J223,Current!$J$1:$N$500,1,FALSE)),N223)</f>
        <v>"1.0222 - MSWRK - Ensure Prohibit use of Internet Connection Sharing on your DNS domain network is set to Enabled: [PASSED]"
Although this \'legacy\' setting traditionally applied to the use of Internet Connection Sharing (ICS) in Windows 2000, Windows XP &amp; Server 2003, this setting now freshly applies to the Mobile Hotspot feature in Windows 10 &amp; Server 2016.
See Also:
See HTH Policies and Standards
Reference:
NIST 800-53r5|CM-6 CM-7
Policy Value:
'0'
Actual Value:
'0'</v>
      </c>
    </row>
    <row r="224" spans="1:70" ht="15" hidden="1" customHeight="1" x14ac:dyDescent="0.25">
      <c r="A224">
        <v>21156</v>
      </c>
      <c r="C224">
        <v>0</v>
      </c>
      <c r="D224" t="s">
        <v>83</v>
      </c>
      <c r="E224" t="s">
        <v>66</v>
      </c>
      <c r="F224" t="s">
        <v>84</v>
      </c>
      <c r="G224">
        <v>0</v>
      </c>
      <c r="H224" t="s">
        <v>85</v>
      </c>
      <c r="I224" t="s">
        <v>86</v>
      </c>
      <c r="J224" t="str">
        <f>MID($N224,FIND("1.",$N224),FIND("-",$N224)-FIND("1.",$N224)-1)</f>
        <v>1.0223</v>
      </c>
      <c r="K224" t="str">
        <f t="shared" si="9"/>
        <v>Ensure Require domain users to elevate when setting a networks location is set to Enabled</v>
      </c>
      <c r="L224" t="str">
        <f t="shared" si="10"/>
        <v>1.0223 - MSWRK - Ensure Require domain users to elevate when setting a networks location is set to Enabled</v>
      </c>
      <c r="M224" t="str">
        <f t="shared" si="11"/>
        <v>FAILED</v>
      </c>
      <c r="N224" s="1" t="s">
        <v>816</v>
      </c>
      <c r="O224" t="s">
        <v>67</v>
      </c>
      <c r="R224" t="s">
        <v>68</v>
      </c>
      <c r="T224" t="s">
        <v>69</v>
      </c>
      <c r="U224" t="s">
        <v>70</v>
      </c>
      <c r="W224" t="s">
        <v>71</v>
      </c>
      <c r="X224" s="1" t="s">
        <v>72</v>
      </c>
      <c r="Y224" t="s">
        <v>88</v>
      </c>
      <c r="Z224">
        <v>0</v>
      </c>
      <c r="AA224">
        <v>0</v>
      </c>
      <c r="AD224">
        <v>0</v>
      </c>
      <c r="AE224">
        <v>0</v>
      </c>
      <c r="AH224" t="s">
        <v>73</v>
      </c>
      <c r="AI224" t="s">
        <v>318</v>
      </c>
      <c r="AJ224" t="s">
        <v>319</v>
      </c>
      <c r="AK224" t="s">
        <v>76</v>
      </c>
      <c r="AN224" t="s">
        <v>77</v>
      </c>
      <c r="AO224" t="s">
        <v>320</v>
      </c>
      <c r="AP224" t="s">
        <v>815</v>
      </c>
      <c r="AQ224" t="s">
        <v>322</v>
      </c>
      <c r="AS224" t="b">
        <v>1</v>
      </c>
      <c r="AT224" t="s">
        <v>65</v>
      </c>
      <c r="AU224">
        <v>0</v>
      </c>
      <c r="AV224">
        <v>0</v>
      </c>
      <c r="AX224">
        <v>39</v>
      </c>
      <c r="AY224" t="s">
        <v>81</v>
      </c>
      <c r="AZ224" t="s">
        <v>90</v>
      </c>
      <c r="BB224" t="s">
        <v>91</v>
      </c>
      <c r="BC224" t="s">
        <v>92</v>
      </c>
      <c r="BD224" t="b">
        <v>0</v>
      </c>
      <c r="BE224" t="b">
        <v>0</v>
      </c>
      <c r="BF224" t="b">
        <v>0</v>
      </c>
      <c r="BG224" t="b">
        <v>0</v>
      </c>
      <c r="BH224" t="b">
        <v>0</v>
      </c>
      <c r="BI224" t="b">
        <v>0</v>
      </c>
      <c r="BJ224" t="b">
        <v>0</v>
      </c>
      <c r="BK224" t="b">
        <v>0</v>
      </c>
      <c r="BL224" t="b">
        <v>0</v>
      </c>
      <c r="BM224" t="b">
        <v>0</v>
      </c>
      <c r="BN224" t="b">
        <v>0</v>
      </c>
      <c r="BO224" t="b">
        <v>0</v>
      </c>
      <c r="BP224" t="b">
        <v>0</v>
      </c>
      <c r="BR224" t="b">
        <f>IFERROR(IF(M224="PASSED",VLOOKUP(J224,Current!$J$1:$N$500,1,FALSE)),N224)</f>
        <v>0</v>
      </c>
    </row>
    <row r="225" spans="1:70" ht="15" hidden="1" customHeight="1" x14ac:dyDescent="0.25">
      <c r="A225">
        <v>21156</v>
      </c>
      <c r="C225">
        <v>0</v>
      </c>
      <c r="D225" t="s">
        <v>83</v>
      </c>
      <c r="E225" t="s">
        <v>66</v>
      </c>
      <c r="F225" t="s">
        <v>84</v>
      </c>
      <c r="G225">
        <v>0</v>
      </c>
      <c r="H225" t="s">
        <v>85</v>
      </c>
      <c r="I225" t="s">
        <v>86</v>
      </c>
      <c r="J225" t="str">
        <f>MID($N225,FIND("1.",$N225),FIND("-",$N225)-FIND("1.",$N225)-1)</f>
        <v>1.0224</v>
      </c>
      <c r="K225" t="str">
        <f t="shared" si="9"/>
        <v>NETLOGON: [FAILED]"
Policy Value</v>
      </c>
      <c r="L225" t="str">
        <f t="shared" si="10"/>
        <v>1.0224 - MSWRK - NETLOGON</v>
      </c>
      <c r="M225" t="str">
        <f t="shared" si="11"/>
        <v>FAILED</v>
      </c>
      <c r="N225" s="1" t="s">
        <v>407</v>
      </c>
      <c r="O225" t="s">
        <v>67</v>
      </c>
      <c r="R225" t="s">
        <v>68</v>
      </c>
      <c r="T225" t="s">
        <v>69</v>
      </c>
      <c r="U225" t="s">
        <v>70</v>
      </c>
      <c r="W225" t="s">
        <v>71</v>
      </c>
      <c r="X225" s="1" t="s">
        <v>72</v>
      </c>
      <c r="Y225" t="s">
        <v>88</v>
      </c>
      <c r="Z225">
        <v>0</v>
      </c>
      <c r="AA225">
        <v>0</v>
      </c>
      <c r="AD225">
        <v>0</v>
      </c>
      <c r="AE225">
        <v>0</v>
      </c>
      <c r="AH225" t="s">
        <v>73</v>
      </c>
      <c r="AI225" t="s">
        <v>318</v>
      </c>
      <c r="AJ225" t="s">
        <v>319</v>
      </c>
      <c r="AK225" t="s">
        <v>76</v>
      </c>
      <c r="AN225" t="s">
        <v>77</v>
      </c>
      <c r="AO225" t="s">
        <v>320</v>
      </c>
      <c r="AP225" t="s">
        <v>406</v>
      </c>
      <c r="AQ225" t="s">
        <v>322</v>
      </c>
      <c r="AS225" t="b">
        <v>1</v>
      </c>
      <c r="AT225" t="s">
        <v>65</v>
      </c>
      <c r="AU225">
        <v>0</v>
      </c>
      <c r="AV225">
        <v>0</v>
      </c>
      <c r="AX225">
        <v>39</v>
      </c>
      <c r="AY225" t="s">
        <v>81</v>
      </c>
      <c r="AZ225" t="s">
        <v>90</v>
      </c>
      <c r="BB225" t="s">
        <v>91</v>
      </c>
      <c r="BC225" t="s">
        <v>92</v>
      </c>
      <c r="BD225" t="b">
        <v>0</v>
      </c>
      <c r="BE225" t="b">
        <v>0</v>
      </c>
      <c r="BF225" t="b">
        <v>0</v>
      </c>
      <c r="BG225" t="b">
        <v>0</v>
      </c>
      <c r="BH225" t="b">
        <v>0</v>
      </c>
      <c r="BI225" t="b">
        <v>0</v>
      </c>
      <c r="BJ225" t="b">
        <v>0</v>
      </c>
      <c r="BK225" t="b">
        <v>0</v>
      </c>
      <c r="BL225" t="b">
        <v>0</v>
      </c>
      <c r="BM225" t="b">
        <v>0</v>
      </c>
      <c r="BN225" t="b">
        <v>0</v>
      </c>
      <c r="BO225" t="b">
        <v>0</v>
      </c>
      <c r="BP225" t="b">
        <v>0</v>
      </c>
      <c r="BR225" t="b">
        <f>IFERROR(IF(M225="PASSED",VLOOKUP(J225,Current!$J$1:$N$500,1,FALSE)),N225)</f>
        <v>0</v>
      </c>
    </row>
    <row r="226" spans="1:70" ht="15" hidden="1" customHeight="1" x14ac:dyDescent="0.25">
      <c r="A226">
        <v>21156</v>
      </c>
      <c r="C226">
        <v>0</v>
      </c>
      <c r="D226" t="s">
        <v>83</v>
      </c>
      <c r="E226" t="s">
        <v>66</v>
      </c>
      <c r="F226" t="s">
        <v>84</v>
      </c>
      <c r="G226">
        <v>0</v>
      </c>
      <c r="H226" t="s">
        <v>85</v>
      </c>
      <c r="I226" t="s">
        <v>86</v>
      </c>
      <c r="J226" t="str">
        <f>MID($N226,FIND("1.",$N226),FIND("-",$N226)-FIND("1.",$N226)-1)</f>
        <v>1.0225</v>
      </c>
      <c r="K226" t="str">
        <f t="shared" si="9"/>
        <v>SYSVOL: [FAILED]"
Policy Value</v>
      </c>
      <c r="L226" t="str">
        <f t="shared" si="10"/>
        <v>1.0225 - MSWRK - SYSVOL</v>
      </c>
      <c r="M226" t="str">
        <f t="shared" si="11"/>
        <v>FAILED</v>
      </c>
      <c r="N226" s="1" t="s">
        <v>511</v>
      </c>
      <c r="O226" t="s">
        <v>67</v>
      </c>
      <c r="R226" t="s">
        <v>68</v>
      </c>
      <c r="T226" t="s">
        <v>69</v>
      </c>
      <c r="U226" t="s">
        <v>70</v>
      </c>
      <c r="W226" t="s">
        <v>71</v>
      </c>
      <c r="X226" s="1" t="s">
        <v>72</v>
      </c>
      <c r="Y226" t="s">
        <v>88</v>
      </c>
      <c r="Z226">
        <v>0</v>
      </c>
      <c r="AA226">
        <v>0</v>
      </c>
      <c r="AD226">
        <v>0</v>
      </c>
      <c r="AE226">
        <v>0</v>
      </c>
      <c r="AH226" t="s">
        <v>73</v>
      </c>
      <c r="AI226" t="s">
        <v>318</v>
      </c>
      <c r="AJ226" t="s">
        <v>319</v>
      </c>
      <c r="AK226" t="s">
        <v>76</v>
      </c>
      <c r="AN226" t="s">
        <v>77</v>
      </c>
      <c r="AO226" t="s">
        <v>320</v>
      </c>
      <c r="AP226" t="s">
        <v>510</v>
      </c>
      <c r="AQ226" t="s">
        <v>322</v>
      </c>
      <c r="AS226" t="b">
        <v>1</v>
      </c>
      <c r="AT226" t="s">
        <v>65</v>
      </c>
      <c r="AU226">
        <v>0</v>
      </c>
      <c r="AV226">
        <v>0</v>
      </c>
      <c r="AX226">
        <v>39</v>
      </c>
      <c r="AY226" t="s">
        <v>81</v>
      </c>
      <c r="AZ226" t="s">
        <v>90</v>
      </c>
      <c r="BB226" t="s">
        <v>91</v>
      </c>
      <c r="BC226" t="s">
        <v>92</v>
      </c>
      <c r="BD226" t="b">
        <v>0</v>
      </c>
      <c r="BE226" t="b">
        <v>0</v>
      </c>
      <c r="BF226" t="b">
        <v>0</v>
      </c>
      <c r="BG226" t="b">
        <v>0</v>
      </c>
      <c r="BH226" t="b">
        <v>0</v>
      </c>
      <c r="BI226" t="b">
        <v>0</v>
      </c>
      <c r="BJ226" t="b">
        <v>0</v>
      </c>
      <c r="BK226" t="b">
        <v>0</v>
      </c>
      <c r="BL226" t="b">
        <v>0</v>
      </c>
      <c r="BM226" t="b">
        <v>0</v>
      </c>
      <c r="BN226" t="b">
        <v>0</v>
      </c>
      <c r="BO226" t="b">
        <v>0</v>
      </c>
      <c r="BP226" t="b">
        <v>0</v>
      </c>
      <c r="BR226" t="b">
        <f>IFERROR(IF(M226="PASSED",VLOOKUP(J226,Current!$J$1:$N$500,1,FALSE)),N226)</f>
        <v>0</v>
      </c>
    </row>
    <row r="227" spans="1:70" ht="15" hidden="1" customHeight="1" x14ac:dyDescent="0.25">
      <c r="A227">
        <v>21156</v>
      </c>
      <c r="C227">
        <v>0</v>
      </c>
      <c r="D227" t="s">
        <v>65</v>
      </c>
      <c r="E227" t="s">
        <v>66</v>
      </c>
      <c r="F227" t="s">
        <v>84</v>
      </c>
      <c r="G227">
        <v>0</v>
      </c>
      <c r="H227" t="s">
        <v>85</v>
      </c>
      <c r="I227" t="s">
        <v>86</v>
      </c>
      <c r="J227" t="str">
        <f>MID($N227,FIND("1.",$N227),FIND("-",$N227)-FIND("1.",$N227)-1)</f>
        <v>1.0226</v>
      </c>
      <c r="K227" t="str">
        <f t="shared" si="9"/>
        <v>Ensure Minimize the number of simultaneous connections to the Internet or a Windows Domain is set to Enabled</v>
      </c>
      <c r="L227" t="str">
        <f t="shared" si="10"/>
        <v>1.0226 - MSWRK - Ensure Minimize the number of simultaneous connections to the Internet or a Windows Domain is set to Enabled: 3 = Prevent Wi-Fi when on Ethernet</v>
      </c>
      <c r="M227" t="str">
        <f t="shared" si="11"/>
        <v>PASSED</v>
      </c>
      <c r="N227" s="1" t="s">
        <v>260</v>
      </c>
      <c r="O227" t="s">
        <v>67</v>
      </c>
      <c r="R227" t="s">
        <v>68</v>
      </c>
      <c r="T227" t="s">
        <v>69</v>
      </c>
      <c r="U227" t="s">
        <v>70</v>
      </c>
      <c r="W227" t="s">
        <v>71</v>
      </c>
      <c r="X227" s="1" t="s">
        <v>72</v>
      </c>
      <c r="Y227" t="s">
        <v>88</v>
      </c>
      <c r="Z227">
        <v>0</v>
      </c>
      <c r="AA227">
        <v>0</v>
      </c>
      <c r="AD227">
        <v>0</v>
      </c>
      <c r="AE227">
        <v>0</v>
      </c>
      <c r="AH227" t="s">
        <v>73</v>
      </c>
      <c r="AI227" t="s">
        <v>318</v>
      </c>
      <c r="AJ227" t="s">
        <v>319</v>
      </c>
      <c r="AK227" t="s">
        <v>76</v>
      </c>
      <c r="AN227" t="s">
        <v>77</v>
      </c>
      <c r="AO227" t="s">
        <v>320</v>
      </c>
      <c r="AP227" t="s">
        <v>801</v>
      </c>
      <c r="AQ227" t="s">
        <v>322</v>
      </c>
      <c r="AS227" t="b">
        <v>1</v>
      </c>
      <c r="AT227" t="s">
        <v>65</v>
      </c>
      <c r="AU227">
        <v>0</v>
      </c>
      <c r="AV227">
        <v>0</v>
      </c>
      <c r="AX227">
        <v>39</v>
      </c>
      <c r="AY227" t="s">
        <v>81</v>
      </c>
      <c r="AZ227" t="s">
        <v>90</v>
      </c>
      <c r="BB227" t="s">
        <v>91</v>
      </c>
      <c r="BC227" t="s">
        <v>92</v>
      </c>
      <c r="BD227" t="b">
        <v>0</v>
      </c>
      <c r="BE227" t="b">
        <v>0</v>
      </c>
      <c r="BF227" t="b">
        <v>0</v>
      </c>
      <c r="BG227" t="b">
        <v>0</v>
      </c>
      <c r="BH227" t="b">
        <v>0</v>
      </c>
      <c r="BI227" t="b">
        <v>0</v>
      </c>
      <c r="BJ227" t="b">
        <v>0</v>
      </c>
      <c r="BK227" t="b">
        <v>0</v>
      </c>
      <c r="BL227" t="b">
        <v>0</v>
      </c>
      <c r="BM227" t="b">
        <v>0</v>
      </c>
      <c r="BN227" t="b">
        <v>0</v>
      </c>
      <c r="BO227" t="b">
        <v>0</v>
      </c>
      <c r="BP227" t="b">
        <v>0</v>
      </c>
      <c r="BR227" t="str">
        <f>IFERROR(IF(M227="PASSED",VLOOKUP(J227,Current!$J$1:$N$500,1,FALSE)),N227)</f>
        <v>1.0226</v>
      </c>
    </row>
    <row r="228" spans="1:70" ht="15" hidden="1" customHeight="1" x14ac:dyDescent="0.25">
      <c r="A228">
        <v>21156</v>
      </c>
      <c r="C228">
        <v>0</v>
      </c>
      <c r="D228" t="s">
        <v>83</v>
      </c>
      <c r="E228" t="s">
        <v>66</v>
      </c>
      <c r="F228" t="s">
        <v>84</v>
      </c>
      <c r="G228">
        <v>0</v>
      </c>
      <c r="H228" t="s">
        <v>85</v>
      </c>
      <c r="I228" t="s">
        <v>86</v>
      </c>
      <c r="J228" t="str">
        <f>MID($N228,FIND("1.",$N228),FIND("-",$N228)-FIND("1.",$N228)-1)</f>
        <v>1.0227</v>
      </c>
      <c r="K228" t="str">
        <f t="shared" si="9"/>
        <v>Ensure Prohibit connection to non-domain networks when connected to domain authenticated network is set to Enabled</v>
      </c>
      <c r="L228" t="str">
        <f t="shared" si="10"/>
        <v>1.0227 - MSWRK - Ensure Prohibit connection to non-domain networks when connected to domain authenticated network is set to Enabled</v>
      </c>
      <c r="M228" t="str">
        <f t="shared" si="11"/>
        <v>FAILED</v>
      </c>
      <c r="N228" s="1" t="s">
        <v>646</v>
      </c>
      <c r="O228" t="s">
        <v>67</v>
      </c>
      <c r="R228" t="s">
        <v>68</v>
      </c>
      <c r="T228" t="s">
        <v>69</v>
      </c>
      <c r="U228" t="s">
        <v>70</v>
      </c>
      <c r="W228" t="s">
        <v>71</v>
      </c>
      <c r="X228" s="1" t="s">
        <v>72</v>
      </c>
      <c r="Y228" t="s">
        <v>88</v>
      </c>
      <c r="Z228">
        <v>0</v>
      </c>
      <c r="AA228">
        <v>0</v>
      </c>
      <c r="AD228">
        <v>0</v>
      </c>
      <c r="AE228">
        <v>0</v>
      </c>
      <c r="AH228" t="s">
        <v>73</v>
      </c>
      <c r="AI228" t="s">
        <v>318</v>
      </c>
      <c r="AJ228" t="s">
        <v>319</v>
      </c>
      <c r="AK228" t="s">
        <v>76</v>
      </c>
      <c r="AN228" t="s">
        <v>77</v>
      </c>
      <c r="AO228" t="s">
        <v>320</v>
      </c>
      <c r="AP228" t="s">
        <v>644</v>
      </c>
      <c r="AQ228" t="s">
        <v>322</v>
      </c>
      <c r="AS228" t="b">
        <v>1</v>
      </c>
      <c r="AT228" t="s">
        <v>65</v>
      </c>
      <c r="AU228">
        <v>0</v>
      </c>
      <c r="AV228">
        <v>0</v>
      </c>
      <c r="AX228">
        <v>39</v>
      </c>
      <c r="AY228" t="s">
        <v>81</v>
      </c>
      <c r="AZ228" t="s">
        <v>90</v>
      </c>
      <c r="BB228" t="s">
        <v>91</v>
      </c>
      <c r="BC228" t="s">
        <v>92</v>
      </c>
      <c r="BD228" t="b">
        <v>0</v>
      </c>
      <c r="BE228" t="b">
        <v>0</v>
      </c>
      <c r="BF228" t="b">
        <v>0</v>
      </c>
      <c r="BG228" t="b">
        <v>0</v>
      </c>
      <c r="BH228" t="b">
        <v>0</v>
      </c>
      <c r="BI228" t="b">
        <v>0</v>
      </c>
      <c r="BJ228" t="b">
        <v>0</v>
      </c>
      <c r="BK228" t="b">
        <v>0</v>
      </c>
      <c r="BL228" t="b">
        <v>0</v>
      </c>
      <c r="BM228" t="b">
        <v>0</v>
      </c>
      <c r="BN228" t="b">
        <v>0</v>
      </c>
      <c r="BO228" t="b">
        <v>0</v>
      </c>
      <c r="BP228" t="b">
        <v>0</v>
      </c>
      <c r="BR228" t="b">
        <f>IFERROR(IF(M228="PASSED",VLOOKUP(J228,Current!$J$1:$N$500,1,FALSE)),N228)</f>
        <v>0</v>
      </c>
    </row>
    <row r="229" spans="1:70" ht="15" hidden="1" customHeight="1" x14ac:dyDescent="0.25">
      <c r="A229">
        <v>21156</v>
      </c>
      <c r="C229">
        <v>0</v>
      </c>
      <c r="D229" t="s">
        <v>65</v>
      </c>
      <c r="E229" t="s">
        <v>66</v>
      </c>
      <c r="F229" t="s">
        <v>84</v>
      </c>
      <c r="G229">
        <v>0</v>
      </c>
      <c r="H229" t="s">
        <v>85</v>
      </c>
      <c r="I229" t="s">
        <v>86</v>
      </c>
      <c r="J229" t="str">
        <f>MID($N229,FIND("1.",$N229),FIND("-",$N229)-FIND("1.",$N229)-1)</f>
        <v>1.0228</v>
      </c>
      <c r="K229" t="str">
        <f t="shared" si="9"/>
        <v>Ensure Allow Windows to automatically connect to suggested open hotspots, to networks shared by contacts, and to hotspots offering paid services is set to Disabled</v>
      </c>
      <c r="L229" t="str">
        <f t="shared" si="10"/>
        <v>1.0228 - MSWRK - Ensure Allow Windows to automatically connect to suggested open hotspots, to networks shared by contacts, and to hotspots offering paid services is set to Disabled</v>
      </c>
      <c r="M229" t="str">
        <f t="shared" si="11"/>
        <v>PASSED</v>
      </c>
      <c r="N229" s="1" t="s">
        <v>162</v>
      </c>
      <c r="O229" t="s">
        <v>67</v>
      </c>
      <c r="R229" t="s">
        <v>68</v>
      </c>
      <c r="T229" t="s">
        <v>69</v>
      </c>
      <c r="U229" t="s">
        <v>70</v>
      </c>
      <c r="W229" t="s">
        <v>71</v>
      </c>
      <c r="X229" s="1" t="s">
        <v>72</v>
      </c>
      <c r="Y229" t="s">
        <v>88</v>
      </c>
      <c r="Z229">
        <v>0</v>
      </c>
      <c r="AA229">
        <v>0</v>
      </c>
      <c r="AD229">
        <v>0</v>
      </c>
      <c r="AE229">
        <v>0</v>
      </c>
      <c r="AH229" t="s">
        <v>73</v>
      </c>
      <c r="AI229" t="s">
        <v>318</v>
      </c>
      <c r="AJ229" t="s">
        <v>319</v>
      </c>
      <c r="AK229" t="s">
        <v>76</v>
      </c>
      <c r="AN229" t="s">
        <v>77</v>
      </c>
      <c r="AO229" t="s">
        <v>320</v>
      </c>
      <c r="AP229" t="s">
        <v>641</v>
      </c>
      <c r="AQ229" t="s">
        <v>322</v>
      </c>
      <c r="AS229" t="b">
        <v>1</v>
      </c>
      <c r="AT229" t="s">
        <v>65</v>
      </c>
      <c r="AU229">
        <v>0</v>
      </c>
      <c r="AV229">
        <v>0</v>
      </c>
      <c r="AX229">
        <v>39</v>
      </c>
      <c r="AY229" t="s">
        <v>81</v>
      </c>
      <c r="AZ229" t="s">
        <v>90</v>
      </c>
      <c r="BB229" t="s">
        <v>91</v>
      </c>
      <c r="BC229" t="s">
        <v>92</v>
      </c>
      <c r="BD229" t="b">
        <v>0</v>
      </c>
      <c r="BE229" t="b">
        <v>0</v>
      </c>
      <c r="BF229" t="b">
        <v>0</v>
      </c>
      <c r="BG229" t="b">
        <v>0</v>
      </c>
      <c r="BH229" t="b">
        <v>0</v>
      </c>
      <c r="BI229" t="b">
        <v>0</v>
      </c>
      <c r="BJ229" t="b">
        <v>0</v>
      </c>
      <c r="BK229" t="b">
        <v>0</v>
      </c>
      <c r="BL229" t="b">
        <v>0</v>
      </c>
      <c r="BM229" t="b">
        <v>0</v>
      </c>
      <c r="BN229" t="b">
        <v>0</v>
      </c>
      <c r="BO229" t="b">
        <v>0</v>
      </c>
      <c r="BP229" t="b">
        <v>0</v>
      </c>
      <c r="BR229" t="str">
        <f>IFERROR(IF(M229="PASSED",VLOOKUP(J229,Current!$J$1:$N$500,1,FALSE)),N229)</f>
        <v>1.0228</v>
      </c>
    </row>
    <row r="230" spans="1:70" ht="15" customHeight="1" x14ac:dyDescent="0.25">
      <c r="A230">
        <v>21156</v>
      </c>
      <c r="C230">
        <v>0</v>
      </c>
      <c r="D230" t="s">
        <v>65</v>
      </c>
      <c r="E230" t="s">
        <v>66</v>
      </c>
      <c r="F230" t="s">
        <v>84</v>
      </c>
      <c r="G230">
        <v>0</v>
      </c>
      <c r="H230" t="s">
        <v>85</v>
      </c>
      <c r="I230" t="s">
        <v>86</v>
      </c>
      <c r="J230" t="str">
        <f>MID($N230,FIND("1.",$N230),FIND("-",$N230)-FIND("1.",$N230)-1)</f>
        <v>1.0229</v>
      </c>
      <c r="K230" t="str">
        <f t="shared" si="9"/>
        <v>Ensure Configure multicast DNS (mDNS) protocol is set to Disabled</v>
      </c>
      <c r="L230" t="str">
        <f t="shared" si="10"/>
        <v>1.0229 - MSWRK - Ensure Configure multicast DNS (mDNS) protocol is set to Disabled</v>
      </c>
      <c r="M230" t="str">
        <f t="shared" si="11"/>
        <v>PASSED</v>
      </c>
      <c r="N230" s="1" t="s">
        <v>754</v>
      </c>
      <c r="O230" t="s">
        <v>67</v>
      </c>
      <c r="R230" t="s">
        <v>68</v>
      </c>
      <c r="T230" t="s">
        <v>69</v>
      </c>
      <c r="U230" t="s">
        <v>70</v>
      </c>
      <c r="W230" t="s">
        <v>71</v>
      </c>
      <c r="X230" s="1" t="s">
        <v>72</v>
      </c>
      <c r="Y230" t="s">
        <v>88</v>
      </c>
      <c r="Z230">
        <v>0</v>
      </c>
      <c r="AA230">
        <v>0</v>
      </c>
      <c r="AD230">
        <v>0</v>
      </c>
      <c r="AE230">
        <v>0</v>
      </c>
      <c r="AH230" t="s">
        <v>73</v>
      </c>
      <c r="AI230" t="s">
        <v>318</v>
      </c>
      <c r="AJ230" t="s">
        <v>319</v>
      </c>
      <c r="AK230" t="s">
        <v>76</v>
      </c>
      <c r="AN230" t="s">
        <v>77</v>
      </c>
      <c r="AO230" t="s">
        <v>320</v>
      </c>
      <c r="AP230" t="s">
        <v>755</v>
      </c>
      <c r="AQ230" t="s">
        <v>322</v>
      </c>
      <c r="AS230" t="b">
        <v>1</v>
      </c>
      <c r="AT230" t="s">
        <v>65</v>
      </c>
      <c r="AU230">
        <v>0</v>
      </c>
      <c r="AV230">
        <v>0</v>
      </c>
      <c r="AX230">
        <v>39</v>
      </c>
      <c r="AY230" t="s">
        <v>81</v>
      </c>
      <c r="AZ230" t="s">
        <v>90</v>
      </c>
      <c r="BB230" t="s">
        <v>91</v>
      </c>
      <c r="BC230" t="s">
        <v>92</v>
      </c>
      <c r="BD230" t="b">
        <v>0</v>
      </c>
      <c r="BE230" t="b">
        <v>0</v>
      </c>
      <c r="BF230" t="b">
        <v>0</v>
      </c>
      <c r="BG230" t="b">
        <v>0</v>
      </c>
      <c r="BH230" t="b">
        <v>0</v>
      </c>
      <c r="BI230" t="b">
        <v>0</v>
      </c>
      <c r="BJ230" t="b">
        <v>0</v>
      </c>
      <c r="BK230" t="b">
        <v>0</v>
      </c>
      <c r="BL230" t="b">
        <v>0</v>
      </c>
      <c r="BM230" t="b">
        <v>0</v>
      </c>
      <c r="BN230" t="b">
        <v>0</v>
      </c>
      <c r="BO230" t="b">
        <v>0</v>
      </c>
      <c r="BP230" t="b">
        <v>0</v>
      </c>
      <c r="BR230" t="str">
        <f>IFERROR(IF(M230="PASSED",VLOOKUP(J230,Current!$J$1:$N$500,1,FALSE)),N230)</f>
        <v>"1.0229 - MSWRK - Ensure Configure multicast DNS (mDNS) protocol is set to Disabled: [PASSED]"
This policy setting determines if the DNS client will perform name resolution over Multicast DNS (mDNS).
See Also:
See HTH Policies and Standards
Reference:
NIST 800-53r5|CM-7b.
Policy Value:
'0'
Actual Value:
'0'</v>
      </c>
    </row>
    <row r="231" spans="1:70" ht="15" customHeight="1" x14ac:dyDescent="0.25">
      <c r="A231">
        <v>21156</v>
      </c>
      <c r="C231">
        <v>0</v>
      </c>
      <c r="D231" t="s">
        <v>65</v>
      </c>
      <c r="E231" t="s">
        <v>66</v>
      </c>
      <c r="F231" t="s">
        <v>84</v>
      </c>
      <c r="G231">
        <v>0</v>
      </c>
      <c r="H231" t="s">
        <v>85</v>
      </c>
      <c r="I231" t="s">
        <v>86</v>
      </c>
      <c r="J231" t="str">
        <f>MID($N231,FIND("1.",$N231),FIND("-",$N231)-FIND("1.",$N231)-1)</f>
        <v>1.0230</v>
      </c>
      <c r="K231" t="str">
        <f t="shared" si="9"/>
        <v>Ensure Configure NetBIOS settings is set to Enabled</v>
      </c>
      <c r="L231" t="str">
        <f t="shared" si="10"/>
        <v>1.0230 - MSWRK - Ensure Configure NetBIOS settings is set to Enabled: Disable NetBIOS name resolution on public networks</v>
      </c>
      <c r="M231" t="str">
        <f t="shared" si="11"/>
        <v>PASSED</v>
      </c>
      <c r="N231" s="1" t="s">
        <v>711</v>
      </c>
      <c r="O231" t="s">
        <v>67</v>
      </c>
      <c r="R231" t="s">
        <v>68</v>
      </c>
      <c r="T231" t="s">
        <v>69</v>
      </c>
      <c r="U231" t="s">
        <v>70</v>
      </c>
      <c r="W231" t="s">
        <v>71</v>
      </c>
      <c r="X231" s="1" t="s">
        <v>72</v>
      </c>
      <c r="Y231" t="s">
        <v>88</v>
      </c>
      <c r="Z231">
        <v>0</v>
      </c>
      <c r="AA231">
        <v>0</v>
      </c>
      <c r="AD231">
        <v>0</v>
      </c>
      <c r="AE231">
        <v>0</v>
      </c>
      <c r="AH231" t="s">
        <v>73</v>
      </c>
      <c r="AI231" t="s">
        <v>318</v>
      </c>
      <c r="AJ231" t="s">
        <v>319</v>
      </c>
      <c r="AK231" t="s">
        <v>76</v>
      </c>
      <c r="AN231" t="s">
        <v>77</v>
      </c>
      <c r="AO231" t="s">
        <v>320</v>
      </c>
      <c r="AP231" t="s">
        <v>712</v>
      </c>
      <c r="AQ231" t="s">
        <v>322</v>
      </c>
      <c r="AS231" t="b">
        <v>1</v>
      </c>
      <c r="AT231" t="s">
        <v>65</v>
      </c>
      <c r="AU231">
        <v>0</v>
      </c>
      <c r="AV231">
        <v>0</v>
      </c>
      <c r="AX231">
        <v>39</v>
      </c>
      <c r="AY231" t="s">
        <v>81</v>
      </c>
      <c r="AZ231" t="s">
        <v>90</v>
      </c>
      <c r="BB231" t="s">
        <v>91</v>
      </c>
      <c r="BC231" t="s">
        <v>92</v>
      </c>
      <c r="BD231" t="b">
        <v>0</v>
      </c>
      <c r="BE231" t="b">
        <v>0</v>
      </c>
      <c r="BF231" t="b">
        <v>0</v>
      </c>
      <c r="BG231" t="b">
        <v>0</v>
      </c>
      <c r="BH231" t="b">
        <v>0</v>
      </c>
      <c r="BI231" t="b">
        <v>0</v>
      </c>
      <c r="BJ231" t="b">
        <v>0</v>
      </c>
      <c r="BK231" t="b">
        <v>0</v>
      </c>
      <c r="BL231" t="b">
        <v>0</v>
      </c>
      <c r="BM231" t="b">
        <v>0</v>
      </c>
      <c r="BN231" t="b">
        <v>0</v>
      </c>
      <c r="BO231" t="b">
        <v>0</v>
      </c>
      <c r="BP231" t="b">
        <v>0</v>
      </c>
      <c r="BR231" t="str">
        <f>IFERROR(IF(M231="PASSED",VLOOKUP(J231,Current!$J$1:$N$500,1,FALSE)),N231)</f>
        <v>"1.0230 - MSWRK - Ensure Configure NetBIOS settings is set to Enabled: Disable NetBIOS name resolution on public networks: [PASSED]"
This policy setting specifies if the Domain Name System (DNS) client will perform name resolution over Network Basic Input/Output System (NetBIOS).
See Also:
See HTH Policies and Standards
Reference:
NIST 800-53r5|CM-6 CM-7
Policy Value:
'0' || '2'
Actual Value:
'0'</v>
      </c>
    </row>
    <row r="232" spans="1:70" ht="15" hidden="1" customHeight="1" x14ac:dyDescent="0.25">
      <c r="A232">
        <v>21156</v>
      </c>
      <c r="C232">
        <v>0</v>
      </c>
      <c r="D232" t="s">
        <v>65</v>
      </c>
      <c r="E232" t="s">
        <v>66</v>
      </c>
      <c r="F232" t="s">
        <v>84</v>
      </c>
      <c r="G232">
        <v>0</v>
      </c>
      <c r="H232" t="s">
        <v>85</v>
      </c>
      <c r="I232" t="s">
        <v>86</v>
      </c>
      <c r="J232" t="str">
        <f>MID($N232,FIND("1.",$N232),FIND("-",$N232)-FIND("1.",$N232)-1)</f>
        <v>1.0231</v>
      </c>
      <c r="K232" t="str">
        <f t="shared" si="9"/>
        <v>Ensure Turn off multicast name resolution is set to Enabled</v>
      </c>
      <c r="L232" t="str">
        <f t="shared" si="10"/>
        <v>1.0231 - MSWRK - Ensure Turn off multicast name resolution is set to Enabled</v>
      </c>
      <c r="M232" t="str">
        <f t="shared" si="11"/>
        <v>PASSED</v>
      </c>
      <c r="N232" s="1" t="s">
        <v>215</v>
      </c>
      <c r="O232" t="s">
        <v>67</v>
      </c>
      <c r="R232" t="s">
        <v>68</v>
      </c>
      <c r="T232" t="s">
        <v>69</v>
      </c>
      <c r="U232" t="s">
        <v>70</v>
      </c>
      <c r="W232" t="s">
        <v>71</v>
      </c>
      <c r="X232" s="1" t="s">
        <v>72</v>
      </c>
      <c r="Y232" t="s">
        <v>88</v>
      </c>
      <c r="Z232">
        <v>0</v>
      </c>
      <c r="AA232">
        <v>0</v>
      </c>
      <c r="AD232">
        <v>0</v>
      </c>
      <c r="AE232">
        <v>0</v>
      </c>
      <c r="AH232" t="s">
        <v>73</v>
      </c>
      <c r="AI232" t="s">
        <v>318</v>
      </c>
      <c r="AJ232" t="s">
        <v>319</v>
      </c>
      <c r="AK232" t="s">
        <v>76</v>
      </c>
      <c r="AN232" t="s">
        <v>77</v>
      </c>
      <c r="AO232" t="s">
        <v>320</v>
      </c>
      <c r="AP232" t="s">
        <v>629</v>
      </c>
      <c r="AQ232" t="s">
        <v>322</v>
      </c>
      <c r="AS232" t="b">
        <v>1</v>
      </c>
      <c r="AT232" t="s">
        <v>65</v>
      </c>
      <c r="AU232">
        <v>0</v>
      </c>
      <c r="AV232">
        <v>0</v>
      </c>
      <c r="AX232">
        <v>39</v>
      </c>
      <c r="AY232" t="s">
        <v>81</v>
      </c>
      <c r="AZ232" t="s">
        <v>90</v>
      </c>
      <c r="BB232" t="s">
        <v>91</v>
      </c>
      <c r="BC232" t="s">
        <v>92</v>
      </c>
      <c r="BD232" t="b">
        <v>0</v>
      </c>
      <c r="BE232" t="b">
        <v>0</v>
      </c>
      <c r="BF232" t="b">
        <v>0</v>
      </c>
      <c r="BG232" t="b">
        <v>0</v>
      </c>
      <c r="BH232" t="b">
        <v>0</v>
      </c>
      <c r="BI232" t="b">
        <v>0</v>
      </c>
      <c r="BJ232" t="b">
        <v>0</v>
      </c>
      <c r="BK232" t="b">
        <v>0</v>
      </c>
      <c r="BL232" t="b">
        <v>0</v>
      </c>
      <c r="BM232" t="b">
        <v>0</v>
      </c>
      <c r="BN232" t="b">
        <v>0</v>
      </c>
      <c r="BO232" t="b">
        <v>0</v>
      </c>
      <c r="BP232" t="b">
        <v>0</v>
      </c>
      <c r="BR232" t="str">
        <f>IFERROR(IF(M232="PASSED",VLOOKUP(J232,Current!$J$1:$N$500,1,FALSE)),N232)</f>
        <v>1.0231</v>
      </c>
    </row>
    <row r="233" spans="1:70" ht="15" hidden="1" customHeight="1" x14ac:dyDescent="0.25">
      <c r="A233">
        <v>21156</v>
      </c>
      <c r="C233">
        <v>0</v>
      </c>
      <c r="D233" t="s">
        <v>83</v>
      </c>
      <c r="E233" t="s">
        <v>66</v>
      </c>
      <c r="F233" t="s">
        <v>84</v>
      </c>
      <c r="G233">
        <v>0</v>
      </c>
      <c r="H233" t="s">
        <v>85</v>
      </c>
      <c r="I233" t="s">
        <v>86</v>
      </c>
      <c r="J233" t="str">
        <f>MID($N233,FIND("1.",$N233),FIND("-",$N233)-FIND("1.",$N233)-1)</f>
        <v>1.0232</v>
      </c>
      <c r="K233" t="str">
        <f t="shared" si="9"/>
        <v>Ensure Audit client does not support encryption is set to Enabled</v>
      </c>
      <c r="L233" t="str">
        <f t="shared" si="10"/>
        <v>1.0232 - MSWRK - Ensure Audit client does not support encryption is set to Enabled</v>
      </c>
      <c r="M233" t="str">
        <f t="shared" si="11"/>
        <v>FAILED</v>
      </c>
      <c r="N233" s="1" t="s">
        <v>544</v>
      </c>
      <c r="O233" t="s">
        <v>67</v>
      </c>
      <c r="R233" t="s">
        <v>68</v>
      </c>
      <c r="T233" t="s">
        <v>69</v>
      </c>
      <c r="U233" t="s">
        <v>70</v>
      </c>
      <c r="W233" t="s">
        <v>71</v>
      </c>
      <c r="X233" s="1" t="s">
        <v>72</v>
      </c>
      <c r="Y233" t="s">
        <v>88</v>
      </c>
      <c r="Z233">
        <v>0</v>
      </c>
      <c r="AA233">
        <v>0</v>
      </c>
      <c r="AD233">
        <v>0</v>
      </c>
      <c r="AE233">
        <v>0</v>
      </c>
      <c r="AH233" t="s">
        <v>73</v>
      </c>
      <c r="AI233" t="s">
        <v>318</v>
      </c>
      <c r="AJ233" t="s">
        <v>319</v>
      </c>
      <c r="AK233" t="s">
        <v>76</v>
      </c>
      <c r="AN233" t="s">
        <v>77</v>
      </c>
      <c r="AO233" t="s">
        <v>320</v>
      </c>
      <c r="AP233" t="s">
        <v>542</v>
      </c>
      <c r="AQ233" t="s">
        <v>322</v>
      </c>
      <c r="AS233" t="b">
        <v>1</v>
      </c>
      <c r="AT233" t="s">
        <v>65</v>
      </c>
      <c r="AU233">
        <v>0</v>
      </c>
      <c r="AV233">
        <v>0</v>
      </c>
      <c r="AX233">
        <v>39</v>
      </c>
      <c r="AY233" t="s">
        <v>81</v>
      </c>
      <c r="AZ233" t="s">
        <v>90</v>
      </c>
      <c r="BB233" t="s">
        <v>91</v>
      </c>
      <c r="BC233" t="s">
        <v>92</v>
      </c>
      <c r="BD233" t="b">
        <v>0</v>
      </c>
      <c r="BE233" t="b">
        <v>0</v>
      </c>
      <c r="BF233" t="b">
        <v>0</v>
      </c>
      <c r="BG233" t="b">
        <v>0</v>
      </c>
      <c r="BH233" t="b">
        <v>0</v>
      </c>
      <c r="BI233" t="b">
        <v>0</v>
      </c>
      <c r="BJ233" t="b">
        <v>0</v>
      </c>
      <c r="BK233" t="b">
        <v>0</v>
      </c>
      <c r="BL233" t="b">
        <v>0</v>
      </c>
      <c r="BM233" t="b">
        <v>0</v>
      </c>
      <c r="BN233" t="b">
        <v>0</v>
      </c>
      <c r="BO233" t="b">
        <v>0</v>
      </c>
      <c r="BP233" t="b">
        <v>0</v>
      </c>
      <c r="BR233" t="b">
        <f>IFERROR(IF(M233="PASSED",VLOOKUP(J233,Current!$J$1:$N$500,1,FALSE)),N233)</f>
        <v>0</v>
      </c>
    </row>
    <row r="234" spans="1:70" ht="15" hidden="1" customHeight="1" x14ac:dyDescent="0.25">
      <c r="A234">
        <v>21156</v>
      </c>
      <c r="C234">
        <v>0</v>
      </c>
      <c r="D234" t="s">
        <v>83</v>
      </c>
      <c r="E234" t="s">
        <v>66</v>
      </c>
      <c r="F234" t="s">
        <v>84</v>
      </c>
      <c r="G234">
        <v>0</v>
      </c>
      <c r="H234" t="s">
        <v>85</v>
      </c>
      <c r="I234" t="s">
        <v>86</v>
      </c>
      <c r="J234" t="str">
        <f>MID($N234,FIND("1.",$N234),FIND("-",$N234)-FIND("1.",$N234)-1)</f>
        <v>1.0233</v>
      </c>
      <c r="K234" t="str">
        <f t="shared" si="9"/>
        <v>Ensure Audit client does not support signing is set to Enabled</v>
      </c>
      <c r="L234" t="str">
        <f t="shared" si="10"/>
        <v>1.0233 - MSWRK - Ensure Audit client does not support signing is set to Enabled</v>
      </c>
      <c r="M234" t="str">
        <f t="shared" si="11"/>
        <v>FAILED</v>
      </c>
      <c r="N234" s="1" t="s">
        <v>770</v>
      </c>
      <c r="O234" t="s">
        <v>67</v>
      </c>
      <c r="R234" t="s">
        <v>68</v>
      </c>
      <c r="T234" t="s">
        <v>69</v>
      </c>
      <c r="U234" t="s">
        <v>70</v>
      </c>
      <c r="W234" t="s">
        <v>71</v>
      </c>
      <c r="X234" s="1" t="s">
        <v>72</v>
      </c>
      <c r="Y234" t="s">
        <v>88</v>
      </c>
      <c r="Z234">
        <v>0</v>
      </c>
      <c r="AA234">
        <v>0</v>
      </c>
      <c r="AD234">
        <v>0</v>
      </c>
      <c r="AE234">
        <v>0</v>
      </c>
      <c r="AH234" t="s">
        <v>73</v>
      </c>
      <c r="AI234" t="s">
        <v>318</v>
      </c>
      <c r="AJ234" t="s">
        <v>319</v>
      </c>
      <c r="AK234" t="s">
        <v>76</v>
      </c>
      <c r="AN234" t="s">
        <v>77</v>
      </c>
      <c r="AO234" t="s">
        <v>320</v>
      </c>
      <c r="AP234" t="s">
        <v>771</v>
      </c>
      <c r="AQ234" t="s">
        <v>322</v>
      </c>
      <c r="AS234" t="b">
        <v>1</v>
      </c>
      <c r="AT234" t="s">
        <v>65</v>
      </c>
      <c r="AU234">
        <v>0</v>
      </c>
      <c r="AV234">
        <v>0</v>
      </c>
      <c r="AX234">
        <v>39</v>
      </c>
      <c r="AY234" t="s">
        <v>81</v>
      </c>
      <c r="AZ234" t="s">
        <v>90</v>
      </c>
      <c r="BB234" t="s">
        <v>91</v>
      </c>
      <c r="BC234" t="s">
        <v>92</v>
      </c>
      <c r="BD234" t="b">
        <v>0</v>
      </c>
      <c r="BE234" t="b">
        <v>0</v>
      </c>
      <c r="BF234" t="b">
        <v>0</v>
      </c>
      <c r="BG234" t="b">
        <v>0</v>
      </c>
      <c r="BH234" t="b">
        <v>0</v>
      </c>
      <c r="BI234" t="b">
        <v>0</v>
      </c>
      <c r="BJ234" t="b">
        <v>0</v>
      </c>
      <c r="BK234" t="b">
        <v>0</v>
      </c>
      <c r="BL234" t="b">
        <v>0</v>
      </c>
      <c r="BM234" t="b">
        <v>0</v>
      </c>
      <c r="BN234" t="b">
        <v>0</v>
      </c>
      <c r="BO234" t="b">
        <v>0</v>
      </c>
      <c r="BP234" t="b">
        <v>0</v>
      </c>
      <c r="BR234" t="b">
        <f>IFERROR(IF(M234="PASSED",VLOOKUP(J234,Current!$J$1:$N$500,1,FALSE)),N234)</f>
        <v>0</v>
      </c>
    </row>
    <row r="235" spans="1:70" ht="15" hidden="1" customHeight="1" x14ac:dyDescent="0.25">
      <c r="A235">
        <v>21156</v>
      </c>
      <c r="C235">
        <v>0</v>
      </c>
      <c r="D235" t="s">
        <v>83</v>
      </c>
      <c r="E235" t="s">
        <v>66</v>
      </c>
      <c r="F235" t="s">
        <v>84</v>
      </c>
      <c r="G235">
        <v>0</v>
      </c>
      <c r="H235" t="s">
        <v>85</v>
      </c>
      <c r="I235" t="s">
        <v>86</v>
      </c>
      <c r="J235" t="str">
        <f>MID($N235,FIND("1.",$N235),FIND("-",$N235)-FIND("1.",$N235)-1)</f>
        <v>1.0234</v>
      </c>
      <c r="K235" t="str">
        <f t="shared" si="9"/>
        <v>Ensure Audit insecure guest logon is set to Enabled - Lanmanserver</v>
      </c>
      <c r="L235" t="str">
        <f t="shared" si="10"/>
        <v>1.0234 - MSWRK - Ensure Audit insecure guest logon is set to Enabled - Lanmanserver</v>
      </c>
      <c r="M235" t="str">
        <f t="shared" si="11"/>
        <v>FAILED</v>
      </c>
      <c r="N235" s="1" t="s">
        <v>368</v>
      </c>
      <c r="O235" t="s">
        <v>67</v>
      </c>
      <c r="R235" t="s">
        <v>68</v>
      </c>
      <c r="T235" t="s">
        <v>69</v>
      </c>
      <c r="U235" t="s">
        <v>70</v>
      </c>
      <c r="W235" t="s">
        <v>71</v>
      </c>
      <c r="X235" s="1" t="s">
        <v>72</v>
      </c>
      <c r="Y235" t="s">
        <v>88</v>
      </c>
      <c r="Z235">
        <v>0</v>
      </c>
      <c r="AA235">
        <v>0</v>
      </c>
      <c r="AD235">
        <v>0</v>
      </c>
      <c r="AE235">
        <v>0</v>
      </c>
      <c r="AH235" t="s">
        <v>73</v>
      </c>
      <c r="AI235" t="s">
        <v>318</v>
      </c>
      <c r="AJ235" t="s">
        <v>319</v>
      </c>
      <c r="AK235" t="s">
        <v>76</v>
      </c>
      <c r="AN235" t="s">
        <v>77</v>
      </c>
      <c r="AO235" t="s">
        <v>320</v>
      </c>
      <c r="AP235" t="s">
        <v>369</v>
      </c>
      <c r="AQ235" t="s">
        <v>322</v>
      </c>
      <c r="AS235" t="b">
        <v>1</v>
      </c>
      <c r="AT235" t="s">
        <v>65</v>
      </c>
      <c r="AU235">
        <v>0</v>
      </c>
      <c r="AV235">
        <v>0</v>
      </c>
      <c r="AX235">
        <v>39</v>
      </c>
      <c r="AY235" t="s">
        <v>81</v>
      </c>
      <c r="AZ235" t="s">
        <v>90</v>
      </c>
      <c r="BB235" t="s">
        <v>91</v>
      </c>
      <c r="BC235" t="s">
        <v>92</v>
      </c>
      <c r="BD235" t="b">
        <v>0</v>
      </c>
      <c r="BE235" t="b">
        <v>0</v>
      </c>
      <c r="BF235" t="b">
        <v>0</v>
      </c>
      <c r="BG235" t="b">
        <v>0</v>
      </c>
      <c r="BH235" t="b">
        <v>0</v>
      </c>
      <c r="BI235" t="b">
        <v>0</v>
      </c>
      <c r="BJ235" t="b">
        <v>0</v>
      </c>
      <c r="BK235" t="b">
        <v>0</v>
      </c>
      <c r="BL235" t="b">
        <v>0</v>
      </c>
      <c r="BM235" t="b">
        <v>0</v>
      </c>
      <c r="BN235" t="b">
        <v>0</v>
      </c>
      <c r="BO235" t="b">
        <v>0</v>
      </c>
      <c r="BP235" t="b">
        <v>0</v>
      </c>
      <c r="BR235" t="b">
        <f>IFERROR(IF(M235="PASSED",VLOOKUP(J235,Current!$J$1:$N$500,1,FALSE)),N235)</f>
        <v>0</v>
      </c>
    </row>
    <row r="236" spans="1:70" ht="15" hidden="1" customHeight="1" x14ac:dyDescent="0.25">
      <c r="A236">
        <v>21156</v>
      </c>
      <c r="C236">
        <v>0</v>
      </c>
      <c r="D236" t="s">
        <v>83</v>
      </c>
      <c r="E236" t="s">
        <v>66</v>
      </c>
      <c r="F236" t="s">
        <v>84</v>
      </c>
      <c r="G236">
        <v>0</v>
      </c>
      <c r="H236" t="s">
        <v>85</v>
      </c>
      <c r="I236" t="s">
        <v>86</v>
      </c>
      <c r="J236" t="str">
        <f>MID($N236,FIND("1.",$N236),FIND("-",$N236)-FIND("1.",$N236)-1)</f>
        <v>1.0235</v>
      </c>
      <c r="K236" t="str">
        <f t="shared" si="9"/>
        <v>Ensure Enable authentication rate limiter is set to Enabled</v>
      </c>
      <c r="L236" t="str">
        <f t="shared" si="10"/>
        <v>1.0235 - MSWRK - Ensure Enable authentication rate limiter is set to Enabled</v>
      </c>
      <c r="M236" t="str">
        <f t="shared" si="11"/>
        <v>FAILED</v>
      </c>
      <c r="N236" s="1" t="s">
        <v>432</v>
      </c>
      <c r="O236" t="s">
        <v>67</v>
      </c>
      <c r="R236" t="s">
        <v>68</v>
      </c>
      <c r="T236" t="s">
        <v>69</v>
      </c>
      <c r="U236" t="s">
        <v>70</v>
      </c>
      <c r="W236" t="s">
        <v>71</v>
      </c>
      <c r="X236" s="1" t="s">
        <v>72</v>
      </c>
      <c r="Y236" t="s">
        <v>88</v>
      </c>
      <c r="Z236">
        <v>0</v>
      </c>
      <c r="AA236">
        <v>0</v>
      </c>
      <c r="AD236">
        <v>0</v>
      </c>
      <c r="AE236">
        <v>0</v>
      </c>
      <c r="AH236" t="s">
        <v>73</v>
      </c>
      <c r="AI236" t="s">
        <v>318</v>
      </c>
      <c r="AJ236" t="s">
        <v>319</v>
      </c>
      <c r="AK236" t="s">
        <v>76</v>
      </c>
      <c r="AN236" t="s">
        <v>77</v>
      </c>
      <c r="AO236" t="s">
        <v>320</v>
      </c>
      <c r="AP236" t="s">
        <v>431</v>
      </c>
      <c r="AQ236" t="s">
        <v>322</v>
      </c>
      <c r="AS236" t="b">
        <v>1</v>
      </c>
      <c r="AT236" t="s">
        <v>65</v>
      </c>
      <c r="AU236">
        <v>0</v>
      </c>
      <c r="AV236">
        <v>0</v>
      </c>
      <c r="AX236">
        <v>39</v>
      </c>
      <c r="AY236" t="s">
        <v>81</v>
      </c>
      <c r="AZ236" t="s">
        <v>90</v>
      </c>
      <c r="BB236" t="s">
        <v>91</v>
      </c>
      <c r="BC236" t="s">
        <v>92</v>
      </c>
      <c r="BD236" t="b">
        <v>0</v>
      </c>
      <c r="BE236" t="b">
        <v>0</v>
      </c>
      <c r="BF236" t="b">
        <v>0</v>
      </c>
      <c r="BG236" t="b">
        <v>0</v>
      </c>
      <c r="BH236" t="b">
        <v>0</v>
      </c>
      <c r="BI236" t="b">
        <v>0</v>
      </c>
      <c r="BJ236" t="b">
        <v>0</v>
      </c>
      <c r="BK236" t="b">
        <v>0</v>
      </c>
      <c r="BL236" t="b">
        <v>0</v>
      </c>
      <c r="BM236" t="b">
        <v>0</v>
      </c>
      <c r="BN236" t="b">
        <v>0</v>
      </c>
      <c r="BO236" t="b">
        <v>0</v>
      </c>
      <c r="BP236" t="b">
        <v>0</v>
      </c>
      <c r="BR236" t="b">
        <f>IFERROR(IF(M236="PASSED",VLOOKUP(J236,Current!$J$1:$N$500,1,FALSE)),N236)</f>
        <v>0</v>
      </c>
    </row>
    <row r="237" spans="1:70" ht="15" customHeight="1" x14ac:dyDescent="0.25">
      <c r="A237">
        <v>21156</v>
      </c>
      <c r="C237">
        <v>0</v>
      </c>
      <c r="D237" t="s">
        <v>65</v>
      </c>
      <c r="E237" t="s">
        <v>66</v>
      </c>
      <c r="F237" t="s">
        <v>84</v>
      </c>
      <c r="G237">
        <v>0</v>
      </c>
      <c r="H237" t="s">
        <v>85</v>
      </c>
      <c r="I237" t="s">
        <v>86</v>
      </c>
      <c r="J237" t="str">
        <f>MID($N237,FIND("1.",$N237),FIND("-",$N237)-FIND("1.",$N237)-1)</f>
        <v>1.0236</v>
      </c>
      <c r="K237" t="str">
        <f t="shared" si="9"/>
        <v>Ensure Enable remote mailslots is set to Disabled - Bowser</v>
      </c>
      <c r="L237" t="str">
        <f t="shared" si="10"/>
        <v>1.0236 - MSWRK - Ensure Enable remote mailslots is set to Disabled - Bowser</v>
      </c>
      <c r="M237" t="str">
        <f t="shared" si="11"/>
        <v>PASSED</v>
      </c>
      <c r="N237" s="1" t="s">
        <v>440</v>
      </c>
      <c r="O237" t="s">
        <v>67</v>
      </c>
      <c r="R237" t="s">
        <v>68</v>
      </c>
      <c r="T237" t="s">
        <v>69</v>
      </c>
      <c r="U237" t="s">
        <v>70</v>
      </c>
      <c r="W237" t="s">
        <v>71</v>
      </c>
      <c r="X237" s="1" t="s">
        <v>72</v>
      </c>
      <c r="Y237" t="s">
        <v>88</v>
      </c>
      <c r="Z237">
        <v>0</v>
      </c>
      <c r="AA237">
        <v>0</v>
      </c>
      <c r="AD237">
        <v>0</v>
      </c>
      <c r="AE237">
        <v>0</v>
      </c>
      <c r="AH237" t="s">
        <v>73</v>
      </c>
      <c r="AI237" t="s">
        <v>318</v>
      </c>
      <c r="AJ237" t="s">
        <v>319</v>
      </c>
      <c r="AK237" t="s">
        <v>76</v>
      </c>
      <c r="AN237" t="s">
        <v>77</v>
      </c>
      <c r="AO237" t="s">
        <v>320</v>
      </c>
      <c r="AP237" t="s">
        <v>439</v>
      </c>
      <c r="AQ237" t="s">
        <v>322</v>
      </c>
      <c r="AS237" t="b">
        <v>1</v>
      </c>
      <c r="AT237" t="s">
        <v>65</v>
      </c>
      <c r="AU237">
        <v>0</v>
      </c>
      <c r="AV237">
        <v>0</v>
      </c>
      <c r="AX237">
        <v>39</v>
      </c>
      <c r="AY237" t="s">
        <v>81</v>
      </c>
      <c r="AZ237" t="s">
        <v>90</v>
      </c>
      <c r="BB237" t="s">
        <v>91</v>
      </c>
      <c r="BC237" t="s">
        <v>92</v>
      </c>
      <c r="BD237" t="b">
        <v>0</v>
      </c>
      <c r="BE237" t="b">
        <v>0</v>
      </c>
      <c r="BF237" t="b">
        <v>0</v>
      </c>
      <c r="BG237" t="b">
        <v>0</v>
      </c>
      <c r="BH237" t="b">
        <v>0</v>
      </c>
      <c r="BI237" t="b">
        <v>0</v>
      </c>
      <c r="BJ237" t="b">
        <v>0</v>
      </c>
      <c r="BK237" t="b">
        <v>0</v>
      </c>
      <c r="BL237" t="b">
        <v>0</v>
      </c>
      <c r="BM237" t="b">
        <v>0</v>
      </c>
      <c r="BN237" t="b">
        <v>0</v>
      </c>
      <c r="BO237" t="b">
        <v>0</v>
      </c>
      <c r="BP237" t="b">
        <v>0</v>
      </c>
      <c r="BR237" t="str">
        <f>IFERROR(IF(M237="PASSED",VLOOKUP(J237,Current!$J$1:$N$500,1,FALSE)),N237)</f>
        <v>"1.0236 - MSWRK - Ensure Enable remote mailslots is set to Disabled - Bowser: [PASSED]"
This policy settings controls whether the SMB server will use remote mailslots over the computer browser service.
See Also:
See HTH Policies and Standards
Reference:
NIST 800-53r5|CM-6 CM-7
Policy Value:
'0'
Actual Value:
'0'</v>
      </c>
    </row>
    <row r="238" spans="1:70" ht="15" hidden="1" customHeight="1" x14ac:dyDescent="0.25">
      <c r="A238">
        <v>21156</v>
      </c>
      <c r="C238">
        <v>0</v>
      </c>
      <c r="D238" t="s">
        <v>83</v>
      </c>
      <c r="E238" t="s">
        <v>66</v>
      </c>
      <c r="F238" t="s">
        <v>84</v>
      </c>
      <c r="G238">
        <v>0</v>
      </c>
      <c r="H238" t="s">
        <v>85</v>
      </c>
      <c r="I238" t="s">
        <v>86</v>
      </c>
      <c r="J238" t="str">
        <f>MID($N238,FIND("1.",$N238),FIND("-",$N238)-FIND("1.",$N238)-1)</f>
        <v>1.0237</v>
      </c>
      <c r="K238" t="str">
        <f t="shared" si="9"/>
        <v>Ensure Mandate the minimum version of SMB is set to Enabled</v>
      </c>
      <c r="L238" t="str">
        <f t="shared" si="10"/>
        <v>1.0237 - MSWRK - Ensure Mandate the minimum version of SMB is set to Enabled: 3.1.1 - Lanmanserver</v>
      </c>
      <c r="M238" t="str">
        <f t="shared" si="11"/>
        <v>FAILED</v>
      </c>
      <c r="N238" s="1" t="s">
        <v>706</v>
      </c>
      <c r="O238" t="s">
        <v>67</v>
      </c>
      <c r="R238" t="s">
        <v>68</v>
      </c>
      <c r="T238" t="s">
        <v>69</v>
      </c>
      <c r="U238" t="s">
        <v>70</v>
      </c>
      <c r="W238" t="s">
        <v>71</v>
      </c>
      <c r="X238" s="1" t="s">
        <v>72</v>
      </c>
      <c r="Y238" t="s">
        <v>88</v>
      </c>
      <c r="Z238">
        <v>0</v>
      </c>
      <c r="AA238">
        <v>0</v>
      </c>
      <c r="AD238">
        <v>0</v>
      </c>
      <c r="AE238">
        <v>0</v>
      </c>
      <c r="AH238" t="s">
        <v>73</v>
      </c>
      <c r="AI238" t="s">
        <v>318</v>
      </c>
      <c r="AJ238" t="s">
        <v>319</v>
      </c>
      <c r="AK238" t="s">
        <v>76</v>
      </c>
      <c r="AN238" t="s">
        <v>77</v>
      </c>
      <c r="AO238" t="s">
        <v>320</v>
      </c>
      <c r="AP238" t="s">
        <v>705</v>
      </c>
      <c r="AQ238" t="s">
        <v>322</v>
      </c>
      <c r="AS238" t="b">
        <v>1</v>
      </c>
      <c r="AT238" t="s">
        <v>65</v>
      </c>
      <c r="AU238">
        <v>0</v>
      </c>
      <c r="AV238">
        <v>0</v>
      </c>
      <c r="AX238">
        <v>39</v>
      </c>
      <c r="AY238" t="s">
        <v>81</v>
      </c>
      <c r="AZ238" t="s">
        <v>90</v>
      </c>
      <c r="BB238" t="s">
        <v>91</v>
      </c>
      <c r="BC238" t="s">
        <v>92</v>
      </c>
      <c r="BD238" t="b">
        <v>0</v>
      </c>
      <c r="BE238" t="b">
        <v>0</v>
      </c>
      <c r="BF238" t="b">
        <v>0</v>
      </c>
      <c r="BG238" t="b">
        <v>0</v>
      </c>
      <c r="BH238" t="b">
        <v>0</v>
      </c>
      <c r="BI238" t="b">
        <v>0</v>
      </c>
      <c r="BJ238" t="b">
        <v>0</v>
      </c>
      <c r="BK238" t="b">
        <v>0</v>
      </c>
      <c r="BL238" t="b">
        <v>0</v>
      </c>
      <c r="BM238" t="b">
        <v>0</v>
      </c>
      <c r="BN238" t="b">
        <v>0</v>
      </c>
      <c r="BO238" t="b">
        <v>0</v>
      </c>
      <c r="BP238" t="b">
        <v>0</v>
      </c>
      <c r="BR238" t="b">
        <f>IFERROR(IF(M238="PASSED",VLOOKUP(J238,Current!$J$1:$N$500,1,FALSE)),N238)</f>
        <v>0</v>
      </c>
    </row>
    <row r="239" spans="1:70" ht="15" hidden="1" customHeight="1" x14ac:dyDescent="0.25">
      <c r="A239">
        <v>21156</v>
      </c>
      <c r="C239">
        <v>0</v>
      </c>
      <c r="D239" t="s">
        <v>83</v>
      </c>
      <c r="E239" t="s">
        <v>66</v>
      </c>
      <c r="F239" t="s">
        <v>84</v>
      </c>
      <c r="G239">
        <v>0</v>
      </c>
      <c r="H239" t="s">
        <v>85</v>
      </c>
      <c r="I239" t="s">
        <v>86</v>
      </c>
      <c r="J239" t="str">
        <f>MID($N239,FIND("1.",$N239),FIND("-",$N239)-FIND("1.",$N239)-1)</f>
        <v>1.0238</v>
      </c>
      <c r="K239" t="str">
        <f t="shared" si="9"/>
        <v>Ensure Set authentication rate limiter delay (milliseconds) is set to Enabled</v>
      </c>
      <c r="L239" t="str">
        <f t="shared" si="10"/>
        <v>1.0238 - MSWRK - Ensure Set authentication rate limiter delay (milliseconds) is set to Enabled: 2000 or more</v>
      </c>
      <c r="M239" t="str">
        <f t="shared" si="11"/>
        <v>FAILED</v>
      </c>
      <c r="N239" s="1" t="s">
        <v>731</v>
      </c>
      <c r="O239" t="s">
        <v>67</v>
      </c>
      <c r="R239" t="s">
        <v>68</v>
      </c>
      <c r="T239" t="s">
        <v>69</v>
      </c>
      <c r="U239" t="s">
        <v>70</v>
      </c>
      <c r="W239" t="s">
        <v>71</v>
      </c>
      <c r="X239" s="1" t="s">
        <v>72</v>
      </c>
      <c r="Y239" t="s">
        <v>88</v>
      </c>
      <c r="Z239">
        <v>0</v>
      </c>
      <c r="AA239">
        <v>0</v>
      </c>
      <c r="AD239">
        <v>0</v>
      </c>
      <c r="AE239">
        <v>0</v>
      </c>
      <c r="AH239" t="s">
        <v>73</v>
      </c>
      <c r="AI239" t="s">
        <v>318</v>
      </c>
      <c r="AJ239" t="s">
        <v>319</v>
      </c>
      <c r="AK239" t="s">
        <v>76</v>
      </c>
      <c r="AN239" t="s">
        <v>77</v>
      </c>
      <c r="AO239" t="s">
        <v>320</v>
      </c>
      <c r="AP239" t="s">
        <v>730</v>
      </c>
      <c r="AQ239" t="s">
        <v>322</v>
      </c>
      <c r="AS239" t="b">
        <v>1</v>
      </c>
      <c r="AT239" t="s">
        <v>65</v>
      </c>
      <c r="AU239">
        <v>0</v>
      </c>
      <c r="AV239">
        <v>0</v>
      </c>
      <c r="AX239">
        <v>39</v>
      </c>
      <c r="AY239" t="s">
        <v>81</v>
      </c>
      <c r="AZ239" t="s">
        <v>90</v>
      </c>
      <c r="BB239" t="s">
        <v>91</v>
      </c>
      <c r="BC239" t="s">
        <v>92</v>
      </c>
      <c r="BD239" t="b">
        <v>0</v>
      </c>
      <c r="BE239" t="b">
        <v>0</v>
      </c>
      <c r="BF239" t="b">
        <v>0</v>
      </c>
      <c r="BG239" t="b">
        <v>0</v>
      </c>
      <c r="BH239" t="b">
        <v>0</v>
      </c>
      <c r="BI239" t="b">
        <v>0</v>
      </c>
      <c r="BJ239" t="b">
        <v>0</v>
      </c>
      <c r="BK239" t="b">
        <v>0</v>
      </c>
      <c r="BL239" t="b">
        <v>0</v>
      </c>
      <c r="BM239" t="b">
        <v>0</v>
      </c>
      <c r="BN239" t="b">
        <v>0</v>
      </c>
      <c r="BO239" t="b">
        <v>0</v>
      </c>
      <c r="BP239" t="b">
        <v>0</v>
      </c>
      <c r="BR239" t="b">
        <f>IFERROR(IF(M239="PASSED",VLOOKUP(J239,Current!$J$1:$N$500,1,FALSE)),N239)</f>
        <v>0</v>
      </c>
    </row>
    <row r="240" spans="1:70" ht="15" hidden="1" customHeight="1" x14ac:dyDescent="0.25">
      <c r="A240">
        <v>21156</v>
      </c>
      <c r="C240">
        <v>0</v>
      </c>
      <c r="D240" t="s">
        <v>83</v>
      </c>
      <c r="E240" t="s">
        <v>66</v>
      </c>
      <c r="F240" t="s">
        <v>84</v>
      </c>
      <c r="G240">
        <v>0</v>
      </c>
      <c r="H240" t="s">
        <v>85</v>
      </c>
      <c r="I240" t="s">
        <v>86</v>
      </c>
      <c r="J240" t="str">
        <f>MID($N240,FIND("1.",$N240),FIND("-",$N240)-FIND("1.",$N240)-1)</f>
        <v>1.0239</v>
      </c>
      <c r="K240" t="str">
        <f t="shared" si="9"/>
        <v>Ensure Audit insecure guest logon is set to Enabled - Lanmanworkstation</v>
      </c>
      <c r="L240" t="str">
        <f t="shared" si="10"/>
        <v>1.0239 - MSWRK - Ensure Audit insecure guest logon is set to Enabled - Lanmanworkstation</v>
      </c>
      <c r="M240" t="str">
        <f t="shared" si="11"/>
        <v>FAILED</v>
      </c>
      <c r="N240" s="1" t="s">
        <v>392</v>
      </c>
      <c r="O240" t="s">
        <v>67</v>
      </c>
      <c r="R240" t="s">
        <v>68</v>
      </c>
      <c r="T240" t="s">
        <v>69</v>
      </c>
      <c r="U240" t="s">
        <v>70</v>
      </c>
      <c r="W240" t="s">
        <v>71</v>
      </c>
      <c r="X240" s="1" t="s">
        <v>72</v>
      </c>
      <c r="Y240" t="s">
        <v>88</v>
      </c>
      <c r="Z240">
        <v>0</v>
      </c>
      <c r="AA240">
        <v>0</v>
      </c>
      <c r="AD240">
        <v>0</v>
      </c>
      <c r="AE240">
        <v>0</v>
      </c>
      <c r="AH240" t="s">
        <v>73</v>
      </c>
      <c r="AI240" t="s">
        <v>318</v>
      </c>
      <c r="AJ240" t="s">
        <v>319</v>
      </c>
      <c r="AK240" t="s">
        <v>76</v>
      </c>
      <c r="AN240" t="s">
        <v>77</v>
      </c>
      <c r="AO240" t="s">
        <v>320</v>
      </c>
      <c r="AP240" t="s">
        <v>390</v>
      </c>
      <c r="AQ240" t="s">
        <v>322</v>
      </c>
      <c r="AS240" t="b">
        <v>1</v>
      </c>
      <c r="AT240" t="s">
        <v>65</v>
      </c>
      <c r="AU240">
        <v>0</v>
      </c>
      <c r="AV240">
        <v>0</v>
      </c>
      <c r="AX240">
        <v>39</v>
      </c>
      <c r="AY240" t="s">
        <v>81</v>
      </c>
      <c r="AZ240" t="s">
        <v>90</v>
      </c>
      <c r="BB240" t="s">
        <v>91</v>
      </c>
      <c r="BC240" t="s">
        <v>92</v>
      </c>
      <c r="BD240" t="b">
        <v>0</v>
      </c>
      <c r="BE240" t="b">
        <v>0</v>
      </c>
      <c r="BF240" t="b">
        <v>0</v>
      </c>
      <c r="BG240" t="b">
        <v>0</v>
      </c>
      <c r="BH240" t="b">
        <v>0</v>
      </c>
      <c r="BI240" t="b">
        <v>0</v>
      </c>
      <c r="BJ240" t="b">
        <v>0</v>
      </c>
      <c r="BK240" t="b">
        <v>0</v>
      </c>
      <c r="BL240" t="b">
        <v>0</v>
      </c>
      <c r="BM240" t="b">
        <v>0</v>
      </c>
      <c r="BN240" t="b">
        <v>0</v>
      </c>
      <c r="BO240" t="b">
        <v>0</v>
      </c>
      <c r="BP240" t="b">
        <v>0</v>
      </c>
      <c r="BR240" t="b">
        <f>IFERROR(IF(M240="PASSED",VLOOKUP(J240,Current!$J$1:$N$500,1,FALSE)),N240)</f>
        <v>0</v>
      </c>
    </row>
    <row r="241" spans="1:70" ht="15" hidden="1" customHeight="1" x14ac:dyDescent="0.25">
      <c r="A241">
        <v>21156</v>
      </c>
      <c r="C241">
        <v>0</v>
      </c>
      <c r="D241" t="s">
        <v>83</v>
      </c>
      <c r="E241" t="s">
        <v>66</v>
      </c>
      <c r="F241" t="s">
        <v>84</v>
      </c>
      <c r="G241">
        <v>0</v>
      </c>
      <c r="H241" t="s">
        <v>85</v>
      </c>
      <c r="I241" t="s">
        <v>86</v>
      </c>
      <c r="J241" t="str">
        <f>MID($N241,FIND("1.",$N241),FIND("-",$N241)-FIND("1.",$N241)-1)</f>
        <v>1.0240</v>
      </c>
      <c r="K241" t="str">
        <f t="shared" si="9"/>
        <v>Ensure Audit server does not support encryption is set to Enabled</v>
      </c>
      <c r="L241" t="str">
        <f t="shared" si="10"/>
        <v>1.0240 - MSWRK - Ensure Audit server does not support encryption is set to Enabled</v>
      </c>
      <c r="M241" t="str">
        <f t="shared" si="11"/>
        <v>FAILED</v>
      </c>
      <c r="N241" s="1" t="s">
        <v>484</v>
      </c>
      <c r="O241" t="s">
        <v>67</v>
      </c>
      <c r="R241" t="s">
        <v>68</v>
      </c>
      <c r="T241" t="s">
        <v>69</v>
      </c>
      <c r="U241" t="s">
        <v>70</v>
      </c>
      <c r="W241" t="s">
        <v>71</v>
      </c>
      <c r="X241" s="1" t="s">
        <v>72</v>
      </c>
      <c r="Y241" t="s">
        <v>88</v>
      </c>
      <c r="Z241">
        <v>0</v>
      </c>
      <c r="AA241">
        <v>0</v>
      </c>
      <c r="AD241">
        <v>0</v>
      </c>
      <c r="AE241">
        <v>0</v>
      </c>
      <c r="AH241" t="s">
        <v>73</v>
      </c>
      <c r="AI241" t="s">
        <v>318</v>
      </c>
      <c r="AJ241" t="s">
        <v>319</v>
      </c>
      <c r="AK241" t="s">
        <v>76</v>
      </c>
      <c r="AN241" t="s">
        <v>77</v>
      </c>
      <c r="AO241" t="s">
        <v>320</v>
      </c>
      <c r="AP241" t="s">
        <v>483</v>
      </c>
      <c r="AQ241" t="s">
        <v>322</v>
      </c>
      <c r="AS241" t="b">
        <v>1</v>
      </c>
      <c r="AT241" t="s">
        <v>65</v>
      </c>
      <c r="AU241">
        <v>0</v>
      </c>
      <c r="AV241">
        <v>0</v>
      </c>
      <c r="AX241">
        <v>39</v>
      </c>
      <c r="AY241" t="s">
        <v>81</v>
      </c>
      <c r="AZ241" t="s">
        <v>90</v>
      </c>
      <c r="BB241" t="s">
        <v>91</v>
      </c>
      <c r="BC241" t="s">
        <v>92</v>
      </c>
      <c r="BD241" t="b">
        <v>0</v>
      </c>
      <c r="BE241" t="b">
        <v>0</v>
      </c>
      <c r="BF241" t="b">
        <v>0</v>
      </c>
      <c r="BG241" t="b">
        <v>0</v>
      </c>
      <c r="BH241" t="b">
        <v>0</v>
      </c>
      <c r="BI241" t="b">
        <v>0</v>
      </c>
      <c r="BJ241" t="b">
        <v>0</v>
      </c>
      <c r="BK241" t="b">
        <v>0</v>
      </c>
      <c r="BL241" t="b">
        <v>0</v>
      </c>
      <c r="BM241" t="b">
        <v>0</v>
      </c>
      <c r="BN241" t="b">
        <v>0</v>
      </c>
      <c r="BO241" t="b">
        <v>0</v>
      </c>
      <c r="BP241" t="b">
        <v>0</v>
      </c>
      <c r="BR241" t="b">
        <f>IFERROR(IF(M241="PASSED",VLOOKUP(J241,Current!$J$1:$N$500,1,FALSE)),N241)</f>
        <v>0</v>
      </c>
    </row>
    <row r="242" spans="1:70" ht="15" hidden="1" customHeight="1" x14ac:dyDescent="0.25">
      <c r="A242">
        <v>21156</v>
      </c>
      <c r="C242">
        <v>0</v>
      </c>
      <c r="D242" t="s">
        <v>83</v>
      </c>
      <c r="E242" t="s">
        <v>66</v>
      </c>
      <c r="F242" t="s">
        <v>84</v>
      </c>
      <c r="G242">
        <v>0</v>
      </c>
      <c r="H242" t="s">
        <v>85</v>
      </c>
      <c r="I242" t="s">
        <v>86</v>
      </c>
      <c r="J242" t="str">
        <f>MID($N242,FIND("1.",$N242),FIND("-",$N242)-FIND("1.",$N242)-1)</f>
        <v>1.0241</v>
      </c>
      <c r="K242" t="str">
        <f t="shared" si="9"/>
        <v>Ensure Audit server does not support signing is set to Enabled</v>
      </c>
      <c r="L242" t="str">
        <f t="shared" si="10"/>
        <v>1.0241 - MSWRK - Ensure Audit server does not support signing is set to Enabled</v>
      </c>
      <c r="M242" t="str">
        <f t="shared" si="11"/>
        <v>FAILED</v>
      </c>
      <c r="N242" s="1" t="s">
        <v>380</v>
      </c>
      <c r="O242" t="s">
        <v>67</v>
      </c>
      <c r="R242" t="s">
        <v>68</v>
      </c>
      <c r="T242" t="s">
        <v>69</v>
      </c>
      <c r="U242" t="s">
        <v>70</v>
      </c>
      <c r="W242" t="s">
        <v>71</v>
      </c>
      <c r="X242" s="1" t="s">
        <v>72</v>
      </c>
      <c r="Y242" t="s">
        <v>88</v>
      </c>
      <c r="Z242">
        <v>0</v>
      </c>
      <c r="AA242">
        <v>0</v>
      </c>
      <c r="AD242">
        <v>0</v>
      </c>
      <c r="AE242">
        <v>0</v>
      </c>
      <c r="AH242" t="s">
        <v>73</v>
      </c>
      <c r="AI242" t="s">
        <v>318</v>
      </c>
      <c r="AJ242" t="s">
        <v>319</v>
      </c>
      <c r="AK242" t="s">
        <v>76</v>
      </c>
      <c r="AN242" t="s">
        <v>77</v>
      </c>
      <c r="AO242" t="s">
        <v>320</v>
      </c>
      <c r="AP242" t="s">
        <v>377</v>
      </c>
      <c r="AQ242" t="s">
        <v>322</v>
      </c>
      <c r="AS242" t="b">
        <v>1</v>
      </c>
      <c r="AT242" t="s">
        <v>65</v>
      </c>
      <c r="AU242">
        <v>0</v>
      </c>
      <c r="AV242">
        <v>0</v>
      </c>
      <c r="AX242">
        <v>39</v>
      </c>
      <c r="AY242" t="s">
        <v>81</v>
      </c>
      <c r="AZ242" t="s">
        <v>90</v>
      </c>
      <c r="BB242" t="s">
        <v>91</v>
      </c>
      <c r="BC242" t="s">
        <v>92</v>
      </c>
      <c r="BD242" t="b">
        <v>0</v>
      </c>
      <c r="BE242" t="b">
        <v>0</v>
      </c>
      <c r="BF242" t="b">
        <v>0</v>
      </c>
      <c r="BG242" t="b">
        <v>0</v>
      </c>
      <c r="BH242" t="b">
        <v>0</v>
      </c>
      <c r="BI242" t="b">
        <v>0</v>
      </c>
      <c r="BJ242" t="b">
        <v>0</v>
      </c>
      <c r="BK242" t="b">
        <v>0</v>
      </c>
      <c r="BL242" t="b">
        <v>0</v>
      </c>
      <c r="BM242" t="b">
        <v>0</v>
      </c>
      <c r="BN242" t="b">
        <v>0</v>
      </c>
      <c r="BO242" t="b">
        <v>0</v>
      </c>
      <c r="BP242" t="b">
        <v>0</v>
      </c>
      <c r="BR242" t="b">
        <f>IFERROR(IF(M242="PASSED",VLOOKUP(J242,Current!$J$1:$N$500,1,FALSE)),N242)</f>
        <v>0</v>
      </c>
    </row>
    <row r="243" spans="1:70" ht="15" customHeight="1" x14ac:dyDescent="0.25">
      <c r="A243">
        <v>21156</v>
      </c>
      <c r="C243">
        <v>0</v>
      </c>
      <c r="D243" t="s">
        <v>65</v>
      </c>
      <c r="E243" t="s">
        <v>66</v>
      </c>
      <c r="F243" t="s">
        <v>84</v>
      </c>
      <c r="G243">
        <v>0</v>
      </c>
      <c r="H243" t="s">
        <v>85</v>
      </c>
      <c r="I243" t="s">
        <v>86</v>
      </c>
      <c r="J243" t="str">
        <f>MID($N243,FIND("1.",$N243),FIND("-",$N243)-FIND("1.",$N243)-1)</f>
        <v>1.0242</v>
      </c>
      <c r="K243" t="str">
        <f t="shared" si="9"/>
        <v>Ensure Enable insecure guest logons is set to Disabled</v>
      </c>
      <c r="L243" t="str">
        <f t="shared" si="10"/>
        <v>1.0242 - MSWRK - Ensure Enable insecure guest logons is set to Disabled</v>
      </c>
      <c r="M243" t="str">
        <f t="shared" si="11"/>
        <v>PASSED</v>
      </c>
      <c r="N243" s="1" t="s">
        <v>427</v>
      </c>
      <c r="O243" t="s">
        <v>67</v>
      </c>
      <c r="R243" t="s">
        <v>68</v>
      </c>
      <c r="T243" t="s">
        <v>69</v>
      </c>
      <c r="U243" t="s">
        <v>70</v>
      </c>
      <c r="W243" t="s">
        <v>71</v>
      </c>
      <c r="X243" s="1" t="s">
        <v>72</v>
      </c>
      <c r="Y243" t="s">
        <v>88</v>
      </c>
      <c r="Z243">
        <v>0</v>
      </c>
      <c r="AA243">
        <v>0</v>
      </c>
      <c r="AD243">
        <v>0</v>
      </c>
      <c r="AE243">
        <v>0</v>
      </c>
      <c r="AH243" t="s">
        <v>73</v>
      </c>
      <c r="AI243" t="s">
        <v>318</v>
      </c>
      <c r="AJ243" t="s">
        <v>319</v>
      </c>
      <c r="AK243" t="s">
        <v>76</v>
      </c>
      <c r="AN243" t="s">
        <v>77</v>
      </c>
      <c r="AO243" t="s">
        <v>320</v>
      </c>
      <c r="AP243" t="s">
        <v>425</v>
      </c>
      <c r="AQ243" t="s">
        <v>322</v>
      </c>
      <c r="AS243" t="b">
        <v>1</v>
      </c>
      <c r="AT243" t="s">
        <v>65</v>
      </c>
      <c r="AU243">
        <v>0</v>
      </c>
      <c r="AV243">
        <v>0</v>
      </c>
      <c r="AX243">
        <v>39</v>
      </c>
      <c r="AY243" t="s">
        <v>81</v>
      </c>
      <c r="AZ243" t="s">
        <v>90</v>
      </c>
      <c r="BB243" t="s">
        <v>91</v>
      </c>
      <c r="BC243" t="s">
        <v>92</v>
      </c>
      <c r="BD243" t="b">
        <v>0</v>
      </c>
      <c r="BE243" t="b">
        <v>0</v>
      </c>
      <c r="BF243" t="b">
        <v>0</v>
      </c>
      <c r="BG243" t="b">
        <v>0</v>
      </c>
      <c r="BH243" t="b">
        <v>0</v>
      </c>
      <c r="BI243" t="b">
        <v>0</v>
      </c>
      <c r="BJ243" t="b">
        <v>0</v>
      </c>
      <c r="BK243" t="b">
        <v>0</v>
      </c>
      <c r="BL243" t="b">
        <v>0</v>
      </c>
      <c r="BM243" t="b">
        <v>0</v>
      </c>
      <c r="BN243" t="b">
        <v>0</v>
      </c>
      <c r="BO243" t="b">
        <v>0</v>
      </c>
      <c r="BP243" t="b">
        <v>0</v>
      </c>
      <c r="BR243" t="str">
        <f>IFERROR(IF(M243="PASSED",VLOOKUP(J243,Current!$J$1:$N$500,1,FALSE)),N243)</f>
        <v>"1.0242 - MSWRK - Ensure Enable insecure guest logons is set to Disabled: [PASSED]"
This policy setting determines if the SMB client will allow insecure guest logons to an SMB server.
See Also:
See HTH Policies and Standards
Reference:
NIST 800-53r5|CM-7b.
Policy Value:
'0'
Actual Value:
'0'</v>
      </c>
    </row>
    <row r="244" spans="1:70" ht="15" customHeight="1" x14ac:dyDescent="0.25">
      <c r="A244">
        <v>21156</v>
      </c>
      <c r="C244">
        <v>0</v>
      </c>
      <c r="D244" t="s">
        <v>65</v>
      </c>
      <c r="E244" t="s">
        <v>66</v>
      </c>
      <c r="F244" t="s">
        <v>84</v>
      </c>
      <c r="G244">
        <v>0</v>
      </c>
      <c r="H244" t="s">
        <v>85</v>
      </c>
      <c r="I244" t="s">
        <v>86</v>
      </c>
      <c r="J244" t="str">
        <f>MID($N244,FIND("1.",$N244),FIND("-",$N244)-FIND("1.",$N244)-1)</f>
        <v>1.0243</v>
      </c>
      <c r="K244" t="str">
        <f t="shared" si="9"/>
        <v>Ensure Enable remote mailslots is set to Disabled - Networkprovider</v>
      </c>
      <c r="L244" t="str">
        <f t="shared" si="10"/>
        <v>1.0243 - MSWRK - Ensure Enable remote mailslots is set to Disabled - Networkprovider</v>
      </c>
      <c r="M244" t="str">
        <f t="shared" si="11"/>
        <v>PASSED</v>
      </c>
      <c r="N244" s="1" t="s">
        <v>402</v>
      </c>
      <c r="O244" t="s">
        <v>67</v>
      </c>
      <c r="R244" t="s">
        <v>68</v>
      </c>
      <c r="T244" t="s">
        <v>69</v>
      </c>
      <c r="U244" t="s">
        <v>70</v>
      </c>
      <c r="W244" t="s">
        <v>71</v>
      </c>
      <c r="X244" s="1" t="s">
        <v>72</v>
      </c>
      <c r="Y244" t="s">
        <v>88</v>
      </c>
      <c r="Z244">
        <v>0</v>
      </c>
      <c r="AA244">
        <v>0</v>
      </c>
      <c r="AD244">
        <v>0</v>
      </c>
      <c r="AE244">
        <v>0</v>
      </c>
      <c r="AH244" t="s">
        <v>73</v>
      </c>
      <c r="AI244" t="s">
        <v>318</v>
      </c>
      <c r="AJ244" t="s">
        <v>319</v>
      </c>
      <c r="AK244" t="s">
        <v>76</v>
      </c>
      <c r="AN244" t="s">
        <v>77</v>
      </c>
      <c r="AO244" t="s">
        <v>320</v>
      </c>
      <c r="AP244" t="s">
        <v>400</v>
      </c>
      <c r="AQ244" t="s">
        <v>322</v>
      </c>
      <c r="AS244" t="b">
        <v>1</v>
      </c>
      <c r="AT244" t="s">
        <v>65</v>
      </c>
      <c r="AU244">
        <v>0</v>
      </c>
      <c r="AV244">
        <v>0</v>
      </c>
      <c r="AX244">
        <v>39</v>
      </c>
      <c r="AY244" t="s">
        <v>81</v>
      </c>
      <c r="AZ244" t="s">
        <v>90</v>
      </c>
      <c r="BB244" t="s">
        <v>91</v>
      </c>
      <c r="BC244" t="s">
        <v>92</v>
      </c>
      <c r="BD244" t="b">
        <v>0</v>
      </c>
      <c r="BE244" t="b">
        <v>0</v>
      </c>
      <c r="BF244" t="b">
        <v>0</v>
      </c>
      <c r="BG244" t="b">
        <v>0</v>
      </c>
      <c r="BH244" t="b">
        <v>0</v>
      </c>
      <c r="BI244" t="b">
        <v>0</v>
      </c>
      <c r="BJ244" t="b">
        <v>0</v>
      </c>
      <c r="BK244" t="b">
        <v>0</v>
      </c>
      <c r="BL244" t="b">
        <v>0</v>
      </c>
      <c r="BM244" t="b">
        <v>0</v>
      </c>
      <c r="BN244" t="b">
        <v>0</v>
      </c>
      <c r="BO244" t="b">
        <v>0</v>
      </c>
      <c r="BP244" t="b">
        <v>0</v>
      </c>
      <c r="BR244" t="str">
        <f>IFERROR(IF(M244="PASSED",VLOOKUP(J244,Current!$J$1:$N$500,1,FALSE)),N244)</f>
        <v>"1.0243 - MSWRK - Ensure Enable remote mailslots is set to Disabled - Networkprovider: [PASSED]"
This policy settings controls whether the SMB client will use remote mailslots over Multiple UNC Provider (MUP).
See Also:
See HTH Policies and Standards
Reference:
NIST 800-53r5|CM-6 CM-7
Policy Value:
'0'
Actual Value:
'0'</v>
      </c>
    </row>
    <row r="245" spans="1:70" ht="15" hidden="1" customHeight="1" x14ac:dyDescent="0.25">
      <c r="A245">
        <v>21156</v>
      </c>
      <c r="C245">
        <v>0</v>
      </c>
      <c r="D245" t="s">
        <v>83</v>
      </c>
      <c r="E245" t="s">
        <v>66</v>
      </c>
      <c r="F245" t="s">
        <v>84</v>
      </c>
      <c r="G245">
        <v>0</v>
      </c>
      <c r="H245" t="s">
        <v>85</v>
      </c>
      <c r="I245" t="s">
        <v>86</v>
      </c>
      <c r="J245" t="str">
        <f>MID($N245,FIND("1.",$N245),FIND("-",$N245)-FIND("1.",$N245)-1)</f>
        <v>1.0244</v>
      </c>
      <c r="K245" t="str">
        <f t="shared" si="9"/>
        <v>Ensure Mandate the minimum version of SMB is set to Enabled</v>
      </c>
      <c r="L245" t="str">
        <f t="shared" si="10"/>
        <v>1.0244 - MSWRK - Ensure Mandate the minimum version of SMB is set to Enabled: 3.1.1 - Lanmanworkstation</v>
      </c>
      <c r="M245" t="str">
        <f t="shared" si="11"/>
        <v>FAILED</v>
      </c>
      <c r="N245" s="1" t="s">
        <v>488</v>
      </c>
      <c r="O245" t="s">
        <v>67</v>
      </c>
      <c r="R245" t="s">
        <v>68</v>
      </c>
      <c r="T245" t="s">
        <v>69</v>
      </c>
      <c r="U245" t="s">
        <v>70</v>
      </c>
      <c r="W245" t="s">
        <v>71</v>
      </c>
      <c r="X245" s="1" t="s">
        <v>72</v>
      </c>
      <c r="Y245" t="s">
        <v>88</v>
      </c>
      <c r="Z245">
        <v>0</v>
      </c>
      <c r="AA245">
        <v>0</v>
      </c>
      <c r="AD245">
        <v>0</v>
      </c>
      <c r="AE245">
        <v>0</v>
      </c>
      <c r="AH245" t="s">
        <v>73</v>
      </c>
      <c r="AI245" t="s">
        <v>318</v>
      </c>
      <c r="AJ245" t="s">
        <v>319</v>
      </c>
      <c r="AK245" t="s">
        <v>76</v>
      </c>
      <c r="AN245" t="s">
        <v>77</v>
      </c>
      <c r="AO245" t="s">
        <v>320</v>
      </c>
      <c r="AP245" t="s">
        <v>487</v>
      </c>
      <c r="AQ245" t="s">
        <v>322</v>
      </c>
      <c r="AS245" t="b">
        <v>1</v>
      </c>
      <c r="AT245" t="s">
        <v>65</v>
      </c>
      <c r="AU245">
        <v>0</v>
      </c>
      <c r="AV245">
        <v>0</v>
      </c>
      <c r="AX245">
        <v>39</v>
      </c>
      <c r="AY245" t="s">
        <v>81</v>
      </c>
      <c r="AZ245" t="s">
        <v>90</v>
      </c>
      <c r="BB245" t="s">
        <v>91</v>
      </c>
      <c r="BC245" t="s">
        <v>92</v>
      </c>
      <c r="BD245" t="b">
        <v>0</v>
      </c>
      <c r="BE245" t="b">
        <v>0</v>
      </c>
      <c r="BF245" t="b">
        <v>0</v>
      </c>
      <c r="BG245" t="b">
        <v>0</v>
      </c>
      <c r="BH245" t="b">
        <v>0</v>
      </c>
      <c r="BI245" t="b">
        <v>0</v>
      </c>
      <c r="BJ245" t="b">
        <v>0</v>
      </c>
      <c r="BK245" t="b">
        <v>0</v>
      </c>
      <c r="BL245" t="b">
        <v>0</v>
      </c>
      <c r="BM245" t="b">
        <v>0</v>
      </c>
      <c r="BN245" t="b">
        <v>0</v>
      </c>
      <c r="BO245" t="b">
        <v>0</v>
      </c>
      <c r="BP245" t="b">
        <v>0</v>
      </c>
      <c r="BR245" t="b">
        <f>IFERROR(IF(M245="PASSED",VLOOKUP(J245,Current!$J$1:$N$500,1,FALSE)),N245)</f>
        <v>0</v>
      </c>
    </row>
    <row r="246" spans="1:70" ht="15" hidden="1" customHeight="1" x14ac:dyDescent="0.25">
      <c r="A246">
        <v>21156</v>
      </c>
      <c r="C246">
        <v>0</v>
      </c>
      <c r="D246" t="s">
        <v>83</v>
      </c>
      <c r="E246" t="s">
        <v>66</v>
      </c>
      <c r="F246" t="s">
        <v>84</v>
      </c>
      <c r="G246">
        <v>0</v>
      </c>
      <c r="H246" t="s">
        <v>85</v>
      </c>
      <c r="I246" t="s">
        <v>86</v>
      </c>
      <c r="J246" t="str">
        <f>MID($N246,FIND("1.",$N246),FIND("-",$N246)-FIND("1.",$N246)-1)</f>
        <v>1.0245</v>
      </c>
      <c r="K246" t="str">
        <f t="shared" si="9"/>
        <v>Ensure Require Encryption is set to Enabled</v>
      </c>
      <c r="L246" t="str">
        <f t="shared" si="10"/>
        <v>1.0245 - MSWRK - Ensure Require Encryption is set to Enabled</v>
      </c>
      <c r="M246" t="str">
        <f t="shared" si="11"/>
        <v>FAILED</v>
      </c>
      <c r="N246" s="1" t="s">
        <v>783</v>
      </c>
      <c r="O246" t="s">
        <v>67</v>
      </c>
      <c r="R246" t="s">
        <v>68</v>
      </c>
      <c r="T246" t="s">
        <v>69</v>
      </c>
      <c r="U246" t="s">
        <v>70</v>
      </c>
      <c r="W246" t="s">
        <v>71</v>
      </c>
      <c r="X246" s="1" t="s">
        <v>72</v>
      </c>
      <c r="Y246" t="s">
        <v>88</v>
      </c>
      <c r="Z246">
        <v>0</v>
      </c>
      <c r="AA246">
        <v>0</v>
      </c>
      <c r="AD246">
        <v>0</v>
      </c>
      <c r="AE246">
        <v>0</v>
      </c>
      <c r="AH246" t="s">
        <v>73</v>
      </c>
      <c r="AI246" t="s">
        <v>318</v>
      </c>
      <c r="AJ246" t="s">
        <v>319</v>
      </c>
      <c r="AK246" t="s">
        <v>76</v>
      </c>
      <c r="AN246" t="s">
        <v>77</v>
      </c>
      <c r="AO246" t="s">
        <v>320</v>
      </c>
      <c r="AP246" t="s">
        <v>781</v>
      </c>
      <c r="AQ246" t="s">
        <v>322</v>
      </c>
      <c r="AS246" t="b">
        <v>1</v>
      </c>
      <c r="AT246" t="s">
        <v>65</v>
      </c>
      <c r="AU246">
        <v>0</v>
      </c>
      <c r="AV246">
        <v>0</v>
      </c>
      <c r="AX246">
        <v>39</v>
      </c>
      <c r="AY246" t="s">
        <v>81</v>
      </c>
      <c r="AZ246" t="s">
        <v>90</v>
      </c>
      <c r="BB246" t="s">
        <v>91</v>
      </c>
      <c r="BC246" t="s">
        <v>92</v>
      </c>
      <c r="BD246" t="b">
        <v>0</v>
      </c>
      <c r="BE246" t="b">
        <v>0</v>
      </c>
      <c r="BF246" t="b">
        <v>0</v>
      </c>
      <c r="BG246" t="b">
        <v>0</v>
      </c>
      <c r="BH246" t="b">
        <v>0</v>
      </c>
      <c r="BI246" t="b">
        <v>0</v>
      </c>
      <c r="BJ246" t="b">
        <v>0</v>
      </c>
      <c r="BK246" t="b">
        <v>0</v>
      </c>
      <c r="BL246" t="b">
        <v>0</v>
      </c>
      <c r="BM246" t="b">
        <v>0</v>
      </c>
      <c r="BN246" t="b">
        <v>0</v>
      </c>
      <c r="BO246" t="b">
        <v>0</v>
      </c>
      <c r="BP246" t="b">
        <v>0</v>
      </c>
      <c r="BR246" t="b">
        <f>IFERROR(IF(M246="PASSED",VLOOKUP(J246,Current!$J$1:$N$500,1,FALSE)),N246)</f>
        <v>0</v>
      </c>
    </row>
    <row r="247" spans="1:70" ht="15" hidden="1" customHeight="1" x14ac:dyDescent="0.25">
      <c r="A247">
        <v>21156</v>
      </c>
      <c r="C247">
        <v>0</v>
      </c>
      <c r="D247" t="s">
        <v>83</v>
      </c>
      <c r="E247" t="s">
        <v>66</v>
      </c>
      <c r="F247" t="s">
        <v>84</v>
      </c>
      <c r="G247">
        <v>0</v>
      </c>
      <c r="H247" t="s">
        <v>85</v>
      </c>
      <c r="I247" t="s">
        <v>86</v>
      </c>
      <c r="J247" t="str">
        <f>MID($N247,FIND("1.",$N247),FIND("-",$N247)-FIND("1.",$N247)-1)</f>
        <v>1.0246</v>
      </c>
      <c r="K247" t="str">
        <f t="shared" si="9"/>
        <v>Ensure Allow Print Spooler to accept client connections is set to Disabled</v>
      </c>
      <c r="L247" t="str">
        <f t="shared" si="10"/>
        <v>1.0246 - MSWRK - Ensure Allow Print Spooler to accept client connections is set to Disabled</v>
      </c>
      <c r="M247" t="str">
        <f t="shared" si="11"/>
        <v>FAILED</v>
      </c>
      <c r="N247" s="1" t="s">
        <v>678</v>
      </c>
      <c r="O247" t="s">
        <v>67</v>
      </c>
      <c r="R247" t="s">
        <v>68</v>
      </c>
      <c r="T247" t="s">
        <v>69</v>
      </c>
      <c r="U247" t="s">
        <v>70</v>
      </c>
      <c r="W247" t="s">
        <v>71</v>
      </c>
      <c r="X247" s="1" t="s">
        <v>72</v>
      </c>
      <c r="Y247" t="s">
        <v>88</v>
      </c>
      <c r="Z247">
        <v>0</v>
      </c>
      <c r="AA247">
        <v>0</v>
      </c>
      <c r="AD247">
        <v>0</v>
      </c>
      <c r="AE247">
        <v>0</v>
      </c>
      <c r="AH247" t="s">
        <v>73</v>
      </c>
      <c r="AI247" t="s">
        <v>318</v>
      </c>
      <c r="AJ247" t="s">
        <v>319</v>
      </c>
      <c r="AK247" t="s">
        <v>76</v>
      </c>
      <c r="AN247" t="s">
        <v>77</v>
      </c>
      <c r="AO247" t="s">
        <v>320</v>
      </c>
      <c r="AP247" t="s">
        <v>677</v>
      </c>
      <c r="AQ247" t="s">
        <v>322</v>
      </c>
      <c r="AS247" t="b">
        <v>1</v>
      </c>
      <c r="AT247" t="s">
        <v>65</v>
      </c>
      <c r="AU247">
        <v>0</v>
      </c>
      <c r="AV247">
        <v>0</v>
      </c>
      <c r="AX247">
        <v>39</v>
      </c>
      <c r="AY247" t="s">
        <v>81</v>
      </c>
      <c r="AZ247" t="s">
        <v>90</v>
      </c>
      <c r="BB247" t="s">
        <v>91</v>
      </c>
      <c r="BC247" t="s">
        <v>92</v>
      </c>
      <c r="BD247" t="b">
        <v>0</v>
      </c>
      <c r="BE247" t="b">
        <v>0</v>
      </c>
      <c r="BF247" t="b">
        <v>0</v>
      </c>
      <c r="BG247" t="b">
        <v>0</v>
      </c>
      <c r="BH247" t="b">
        <v>0</v>
      </c>
      <c r="BI247" t="b">
        <v>0</v>
      </c>
      <c r="BJ247" t="b">
        <v>0</v>
      </c>
      <c r="BK247" t="b">
        <v>0</v>
      </c>
      <c r="BL247" t="b">
        <v>0</v>
      </c>
      <c r="BM247" t="b">
        <v>0</v>
      </c>
      <c r="BN247" t="b">
        <v>0</v>
      </c>
      <c r="BO247" t="b">
        <v>0</v>
      </c>
      <c r="BP247" t="b">
        <v>0</v>
      </c>
      <c r="BR247" t="b">
        <f>IFERROR(IF(M247="PASSED",VLOOKUP(J247,Current!$J$1:$N$500,1,FALSE)),N247)</f>
        <v>0</v>
      </c>
    </row>
    <row r="248" spans="1:70" ht="15" hidden="1" customHeight="1" x14ac:dyDescent="0.25">
      <c r="A248">
        <v>21156</v>
      </c>
      <c r="C248">
        <v>0</v>
      </c>
      <c r="D248" t="s">
        <v>83</v>
      </c>
      <c r="E248" t="s">
        <v>66</v>
      </c>
      <c r="F248" t="s">
        <v>84</v>
      </c>
      <c r="G248">
        <v>0</v>
      </c>
      <c r="H248" t="s">
        <v>85</v>
      </c>
      <c r="I248" t="s">
        <v>86</v>
      </c>
      <c r="J248" t="str">
        <f>MID($N248,FIND("1.",$N248),FIND("-",$N248)-FIND("1.",$N248)-1)</f>
        <v>1.0247</v>
      </c>
      <c r="K248" t="str">
        <f t="shared" si="9"/>
        <v>Ensure Limits print driver installation to Administrators is set to Enabled</v>
      </c>
      <c r="L248" t="str">
        <f t="shared" si="10"/>
        <v>1.0247 - MSWRK - Ensure Limits print driver installation to Administrators is set to Enabled</v>
      </c>
      <c r="M248" t="str">
        <f t="shared" si="11"/>
        <v>FAILED</v>
      </c>
      <c r="N248" s="1" t="s">
        <v>647</v>
      </c>
      <c r="O248" t="s">
        <v>67</v>
      </c>
      <c r="R248" t="s">
        <v>68</v>
      </c>
      <c r="T248" t="s">
        <v>69</v>
      </c>
      <c r="U248" t="s">
        <v>70</v>
      </c>
      <c r="W248" t="s">
        <v>71</v>
      </c>
      <c r="X248" s="1" t="s">
        <v>72</v>
      </c>
      <c r="Y248" t="s">
        <v>88</v>
      </c>
      <c r="Z248">
        <v>0</v>
      </c>
      <c r="AA248">
        <v>0</v>
      </c>
      <c r="AD248">
        <v>0</v>
      </c>
      <c r="AE248">
        <v>0</v>
      </c>
      <c r="AH248" t="s">
        <v>73</v>
      </c>
      <c r="AI248" t="s">
        <v>318</v>
      </c>
      <c r="AJ248" t="s">
        <v>319</v>
      </c>
      <c r="AK248" t="s">
        <v>76</v>
      </c>
      <c r="AN248" t="s">
        <v>77</v>
      </c>
      <c r="AO248" t="s">
        <v>320</v>
      </c>
      <c r="AP248" t="s">
        <v>648</v>
      </c>
      <c r="AQ248" t="s">
        <v>322</v>
      </c>
      <c r="AS248" t="b">
        <v>1</v>
      </c>
      <c r="AT248" t="s">
        <v>65</v>
      </c>
      <c r="AU248">
        <v>0</v>
      </c>
      <c r="AV248">
        <v>0</v>
      </c>
      <c r="AX248">
        <v>39</v>
      </c>
      <c r="AY248" t="s">
        <v>81</v>
      </c>
      <c r="AZ248" t="s">
        <v>90</v>
      </c>
      <c r="BB248" t="s">
        <v>91</v>
      </c>
      <c r="BC248" t="s">
        <v>92</v>
      </c>
      <c r="BD248" t="b">
        <v>0</v>
      </c>
      <c r="BE248" t="b">
        <v>0</v>
      </c>
      <c r="BF248" t="b">
        <v>0</v>
      </c>
      <c r="BG248" t="b">
        <v>0</v>
      </c>
      <c r="BH248" t="b">
        <v>0</v>
      </c>
      <c r="BI248" t="b">
        <v>0</v>
      </c>
      <c r="BJ248" t="b">
        <v>0</v>
      </c>
      <c r="BK248" t="b">
        <v>0</v>
      </c>
      <c r="BL248" t="b">
        <v>0</v>
      </c>
      <c r="BM248" t="b">
        <v>0</v>
      </c>
      <c r="BN248" t="b">
        <v>0</v>
      </c>
      <c r="BO248" t="b">
        <v>0</v>
      </c>
      <c r="BP248" t="b">
        <v>0</v>
      </c>
      <c r="BR248" t="b">
        <f>IFERROR(IF(M248="PASSED",VLOOKUP(J248,Current!$J$1:$N$500,1,FALSE)),N248)</f>
        <v>0</v>
      </c>
    </row>
    <row r="249" spans="1:70" ht="15" hidden="1" customHeight="1" x14ac:dyDescent="0.25">
      <c r="A249">
        <v>21156</v>
      </c>
      <c r="C249">
        <v>0</v>
      </c>
      <c r="D249" t="s">
        <v>83</v>
      </c>
      <c r="E249" t="s">
        <v>66</v>
      </c>
      <c r="F249" t="s">
        <v>84</v>
      </c>
      <c r="G249">
        <v>0</v>
      </c>
      <c r="H249" t="s">
        <v>85</v>
      </c>
      <c r="I249" t="s">
        <v>86</v>
      </c>
      <c r="J249" t="str">
        <f>MID($N249,FIND("1.",$N249),FIND("-",$N249)-FIND("1.",$N249)-1)</f>
        <v>1.0248</v>
      </c>
      <c r="K249" t="str">
        <f t="shared" si="9"/>
        <v>Ensure Manage processing of Queue-specific files is set to Enabled</v>
      </c>
      <c r="L249" t="str">
        <f t="shared" si="10"/>
        <v>1.0248 - MSWRK - Ensure Manage processing of Queue-specific files is set to Enabled: Limit Queue-specific files to Color profiles</v>
      </c>
      <c r="M249" t="str">
        <f t="shared" si="11"/>
        <v>FAILED</v>
      </c>
      <c r="N249" s="1" t="s">
        <v>537</v>
      </c>
      <c r="O249" t="s">
        <v>67</v>
      </c>
      <c r="R249" t="s">
        <v>68</v>
      </c>
      <c r="T249" t="s">
        <v>69</v>
      </c>
      <c r="U249" t="s">
        <v>70</v>
      </c>
      <c r="W249" t="s">
        <v>71</v>
      </c>
      <c r="X249" s="1" t="s">
        <v>72</v>
      </c>
      <c r="Y249" t="s">
        <v>88</v>
      </c>
      <c r="Z249">
        <v>0</v>
      </c>
      <c r="AA249">
        <v>0</v>
      </c>
      <c r="AD249">
        <v>0</v>
      </c>
      <c r="AE249">
        <v>0</v>
      </c>
      <c r="AH249" t="s">
        <v>73</v>
      </c>
      <c r="AI249" t="s">
        <v>318</v>
      </c>
      <c r="AJ249" t="s">
        <v>319</v>
      </c>
      <c r="AK249" t="s">
        <v>76</v>
      </c>
      <c r="AN249" t="s">
        <v>77</v>
      </c>
      <c r="AO249" t="s">
        <v>320</v>
      </c>
      <c r="AP249" t="s">
        <v>538</v>
      </c>
      <c r="AQ249" t="s">
        <v>322</v>
      </c>
      <c r="AS249" t="b">
        <v>1</v>
      </c>
      <c r="AT249" t="s">
        <v>65</v>
      </c>
      <c r="AU249">
        <v>0</v>
      </c>
      <c r="AV249">
        <v>0</v>
      </c>
      <c r="AX249">
        <v>39</v>
      </c>
      <c r="AY249" t="s">
        <v>81</v>
      </c>
      <c r="AZ249" t="s">
        <v>90</v>
      </c>
      <c r="BB249" t="s">
        <v>91</v>
      </c>
      <c r="BC249" t="s">
        <v>92</v>
      </c>
      <c r="BD249" t="b">
        <v>0</v>
      </c>
      <c r="BE249" t="b">
        <v>0</v>
      </c>
      <c r="BF249" t="b">
        <v>0</v>
      </c>
      <c r="BG249" t="b">
        <v>0</v>
      </c>
      <c r="BH249" t="b">
        <v>0</v>
      </c>
      <c r="BI249" t="b">
        <v>0</v>
      </c>
      <c r="BJ249" t="b">
        <v>0</v>
      </c>
      <c r="BK249" t="b">
        <v>0</v>
      </c>
      <c r="BL249" t="b">
        <v>0</v>
      </c>
      <c r="BM249" t="b">
        <v>0</v>
      </c>
      <c r="BN249" t="b">
        <v>0</v>
      </c>
      <c r="BO249" t="b">
        <v>0</v>
      </c>
      <c r="BP249" t="b">
        <v>0</v>
      </c>
      <c r="BR249" t="b">
        <f>IFERROR(IF(M249="PASSED",VLOOKUP(J249,Current!$J$1:$N$500,1,FALSE)),N249)</f>
        <v>0</v>
      </c>
    </row>
    <row r="250" spans="1:70" ht="15" hidden="1" customHeight="1" x14ac:dyDescent="0.25">
      <c r="A250">
        <v>21156</v>
      </c>
      <c r="C250">
        <v>0</v>
      </c>
      <c r="D250" t="s">
        <v>65</v>
      </c>
      <c r="E250" t="s">
        <v>66</v>
      </c>
      <c r="F250" t="s">
        <v>84</v>
      </c>
      <c r="G250">
        <v>0</v>
      </c>
      <c r="H250" t="s">
        <v>85</v>
      </c>
      <c r="I250" t="s">
        <v>86</v>
      </c>
      <c r="J250" t="str">
        <f>MID($N250,FIND("1.",$N250),FIND("-",$N250)-FIND("1.",$N250)-1)</f>
        <v>1.0249</v>
      </c>
      <c r="K250" t="str">
        <f t="shared" si="9"/>
        <v>Ensure Point and Print Restrictions</v>
      </c>
      <c r="L250" t="str">
        <f t="shared" si="10"/>
        <v>1.0249 - MSWRK - Ensure Point and Print Restrictions: When installing drivers for a new connection is set to Enabled: Show warning and elevation prompt</v>
      </c>
      <c r="M250" t="str">
        <f t="shared" si="11"/>
        <v>PASSED</v>
      </c>
      <c r="N250" s="1" t="s">
        <v>188</v>
      </c>
      <c r="O250" t="s">
        <v>67</v>
      </c>
      <c r="R250" t="s">
        <v>68</v>
      </c>
      <c r="T250" t="s">
        <v>69</v>
      </c>
      <c r="U250" t="s">
        <v>70</v>
      </c>
      <c r="W250" t="s">
        <v>71</v>
      </c>
      <c r="X250" s="1" t="s">
        <v>72</v>
      </c>
      <c r="Y250" t="s">
        <v>88</v>
      </c>
      <c r="Z250">
        <v>0</v>
      </c>
      <c r="AA250">
        <v>0</v>
      </c>
      <c r="AD250">
        <v>0</v>
      </c>
      <c r="AE250">
        <v>0</v>
      </c>
      <c r="AH250" t="s">
        <v>73</v>
      </c>
      <c r="AI250" t="s">
        <v>318</v>
      </c>
      <c r="AJ250" t="s">
        <v>319</v>
      </c>
      <c r="AK250" t="s">
        <v>76</v>
      </c>
      <c r="AN250" t="s">
        <v>77</v>
      </c>
      <c r="AO250" t="s">
        <v>320</v>
      </c>
      <c r="AP250" t="s">
        <v>332</v>
      </c>
      <c r="AQ250" t="s">
        <v>322</v>
      </c>
      <c r="AS250" t="b">
        <v>1</v>
      </c>
      <c r="AT250" t="s">
        <v>65</v>
      </c>
      <c r="AU250">
        <v>0</v>
      </c>
      <c r="AV250">
        <v>0</v>
      </c>
      <c r="AX250">
        <v>39</v>
      </c>
      <c r="AY250" t="s">
        <v>81</v>
      </c>
      <c r="AZ250" t="s">
        <v>90</v>
      </c>
      <c r="BB250" t="s">
        <v>91</v>
      </c>
      <c r="BC250" t="s">
        <v>92</v>
      </c>
      <c r="BD250" t="b">
        <v>0</v>
      </c>
      <c r="BE250" t="b">
        <v>0</v>
      </c>
      <c r="BF250" t="b">
        <v>0</v>
      </c>
      <c r="BG250" t="b">
        <v>0</v>
      </c>
      <c r="BH250" t="b">
        <v>0</v>
      </c>
      <c r="BI250" t="b">
        <v>0</v>
      </c>
      <c r="BJ250" t="b">
        <v>0</v>
      </c>
      <c r="BK250" t="b">
        <v>0</v>
      </c>
      <c r="BL250" t="b">
        <v>0</v>
      </c>
      <c r="BM250" t="b">
        <v>0</v>
      </c>
      <c r="BN250" t="b">
        <v>0</v>
      </c>
      <c r="BO250" t="b">
        <v>0</v>
      </c>
      <c r="BP250" t="b">
        <v>0</v>
      </c>
      <c r="BR250" t="str">
        <f>IFERROR(IF(M250="PASSED",VLOOKUP(J250,Current!$J$1:$N$500,1,FALSE)),N250)</f>
        <v>1.0249</v>
      </c>
    </row>
    <row r="251" spans="1:70" ht="15" hidden="1" customHeight="1" x14ac:dyDescent="0.25">
      <c r="A251">
        <v>21156</v>
      </c>
      <c r="C251">
        <v>0</v>
      </c>
      <c r="D251" t="s">
        <v>65</v>
      </c>
      <c r="E251" t="s">
        <v>66</v>
      </c>
      <c r="F251" t="s">
        <v>84</v>
      </c>
      <c r="G251">
        <v>0</v>
      </c>
      <c r="H251" t="s">
        <v>85</v>
      </c>
      <c r="I251" t="s">
        <v>86</v>
      </c>
      <c r="J251" t="str">
        <f>MID($N251,FIND("1.",$N251),FIND("-",$N251)-FIND("1.",$N251)-1)</f>
        <v>1.0250</v>
      </c>
      <c r="K251" t="str">
        <f t="shared" si="9"/>
        <v>Ensure Point and Print Restrictions</v>
      </c>
      <c r="L251" t="str">
        <f t="shared" si="10"/>
        <v>1.0250 - MSWRK - Ensure Point and Print Restrictions: When updating drivers for an existing connection is set to Enabled: Show warning and elevation prompt</v>
      </c>
      <c r="M251" t="str">
        <f t="shared" si="11"/>
        <v>PASSED</v>
      </c>
      <c r="N251" s="1" t="s">
        <v>232</v>
      </c>
      <c r="O251" t="s">
        <v>67</v>
      </c>
      <c r="R251" t="s">
        <v>68</v>
      </c>
      <c r="T251" t="s">
        <v>69</v>
      </c>
      <c r="U251" t="s">
        <v>70</v>
      </c>
      <c r="W251" t="s">
        <v>71</v>
      </c>
      <c r="X251" s="1" t="s">
        <v>72</v>
      </c>
      <c r="Y251" t="s">
        <v>88</v>
      </c>
      <c r="Z251">
        <v>0</v>
      </c>
      <c r="AA251">
        <v>0</v>
      </c>
      <c r="AD251">
        <v>0</v>
      </c>
      <c r="AE251">
        <v>0</v>
      </c>
      <c r="AH251" t="s">
        <v>73</v>
      </c>
      <c r="AI251" t="s">
        <v>318</v>
      </c>
      <c r="AJ251" t="s">
        <v>319</v>
      </c>
      <c r="AK251" t="s">
        <v>76</v>
      </c>
      <c r="AN251" t="s">
        <v>77</v>
      </c>
      <c r="AO251" t="s">
        <v>320</v>
      </c>
      <c r="AP251" t="s">
        <v>452</v>
      </c>
      <c r="AQ251" t="s">
        <v>322</v>
      </c>
      <c r="AS251" t="b">
        <v>1</v>
      </c>
      <c r="AT251" t="s">
        <v>65</v>
      </c>
      <c r="AU251">
        <v>0</v>
      </c>
      <c r="AV251">
        <v>0</v>
      </c>
      <c r="AX251">
        <v>39</v>
      </c>
      <c r="AY251" t="s">
        <v>81</v>
      </c>
      <c r="AZ251" t="s">
        <v>90</v>
      </c>
      <c r="BB251" t="s">
        <v>91</v>
      </c>
      <c r="BC251" t="s">
        <v>92</v>
      </c>
      <c r="BD251" t="b">
        <v>0</v>
      </c>
      <c r="BE251" t="b">
        <v>0</v>
      </c>
      <c r="BF251" t="b">
        <v>0</v>
      </c>
      <c r="BG251" t="b">
        <v>0</v>
      </c>
      <c r="BH251" t="b">
        <v>0</v>
      </c>
      <c r="BI251" t="b">
        <v>0</v>
      </c>
      <c r="BJ251" t="b">
        <v>0</v>
      </c>
      <c r="BK251" t="b">
        <v>0</v>
      </c>
      <c r="BL251" t="b">
        <v>0</v>
      </c>
      <c r="BM251" t="b">
        <v>0</v>
      </c>
      <c r="BN251" t="b">
        <v>0</v>
      </c>
      <c r="BO251" t="b">
        <v>0</v>
      </c>
      <c r="BP251" t="b">
        <v>0</v>
      </c>
      <c r="BR251" t="str">
        <f>IFERROR(IF(M251="PASSED",VLOOKUP(J251,Current!$J$1:$N$500,1,FALSE)),N251)</f>
        <v>1.0250</v>
      </c>
    </row>
    <row r="252" spans="1:70" ht="15" hidden="1" customHeight="1" x14ac:dyDescent="0.25">
      <c r="A252">
        <v>21156</v>
      </c>
      <c r="C252">
        <v>0</v>
      </c>
      <c r="D252" t="s">
        <v>83</v>
      </c>
      <c r="E252" t="s">
        <v>66</v>
      </c>
      <c r="F252" t="s">
        <v>84</v>
      </c>
      <c r="G252">
        <v>0</v>
      </c>
      <c r="H252" t="s">
        <v>85</v>
      </c>
      <c r="I252" t="s">
        <v>86</v>
      </c>
      <c r="J252" t="str">
        <f>MID($N252,FIND("1.",$N252),FIND("-",$N252)-FIND("1.",$N252)-1)</f>
        <v>1.0251</v>
      </c>
      <c r="K252" t="str">
        <f t="shared" si="9"/>
        <v>Ensure Configure Redirection Guard is set to Enabled</v>
      </c>
      <c r="L252" t="str">
        <f t="shared" si="10"/>
        <v>1.0251 - MSWRK - Ensure Configure Redirection Guard is set to Enabled: Redirection Guard Enabled</v>
      </c>
      <c r="M252" t="str">
        <f t="shared" si="11"/>
        <v>FAILED</v>
      </c>
      <c r="N252" s="1" t="s">
        <v>335</v>
      </c>
      <c r="O252" t="s">
        <v>67</v>
      </c>
      <c r="R252" t="s">
        <v>68</v>
      </c>
      <c r="T252" t="s">
        <v>69</v>
      </c>
      <c r="U252" t="s">
        <v>70</v>
      </c>
      <c r="W252" t="s">
        <v>71</v>
      </c>
      <c r="X252" s="1" t="s">
        <v>72</v>
      </c>
      <c r="Y252" t="s">
        <v>88</v>
      </c>
      <c r="Z252">
        <v>0</v>
      </c>
      <c r="AA252">
        <v>0</v>
      </c>
      <c r="AD252">
        <v>0</v>
      </c>
      <c r="AE252">
        <v>0</v>
      </c>
      <c r="AH252" t="s">
        <v>73</v>
      </c>
      <c r="AI252" t="s">
        <v>318</v>
      </c>
      <c r="AJ252" t="s">
        <v>319</v>
      </c>
      <c r="AK252" t="s">
        <v>76</v>
      </c>
      <c r="AN252" t="s">
        <v>77</v>
      </c>
      <c r="AO252" t="s">
        <v>320</v>
      </c>
      <c r="AP252" t="s">
        <v>336</v>
      </c>
      <c r="AQ252" t="s">
        <v>322</v>
      </c>
      <c r="AS252" t="b">
        <v>1</v>
      </c>
      <c r="AT252" t="s">
        <v>65</v>
      </c>
      <c r="AU252">
        <v>0</v>
      </c>
      <c r="AV252">
        <v>0</v>
      </c>
      <c r="AX252">
        <v>39</v>
      </c>
      <c r="AY252" t="s">
        <v>81</v>
      </c>
      <c r="AZ252" t="s">
        <v>90</v>
      </c>
      <c r="BB252" t="s">
        <v>91</v>
      </c>
      <c r="BC252" t="s">
        <v>92</v>
      </c>
      <c r="BD252" t="b">
        <v>0</v>
      </c>
      <c r="BE252" t="b">
        <v>0</v>
      </c>
      <c r="BF252" t="b">
        <v>0</v>
      </c>
      <c r="BG252" t="b">
        <v>0</v>
      </c>
      <c r="BH252" t="b">
        <v>0</v>
      </c>
      <c r="BI252" t="b">
        <v>0</v>
      </c>
      <c r="BJ252" t="b">
        <v>0</v>
      </c>
      <c r="BK252" t="b">
        <v>0</v>
      </c>
      <c r="BL252" t="b">
        <v>0</v>
      </c>
      <c r="BM252" t="b">
        <v>0</v>
      </c>
      <c r="BN252" t="b">
        <v>0</v>
      </c>
      <c r="BO252" t="b">
        <v>0</v>
      </c>
      <c r="BP252" t="b">
        <v>0</v>
      </c>
      <c r="BR252" t="b">
        <f>IFERROR(IF(M252="PASSED",VLOOKUP(J252,Current!$J$1:$N$500,1,FALSE)),N252)</f>
        <v>0</v>
      </c>
    </row>
    <row r="253" spans="1:70" ht="15" customHeight="1" x14ac:dyDescent="0.25">
      <c r="A253">
        <v>21156</v>
      </c>
      <c r="C253">
        <v>0</v>
      </c>
      <c r="D253" t="s">
        <v>65</v>
      </c>
      <c r="E253" t="s">
        <v>66</v>
      </c>
      <c r="F253" t="s">
        <v>84</v>
      </c>
      <c r="G253">
        <v>0</v>
      </c>
      <c r="H253" t="s">
        <v>85</v>
      </c>
      <c r="I253" t="s">
        <v>86</v>
      </c>
      <c r="J253" t="str">
        <f>MID($N253,FIND("1.",$N253),FIND("-",$N253)-FIND("1.",$N253)-1)</f>
        <v>1.0252</v>
      </c>
      <c r="K253" t="str">
        <f t="shared" si="9"/>
        <v>Ensure Configure RPC connection settings</v>
      </c>
      <c r="L253" t="str">
        <f t="shared" si="10"/>
        <v>1.0252 - MSWRK - Ensure Configure RPC connection settings: Protocol to use for outgoing RPC connections is set to Enabled: RPC over TCP</v>
      </c>
      <c r="M253" t="str">
        <f t="shared" si="11"/>
        <v>PASSED</v>
      </c>
      <c r="N253" s="1" t="s">
        <v>639</v>
      </c>
      <c r="O253" t="s">
        <v>67</v>
      </c>
      <c r="R253" t="s">
        <v>68</v>
      </c>
      <c r="T253" t="s">
        <v>69</v>
      </c>
      <c r="U253" t="s">
        <v>70</v>
      </c>
      <c r="W253" t="s">
        <v>71</v>
      </c>
      <c r="X253" s="1" t="s">
        <v>72</v>
      </c>
      <c r="Y253" t="s">
        <v>88</v>
      </c>
      <c r="Z253">
        <v>0</v>
      </c>
      <c r="AA253">
        <v>0</v>
      </c>
      <c r="AD253">
        <v>0</v>
      </c>
      <c r="AE253">
        <v>0</v>
      </c>
      <c r="AH253" t="s">
        <v>73</v>
      </c>
      <c r="AI253" t="s">
        <v>318</v>
      </c>
      <c r="AJ253" t="s">
        <v>319</v>
      </c>
      <c r="AK253" t="s">
        <v>76</v>
      </c>
      <c r="AN253" t="s">
        <v>77</v>
      </c>
      <c r="AO253" t="s">
        <v>320</v>
      </c>
      <c r="AP253" t="s">
        <v>636</v>
      </c>
      <c r="AQ253" t="s">
        <v>322</v>
      </c>
      <c r="AS253" t="b">
        <v>1</v>
      </c>
      <c r="AT253" t="s">
        <v>65</v>
      </c>
      <c r="AU253">
        <v>0</v>
      </c>
      <c r="AV253">
        <v>0</v>
      </c>
      <c r="AX253">
        <v>39</v>
      </c>
      <c r="AY253" t="s">
        <v>81</v>
      </c>
      <c r="AZ253" t="s">
        <v>90</v>
      </c>
      <c r="BB253" t="s">
        <v>91</v>
      </c>
      <c r="BC253" t="s">
        <v>92</v>
      </c>
      <c r="BD253" t="b">
        <v>0</v>
      </c>
      <c r="BE253" t="b">
        <v>0</v>
      </c>
      <c r="BF253" t="b">
        <v>0</v>
      </c>
      <c r="BG253" t="b">
        <v>0</v>
      </c>
      <c r="BH253" t="b">
        <v>0</v>
      </c>
      <c r="BI253" t="b">
        <v>0</v>
      </c>
      <c r="BJ253" t="b">
        <v>0</v>
      </c>
      <c r="BK253" t="b">
        <v>0</v>
      </c>
      <c r="BL253" t="b">
        <v>0</v>
      </c>
      <c r="BM253" t="b">
        <v>0</v>
      </c>
      <c r="BN253" t="b">
        <v>0</v>
      </c>
      <c r="BO253" t="b">
        <v>0</v>
      </c>
      <c r="BP253" t="b">
        <v>0</v>
      </c>
      <c r="BR253" t="str">
        <f>IFERROR(IF(M253="PASSED",VLOOKUP(J253,Current!$J$1:$N$500,1,FALSE)),N253)</f>
        <v>"1.0252 - MSWRK - Ensure Configure RPC connection settings: Protocol to use for outgoing RPC connections is set to Enabled: RPC over TCP: [PASSED]"
This policy setting controls which protocol and protocol settings to use for outgoing Remote Procedure Call (RPC) connections to a remote print spooler.
See Also:
See HTH Policies and Standards
Reference:
NIST 800-53r5|CM-6b.
Policy Value:
'0'
Actual Value:
'0'</v>
      </c>
    </row>
    <row r="254" spans="1:70" ht="15" customHeight="1" x14ac:dyDescent="0.25">
      <c r="A254">
        <v>21156</v>
      </c>
      <c r="C254">
        <v>0</v>
      </c>
      <c r="D254" t="s">
        <v>65</v>
      </c>
      <c r="E254" t="s">
        <v>66</v>
      </c>
      <c r="F254" t="s">
        <v>84</v>
      </c>
      <c r="G254">
        <v>0</v>
      </c>
      <c r="H254" t="s">
        <v>85</v>
      </c>
      <c r="I254" t="s">
        <v>86</v>
      </c>
      <c r="J254" t="str">
        <f>MID($N254,FIND("1.",$N254),FIND("-",$N254)-FIND("1.",$N254)-1)</f>
        <v>1.0253</v>
      </c>
      <c r="K254" t="str">
        <f t="shared" si="9"/>
        <v>Ensure Configure RPC connection settings</v>
      </c>
      <c r="L254" t="str">
        <f t="shared" si="10"/>
        <v>1.0253 - MSWRK - Ensure Configure RPC connection settings: Use authentication for outgoing RPC connections is set to Enabled: Default</v>
      </c>
      <c r="M254" t="str">
        <f t="shared" si="11"/>
        <v>PASSED</v>
      </c>
      <c r="N254" s="1" t="s">
        <v>449</v>
      </c>
      <c r="O254" t="s">
        <v>67</v>
      </c>
      <c r="R254" t="s">
        <v>68</v>
      </c>
      <c r="T254" t="s">
        <v>69</v>
      </c>
      <c r="U254" t="s">
        <v>70</v>
      </c>
      <c r="W254" t="s">
        <v>71</v>
      </c>
      <c r="X254" s="1" t="s">
        <v>72</v>
      </c>
      <c r="Y254" t="s">
        <v>88</v>
      </c>
      <c r="Z254">
        <v>0</v>
      </c>
      <c r="AA254">
        <v>0</v>
      </c>
      <c r="AD254">
        <v>0</v>
      </c>
      <c r="AE254">
        <v>0</v>
      </c>
      <c r="AH254" t="s">
        <v>73</v>
      </c>
      <c r="AI254" t="s">
        <v>318</v>
      </c>
      <c r="AJ254" t="s">
        <v>319</v>
      </c>
      <c r="AK254" t="s">
        <v>76</v>
      </c>
      <c r="AN254" t="s">
        <v>77</v>
      </c>
      <c r="AO254" t="s">
        <v>320</v>
      </c>
      <c r="AP254" t="s">
        <v>448</v>
      </c>
      <c r="AQ254" t="s">
        <v>322</v>
      </c>
      <c r="AS254" t="b">
        <v>1</v>
      </c>
      <c r="AT254" t="s">
        <v>65</v>
      </c>
      <c r="AU254">
        <v>0</v>
      </c>
      <c r="AV254">
        <v>0</v>
      </c>
      <c r="AX254">
        <v>39</v>
      </c>
      <c r="AY254" t="s">
        <v>81</v>
      </c>
      <c r="AZ254" t="s">
        <v>90</v>
      </c>
      <c r="BB254" t="s">
        <v>91</v>
      </c>
      <c r="BC254" t="s">
        <v>92</v>
      </c>
      <c r="BD254" t="b">
        <v>0</v>
      </c>
      <c r="BE254" t="b">
        <v>0</v>
      </c>
      <c r="BF254" t="b">
        <v>0</v>
      </c>
      <c r="BG254" t="b">
        <v>0</v>
      </c>
      <c r="BH254" t="b">
        <v>0</v>
      </c>
      <c r="BI254" t="b">
        <v>0</v>
      </c>
      <c r="BJ254" t="b">
        <v>0</v>
      </c>
      <c r="BK254" t="b">
        <v>0</v>
      </c>
      <c r="BL254" t="b">
        <v>0</v>
      </c>
      <c r="BM254" t="b">
        <v>0</v>
      </c>
      <c r="BN254" t="b">
        <v>0</v>
      </c>
      <c r="BO254" t="b">
        <v>0</v>
      </c>
      <c r="BP254" t="b">
        <v>0</v>
      </c>
      <c r="BR254" t="str">
        <f>IFERROR(IF(M254="PASSED",VLOOKUP(J254,Current!$J$1:$N$500,1,FALSE)),N254)</f>
        <v>"1.0253 - MSWRK - Ensure Configure RPC connection settings: Use authentication for outgoing RPC connections is set to Enabled: Default: [PASSED]"
This policy setting controls which protocol and protocol settings to use for outgoing Remote Procedure Call (RPC) connections to a remote print spooler.
See Also:
See HTH Policies and Standards
Reference:
NIST 800-53r5|CM-6b.
Policy Value:
'0'
Actual Value:
'0'</v>
      </c>
    </row>
    <row r="255" spans="1:70" ht="15" hidden="1" customHeight="1" x14ac:dyDescent="0.25">
      <c r="A255">
        <v>21156</v>
      </c>
      <c r="C255">
        <v>0</v>
      </c>
      <c r="D255" t="s">
        <v>83</v>
      </c>
      <c r="E255" t="s">
        <v>66</v>
      </c>
      <c r="F255" t="s">
        <v>84</v>
      </c>
      <c r="G255">
        <v>0</v>
      </c>
      <c r="H255" t="s">
        <v>85</v>
      </c>
      <c r="I255" t="s">
        <v>86</v>
      </c>
      <c r="J255" t="str">
        <f>MID($N255,FIND("1.",$N255),FIND("-",$N255)-FIND("1.",$N255)-1)</f>
        <v>1.0254</v>
      </c>
      <c r="K255" t="str">
        <f t="shared" si="9"/>
        <v>Ensure Configure RPC listener settings</v>
      </c>
      <c r="L255" t="str">
        <f t="shared" si="10"/>
        <v>1.0254 - MSWRK - Ensure Configure RPC listener settings: Protocols to allow for incoming RPC connections is set to Enabled: RPC over TCP</v>
      </c>
      <c r="M255" t="str">
        <f t="shared" si="11"/>
        <v>FAILED</v>
      </c>
      <c r="N255" s="1" t="s">
        <v>775</v>
      </c>
      <c r="O255" t="s">
        <v>67</v>
      </c>
      <c r="R255" t="s">
        <v>68</v>
      </c>
      <c r="T255" t="s">
        <v>69</v>
      </c>
      <c r="U255" t="s">
        <v>70</v>
      </c>
      <c r="W255" t="s">
        <v>71</v>
      </c>
      <c r="X255" s="1" t="s">
        <v>72</v>
      </c>
      <c r="Y255" t="s">
        <v>88</v>
      </c>
      <c r="Z255">
        <v>0</v>
      </c>
      <c r="AA255">
        <v>0</v>
      </c>
      <c r="AD255">
        <v>0</v>
      </c>
      <c r="AE255">
        <v>0</v>
      </c>
      <c r="AH255" t="s">
        <v>73</v>
      </c>
      <c r="AI255" t="s">
        <v>318</v>
      </c>
      <c r="AJ255" t="s">
        <v>319</v>
      </c>
      <c r="AK255" t="s">
        <v>76</v>
      </c>
      <c r="AN255" t="s">
        <v>77</v>
      </c>
      <c r="AO255" t="s">
        <v>320</v>
      </c>
      <c r="AP255" t="s">
        <v>774</v>
      </c>
      <c r="AQ255" t="s">
        <v>322</v>
      </c>
      <c r="AS255" t="b">
        <v>1</v>
      </c>
      <c r="AT255" t="s">
        <v>65</v>
      </c>
      <c r="AU255">
        <v>0</v>
      </c>
      <c r="AV255">
        <v>0</v>
      </c>
      <c r="AX255">
        <v>39</v>
      </c>
      <c r="AY255" t="s">
        <v>81</v>
      </c>
      <c r="AZ255" t="s">
        <v>90</v>
      </c>
      <c r="BB255" t="s">
        <v>91</v>
      </c>
      <c r="BC255" t="s">
        <v>92</v>
      </c>
      <c r="BD255" t="b">
        <v>0</v>
      </c>
      <c r="BE255" t="b">
        <v>0</v>
      </c>
      <c r="BF255" t="b">
        <v>0</v>
      </c>
      <c r="BG255" t="b">
        <v>0</v>
      </c>
      <c r="BH255" t="b">
        <v>0</v>
      </c>
      <c r="BI255" t="b">
        <v>0</v>
      </c>
      <c r="BJ255" t="b">
        <v>0</v>
      </c>
      <c r="BK255" t="b">
        <v>0</v>
      </c>
      <c r="BL255" t="b">
        <v>0</v>
      </c>
      <c r="BM255" t="b">
        <v>0</v>
      </c>
      <c r="BN255" t="b">
        <v>0</v>
      </c>
      <c r="BO255" t="b">
        <v>0</v>
      </c>
      <c r="BP255" t="b">
        <v>0</v>
      </c>
      <c r="BR255" t="b">
        <f>IFERROR(IF(M255="PASSED",VLOOKUP(J255,Current!$J$1:$N$500,1,FALSE)),N255)</f>
        <v>0</v>
      </c>
    </row>
    <row r="256" spans="1:70" ht="15" customHeight="1" x14ac:dyDescent="0.25">
      <c r="A256">
        <v>21156</v>
      </c>
      <c r="C256">
        <v>0</v>
      </c>
      <c r="D256" t="s">
        <v>65</v>
      </c>
      <c r="E256" t="s">
        <v>66</v>
      </c>
      <c r="F256" t="s">
        <v>84</v>
      </c>
      <c r="G256">
        <v>0</v>
      </c>
      <c r="H256" t="s">
        <v>85</v>
      </c>
      <c r="I256" t="s">
        <v>86</v>
      </c>
      <c r="J256" t="str">
        <f>MID($N256,FIND("1.",$N256),FIND("-",$N256)-FIND("1.",$N256)-1)</f>
        <v>1.0255</v>
      </c>
      <c r="K256" t="str">
        <f t="shared" si="9"/>
        <v>Ensure Configure RPC listener settings</v>
      </c>
      <c r="L256" t="str">
        <f t="shared" si="10"/>
        <v>1.0255 - MSWRK - Ensure Configure RPC listener settings: Authentication protocol to use for incoming RPC connections: is set to Enabled: Negotiate or higher</v>
      </c>
      <c r="M256" t="str">
        <f t="shared" si="11"/>
        <v>PASSED</v>
      </c>
      <c r="N256" s="1" t="s">
        <v>649</v>
      </c>
      <c r="O256" t="s">
        <v>67</v>
      </c>
      <c r="R256" t="s">
        <v>68</v>
      </c>
      <c r="T256" t="s">
        <v>69</v>
      </c>
      <c r="U256" t="s">
        <v>70</v>
      </c>
      <c r="W256" t="s">
        <v>71</v>
      </c>
      <c r="X256" s="1" t="s">
        <v>72</v>
      </c>
      <c r="Y256" t="s">
        <v>88</v>
      </c>
      <c r="Z256">
        <v>0</v>
      </c>
      <c r="AA256">
        <v>0</v>
      </c>
      <c r="AD256">
        <v>0</v>
      </c>
      <c r="AE256">
        <v>0</v>
      </c>
      <c r="AH256" t="s">
        <v>73</v>
      </c>
      <c r="AI256" t="s">
        <v>318</v>
      </c>
      <c r="AJ256" t="s">
        <v>319</v>
      </c>
      <c r="AK256" t="s">
        <v>76</v>
      </c>
      <c r="AN256" t="s">
        <v>77</v>
      </c>
      <c r="AO256" t="s">
        <v>320</v>
      </c>
      <c r="AP256" t="s">
        <v>648</v>
      </c>
      <c r="AQ256" t="s">
        <v>322</v>
      </c>
      <c r="AS256" t="b">
        <v>1</v>
      </c>
      <c r="AT256" t="s">
        <v>65</v>
      </c>
      <c r="AU256">
        <v>0</v>
      </c>
      <c r="AV256">
        <v>0</v>
      </c>
      <c r="AX256">
        <v>39</v>
      </c>
      <c r="AY256" t="s">
        <v>81</v>
      </c>
      <c r="AZ256" t="s">
        <v>90</v>
      </c>
      <c r="BB256" t="s">
        <v>91</v>
      </c>
      <c r="BC256" t="s">
        <v>92</v>
      </c>
      <c r="BD256" t="b">
        <v>0</v>
      </c>
      <c r="BE256" t="b">
        <v>0</v>
      </c>
      <c r="BF256" t="b">
        <v>0</v>
      </c>
      <c r="BG256" t="b">
        <v>0</v>
      </c>
      <c r="BH256" t="b">
        <v>0</v>
      </c>
      <c r="BI256" t="b">
        <v>0</v>
      </c>
      <c r="BJ256" t="b">
        <v>0</v>
      </c>
      <c r="BK256" t="b">
        <v>0</v>
      </c>
      <c r="BL256" t="b">
        <v>0</v>
      </c>
      <c r="BM256" t="b">
        <v>0</v>
      </c>
      <c r="BN256" t="b">
        <v>0</v>
      </c>
      <c r="BO256" t="b">
        <v>0</v>
      </c>
      <c r="BP256" t="b">
        <v>0</v>
      </c>
      <c r="BR256" t="str">
        <f>IFERROR(IF(M256="PASSED",VLOOKUP(J256,Current!$J$1:$N$500,1,FALSE)),N256)</f>
        <v>"1.0255 - MSWRK - Ensure Configure RPC listener settings: Authentication protocol to use for incoming RPC connections: is set to Enabled: Negotiate or higher: [PASSED]"
This policy setting controls which protocols incoming Remote Procedure Call (RPC) connections to the print spooler are allowed to use.
See Also:
See HTH Policies and Standards
Reference:
NIST 800-53r5|IA-3(1)
Policy Value:
'0' || '1'
Actual Value:
'0'</v>
      </c>
    </row>
    <row r="257" spans="1:70" ht="15" customHeight="1" x14ac:dyDescent="0.25">
      <c r="A257">
        <v>21156</v>
      </c>
      <c r="C257">
        <v>0</v>
      </c>
      <c r="D257" t="s">
        <v>65</v>
      </c>
      <c r="E257" t="s">
        <v>66</v>
      </c>
      <c r="F257" t="s">
        <v>84</v>
      </c>
      <c r="G257">
        <v>0</v>
      </c>
      <c r="H257" t="s">
        <v>85</v>
      </c>
      <c r="I257" t="s">
        <v>86</v>
      </c>
      <c r="J257" t="str">
        <f>MID($N257,FIND("1.",$N257),FIND("-",$N257)-FIND("1.",$N257)-1)</f>
        <v>1.0256</v>
      </c>
      <c r="K257" t="str">
        <f t="shared" si="9"/>
        <v>Ensure Configure RPC over TCP port is set to Enabled</v>
      </c>
      <c r="L257" t="str">
        <f t="shared" si="10"/>
        <v>1.0256 - MSWRK - Ensure Configure RPC over TCP port is set to Enabled: 0</v>
      </c>
      <c r="M257" t="str">
        <f t="shared" si="11"/>
        <v>PASSED</v>
      </c>
      <c r="N257" s="1" t="s">
        <v>437</v>
      </c>
      <c r="O257" t="s">
        <v>67</v>
      </c>
      <c r="R257" t="s">
        <v>68</v>
      </c>
      <c r="T257" t="s">
        <v>69</v>
      </c>
      <c r="U257" t="s">
        <v>70</v>
      </c>
      <c r="W257" t="s">
        <v>71</v>
      </c>
      <c r="X257" s="1" t="s">
        <v>72</v>
      </c>
      <c r="Y257" t="s">
        <v>88</v>
      </c>
      <c r="Z257">
        <v>0</v>
      </c>
      <c r="AA257">
        <v>0</v>
      </c>
      <c r="AD257">
        <v>0</v>
      </c>
      <c r="AE257">
        <v>0</v>
      </c>
      <c r="AH257" t="s">
        <v>73</v>
      </c>
      <c r="AI257" t="s">
        <v>318</v>
      </c>
      <c r="AJ257" t="s">
        <v>319</v>
      </c>
      <c r="AK257" t="s">
        <v>76</v>
      </c>
      <c r="AN257" t="s">
        <v>77</v>
      </c>
      <c r="AO257" t="s">
        <v>320</v>
      </c>
      <c r="AP257" t="s">
        <v>435</v>
      </c>
      <c r="AQ257" t="s">
        <v>322</v>
      </c>
      <c r="AS257" t="b">
        <v>1</v>
      </c>
      <c r="AT257" t="s">
        <v>65</v>
      </c>
      <c r="AU257">
        <v>0</v>
      </c>
      <c r="AV257">
        <v>0</v>
      </c>
      <c r="AX257">
        <v>39</v>
      </c>
      <c r="AY257" t="s">
        <v>81</v>
      </c>
      <c r="AZ257" t="s">
        <v>90</v>
      </c>
      <c r="BB257" t="s">
        <v>91</v>
      </c>
      <c r="BC257" t="s">
        <v>92</v>
      </c>
      <c r="BD257" t="b">
        <v>0</v>
      </c>
      <c r="BE257" t="b">
        <v>0</v>
      </c>
      <c r="BF257" t="b">
        <v>0</v>
      </c>
      <c r="BG257" t="b">
        <v>0</v>
      </c>
      <c r="BH257" t="b">
        <v>0</v>
      </c>
      <c r="BI257" t="b">
        <v>0</v>
      </c>
      <c r="BJ257" t="b">
        <v>0</v>
      </c>
      <c r="BK257" t="b">
        <v>0</v>
      </c>
      <c r="BL257" t="b">
        <v>0</v>
      </c>
      <c r="BM257" t="b">
        <v>0</v>
      </c>
      <c r="BN257" t="b">
        <v>0</v>
      </c>
      <c r="BO257" t="b">
        <v>0</v>
      </c>
      <c r="BP257" t="b">
        <v>0</v>
      </c>
      <c r="BR257" t="str">
        <f>IFERROR(IF(M257="PASSED",VLOOKUP(J257,Current!$J$1:$N$500,1,FALSE)),N257)</f>
        <v>"1.0256 - MSWRK - Ensure Configure RPC over TCP port is set to Enabled: 0: [PASSED]"
This policy setting controls which port is used for RPC over TCP for incoming connections to the print spooler and outgoing connections to remote print spoolers.
See Also:
See HTH Policies and Standards
Reference:
NIST 800-53r5|CM-6b.
Policy Value:
'0'
Actual Value:
'0'</v>
      </c>
    </row>
    <row r="258" spans="1:70" ht="15" hidden="1" customHeight="1" x14ac:dyDescent="0.25">
      <c r="A258">
        <v>21156</v>
      </c>
      <c r="C258">
        <v>0</v>
      </c>
      <c r="D258" t="s">
        <v>83</v>
      </c>
      <c r="E258" t="s">
        <v>66</v>
      </c>
      <c r="F258" t="s">
        <v>84</v>
      </c>
      <c r="G258">
        <v>0</v>
      </c>
      <c r="H258" t="s">
        <v>85</v>
      </c>
      <c r="I258" t="s">
        <v>86</v>
      </c>
      <c r="J258" t="str">
        <f>MID($N258,FIND("1.",$N258),FIND("-",$N258)-FIND("1.",$N258)-1)</f>
        <v>1.0257</v>
      </c>
      <c r="K258" t="str">
        <f t="shared" si="9"/>
        <v>Ensure Configure RPC packet level privacy setting for incoming connections is set to Enabled</v>
      </c>
      <c r="L258" t="str">
        <f t="shared" si="10"/>
        <v>1.0257 - MSWRK - Ensure Configure RPC packet level privacy setting for incoming connections is set to Enabled</v>
      </c>
      <c r="M258" t="str">
        <f t="shared" si="11"/>
        <v>FAILED</v>
      </c>
      <c r="N258" s="1" t="s">
        <v>347</v>
      </c>
      <c r="O258" t="s">
        <v>67</v>
      </c>
      <c r="R258" t="s">
        <v>68</v>
      </c>
      <c r="T258" t="s">
        <v>69</v>
      </c>
      <c r="U258" t="s">
        <v>70</v>
      </c>
      <c r="W258" t="s">
        <v>71</v>
      </c>
      <c r="X258" s="1" t="s">
        <v>72</v>
      </c>
      <c r="Y258" t="s">
        <v>88</v>
      </c>
      <c r="Z258">
        <v>0</v>
      </c>
      <c r="AA258">
        <v>0</v>
      </c>
      <c r="AD258">
        <v>0</v>
      </c>
      <c r="AE258">
        <v>0</v>
      </c>
      <c r="AH258" t="s">
        <v>73</v>
      </c>
      <c r="AI258" t="s">
        <v>318</v>
      </c>
      <c r="AJ258" t="s">
        <v>319</v>
      </c>
      <c r="AK258" t="s">
        <v>76</v>
      </c>
      <c r="AN258" t="s">
        <v>77</v>
      </c>
      <c r="AO258" t="s">
        <v>320</v>
      </c>
      <c r="AP258" t="s">
        <v>345</v>
      </c>
      <c r="AQ258" t="s">
        <v>322</v>
      </c>
      <c r="AS258" t="b">
        <v>1</v>
      </c>
      <c r="AT258" t="s">
        <v>65</v>
      </c>
      <c r="AU258">
        <v>0</v>
      </c>
      <c r="AV258">
        <v>0</v>
      </c>
      <c r="AX258">
        <v>39</v>
      </c>
      <c r="AY258" t="s">
        <v>81</v>
      </c>
      <c r="AZ258" t="s">
        <v>90</v>
      </c>
      <c r="BB258" t="s">
        <v>91</v>
      </c>
      <c r="BC258" t="s">
        <v>92</v>
      </c>
      <c r="BD258" t="b">
        <v>0</v>
      </c>
      <c r="BE258" t="b">
        <v>0</v>
      </c>
      <c r="BF258" t="b">
        <v>0</v>
      </c>
      <c r="BG258" t="b">
        <v>0</v>
      </c>
      <c r="BH258" t="b">
        <v>0</v>
      </c>
      <c r="BI258" t="b">
        <v>0</v>
      </c>
      <c r="BJ258" t="b">
        <v>0</v>
      </c>
      <c r="BK258" t="b">
        <v>0</v>
      </c>
      <c r="BL258" t="b">
        <v>0</v>
      </c>
      <c r="BM258" t="b">
        <v>0</v>
      </c>
      <c r="BN258" t="b">
        <v>0</v>
      </c>
      <c r="BO258" t="b">
        <v>0</v>
      </c>
      <c r="BP258" t="b">
        <v>0</v>
      </c>
      <c r="BR258" t="b">
        <f>IFERROR(IF(M258="PASSED",VLOOKUP(J258,Current!$J$1:$N$500,1,FALSE)),N258)</f>
        <v>0</v>
      </c>
    </row>
    <row r="259" spans="1:70" ht="15" hidden="1" customHeight="1" x14ac:dyDescent="0.25">
      <c r="A259">
        <v>21156</v>
      </c>
      <c r="C259">
        <v>0</v>
      </c>
      <c r="D259" t="s">
        <v>83</v>
      </c>
      <c r="E259" t="s">
        <v>66</v>
      </c>
      <c r="F259" t="s">
        <v>84</v>
      </c>
      <c r="G259">
        <v>0</v>
      </c>
      <c r="H259" t="s">
        <v>85</v>
      </c>
      <c r="I259" t="s">
        <v>86</v>
      </c>
      <c r="J259" t="str">
        <f>MID($N259,FIND("1.",$N259),FIND("-",$N259)-FIND("1.",$N259)-1)</f>
        <v>1.0258</v>
      </c>
      <c r="K259" t="str">
        <f t="shared" ref="K259:K322" si="12">MID($N259,FIND("MSWRK - ",$N259)+8,FIND(":",$N259,40)-FIND("MSWRK - ",$N259)-8)</f>
        <v>Ensure Boot-Start Driver Initialization Policy is set to Enabled</v>
      </c>
      <c r="L259" t="str">
        <f t="shared" ref="L259:L322" si="13">MID($N259,FIND("1.",$N259),FIND("[",$N259)-1-FIND("1.",$N259)-1)</f>
        <v>1.0258 - MSWRK - Ensure Boot-Start Driver Initialization Policy is set to Enabled: Good, unknown and bad but critical</v>
      </c>
      <c r="M259" t="str">
        <f t="shared" ref="M259:M322" si="14">MID($N259,FIND("[",$N259)+1,FIND("]",$N259)-FIND("[",$N259)-1)</f>
        <v>FAILED</v>
      </c>
      <c r="N259" s="1" t="s">
        <v>533</v>
      </c>
      <c r="O259" t="s">
        <v>67</v>
      </c>
      <c r="R259" t="s">
        <v>68</v>
      </c>
      <c r="T259" t="s">
        <v>69</v>
      </c>
      <c r="U259" t="s">
        <v>70</v>
      </c>
      <c r="W259" t="s">
        <v>71</v>
      </c>
      <c r="X259" s="1" t="s">
        <v>72</v>
      </c>
      <c r="Y259" t="s">
        <v>88</v>
      </c>
      <c r="Z259">
        <v>0</v>
      </c>
      <c r="AA259">
        <v>0</v>
      </c>
      <c r="AD259">
        <v>0</v>
      </c>
      <c r="AE259">
        <v>0</v>
      </c>
      <c r="AH259" t="s">
        <v>73</v>
      </c>
      <c r="AI259" t="s">
        <v>318</v>
      </c>
      <c r="AJ259" t="s">
        <v>319</v>
      </c>
      <c r="AK259" t="s">
        <v>76</v>
      </c>
      <c r="AN259" t="s">
        <v>77</v>
      </c>
      <c r="AO259" t="s">
        <v>320</v>
      </c>
      <c r="AP259" t="s">
        <v>532</v>
      </c>
      <c r="AQ259" t="s">
        <v>322</v>
      </c>
      <c r="AS259" t="b">
        <v>1</v>
      </c>
      <c r="AT259" t="s">
        <v>65</v>
      </c>
      <c r="AU259">
        <v>0</v>
      </c>
      <c r="AV259">
        <v>0</v>
      </c>
      <c r="AX259">
        <v>39</v>
      </c>
      <c r="AY259" t="s">
        <v>81</v>
      </c>
      <c r="AZ259" t="s">
        <v>90</v>
      </c>
      <c r="BB259" t="s">
        <v>91</v>
      </c>
      <c r="BC259" t="s">
        <v>92</v>
      </c>
      <c r="BD259" t="b">
        <v>0</v>
      </c>
      <c r="BE259" t="b">
        <v>0</v>
      </c>
      <c r="BF259" t="b">
        <v>0</v>
      </c>
      <c r="BG259" t="b">
        <v>0</v>
      </c>
      <c r="BH259" t="b">
        <v>0</v>
      </c>
      <c r="BI259" t="b">
        <v>0</v>
      </c>
      <c r="BJ259" t="b">
        <v>0</v>
      </c>
      <c r="BK259" t="b">
        <v>0</v>
      </c>
      <c r="BL259" t="b">
        <v>0</v>
      </c>
      <c r="BM259" t="b">
        <v>0</v>
      </c>
      <c r="BN259" t="b">
        <v>0</v>
      </c>
      <c r="BO259" t="b">
        <v>0</v>
      </c>
      <c r="BP259" t="b">
        <v>0</v>
      </c>
      <c r="BR259" t="b">
        <f>IFERROR(IF(M259="PASSED",VLOOKUP(J259,Current!$J$1:$N$500,1,FALSE)),N259)</f>
        <v>0</v>
      </c>
    </row>
    <row r="260" spans="1:70" ht="15" hidden="1" customHeight="1" x14ac:dyDescent="0.25">
      <c r="A260">
        <v>21156</v>
      </c>
      <c r="C260">
        <v>0</v>
      </c>
      <c r="D260" t="s">
        <v>83</v>
      </c>
      <c r="E260" t="s">
        <v>66</v>
      </c>
      <c r="F260" t="s">
        <v>84</v>
      </c>
      <c r="G260">
        <v>0</v>
      </c>
      <c r="H260" t="s">
        <v>85</v>
      </c>
      <c r="I260" t="s">
        <v>86</v>
      </c>
      <c r="J260" t="str">
        <f>MID($N260,FIND("1.",$N260),FIND("-",$N260)-FIND("1.",$N260)-1)</f>
        <v>1.0259</v>
      </c>
      <c r="K260" t="str">
        <f t="shared" si="12"/>
        <v>Ensure Enable / disable CLFS logfile authentication is set to Enabled</v>
      </c>
      <c r="L260" t="str">
        <f t="shared" si="13"/>
        <v>1.0259 - MSWRK - Ensure Enable / disable CLFS logfile authentication is set to Enabled</v>
      </c>
      <c r="M260" t="str">
        <f t="shared" si="14"/>
        <v>FAILED</v>
      </c>
      <c r="N260" s="1" t="s">
        <v>743</v>
      </c>
      <c r="O260" t="s">
        <v>67</v>
      </c>
      <c r="R260" t="s">
        <v>68</v>
      </c>
      <c r="T260" t="s">
        <v>69</v>
      </c>
      <c r="U260" t="s">
        <v>70</v>
      </c>
      <c r="W260" t="s">
        <v>71</v>
      </c>
      <c r="X260" s="1" t="s">
        <v>72</v>
      </c>
      <c r="Y260" t="s">
        <v>88</v>
      </c>
      <c r="Z260">
        <v>0</v>
      </c>
      <c r="AA260">
        <v>0</v>
      </c>
      <c r="AD260">
        <v>0</v>
      </c>
      <c r="AE260">
        <v>0</v>
      </c>
      <c r="AH260" t="s">
        <v>73</v>
      </c>
      <c r="AI260" t="s">
        <v>318</v>
      </c>
      <c r="AJ260" t="s">
        <v>319</v>
      </c>
      <c r="AK260" t="s">
        <v>76</v>
      </c>
      <c r="AN260" t="s">
        <v>77</v>
      </c>
      <c r="AO260" t="s">
        <v>320</v>
      </c>
      <c r="AP260" t="s">
        <v>741</v>
      </c>
      <c r="AQ260" t="s">
        <v>322</v>
      </c>
      <c r="AS260" t="b">
        <v>1</v>
      </c>
      <c r="AT260" t="s">
        <v>65</v>
      </c>
      <c r="AU260">
        <v>0</v>
      </c>
      <c r="AV260">
        <v>0</v>
      </c>
      <c r="AX260">
        <v>39</v>
      </c>
      <c r="AY260" t="s">
        <v>81</v>
      </c>
      <c r="AZ260" t="s">
        <v>90</v>
      </c>
      <c r="BB260" t="s">
        <v>91</v>
      </c>
      <c r="BC260" t="s">
        <v>92</v>
      </c>
      <c r="BD260" t="b">
        <v>0</v>
      </c>
      <c r="BE260" t="b">
        <v>0</v>
      </c>
      <c r="BF260" t="b">
        <v>0</v>
      </c>
      <c r="BG260" t="b">
        <v>0</v>
      </c>
      <c r="BH260" t="b">
        <v>0</v>
      </c>
      <c r="BI260" t="b">
        <v>0</v>
      </c>
      <c r="BJ260" t="b">
        <v>0</v>
      </c>
      <c r="BK260" t="b">
        <v>0</v>
      </c>
      <c r="BL260" t="b">
        <v>0</v>
      </c>
      <c r="BM260" t="b">
        <v>0</v>
      </c>
      <c r="BN260" t="b">
        <v>0</v>
      </c>
      <c r="BO260" t="b">
        <v>0</v>
      </c>
      <c r="BP260" t="b">
        <v>0</v>
      </c>
      <c r="BR260" t="b">
        <f>IFERROR(IF(M260="PASSED",VLOOKUP(J260,Current!$J$1:$N$500,1,FALSE)),N260)</f>
        <v>0</v>
      </c>
    </row>
    <row r="261" spans="1:70" ht="15" customHeight="1" x14ac:dyDescent="0.25">
      <c r="A261">
        <v>21156</v>
      </c>
      <c r="C261">
        <v>0</v>
      </c>
      <c r="D261" t="s">
        <v>65</v>
      </c>
      <c r="E261" t="s">
        <v>66</v>
      </c>
      <c r="F261" t="s">
        <v>84</v>
      </c>
      <c r="G261">
        <v>0</v>
      </c>
      <c r="H261" t="s">
        <v>85</v>
      </c>
      <c r="I261" t="s">
        <v>86</v>
      </c>
      <c r="J261" t="str">
        <f>MID($N261,FIND("1.",$N261),FIND("-",$N261)-FIND("1.",$N261)-1)</f>
        <v>1.0260</v>
      </c>
      <c r="K261" t="str">
        <f t="shared" si="12"/>
        <v>Ensure Configure security policy processing</v>
      </c>
      <c r="L261" t="str">
        <f t="shared" si="13"/>
        <v>1.0260 - MSWRK - Ensure Configure security policy processing: Do not apply during periodic background processing is set to Enabled: FALSE</v>
      </c>
      <c r="M261" t="str">
        <f t="shared" si="14"/>
        <v>PASSED</v>
      </c>
      <c r="N261" s="1" t="s">
        <v>617</v>
      </c>
      <c r="O261" t="s">
        <v>67</v>
      </c>
      <c r="R261" t="s">
        <v>68</v>
      </c>
      <c r="T261" t="s">
        <v>69</v>
      </c>
      <c r="U261" t="s">
        <v>70</v>
      </c>
      <c r="W261" t="s">
        <v>71</v>
      </c>
      <c r="X261" s="1" t="s">
        <v>72</v>
      </c>
      <c r="Y261" t="s">
        <v>88</v>
      </c>
      <c r="Z261">
        <v>0</v>
      </c>
      <c r="AA261">
        <v>0</v>
      </c>
      <c r="AD261">
        <v>0</v>
      </c>
      <c r="AE261">
        <v>0</v>
      </c>
      <c r="AH261" t="s">
        <v>73</v>
      </c>
      <c r="AI261" t="s">
        <v>318</v>
      </c>
      <c r="AJ261" t="s">
        <v>319</v>
      </c>
      <c r="AK261" t="s">
        <v>76</v>
      </c>
      <c r="AN261" t="s">
        <v>77</v>
      </c>
      <c r="AO261" t="s">
        <v>320</v>
      </c>
      <c r="AP261" t="s">
        <v>616</v>
      </c>
      <c r="AQ261" t="s">
        <v>322</v>
      </c>
      <c r="AS261" t="b">
        <v>1</v>
      </c>
      <c r="AT261" t="s">
        <v>65</v>
      </c>
      <c r="AU261">
        <v>0</v>
      </c>
      <c r="AV261">
        <v>0</v>
      </c>
      <c r="AX261">
        <v>39</v>
      </c>
      <c r="AY261" t="s">
        <v>81</v>
      </c>
      <c r="AZ261" t="s">
        <v>90</v>
      </c>
      <c r="BB261" t="s">
        <v>91</v>
      </c>
      <c r="BC261" t="s">
        <v>92</v>
      </c>
      <c r="BD261" t="b">
        <v>0</v>
      </c>
      <c r="BE261" t="b">
        <v>0</v>
      </c>
      <c r="BF261" t="b">
        <v>0</v>
      </c>
      <c r="BG261" t="b">
        <v>0</v>
      </c>
      <c r="BH261" t="b">
        <v>0</v>
      </c>
      <c r="BI261" t="b">
        <v>0</v>
      </c>
      <c r="BJ261" t="b">
        <v>0</v>
      </c>
      <c r="BK261" t="b">
        <v>0</v>
      </c>
      <c r="BL261" t="b">
        <v>0</v>
      </c>
      <c r="BM261" t="b">
        <v>0</v>
      </c>
      <c r="BN261" t="b">
        <v>0</v>
      </c>
      <c r="BO261" t="b">
        <v>0</v>
      </c>
      <c r="BP261" t="b">
        <v>0</v>
      </c>
      <c r="BR261" t="str">
        <f>IFERROR(IF(M261="PASSED",VLOOKUP(J261,Current!$J$1:$N$500,1,FALSE)),N261)</f>
        <v>"1.0260 - MSWRK - Ensure Configure security policy processing: Do not apply during periodic background processing is set to Enabled: FALSE: [PASSED]"
The \'Do not apply during periodic background processing\' option prevents the system from updating affected security policies in the background while the computer is in use.
See Also:
See HTH Policies and Standards
Reference:
NIST 800-53r5|CM-1 CM-2 CM-6 CM-7 CM-7(1) CM-9 SA-3 SA-8 SA-10
Policy Value:
'0'
Actual Value:
'0'</v>
      </c>
    </row>
    <row r="262" spans="1:70" ht="15" customHeight="1" x14ac:dyDescent="0.25">
      <c r="A262">
        <v>21156</v>
      </c>
      <c r="C262">
        <v>0</v>
      </c>
      <c r="D262" t="s">
        <v>65</v>
      </c>
      <c r="E262" t="s">
        <v>66</v>
      </c>
      <c r="F262" t="s">
        <v>84</v>
      </c>
      <c r="G262">
        <v>0</v>
      </c>
      <c r="H262" t="s">
        <v>85</v>
      </c>
      <c r="I262" t="s">
        <v>86</v>
      </c>
      <c r="J262" t="str">
        <f>MID($N262,FIND("1.",$N262),FIND("-",$N262)-FIND("1.",$N262)-1)</f>
        <v>1.0261</v>
      </c>
      <c r="K262" t="str">
        <f t="shared" si="12"/>
        <v>Ensure Configure security policy processing</v>
      </c>
      <c r="L262" t="str">
        <f t="shared" si="13"/>
        <v>1.0261 - MSWRK - Ensure Configure security policy processing: Process even if the Group Policy objects have not changed is set to Enabled: TRUE</v>
      </c>
      <c r="M262" t="str">
        <f t="shared" si="14"/>
        <v>PASSED</v>
      </c>
      <c r="N262" s="1" t="s">
        <v>785</v>
      </c>
      <c r="O262" t="s">
        <v>67</v>
      </c>
      <c r="R262" t="s">
        <v>68</v>
      </c>
      <c r="T262" t="s">
        <v>69</v>
      </c>
      <c r="U262" t="s">
        <v>70</v>
      </c>
      <c r="W262" t="s">
        <v>71</v>
      </c>
      <c r="X262" s="1" t="s">
        <v>72</v>
      </c>
      <c r="Y262" t="s">
        <v>88</v>
      </c>
      <c r="Z262">
        <v>0</v>
      </c>
      <c r="AA262">
        <v>0</v>
      </c>
      <c r="AD262">
        <v>0</v>
      </c>
      <c r="AE262">
        <v>0</v>
      </c>
      <c r="AH262" t="s">
        <v>73</v>
      </c>
      <c r="AI262" t="s">
        <v>318</v>
      </c>
      <c r="AJ262" t="s">
        <v>319</v>
      </c>
      <c r="AK262" t="s">
        <v>76</v>
      </c>
      <c r="AN262" t="s">
        <v>77</v>
      </c>
      <c r="AO262" t="s">
        <v>320</v>
      </c>
      <c r="AP262" t="s">
        <v>784</v>
      </c>
      <c r="AQ262" t="s">
        <v>322</v>
      </c>
      <c r="AS262" t="b">
        <v>1</v>
      </c>
      <c r="AT262" t="s">
        <v>65</v>
      </c>
      <c r="AU262">
        <v>0</v>
      </c>
      <c r="AV262">
        <v>0</v>
      </c>
      <c r="AX262">
        <v>39</v>
      </c>
      <c r="AY262" t="s">
        <v>81</v>
      </c>
      <c r="AZ262" t="s">
        <v>90</v>
      </c>
      <c r="BB262" t="s">
        <v>91</v>
      </c>
      <c r="BC262" t="s">
        <v>92</v>
      </c>
      <c r="BD262" t="b">
        <v>0</v>
      </c>
      <c r="BE262" t="b">
        <v>0</v>
      </c>
      <c r="BF262" t="b">
        <v>0</v>
      </c>
      <c r="BG262" t="b">
        <v>0</v>
      </c>
      <c r="BH262" t="b">
        <v>0</v>
      </c>
      <c r="BI262" t="b">
        <v>0</v>
      </c>
      <c r="BJ262" t="b">
        <v>0</v>
      </c>
      <c r="BK262" t="b">
        <v>0</v>
      </c>
      <c r="BL262" t="b">
        <v>0</v>
      </c>
      <c r="BM262" t="b">
        <v>0</v>
      </c>
      <c r="BN262" t="b">
        <v>0</v>
      </c>
      <c r="BO262" t="b">
        <v>0</v>
      </c>
      <c r="BP262" t="b">
        <v>0</v>
      </c>
      <c r="BR262" t="str">
        <f>IFERROR(IF(M262="PASSED",VLOOKUP(J262,Current!$J$1:$N$500,1,FALSE)),N262)</f>
        <v>"1.0261 - MSWRK - Ensure Configure security policy processing: Process even if the Group Policy objects have not changed is set to Enabled: TRUE: [PASSED]"
The \'Process even if the Group Policy objects have not changed\' option updates and reapplies security policies even if the security policies have not changed.
See Also:
See HTH Policies and Standards
Reference:
NIST 800-53r5|CM-1 CM-2 CM-6 CM-7 CM-7(1) CM-9 SA-3 SA-8 SA-10
Policy Value:
'0'
Actual Value:
'0'</v>
      </c>
    </row>
    <row r="263" spans="1:70" ht="15" customHeight="1" x14ac:dyDescent="0.25">
      <c r="A263">
        <v>21156</v>
      </c>
      <c r="C263">
        <v>0</v>
      </c>
      <c r="D263" t="s">
        <v>65</v>
      </c>
      <c r="E263" t="s">
        <v>66</v>
      </c>
      <c r="F263" t="s">
        <v>84</v>
      </c>
      <c r="G263">
        <v>0</v>
      </c>
      <c r="H263" t="s">
        <v>85</v>
      </c>
      <c r="I263" t="s">
        <v>86</v>
      </c>
      <c r="J263" t="str">
        <f>MID($N263,FIND("1.",$N263),FIND("-",$N263)-FIND("1.",$N263)-1)</f>
        <v>1.0262</v>
      </c>
      <c r="K263" t="str">
        <f t="shared" si="12"/>
        <v>Ensure Continue experiences on this device is set to Disabled</v>
      </c>
      <c r="L263" t="str">
        <f t="shared" si="13"/>
        <v>1.0262 - MSWRK - Ensure Continue experiences on this device is set to Disabled</v>
      </c>
      <c r="M263" t="str">
        <f t="shared" si="14"/>
        <v>PASSED</v>
      </c>
      <c r="N263" s="1" t="s">
        <v>398</v>
      </c>
      <c r="O263" t="s">
        <v>67</v>
      </c>
      <c r="R263" t="s">
        <v>68</v>
      </c>
      <c r="T263" t="s">
        <v>69</v>
      </c>
      <c r="U263" t="s">
        <v>70</v>
      </c>
      <c r="W263" t="s">
        <v>71</v>
      </c>
      <c r="X263" s="1" t="s">
        <v>72</v>
      </c>
      <c r="Y263" t="s">
        <v>88</v>
      </c>
      <c r="Z263">
        <v>0</v>
      </c>
      <c r="AA263">
        <v>0</v>
      </c>
      <c r="AD263">
        <v>0</v>
      </c>
      <c r="AE263">
        <v>0</v>
      </c>
      <c r="AH263" t="s">
        <v>73</v>
      </c>
      <c r="AI263" t="s">
        <v>318</v>
      </c>
      <c r="AJ263" t="s">
        <v>319</v>
      </c>
      <c r="AK263" t="s">
        <v>76</v>
      </c>
      <c r="AN263" t="s">
        <v>77</v>
      </c>
      <c r="AO263" t="s">
        <v>320</v>
      </c>
      <c r="AP263" t="s">
        <v>397</v>
      </c>
      <c r="AQ263" t="s">
        <v>322</v>
      </c>
      <c r="AS263" t="b">
        <v>1</v>
      </c>
      <c r="AT263" t="s">
        <v>65</v>
      </c>
      <c r="AU263">
        <v>0</v>
      </c>
      <c r="AV263">
        <v>0</v>
      </c>
      <c r="AX263">
        <v>39</v>
      </c>
      <c r="AY263" t="s">
        <v>81</v>
      </c>
      <c r="AZ263" t="s">
        <v>90</v>
      </c>
      <c r="BB263" t="s">
        <v>91</v>
      </c>
      <c r="BC263" t="s">
        <v>92</v>
      </c>
      <c r="BD263" t="b">
        <v>0</v>
      </c>
      <c r="BE263" t="b">
        <v>0</v>
      </c>
      <c r="BF263" t="b">
        <v>0</v>
      </c>
      <c r="BG263" t="b">
        <v>0</v>
      </c>
      <c r="BH263" t="b">
        <v>0</v>
      </c>
      <c r="BI263" t="b">
        <v>0</v>
      </c>
      <c r="BJ263" t="b">
        <v>0</v>
      </c>
      <c r="BK263" t="b">
        <v>0</v>
      </c>
      <c r="BL263" t="b">
        <v>0</v>
      </c>
      <c r="BM263" t="b">
        <v>0</v>
      </c>
      <c r="BN263" t="b">
        <v>0</v>
      </c>
      <c r="BO263" t="b">
        <v>0</v>
      </c>
      <c r="BP263" t="b">
        <v>0</v>
      </c>
      <c r="BR263" t="str">
        <f>IFERROR(IF(M263="PASSED",VLOOKUP(J263,Current!$J$1:$N$500,1,FALSE)),N263)</f>
        <v>"1.0262 - MSWRK - Ensure Continue experiences on this device is set to Disabled: [PASSED]"
This policy setting determines whether the Windows device is allowed to participate in cross-device experiences (continue experiences).
See Also:
See HTH Policies and Standards
Reference:
NIST 800-53r5|CM-6 CM-7
Policy Value:
'0'
Actual Value:
'0'</v>
      </c>
    </row>
    <row r="264" spans="1:70" ht="15" customHeight="1" x14ac:dyDescent="0.25">
      <c r="A264">
        <v>21156</v>
      </c>
      <c r="C264">
        <v>0</v>
      </c>
      <c r="D264" t="s">
        <v>65</v>
      </c>
      <c r="E264" t="s">
        <v>66</v>
      </c>
      <c r="F264" t="s">
        <v>84</v>
      </c>
      <c r="G264">
        <v>0</v>
      </c>
      <c r="H264" t="s">
        <v>85</v>
      </c>
      <c r="I264" t="s">
        <v>86</v>
      </c>
      <c r="J264" t="str">
        <f>MID($N264,FIND("1.",$N264),FIND("-",$N264)-FIND("1.",$N264)-1)</f>
        <v>1.0263</v>
      </c>
      <c r="K264" t="str">
        <f t="shared" si="12"/>
        <v>Ensure Turn off background refresh of Group Policy is set to Disabled</v>
      </c>
      <c r="L264" t="str">
        <f t="shared" si="13"/>
        <v>1.0263 - MSWRK - Ensure Turn off background refresh of Group Policy is set to Disabled</v>
      </c>
      <c r="M264" t="str">
        <f t="shared" si="14"/>
        <v>PASSED</v>
      </c>
      <c r="N264" s="1" t="s">
        <v>337</v>
      </c>
      <c r="O264" t="s">
        <v>67</v>
      </c>
      <c r="R264" t="s">
        <v>68</v>
      </c>
      <c r="T264" t="s">
        <v>69</v>
      </c>
      <c r="U264" t="s">
        <v>70</v>
      </c>
      <c r="W264" t="s">
        <v>71</v>
      </c>
      <c r="X264" s="1" t="s">
        <v>72</v>
      </c>
      <c r="Y264" t="s">
        <v>88</v>
      </c>
      <c r="Z264">
        <v>0</v>
      </c>
      <c r="AA264">
        <v>0</v>
      </c>
      <c r="AD264">
        <v>0</v>
      </c>
      <c r="AE264">
        <v>0</v>
      </c>
      <c r="AH264" t="s">
        <v>73</v>
      </c>
      <c r="AI264" t="s">
        <v>318</v>
      </c>
      <c r="AJ264" t="s">
        <v>319</v>
      </c>
      <c r="AK264" t="s">
        <v>76</v>
      </c>
      <c r="AN264" t="s">
        <v>77</v>
      </c>
      <c r="AO264" t="s">
        <v>320</v>
      </c>
      <c r="AP264" t="s">
        <v>336</v>
      </c>
      <c r="AQ264" t="s">
        <v>322</v>
      </c>
      <c r="AS264" t="b">
        <v>1</v>
      </c>
      <c r="AT264" t="s">
        <v>65</v>
      </c>
      <c r="AU264">
        <v>0</v>
      </c>
      <c r="AV264">
        <v>0</v>
      </c>
      <c r="AX264">
        <v>39</v>
      </c>
      <c r="AY264" t="s">
        <v>81</v>
      </c>
      <c r="AZ264" t="s">
        <v>90</v>
      </c>
      <c r="BB264" t="s">
        <v>91</v>
      </c>
      <c r="BC264" t="s">
        <v>92</v>
      </c>
      <c r="BD264" t="b">
        <v>0</v>
      </c>
      <c r="BE264" t="b">
        <v>0</v>
      </c>
      <c r="BF264" t="b">
        <v>0</v>
      </c>
      <c r="BG264" t="b">
        <v>0</v>
      </c>
      <c r="BH264" t="b">
        <v>0</v>
      </c>
      <c r="BI264" t="b">
        <v>0</v>
      </c>
      <c r="BJ264" t="b">
        <v>0</v>
      </c>
      <c r="BK264" t="b">
        <v>0</v>
      </c>
      <c r="BL264" t="b">
        <v>0</v>
      </c>
      <c r="BM264" t="b">
        <v>0</v>
      </c>
      <c r="BN264" t="b">
        <v>0</v>
      </c>
      <c r="BO264" t="b">
        <v>0</v>
      </c>
      <c r="BP264" t="b">
        <v>0</v>
      </c>
      <c r="BR264" t="str">
        <f>IFERROR(IF(M264="PASSED",VLOOKUP(J264,Current!$J$1:$N$500,1,FALSE)),N264)</f>
        <v>"1.0263 - MSWRK - Ensure Turn off background refresh of Group Policy is set to Disabled: [PASSED]"
This policy setting prevents Group Policy from being updated while the computer is in use.
See Also:
See HTH Policies and Standards
Reference:
NIST 800-53r5|CM-1 CM-2 CM-6 CM-7 CM-7(1) CM-9 SA-3 SA-8 SA-10
Policy Value:
'NOT_FOUND'
Actual Value:
'NOT_FOUND'</v>
      </c>
    </row>
    <row r="265" spans="1:70" ht="15" hidden="1" customHeight="1" x14ac:dyDescent="0.25">
      <c r="A265">
        <v>21156</v>
      </c>
      <c r="C265">
        <v>0</v>
      </c>
      <c r="D265" t="s">
        <v>83</v>
      </c>
      <c r="E265" t="s">
        <v>66</v>
      </c>
      <c r="F265" t="s">
        <v>84</v>
      </c>
      <c r="G265">
        <v>0</v>
      </c>
      <c r="H265" t="s">
        <v>85</v>
      </c>
      <c r="I265" t="s">
        <v>86</v>
      </c>
      <c r="J265" t="str">
        <f>MID($N265,FIND("1.",$N265),FIND("-",$N265)-FIND("1.",$N265)-1)</f>
        <v>1.0264</v>
      </c>
      <c r="K265" t="str">
        <f t="shared" si="12"/>
        <v>Ensure Turn off downloading of print drivers over HTTP is set to Enabled</v>
      </c>
      <c r="L265" t="str">
        <f t="shared" si="13"/>
        <v>1.0264 - MSWRK - Ensure Turn off downloading of print drivers over HTTP is set to Enabled</v>
      </c>
      <c r="M265" t="str">
        <f t="shared" si="14"/>
        <v>FAILED</v>
      </c>
      <c r="N265" s="1" t="s">
        <v>668</v>
      </c>
      <c r="O265" t="s">
        <v>67</v>
      </c>
      <c r="R265" t="s">
        <v>68</v>
      </c>
      <c r="T265" t="s">
        <v>69</v>
      </c>
      <c r="U265" t="s">
        <v>70</v>
      </c>
      <c r="W265" t="s">
        <v>71</v>
      </c>
      <c r="X265" s="1" t="s">
        <v>72</v>
      </c>
      <c r="Y265" t="s">
        <v>88</v>
      </c>
      <c r="Z265">
        <v>0</v>
      </c>
      <c r="AA265">
        <v>0</v>
      </c>
      <c r="AD265">
        <v>0</v>
      </c>
      <c r="AE265">
        <v>0</v>
      </c>
      <c r="AH265" t="s">
        <v>73</v>
      </c>
      <c r="AI265" t="s">
        <v>318</v>
      </c>
      <c r="AJ265" t="s">
        <v>319</v>
      </c>
      <c r="AK265" t="s">
        <v>76</v>
      </c>
      <c r="AN265" t="s">
        <v>77</v>
      </c>
      <c r="AO265" t="s">
        <v>320</v>
      </c>
      <c r="AP265" t="s">
        <v>667</v>
      </c>
      <c r="AQ265" t="s">
        <v>322</v>
      </c>
      <c r="AS265" t="b">
        <v>1</v>
      </c>
      <c r="AT265" t="s">
        <v>65</v>
      </c>
      <c r="AU265">
        <v>0</v>
      </c>
      <c r="AV265">
        <v>0</v>
      </c>
      <c r="AX265">
        <v>39</v>
      </c>
      <c r="AY265" t="s">
        <v>81</v>
      </c>
      <c r="AZ265" t="s">
        <v>90</v>
      </c>
      <c r="BB265" t="s">
        <v>91</v>
      </c>
      <c r="BC265" t="s">
        <v>92</v>
      </c>
      <c r="BD265" t="b">
        <v>0</v>
      </c>
      <c r="BE265" t="b">
        <v>0</v>
      </c>
      <c r="BF265" t="b">
        <v>0</v>
      </c>
      <c r="BG265" t="b">
        <v>0</v>
      </c>
      <c r="BH265" t="b">
        <v>0</v>
      </c>
      <c r="BI265" t="b">
        <v>0</v>
      </c>
      <c r="BJ265" t="b">
        <v>0</v>
      </c>
      <c r="BK265" t="b">
        <v>0</v>
      </c>
      <c r="BL265" t="b">
        <v>0</v>
      </c>
      <c r="BM265" t="b">
        <v>0</v>
      </c>
      <c r="BN265" t="b">
        <v>0</v>
      </c>
      <c r="BO265" t="b">
        <v>0</v>
      </c>
      <c r="BP265" t="b">
        <v>0</v>
      </c>
      <c r="BR265" t="b">
        <f>IFERROR(IF(M265="PASSED",VLOOKUP(J265,Current!$J$1:$N$500,1,FALSE)),N265)</f>
        <v>0</v>
      </c>
    </row>
    <row r="266" spans="1:70" ht="15" hidden="1" customHeight="1" x14ac:dyDescent="0.25">
      <c r="A266">
        <v>21156</v>
      </c>
      <c r="C266">
        <v>0</v>
      </c>
      <c r="D266" t="s">
        <v>83</v>
      </c>
      <c r="E266" t="s">
        <v>66</v>
      </c>
      <c r="F266" t="s">
        <v>84</v>
      </c>
      <c r="G266">
        <v>0</v>
      </c>
      <c r="H266" t="s">
        <v>85</v>
      </c>
      <c r="I266" t="s">
        <v>86</v>
      </c>
      <c r="J266" t="str">
        <f>MID($N266,FIND("1.",$N266),FIND("-",$N266)-FIND("1.",$N266)-1)</f>
        <v>1.0265</v>
      </c>
      <c r="K266" t="str">
        <f t="shared" si="12"/>
        <v>Ensure Turn off Internet download for Web publishing and online ordering wizards is set to Enabled</v>
      </c>
      <c r="L266" t="str">
        <f t="shared" si="13"/>
        <v>1.0265 - MSWRK - Ensure Turn off Internet download for Web publishing and online ordering wizards is set to Enabled</v>
      </c>
      <c r="M266" t="str">
        <f t="shared" si="14"/>
        <v>FAILED</v>
      </c>
      <c r="N266" s="1" t="s">
        <v>394</v>
      </c>
      <c r="O266" t="s">
        <v>67</v>
      </c>
      <c r="R266" t="s">
        <v>68</v>
      </c>
      <c r="T266" t="s">
        <v>69</v>
      </c>
      <c r="U266" t="s">
        <v>70</v>
      </c>
      <c r="W266" t="s">
        <v>71</v>
      </c>
      <c r="X266" s="1" t="s">
        <v>72</v>
      </c>
      <c r="Y266" t="s">
        <v>88</v>
      </c>
      <c r="Z266">
        <v>0</v>
      </c>
      <c r="AA266">
        <v>0</v>
      </c>
      <c r="AD266">
        <v>0</v>
      </c>
      <c r="AE266">
        <v>0</v>
      </c>
      <c r="AH266" t="s">
        <v>73</v>
      </c>
      <c r="AI266" t="s">
        <v>318</v>
      </c>
      <c r="AJ266" t="s">
        <v>319</v>
      </c>
      <c r="AK266" t="s">
        <v>76</v>
      </c>
      <c r="AN266" t="s">
        <v>77</v>
      </c>
      <c r="AO266" t="s">
        <v>320</v>
      </c>
      <c r="AP266" t="s">
        <v>393</v>
      </c>
      <c r="AQ266" t="s">
        <v>322</v>
      </c>
      <c r="AS266" t="b">
        <v>1</v>
      </c>
      <c r="AT266" t="s">
        <v>65</v>
      </c>
      <c r="AU266">
        <v>0</v>
      </c>
      <c r="AV266">
        <v>0</v>
      </c>
      <c r="AX266">
        <v>39</v>
      </c>
      <c r="AY266" t="s">
        <v>81</v>
      </c>
      <c r="AZ266" t="s">
        <v>90</v>
      </c>
      <c r="BB266" t="s">
        <v>91</v>
      </c>
      <c r="BC266" t="s">
        <v>92</v>
      </c>
      <c r="BD266" t="b">
        <v>0</v>
      </c>
      <c r="BE266" t="b">
        <v>0</v>
      </c>
      <c r="BF266" t="b">
        <v>0</v>
      </c>
      <c r="BG266" t="b">
        <v>0</v>
      </c>
      <c r="BH266" t="b">
        <v>0</v>
      </c>
      <c r="BI266" t="b">
        <v>0</v>
      </c>
      <c r="BJ266" t="b">
        <v>0</v>
      </c>
      <c r="BK266" t="b">
        <v>0</v>
      </c>
      <c r="BL266" t="b">
        <v>0</v>
      </c>
      <c r="BM266" t="b">
        <v>0</v>
      </c>
      <c r="BN266" t="b">
        <v>0</v>
      </c>
      <c r="BO266" t="b">
        <v>0</v>
      </c>
      <c r="BP266" t="b">
        <v>0</v>
      </c>
      <c r="BR266" t="b">
        <f>IFERROR(IF(M266="PASSED",VLOOKUP(J266,Current!$J$1:$N$500,1,FALSE)),N266)</f>
        <v>0</v>
      </c>
    </row>
    <row r="267" spans="1:70" ht="15" hidden="1" customHeight="1" x14ac:dyDescent="0.25">
      <c r="A267">
        <v>21156</v>
      </c>
      <c r="C267">
        <v>0</v>
      </c>
      <c r="D267" t="s">
        <v>83</v>
      </c>
      <c r="E267" t="s">
        <v>66</v>
      </c>
      <c r="F267" t="s">
        <v>84</v>
      </c>
      <c r="G267">
        <v>0</v>
      </c>
      <c r="H267" t="s">
        <v>85</v>
      </c>
      <c r="I267" t="s">
        <v>86</v>
      </c>
      <c r="J267" t="str">
        <f>MID($N267,FIND("1.",$N267),FIND("-",$N267)-FIND("1.",$N267)-1)</f>
        <v>1.0266</v>
      </c>
      <c r="K267" t="str">
        <f t="shared" si="12"/>
        <v>Ensure Enumeration policy for external devices incompatible with Kernel DMA Protection is set to Enabled</v>
      </c>
      <c r="L267" t="str">
        <f t="shared" si="13"/>
        <v>1.0266 - MSWRK - Ensure Enumeration policy for external devices incompatible with Kernel DMA Protection is set to Enabled: Block All</v>
      </c>
      <c r="M267" t="str">
        <f t="shared" si="14"/>
        <v>FAILED</v>
      </c>
      <c r="N267" s="1" t="s">
        <v>411</v>
      </c>
      <c r="O267" t="s">
        <v>67</v>
      </c>
      <c r="R267" t="s">
        <v>68</v>
      </c>
      <c r="T267" t="s">
        <v>69</v>
      </c>
      <c r="U267" t="s">
        <v>70</v>
      </c>
      <c r="W267" t="s">
        <v>71</v>
      </c>
      <c r="X267" s="1" t="s">
        <v>72</v>
      </c>
      <c r="Y267" t="s">
        <v>88</v>
      </c>
      <c r="Z267">
        <v>0</v>
      </c>
      <c r="AA267">
        <v>0</v>
      </c>
      <c r="AD267">
        <v>0</v>
      </c>
      <c r="AE267">
        <v>0</v>
      </c>
      <c r="AH267" t="s">
        <v>73</v>
      </c>
      <c r="AI267" t="s">
        <v>318</v>
      </c>
      <c r="AJ267" t="s">
        <v>319</v>
      </c>
      <c r="AK267" t="s">
        <v>76</v>
      </c>
      <c r="AN267" t="s">
        <v>77</v>
      </c>
      <c r="AO267" t="s">
        <v>320</v>
      </c>
      <c r="AP267" t="s">
        <v>410</v>
      </c>
      <c r="AQ267" t="s">
        <v>322</v>
      </c>
      <c r="AS267" t="b">
        <v>1</v>
      </c>
      <c r="AT267" t="s">
        <v>65</v>
      </c>
      <c r="AU267">
        <v>0</v>
      </c>
      <c r="AV267">
        <v>0</v>
      </c>
      <c r="AX267">
        <v>39</v>
      </c>
      <c r="AY267" t="s">
        <v>81</v>
      </c>
      <c r="AZ267" t="s">
        <v>90</v>
      </c>
      <c r="BB267" t="s">
        <v>91</v>
      </c>
      <c r="BC267" t="s">
        <v>92</v>
      </c>
      <c r="BD267" t="b">
        <v>0</v>
      </c>
      <c r="BE267" t="b">
        <v>0</v>
      </c>
      <c r="BF267" t="b">
        <v>0</v>
      </c>
      <c r="BG267" t="b">
        <v>0</v>
      </c>
      <c r="BH267" t="b">
        <v>0</v>
      </c>
      <c r="BI267" t="b">
        <v>0</v>
      </c>
      <c r="BJ267" t="b">
        <v>0</v>
      </c>
      <c r="BK267" t="b">
        <v>0</v>
      </c>
      <c r="BL267" t="b">
        <v>0</v>
      </c>
      <c r="BM267" t="b">
        <v>0</v>
      </c>
      <c r="BN267" t="b">
        <v>0</v>
      </c>
      <c r="BO267" t="b">
        <v>0</v>
      </c>
      <c r="BP267" t="b">
        <v>0</v>
      </c>
      <c r="BR267" t="b">
        <f>IFERROR(IF(M267="PASSED",VLOOKUP(J267,Current!$J$1:$N$500,1,FALSE)),N267)</f>
        <v>0</v>
      </c>
    </row>
    <row r="268" spans="1:70" ht="15" hidden="1" customHeight="1" x14ac:dyDescent="0.25">
      <c r="A268">
        <v>21156</v>
      </c>
      <c r="C268">
        <v>0</v>
      </c>
      <c r="D268" t="s">
        <v>83</v>
      </c>
      <c r="E268" t="s">
        <v>66</v>
      </c>
      <c r="F268" t="s">
        <v>84</v>
      </c>
      <c r="G268">
        <v>0</v>
      </c>
      <c r="H268" t="s">
        <v>85</v>
      </c>
      <c r="I268" t="s">
        <v>86</v>
      </c>
      <c r="J268" t="str">
        <f>MID($N268,FIND("1.",$N268),FIND("-",$N268)-FIND("1.",$N268)-1)</f>
        <v>1.0267</v>
      </c>
      <c r="K268" t="str">
        <f t="shared" si="12"/>
        <v>Ensure Configure password backup directory is set to Enabled</v>
      </c>
      <c r="L268" t="str">
        <f t="shared" si="13"/>
        <v>1.0267 - MSWRK - Ensure Configure password backup directory is set to Enabled: Active Directory or Enabled: Azure Active Directory</v>
      </c>
      <c r="M268" t="str">
        <f t="shared" si="14"/>
        <v>FAILED</v>
      </c>
      <c r="N268" s="1" t="s">
        <v>814</v>
      </c>
      <c r="O268" t="s">
        <v>67</v>
      </c>
      <c r="R268" t="s">
        <v>68</v>
      </c>
      <c r="T268" t="s">
        <v>69</v>
      </c>
      <c r="U268" t="s">
        <v>70</v>
      </c>
      <c r="W268" t="s">
        <v>71</v>
      </c>
      <c r="X268" s="1" t="s">
        <v>72</v>
      </c>
      <c r="Y268" t="s">
        <v>88</v>
      </c>
      <c r="Z268">
        <v>0</v>
      </c>
      <c r="AA268">
        <v>0</v>
      </c>
      <c r="AD268">
        <v>0</v>
      </c>
      <c r="AE268">
        <v>0</v>
      </c>
      <c r="AH268" t="s">
        <v>73</v>
      </c>
      <c r="AI268" t="s">
        <v>318</v>
      </c>
      <c r="AJ268" t="s">
        <v>319</v>
      </c>
      <c r="AK268" t="s">
        <v>76</v>
      </c>
      <c r="AN268" t="s">
        <v>77</v>
      </c>
      <c r="AO268" t="s">
        <v>320</v>
      </c>
      <c r="AP268" t="s">
        <v>815</v>
      </c>
      <c r="AQ268" t="s">
        <v>322</v>
      </c>
      <c r="AS268" t="b">
        <v>1</v>
      </c>
      <c r="AT268" t="s">
        <v>65</v>
      </c>
      <c r="AU268">
        <v>0</v>
      </c>
      <c r="AV268">
        <v>0</v>
      </c>
      <c r="AX268">
        <v>39</v>
      </c>
      <c r="AY268" t="s">
        <v>81</v>
      </c>
      <c r="AZ268" t="s">
        <v>90</v>
      </c>
      <c r="BB268" t="s">
        <v>91</v>
      </c>
      <c r="BC268" t="s">
        <v>92</v>
      </c>
      <c r="BD268" t="b">
        <v>0</v>
      </c>
      <c r="BE268" t="b">
        <v>0</v>
      </c>
      <c r="BF268" t="b">
        <v>0</v>
      </c>
      <c r="BG268" t="b">
        <v>0</v>
      </c>
      <c r="BH268" t="b">
        <v>0</v>
      </c>
      <c r="BI268" t="b">
        <v>0</v>
      </c>
      <c r="BJ268" t="b">
        <v>0</v>
      </c>
      <c r="BK268" t="b">
        <v>0</v>
      </c>
      <c r="BL268" t="b">
        <v>0</v>
      </c>
      <c r="BM268" t="b">
        <v>0</v>
      </c>
      <c r="BN268" t="b">
        <v>0</v>
      </c>
      <c r="BO268" t="b">
        <v>0</v>
      </c>
      <c r="BP268" t="b">
        <v>0</v>
      </c>
      <c r="BR268" t="b">
        <f>IFERROR(IF(M268="PASSED",VLOOKUP(J268,Current!$J$1:$N$500,1,FALSE)),N268)</f>
        <v>0</v>
      </c>
    </row>
    <row r="269" spans="1:70" ht="15" hidden="1" customHeight="1" x14ac:dyDescent="0.25">
      <c r="A269">
        <v>21156</v>
      </c>
      <c r="C269">
        <v>0</v>
      </c>
      <c r="D269" t="s">
        <v>83</v>
      </c>
      <c r="E269" t="s">
        <v>66</v>
      </c>
      <c r="F269" t="s">
        <v>84</v>
      </c>
      <c r="G269">
        <v>0</v>
      </c>
      <c r="H269" t="s">
        <v>85</v>
      </c>
      <c r="I269" t="s">
        <v>86</v>
      </c>
      <c r="J269" t="str">
        <f>MID($N269,FIND("1.",$N269),FIND("-",$N269)-FIND("1.",$N269)-1)</f>
        <v>1.0268</v>
      </c>
      <c r="K269" t="str">
        <f t="shared" si="12"/>
        <v>Ensure Do not allow password expiration time longer than required by policy is set to Enabled</v>
      </c>
      <c r="L269" t="str">
        <f t="shared" si="13"/>
        <v>1.0268 - MSWRK - Ensure Do not allow password expiration time longer than required by policy is set to Enabled</v>
      </c>
      <c r="M269" t="str">
        <f t="shared" si="14"/>
        <v>FAILED</v>
      </c>
      <c r="N269" s="1" t="s">
        <v>598</v>
      </c>
      <c r="O269" t="s">
        <v>67</v>
      </c>
      <c r="R269" t="s">
        <v>68</v>
      </c>
      <c r="T269" t="s">
        <v>69</v>
      </c>
      <c r="U269" t="s">
        <v>70</v>
      </c>
      <c r="W269" t="s">
        <v>71</v>
      </c>
      <c r="X269" s="1" t="s">
        <v>72</v>
      </c>
      <c r="Y269" t="s">
        <v>88</v>
      </c>
      <c r="Z269">
        <v>0</v>
      </c>
      <c r="AA269">
        <v>0</v>
      </c>
      <c r="AD269">
        <v>0</v>
      </c>
      <c r="AE269">
        <v>0</v>
      </c>
      <c r="AH269" t="s">
        <v>73</v>
      </c>
      <c r="AI269" t="s">
        <v>318</v>
      </c>
      <c r="AJ269" t="s">
        <v>319</v>
      </c>
      <c r="AK269" t="s">
        <v>76</v>
      </c>
      <c r="AN269" t="s">
        <v>77</v>
      </c>
      <c r="AO269" t="s">
        <v>320</v>
      </c>
      <c r="AP269" t="s">
        <v>597</v>
      </c>
      <c r="AQ269" t="s">
        <v>322</v>
      </c>
      <c r="AS269" t="b">
        <v>1</v>
      </c>
      <c r="AT269" t="s">
        <v>65</v>
      </c>
      <c r="AU269">
        <v>0</v>
      </c>
      <c r="AV269">
        <v>0</v>
      </c>
      <c r="AX269">
        <v>39</v>
      </c>
      <c r="AY269" t="s">
        <v>81</v>
      </c>
      <c r="AZ269" t="s">
        <v>90</v>
      </c>
      <c r="BB269" t="s">
        <v>91</v>
      </c>
      <c r="BC269" t="s">
        <v>92</v>
      </c>
      <c r="BD269" t="b">
        <v>0</v>
      </c>
      <c r="BE269" t="b">
        <v>0</v>
      </c>
      <c r="BF269" t="b">
        <v>0</v>
      </c>
      <c r="BG269" t="b">
        <v>0</v>
      </c>
      <c r="BH269" t="b">
        <v>0</v>
      </c>
      <c r="BI269" t="b">
        <v>0</v>
      </c>
      <c r="BJ269" t="b">
        <v>0</v>
      </c>
      <c r="BK269" t="b">
        <v>0</v>
      </c>
      <c r="BL269" t="b">
        <v>0</v>
      </c>
      <c r="BM269" t="b">
        <v>0</v>
      </c>
      <c r="BN269" t="b">
        <v>0</v>
      </c>
      <c r="BO269" t="b">
        <v>0</v>
      </c>
      <c r="BP269" t="b">
        <v>0</v>
      </c>
      <c r="BR269" t="b">
        <f>IFERROR(IF(M269="PASSED",VLOOKUP(J269,Current!$J$1:$N$500,1,FALSE)),N269)</f>
        <v>0</v>
      </c>
    </row>
    <row r="270" spans="1:70" ht="15" hidden="1" customHeight="1" x14ac:dyDescent="0.25">
      <c r="A270">
        <v>21156</v>
      </c>
      <c r="C270">
        <v>0</v>
      </c>
      <c r="D270" t="s">
        <v>83</v>
      </c>
      <c r="E270" t="s">
        <v>66</v>
      </c>
      <c r="F270" t="s">
        <v>84</v>
      </c>
      <c r="G270">
        <v>0</v>
      </c>
      <c r="H270" t="s">
        <v>85</v>
      </c>
      <c r="I270" t="s">
        <v>86</v>
      </c>
      <c r="J270" t="str">
        <f>MID($N270,FIND("1.",$N270),FIND("-",$N270)-FIND("1.",$N270)-1)</f>
        <v>1.0269</v>
      </c>
      <c r="K270" t="str">
        <f t="shared" si="12"/>
        <v>Ensure Enable password encryption is set to Enabled</v>
      </c>
      <c r="L270" t="str">
        <f t="shared" si="13"/>
        <v>1.0269 - MSWRK - Ensure Enable password encryption is set to Enabled</v>
      </c>
      <c r="M270" t="str">
        <f t="shared" si="14"/>
        <v>FAILED</v>
      </c>
      <c r="N270" s="1" t="s">
        <v>359</v>
      </c>
      <c r="O270" t="s">
        <v>67</v>
      </c>
      <c r="R270" t="s">
        <v>68</v>
      </c>
      <c r="T270" t="s">
        <v>69</v>
      </c>
      <c r="U270" t="s">
        <v>70</v>
      </c>
      <c r="W270" t="s">
        <v>71</v>
      </c>
      <c r="X270" s="1" t="s">
        <v>72</v>
      </c>
      <c r="Y270" t="s">
        <v>88</v>
      </c>
      <c r="Z270">
        <v>0</v>
      </c>
      <c r="AA270">
        <v>0</v>
      </c>
      <c r="AD270">
        <v>0</v>
      </c>
      <c r="AE270">
        <v>0</v>
      </c>
      <c r="AH270" t="s">
        <v>73</v>
      </c>
      <c r="AI270" t="s">
        <v>318</v>
      </c>
      <c r="AJ270" t="s">
        <v>319</v>
      </c>
      <c r="AK270" t="s">
        <v>76</v>
      </c>
      <c r="AN270" t="s">
        <v>77</v>
      </c>
      <c r="AO270" t="s">
        <v>320</v>
      </c>
      <c r="AP270" t="s">
        <v>358</v>
      </c>
      <c r="AQ270" t="s">
        <v>322</v>
      </c>
      <c r="AS270" t="b">
        <v>1</v>
      </c>
      <c r="AT270" t="s">
        <v>65</v>
      </c>
      <c r="AU270">
        <v>0</v>
      </c>
      <c r="AV270">
        <v>0</v>
      </c>
      <c r="AX270">
        <v>39</v>
      </c>
      <c r="AY270" t="s">
        <v>81</v>
      </c>
      <c r="AZ270" t="s">
        <v>90</v>
      </c>
      <c r="BB270" t="s">
        <v>91</v>
      </c>
      <c r="BC270" t="s">
        <v>92</v>
      </c>
      <c r="BD270" t="b">
        <v>0</v>
      </c>
      <c r="BE270" t="b">
        <v>0</v>
      </c>
      <c r="BF270" t="b">
        <v>0</v>
      </c>
      <c r="BG270" t="b">
        <v>0</v>
      </c>
      <c r="BH270" t="b">
        <v>0</v>
      </c>
      <c r="BI270" t="b">
        <v>0</v>
      </c>
      <c r="BJ270" t="b">
        <v>0</v>
      </c>
      <c r="BK270" t="b">
        <v>0</v>
      </c>
      <c r="BL270" t="b">
        <v>0</v>
      </c>
      <c r="BM270" t="b">
        <v>0</v>
      </c>
      <c r="BN270" t="b">
        <v>0</v>
      </c>
      <c r="BO270" t="b">
        <v>0</v>
      </c>
      <c r="BP270" t="b">
        <v>0</v>
      </c>
      <c r="BR270" t="b">
        <f>IFERROR(IF(M270="PASSED",VLOOKUP(J270,Current!$J$1:$N$500,1,FALSE)),N270)</f>
        <v>0</v>
      </c>
    </row>
    <row r="271" spans="1:70" ht="15" hidden="1" customHeight="1" x14ac:dyDescent="0.25">
      <c r="A271">
        <v>21156</v>
      </c>
      <c r="C271">
        <v>0</v>
      </c>
      <c r="D271" t="s">
        <v>83</v>
      </c>
      <c r="E271" t="s">
        <v>66</v>
      </c>
      <c r="F271" t="s">
        <v>84</v>
      </c>
      <c r="G271">
        <v>0</v>
      </c>
      <c r="H271" t="s">
        <v>85</v>
      </c>
      <c r="I271" t="s">
        <v>86</v>
      </c>
      <c r="J271" t="str">
        <f>MID($N271,FIND("1.",$N271),FIND("-",$N271)-FIND("1.",$N271)-1)</f>
        <v>1.0270</v>
      </c>
      <c r="K271" t="str">
        <f t="shared" si="12"/>
        <v>Ensure Password Settings</v>
      </c>
      <c r="L271" t="str">
        <f t="shared" si="13"/>
        <v>1.0270 - MSWRK - Ensure Password Settings: Password Complexity is set to Enabled: Large letters + small letters + numbers + special characters or Passphrase</v>
      </c>
      <c r="M271" t="str">
        <f t="shared" si="14"/>
        <v>FAILED</v>
      </c>
      <c r="N271" s="1" t="s">
        <v>756</v>
      </c>
      <c r="O271" t="s">
        <v>67</v>
      </c>
      <c r="R271" t="s">
        <v>68</v>
      </c>
      <c r="T271" t="s">
        <v>69</v>
      </c>
      <c r="U271" t="s">
        <v>70</v>
      </c>
      <c r="W271" t="s">
        <v>71</v>
      </c>
      <c r="X271" s="1" t="s">
        <v>72</v>
      </c>
      <c r="Y271" t="s">
        <v>88</v>
      </c>
      <c r="Z271">
        <v>0</v>
      </c>
      <c r="AA271">
        <v>0</v>
      </c>
      <c r="AD271">
        <v>0</v>
      </c>
      <c r="AE271">
        <v>0</v>
      </c>
      <c r="AH271" t="s">
        <v>73</v>
      </c>
      <c r="AI271" t="s">
        <v>318</v>
      </c>
      <c r="AJ271" t="s">
        <v>319</v>
      </c>
      <c r="AK271" t="s">
        <v>76</v>
      </c>
      <c r="AN271" t="s">
        <v>77</v>
      </c>
      <c r="AO271" t="s">
        <v>320</v>
      </c>
      <c r="AP271" t="s">
        <v>755</v>
      </c>
      <c r="AQ271" t="s">
        <v>322</v>
      </c>
      <c r="AS271" t="b">
        <v>1</v>
      </c>
      <c r="AT271" t="s">
        <v>65</v>
      </c>
      <c r="AU271">
        <v>0</v>
      </c>
      <c r="AV271">
        <v>0</v>
      </c>
      <c r="AX271">
        <v>39</v>
      </c>
      <c r="AY271" t="s">
        <v>81</v>
      </c>
      <c r="AZ271" t="s">
        <v>90</v>
      </c>
      <c r="BB271" t="s">
        <v>91</v>
      </c>
      <c r="BC271" t="s">
        <v>92</v>
      </c>
      <c r="BD271" t="b">
        <v>0</v>
      </c>
      <c r="BE271" t="b">
        <v>0</v>
      </c>
      <c r="BF271" t="b">
        <v>0</v>
      </c>
      <c r="BG271" t="b">
        <v>0</v>
      </c>
      <c r="BH271" t="b">
        <v>0</v>
      </c>
      <c r="BI271" t="b">
        <v>0</v>
      </c>
      <c r="BJ271" t="b">
        <v>0</v>
      </c>
      <c r="BK271" t="b">
        <v>0</v>
      </c>
      <c r="BL271" t="b">
        <v>0</v>
      </c>
      <c r="BM271" t="b">
        <v>0</v>
      </c>
      <c r="BN271" t="b">
        <v>0</v>
      </c>
      <c r="BO271" t="b">
        <v>0</v>
      </c>
      <c r="BP271" t="b">
        <v>0</v>
      </c>
      <c r="BR271" t="b">
        <f>IFERROR(IF(M271="PASSED",VLOOKUP(J271,Current!$J$1:$N$500,1,FALSE)),N271)</f>
        <v>0</v>
      </c>
    </row>
    <row r="272" spans="1:70" ht="15" hidden="1" customHeight="1" x14ac:dyDescent="0.25">
      <c r="A272">
        <v>21156</v>
      </c>
      <c r="C272">
        <v>0</v>
      </c>
      <c r="D272" t="s">
        <v>83</v>
      </c>
      <c r="E272" t="s">
        <v>66</v>
      </c>
      <c r="F272" t="s">
        <v>84</v>
      </c>
      <c r="G272">
        <v>0</v>
      </c>
      <c r="H272" t="s">
        <v>85</v>
      </c>
      <c r="I272" t="s">
        <v>86</v>
      </c>
      <c r="J272" t="str">
        <f>MID($N272,FIND("1.",$N272),FIND("-",$N272)-FIND("1.",$N272)-1)</f>
        <v>1.0271</v>
      </c>
      <c r="K272" t="str">
        <f t="shared" si="12"/>
        <v>Ensure Password Settings</v>
      </c>
      <c r="L272" t="str">
        <f t="shared" si="13"/>
        <v>1.0271 - MSWRK - Ensure Password Settings: Password Length is set to Enabled: 15 or more</v>
      </c>
      <c r="M272" t="str">
        <f t="shared" si="14"/>
        <v>FAILED</v>
      </c>
      <c r="N272" s="1" t="s">
        <v>703</v>
      </c>
      <c r="O272" t="s">
        <v>67</v>
      </c>
      <c r="R272" t="s">
        <v>68</v>
      </c>
      <c r="T272" t="s">
        <v>69</v>
      </c>
      <c r="U272" t="s">
        <v>70</v>
      </c>
      <c r="W272" t="s">
        <v>71</v>
      </c>
      <c r="X272" s="1" t="s">
        <v>72</v>
      </c>
      <c r="Y272" t="s">
        <v>88</v>
      </c>
      <c r="Z272">
        <v>0</v>
      </c>
      <c r="AA272">
        <v>0</v>
      </c>
      <c r="AD272">
        <v>0</v>
      </c>
      <c r="AE272">
        <v>0</v>
      </c>
      <c r="AH272" t="s">
        <v>73</v>
      </c>
      <c r="AI272" t="s">
        <v>318</v>
      </c>
      <c r="AJ272" t="s">
        <v>319</v>
      </c>
      <c r="AK272" t="s">
        <v>76</v>
      </c>
      <c r="AN272" t="s">
        <v>77</v>
      </c>
      <c r="AO272" t="s">
        <v>320</v>
      </c>
      <c r="AP272" t="s">
        <v>701</v>
      </c>
      <c r="AQ272" t="s">
        <v>322</v>
      </c>
      <c r="AS272" t="b">
        <v>1</v>
      </c>
      <c r="AT272" t="s">
        <v>65</v>
      </c>
      <c r="AU272">
        <v>0</v>
      </c>
      <c r="AV272">
        <v>0</v>
      </c>
      <c r="AX272">
        <v>39</v>
      </c>
      <c r="AY272" t="s">
        <v>81</v>
      </c>
      <c r="AZ272" t="s">
        <v>90</v>
      </c>
      <c r="BB272" t="s">
        <v>91</v>
      </c>
      <c r="BC272" t="s">
        <v>92</v>
      </c>
      <c r="BD272" t="b">
        <v>0</v>
      </c>
      <c r="BE272" t="b">
        <v>0</v>
      </c>
      <c r="BF272" t="b">
        <v>0</v>
      </c>
      <c r="BG272" t="b">
        <v>0</v>
      </c>
      <c r="BH272" t="b">
        <v>0</v>
      </c>
      <c r="BI272" t="b">
        <v>0</v>
      </c>
      <c r="BJ272" t="b">
        <v>0</v>
      </c>
      <c r="BK272" t="b">
        <v>0</v>
      </c>
      <c r="BL272" t="b">
        <v>0</v>
      </c>
      <c r="BM272" t="b">
        <v>0</v>
      </c>
      <c r="BN272" t="b">
        <v>0</v>
      </c>
      <c r="BO272" t="b">
        <v>0</v>
      </c>
      <c r="BP272" t="b">
        <v>0</v>
      </c>
      <c r="BR272" t="b">
        <f>IFERROR(IF(M272="PASSED",VLOOKUP(J272,Current!$J$1:$N$500,1,FALSE)),N272)</f>
        <v>0</v>
      </c>
    </row>
    <row r="273" spans="1:70" ht="15" customHeight="1" x14ac:dyDescent="0.25">
      <c r="A273">
        <v>21156</v>
      </c>
      <c r="C273">
        <v>0</v>
      </c>
      <c r="D273" t="s">
        <v>65</v>
      </c>
      <c r="E273" t="s">
        <v>66</v>
      </c>
      <c r="F273" t="s">
        <v>84</v>
      </c>
      <c r="G273">
        <v>0</v>
      </c>
      <c r="H273" t="s">
        <v>85</v>
      </c>
      <c r="I273" t="s">
        <v>86</v>
      </c>
      <c r="J273" t="str">
        <f>MID($N273,FIND("1.",$N273),FIND("-",$N273)-FIND("1.",$N273)-1)</f>
        <v>1.0272</v>
      </c>
      <c r="K273" t="str">
        <f t="shared" si="12"/>
        <v>Ensure Password Settings</v>
      </c>
      <c r="L273" t="str">
        <f t="shared" si="13"/>
        <v>1.0272 - MSWRK - Ensure Password Settings: Password Age (Days) is set to Enabled: 30 or fewer</v>
      </c>
      <c r="M273" t="str">
        <f t="shared" si="14"/>
        <v>PASSED</v>
      </c>
      <c r="N273" s="1" t="s">
        <v>732</v>
      </c>
      <c r="O273" t="s">
        <v>67</v>
      </c>
      <c r="R273" t="s">
        <v>68</v>
      </c>
      <c r="T273" t="s">
        <v>69</v>
      </c>
      <c r="U273" t="s">
        <v>70</v>
      </c>
      <c r="W273" t="s">
        <v>71</v>
      </c>
      <c r="X273" s="1" t="s">
        <v>72</v>
      </c>
      <c r="Y273" t="s">
        <v>88</v>
      </c>
      <c r="Z273">
        <v>0</v>
      </c>
      <c r="AA273">
        <v>0</v>
      </c>
      <c r="AD273">
        <v>0</v>
      </c>
      <c r="AE273">
        <v>0</v>
      </c>
      <c r="AH273" t="s">
        <v>73</v>
      </c>
      <c r="AI273" t="s">
        <v>318</v>
      </c>
      <c r="AJ273" t="s">
        <v>319</v>
      </c>
      <c r="AK273" t="s">
        <v>76</v>
      </c>
      <c r="AN273" t="s">
        <v>77</v>
      </c>
      <c r="AO273" t="s">
        <v>320</v>
      </c>
      <c r="AP273" t="s">
        <v>730</v>
      </c>
      <c r="AQ273" t="s">
        <v>322</v>
      </c>
      <c r="AS273" t="b">
        <v>1</v>
      </c>
      <c r="AT273" t="s">
        <v>65</v>
      </c>
      <c r="AU273">
        <v>0</v>
      </c>
      <c r="AV273">
        <v>0</v>
      </c>
      <c r="AX273">
        <v>39</v>
      </c>
      <c r="AY273" t="s">
        <v>81</v>
      </c>
      <c r="AZ273" t="s">
        <v>90</v>
      </c>
      <c r="BB273" t="s">
        <v>91</v>
      </c>
      <c r="BC273" t="s">
        <v>92</v>
      </c>
      <c r="BD273" t="b">
        <v>0</v>
      </c>
      <c r="BE273" t="b">
        <v>0</v>
      </c>
      <c r="BF273" t="b">
        <v>0</v>
      </c>
      <c r="BG273" t="b">
        <v>0</v>
      </c>
      <c r="BH273" t="b">
        <v>0</v>
      </c>
      <c r="BI273" t="b">
        <v>0</v>
      </c>
      <c r="BJ273" t="b">
        <v>0</v>
      </c>
      <c r="BK273" t="b">
        <v>0</v>
      </c>
      <c r="BL273" t="b">
        <v>0</v>
      </c>
      <c r="BM273" t="b">
        <v>0</v>
      </c>
      <c r="BN273" t="b">
        <v>0</v>
      </c>
      <c r="BO273" t="b">
        <v>0</v>
      </c>
      <c r="BP273" t="b">
        <v>0</v>
      </c>
      <c r="BR273" t="str">
        <f>IFERROR(IF(M273="PASSED",VLOOKUP(J273,Current!$J$1:$N$500,1,FALSE)),N273)</f>
        <v>"1.0272 - MSWRK - Ensure Password Settings: Password Age (Days) is set to Enabled: 30 or fewer: [PASSED]"
This policy setting configures the Windows LAPS Password Settings policy for password age.
See Also:
See HTH Policies and Standards
Reference:
NIST 800-53r5|IA-5(1)
Policy Value:
'^(0|1|2|3|4|5|6|7|8|9|10|11|12|13|14|15|16|17|18|19|20|21|22|23|24|25|26|27|28|29|30)$'
Actual Value:
'0'</v>
      </c>
    </row>
    <row r="274" spans="1:70" ht="15" hidden="1" customHeight="1" x14ac:dyDescent="0.25">
      <c r="A274">
        <v>21156</v>
      </c>
      <c r="C274">
        <v>0</v>
      </c>
      <c r="D274" t="s">
        <v>83</v>
      </c>
      <c r="E274" t="s">
        <v>66</v>
      </c>
      <c r="F274" t="s">
        <v>84</v>
      </c>
      <c r="G274">
        <v>0</v>
      </c>
      <c r="H274" t="s">
        <v>85</v>
      </c>
      <c r="I274" t="s">
        <v>86</v>
      </c>
      <c r="J274" t="str">
        <f>MID($N274,FIND("1.",$N274),FIND("-",$N274)-FIND("1.",$N274)-1)</f>
        <v>1.0273</v>
      </c>
      <c r="K274" t="str">
        <f t="shared" si="12"/>
        <v>Ensure Post-authentication actions</v>
      </c>
      <c r="L274" t="str">
        <f t="shared" si="13"/>
        <v>1.0273 - MSWRK - Ensure Post-authentication actions: Grace period (hours) is set to Enabled: 8 or fewer hours, but not 0</v>
      </c>
      <c r="M274" t="str">
        <f t="shared" si="14"/>
        <v>FAILED</v>
      </c>
      <c r="N274" s="1" t="s">
        <v>593</v>
      </c>
      <c r="O274" t="s">
        <v>67</v>
      </c>
      <c r="R274" t="s">
        <v>68</v>
      </c>
      <c r="T274" t="s">
        <v>69</v>
      </c>
      <c r="U274" t="s">
        <v>70</v>
      </c>
      <c r="W274" t="s">
        <v>71</v>
      </c>
      <c r="X274" s="1" t="s">
        <v>72</v>
      </c>
      <c r="Y274" t="s">
        <v>88</v>
      </c>
      <c r="Z274">
        <v>0</v>
      </c>
      <c r="AA274">
        <v>0</v>
      </c>
      <c r="AD274">
        <v>0</v>
      </c>
      <c r="AE274">
        <v>0</v>
      </c>
      <c r="AH274" t="s">
        <v>73</v>
      </c>
      <c r="AI274" t="s">
        <v>318</v>
      </c>
      <c r="AJ274" t="s">
        <v>319</v>
      </c>
      <c r="AK274" t="s">
        <v>76</v>
      </c>
      <c r="AN274" t="s">
        <v>77</v>
      </c>
      <c r="AO274" t="s">
        <v>320</v>
      </c>
      <c r="AP274" t="s">
        <v>594</v>
      </c>
      <c r="AQ274" t="s">
        <v>322</v>
      </c>
      <c r="AS274" t="b">
        <v>1</v>
      </c>
      <c r="AT274" t="s">
        <v>65</v>
      </c>
      <c r="AU274">
        <v>0</v>
      </c>
      <c r="AV274">
        <v>0</v>
      </c>
      <c r="AX274">
        <v>39</v>
      </c>
      <c r="AY274" t="s">
        <v>81</v>
      </c>
      <c r="AZ274" t="s">
        <v>90</v>
      </c>
      <c r="BB274" t="s">
        <v>91</v>
      </c>
      <c r="BC274" t="s">
        <v>92</v>
      </c>
      <c r="BD274" t="b">
        <v>0</v>
      </c>
      <c r="BE274" t="b">
        <v>0</v>
      </c>
      <c r="BF274" t="b">
        <v>0</v>
      </c>
      <c r="BG274" t="b">
        <v>0</v>
      </c>
      <c r="BH274" t="b">
        <v>0</v>
      </c>
      <c r="BI274" t="b">
        <v>0</v>
      </c>
      <c r="BJ274" t="b">
        <v>0</v>
      </c>
      <c r="BK274" t="b">
        <v>0</v>
      </c>
      <c r="BL274" t="b">
        <v>0</v>
      </c>
      <c r="BM274" t="b">
        <v>0</v>
      </c>
      <c r="BN274" t="b">
        <v>0</v>
      </c>
      <c r="BO274" t="b">
        <v>0</v>
      </c>
      <c r="BP274" t="b">
        <v>0</v>
      </c>
      <c r="BR274" t="b">
        <f>IFERROR(IF(M274="PASSED",VLOOKUP(J274,Current!$J$1:$N$500,1,FALSE)),N274)</f>
        <v>0</v>
      </c>
    </row>
    <row r="275" spans="1:70" ht="15" hidden="1" customHeight="1" x14ac:dyDescent="0.25">
      <c r="A275">
        <v>21156</v>
      </c>
      <c r="C275">
        <v>0</v>
      </c>
      <c r="D275" t="s">
        <v>83</v>
      </c>
      <c r="E275" t="s">
        <v>66</v>
      </c>
      <c r="F275" t="s">
        <v>84</v>
      </c>
      <c r="G275">
        <v>0</v>
      </c>
      <c r="H275" t="s">
        <v>85</v>
      </c>
      <c r="I275" t="s">
        <v>86</v>
      </c>
      <c r="J275" t="str">
        <f>MID($N275,FIND("1.",$N275),FIND("-",$N275)-FIND("1.",$N275)-1)</f>
        <v>1.0274</v>
      </c>
      <c r="K275" t="str">
        <f t="shared" si="12"/>
        <v>Ensure Post-authentication actions</v>
      </c>
      <c r="L275" t="str">
        <f t="shared" si="13"/>
        <v>1.0274 - MSWRK - Ensure Post-authentication actions: Actions is set to Enabled: Reset the password and logoff the managed account or higher</v>
      </c>
      <c r="M275" t="str">
        <f t="shared" si="14"/>
        <v>FAILED</v>
      </c>
      <c r="N275" s="1" t="s">
        <v>592</v>
      </c>
      <c r="O275" t="s">
        <v>67</v>
      </c>
      <c r="R275" t="s">
        <v>68</v>
      </c>
      <c r="T275" t="s">
        <v>69</v>
      </c>
      <c r="U275" t="s">
        <v>70</v>
      </c>
      <c r="W275" t="s">
        <v>71</v>
      </c>
      <c r="X275" s="1" t="s">
        <v>72</v>
      </c>
      <c r="Y275" t="s">
        <v>88</v>
      </c>
      <c r="Z275">
        <v>0</v>
      </c>
      <c r="AA275">
        <v>0</v>
      </c>
      <c r="AD275">
        <v>0</v>
      </c>
      <c r="AE275">
        <v>0</v>
      </c>
      <c r="AH275" t="s">
        <v>73</v>
      </c>
      <c r="AI275" t="s">
        <v>318</v>
      </c>
      <c r="AJ275" t="s">
        <v>319</v>
      </c>
      <c r="AK275" t="s">
        <v>76</v>
      </c>
      <c r="AN275" t="s">
        <v>77</v>
      </c>
      <c r="AO275" t="s">
        <v>320</v>
      </c>
      <c r="AP275" t="s">
        <v>591</v>
      </c>
      <c r="AQ275" t="s">
        <v>322</v>
      </c>
      <c r="AS275" t="b">
        <v>1</v>
      </c>
      <c r="AT275" t="s">
        <v>65</v>
      </c>
      <c r="AU275">
        <v>0</v>
      </c>
      <c r="AV275">
        <v>0</v>
      </c>
      <c r="AX275">
        <v>39</v>
      </c>
      <c r="AY275" t="s">
        <v>81</v>
      </c>
      <c r="AZ275" t="s">
        <v>90</v>
      </c>
      <c r="BB275" t="s">
        <v>91</v>
      </c>
      <c r="BC275" t="s">
        <v>92</v>
      </c>
      <c r="BD275" t="b">
        <v>0</v>
      </c>
      <c r="BE275" t="b">
        <v>0</v>
      </c>
      <c r="BF275" t="b">
        <v>0</v>
      </c>
      <c r="BG275" t="b">
        <v>0</v>
      </c>
      <c r="BH275" t="b">
        <v>0</v>
      </c>
      <c r="BI275" t="b">
        <v>0</v>
      </c>
      <c r="BJ275" t="b">
        <v>0</v>
      </c>
      <c r="BK275" t="b">
        <v>0</v>
      </c>
      <c r="BL275" t="b">
        <v>0</v>
      </c>
      <c r="BM275" t="b">
        <v>0</v>
      </c>
      <c r="BN275" t="b">
        <v>0</v>
      </c>
      <c r="BO275" t="b">
        <v>0</v>
      </c>
      <c r="BP275" t="b">
        <v>0</v>
      </c>
      <c r="BR275" t="b">
        <f>IFERROR(IF(M275="PASSED",VLOOKUP(J275,Current!$J$1:$N$500,1,FALSE)),N275)</f>
        <v>0</v>
      </c>
    </row>
    <row r="276" spans="1:70" ht="15" customHeight="1" x14ac:dyDescent="0.25">
      <c r="A276">
        <v>21156</v>
      </c>
      <c r="C276">
        <v>0</v>
      </c>
      <c r="D276" t="s">
        <v>65</v>
      </c>
      <c r="E276" t="s">
        <v>66</v>
      </c>
      <c r="F276" t="s">
        <v>84</v>
      </c>
      <c r="G276">
        <v>0</v>
      </c>
      <c r="H276" t="s">
        <v>85</v>
      </c>
      <c r="I276" t="s">
        <v>86</v>
      </c>
      <c r="J276" t="str">
        <f>MID($N276,FIND("1.",$N276),FIND("-",$N276)-FIND("1.",$N276)-1)</f>
        <v>1.0275</v>
      </c>
      <c r="K276" t="str">
        <f t="shared" si="12"/>
        <v>Ensure Allow Custom SSPs and APs to be loaded into LSASS is set to Disabled</v>
      </c>
      <c r="L276" t="str">
        <f t="shared" si="13"/>
        <v>1.0275 - MSWRK - Ensure Allow Custom SSPs and APs to be loaded into LSASS is set to Disabled</v>
      </c>
      <c r="M276" t="str">
        <f t="shared" si="14"/>
        <v>PASSED</v>
      </c>
      <c r="N276" s="1" t="s">
        <v>793</v>
      </c>
      <c r="O276" t="s">
        <v>67</v>
      </c>
      <c r="R276" t="s">
        <v>68</v>
      </c>
      <c r="T276" t="s">
        <v>69</v>
      </c>
      <c r="U276" t="s">
        <v>70</v>
      </c>
      <c r="W276" t="s">
        <v>71</v>
      </c>
      <c r="X276" s="1" t="s">
        <v>72</v>
      </c>
      <c r="Y276" t="s">
        <v>88</v>
      </c>
      <c r="Z276">
        <v>0</v>
      </c>
      <c r="AA276">
        <v>0</v>
      </c>
      <c r="AD276">
        <v>0</v>
      </c>
      <c r="AE276">
        <v>0</v>
      </c>
      <c r="AH276" t="s">
        <v>73</v>
      </c>
      <c r="AI276" t="s">
        <v>318</v>
      </c>
      <c r="AJ276" t="s">
        <v>319</v>
      </c>
      <c r="AK276" t="s">
        <v>76</v>
      </c>
      <c r="AN276" t="s">
        <v>77</v>
      </c>
      <c r="AO276" t="s">
        <v>320</v>
      </c>
      <c r="AP276" t="s">
        <v>794</v>
      </c>
      <c r="AQ276" t="s">
        <v>322</v>
      </c>
      <c r="AS276" t="b">
        <v>1</v>
      </c>
      <c r="AT276" t="s">
        <v>65</v>
      </c>
      <c r="AU276">
        <v>0</v>
      </c>
      <c r="AV276">
        <v>0</v>
      </c>
      <c r="AX276">
        <v>39</v>
      </c>
      <c r="AY276" t="s">
        <v>81</v>
      </c>
      <c r="AZ276" t="s">
        <v>90</v>
      </c>
      <c r="BB276" t="s">
        <v>91</v>
      </c>
      <c r="BC276" t="s">
        <v>92</v>
      </c>
      <c r="BD276" t="b">
        <v>0</v>
      </c>
      <c r="BE276" t="b">
        <v>0</v>
      </c>
      <c r="BF276" t="b">
        <v>0</v>
      </c>
      <c r="BG276" t="b">
        <v>0</v>
      </c>
      <c r="BH276" t="b">
        <v>0</v>
      </c>
      <c r="BI276" t="b">
        <v>0</v>
      </c>
      <c r="BJ276" t="b">
        <v>0</v>
      </c>
      <c r="BK276" t="b">
        <v>0</v>
      </c>
      <c r="BL276" t="b">
        <v>0</v>
      </c>
      <c r="BM276" t="b">
        <v>0</v>
      </c>
      <c r="BN276" t="b">
        <v>0</v>
      </c>
      <c r="BO276" t="b">
        <v>0</v>
      </c>
      <c r="BP276" t="b">
        <v>0</v>
      </c>
      <c r="BR276" t="str">
        <f>IFERROR(IF(M276="PASSED",VLOOKUP(J276,Current!$J$1:$N$500,1,FALSE)),N276)</f>
        <v>"1.0275 - MSWRK - Ensure Allow Custom SSPs and APs to be loaded into LSASS is set to Disabled: [PASSED]"
This policy setting controls the configuration under which the Local Security Authority Subsystem Service (LSASS) will load custom Security Support Provider/Authentication Package (SSP/AP).
See Also:
See HTH Policies and Standards
Reference:
NIST 800-53r5|SI-16
Policy Value:
'0'
Actual Value:
'0'</v>
      </c>
    </row>
    <row r="277" spans="1:70" ht="15" hidden="1" customHeight="1" x14ac:dyDescent="0.25">
      <c r="A277">
        <v>21156</v>
      </c>
      <c r="C277">
        <v>0</v>
      </c>
      <c r="D277" t="s">
        <v>83</v>
      </c>
      <c r="E277" t="s">
        <v>66</v>
      </c>
      <c r="F277" t="s">
        <v>84</v>
      </c>
      <c r="G277">
        <v>0</v>
      </c>
      <c r="H277" t="s">
        <v>85</v>
      </c>
      <c r="I277" t="s">
        <v>86</v>
      </c>
      <c r="J277" t="str">
        <f>MID($N277,FIND("1.",$N277),FIND("-",$N277)-FIND("1.",$N277)-1)</f>
        <v>1.0276</v>
      </c>
      <c r="K277" t="str">
        <f t="shared" si="12"/>
        <v>Ensure Configures LSASS to run as a protected process is set to Enabled</v>
      </c>
      <c r="L277" t="str">
        <f t="shared" si="13"/>
        <v>1.0276 - MSWRK - Ensure Configures LSASS to run as a protected process is set to Enabled: Enabled with UEFI Lock</v>
      </c>
      <c r="M277" t="str">
        <f t="shared" si="14"/>
        <v>FAILED</v>
      </c>
      <c r="N277" s="1" t="s">
        <v>773</v>
      </c>
      <c r="O277" t="s">
        <v>67</v>
      </c>
      <c r="R277" t="s">
        <v>68</v>
      </c>
      <c r="T277" t="s">
        <v>69</v>
      </c>
      <c r="U277" t="s">
        <v>70</v>
      </c>
      <c r="W277" t="s">
        <v>71</v>
      </c>
      <c r="X277" s="1" t="s">
        <v>72</v>
      </c>
      <c r="Y277" t="s">
        <v>88</v>
      </c>
      <c r="Z277">
        <v>0</v>
      </c>
      <c r="AA277">
        <v>0</v>
      </c>
      <c r="AD277">
        <v>0</v>
      </c>
      <c r="AE277">
        <v>0</v>
      </c>
      <c r="AH277" t="s">
        <v>73</v>
      </c>
      <c r="AI277" t="s">
        <v>318</v>
      </c>
      <c r="AJ277" t="s">
        <v>319</v>
      </c>
      <c r="AK277" t="s">
        <v>76</v>
      </c>
      <c r="AN277" t="s">
        <v>77</v>
      </c>
      <c r="AO277" t="s">
        <v>320</v>
      </c>
      <c r="AP277" t="s">
        <v>771</v>
      </c>
      <c r="AQ277" t="s">
        <v>322</v>
      </c>
      <c r="AS277" t="b">
        <v>1</v>
      </c>
      <c r="AT277" t="s">
        <v>65</v>
      </c>
      <c r="AU277">
        <v>0</v>
      </c>
      <c r="AV277">
        <v>0</v>
      </c>
      <c r="AX277">
        <v>39</v>
      </c>
      <c r="AY277" t="s">
        <v>81</v>
      </c>
      <c r="AZ277" t="s">
        <v>90</v>
      </c>
      <c r="BB277" t="s">
        <v>91</v>
      </c>
      <c r="BC277" t="s">
        <v>92</v>
      </c>
      <c r="BD277" t="b">
        <v>0</v>
      </c>
      <c r="BE277" t="b">
        <v>0</v>
      </c>
      <c r="BF277" t="b">
        <v>0</v>
      </c>
      <c r="BG277" t="b">
        <v>0</v>
      </c>
      <c r="BH277" t="b">
        <v>0</v>
      </c>
      <c r="BI277" t="b">
        <v>0</v>
      </c>
      <c r="BJ277" t="b">
        <v>0</v>
      </c>
      <c r="BK277" t="b">
        <v>0</v>
      </c>
      <c r="BL277" t="b">
        <v>0</v>
      </c>
      <c r="BM277" t="b">
        <v>0</v>
      </c>
      <c r="BN277" t="b">
        <v>0</v>
      </c>
      <c r="BO277" t="b">
        <v>0</v>
      </c>
      <c r="BP277" t="b">
        <v>0</v>
      </c>
      <c r="BR277" t="b">
        <f>IFERROR(IF(M277="PASSED",VLOOKUP(J277,Current!$J$1:$N$500,1,FALSE)),N277)</f>
        <v>0</v>
      </c>
    </row>
    <row r="278" spans="1:70" ht="15" hidden="1" customHeight="1" x14ac:dyDescent="0.25">
      <c r="A278">
        <v>21156</v>
      </c>
      <c r="C278">
        <v>0</v>
      </c>
      <c r="D278" t="s">
        <v>83</v>
      </c>
      <c r="E278" t="s">
        <v>66</v>
      </c>
      <c r="F278" t="s">
        <v>84</v>
      </c>
      <c r="G278">
        <v>0</v>
      </c>
      <c r="H278" t="s">
        <v>85</v>
      </c>
      <c r="I278" t="s">
        <v>86</v>
      </c>
      <c r="J278" t="str">
        <f>MID($N278,FIND("1.",$N278),FIND("-",$N278)-FIND("1.",$N278)-1)</f>
        <v>1.0277</v>
      </c>
      <c r="K278" t="str">
        <f t="shared" si="12"/>
        <v>Ensure Block user from showing account details on sign-in is set to Enabled</v>
      </c>
      <c r="L278" t="str">
        <f t="shared" si="13"/>
        <v>1.0277 - MSWRK - Ensure Block user from showing account details on sign-in is set to Enabled</v>
      </c>
      <c r="M278" t="str">
        <f t="shared" si="14"/>
        <v>FAILED</v>
      </c>
      <c r="N278" s="1" t="s">
        <v>568</v>
      </c>
      <c r="O278" t="s">
        <v>67</v>
      </c>
      <c r="R278" t="s">
        <v>68</v>
      </c>
      <c r="T278" t="s">
        <v>69</v>
      </c>
      <c r="U278" t="s">
        <v>70</v>
      </c>
      <c r="W278" t="s">
        <v>71</v>
      </c>
      <c r="X278" s="1" t="s">
        <v>72</v>
      </c>
      <c r="Y278" t="s">
        <v>88</v>
      </c>
      <c r="Z278">
        <v>0</v>
      </c>
      <c r="AA278">
        <v>0</v>
      </c>
      <c r="AD278">
        <v>0</v>
      </c>
      <c r="AE278">
        <v>0</v>
      </c>
      <c r="AH278" t="s">
        <v>73</v>
      </c>
      <c r="AI278" t="s">
        <v>318</v>
      </c>
      <c r="AJ278" t="s">
        <v>319</v>
      </c>
      <c r="AK278" t="s">
        <v>76</v>
      </c>
      <c r="AN278" t="s">
        <v>77</v>
      </c>
      <c r="AO278" t="s">
        <v>320</v>
      </c>
      <c r="AP278" t="s">
        <v>567</v>
      </c>
      <c r="AQ278" t="s">
        <v>322</v>
      </c>
      <c r="AS278" t="b">
        <v>1</v>
      </c>
      <c r="AT278" t="s">
        <v>65</v>
      </c>
      <c r="AU278">
        <v>0</v>
      </c>
      <c r="AV278">
        <v>0</v>
      </c>
      <c r="AX278">
        <v>39</v>
      </c>
      <c r="AY278" t="s">
        <v>81</v>
      </c>
      <c r="AZ278" t="s">
        <v>90</v>
      </c>
      <c r="BB278" t="s">
        <v>91</v>
      </c>
      <c r="BC278" t="s">
        <v>92</v>
      </c>
      <c r="BD278" t="b">
        <v>0</v>
      </c>
      <c r="BE278" t="b">
        <v>0</v>
      </c>
      <c r="BF278" t="b">
        <v>0</v>
      </c>
      <c r="BG278" t="b">
        <v>0</v>
      </c>
      <c r="BH278" t="b">
        <v>0</v>
      </c>
      <c r="BI278" t="b">
        <v>0</v>
      </c>
      <c r="BJ278" t="b">
        <v>0</v>
      </c>
      <c r="BK278" t="b">
        <v>0</v>
      </c>
      <c r="BL278" t="b">
        <v>0</v>
      </c>
      <c r="BM278" t="b">
        <v>0</v>
      </c>
      <c r="BN278" t="b">
        <v>0</v>
      </c>
      <c r="BO278" t="b">
        <v>0</v>
      </c>
      <c r="BP278" t="b">
        <v>0</v>
      </c>
      <c r="BR278" t="b">
        <f>IFERROR(IF(M278="PASSED",VLOOKUP(J278,Current!$J$1:$N$500,1,FALSE)),N278)</f>
        <v>0</v>
      </c>
    </row>
    <row r="279" spans="1:70" ht="15" hidden="1" customHeight="1" x14ac:dyDescent="0.25">
      <c r="A279">
        <v>21156</v>
      </c>
      <c r="C279">
        <v>0</v>
      </c>
      <c r="D279" t="s">
        <v>83</v>
      </c>
      <c r="E279" t="s">
        <v>66</v>
      </c>
      <c r="F279" t="s">
        <v>84</v>
      </c>
      <c r="G279">
        <v>0</v>
      </c>
      <c r="H279" t="s">
        <v>85</v>
      </c>
      <c r="I279" t="s">
        <v>86</v>
      </c>
      <c r="J279" t="str">
        <f>MID($N279,FIND("1.",$N279),FIND("-",$N279)-FIND("1.",$N279)-1)</f>
        <v>1.0278</v>
      </c>
      <c r="K279" t="str">
        <f t="shared" si="12"/>
        <v>Ensure Do not display network selection UI is set to Enabled</v>
      </c>
      <c r="L279" t="str">
        <f t="shared" si="13"/>
        <v>1.0278 - MSWRK - Ensure Do not display network selection UI is set to Enabled</v>
      </c>
      <c r="M279" t="str">
        <f t="shared" si="14"/>
        <v>FAILED</v>
      </c>
      <c r="N279" s="1" t="s">
        <v>764</v>
      </c>
      <c r="O279" t="s">
        <v>67</v>
      </c>
      <c r="R279" t="s">
        <v>68</v>
      </c>
      <c r="T279" t="s">
        <v>69</v>
      </c>
      <c r="U279" t="s">
        <v>70</v>
      </c>
      <c r="W279" t="s">
        <v>71</v>
      </c>
      <c r="X279" s="1" t="s">
        <v>72</v>
      </c>
      <c r="Y279" t="s">
        <v>88</v>
      </c>
      <c r="Z279">
        <v>0</v>
      </c>
      <c r="AA279">
        <v>0</v>
      </c>
      <c r="AD279">
        <v>0</v>
      </c>
      <c r="AE279">
        <v>0</v>
      </c>
      <c r="AH279" t="s">
        <v>73</v>
      </c>
      <c r="AI279" t="s">
        <v>318</v>
      </c>
      <c r="AJ279" t="s">
        <v>319</v>
      </c>
      <c r="AK279" t="s">
        <v>76</v>
      </c>
      <c r="AN279" t="s">
        <v>77</v>
      </c>
      <c r="AO279" t="s">
        <v>320</v>
      </c>
      <c r="AP279" t="s">
        <v>763</v>
      </c>
      <c r="AQ279" t="s">
        <v>322</v>
      </c>
      <c r="AS279" t="b">
        <v>1</v>
      </c>
      <c r="AT279" t="s">
        <v>65</v>
      </c>
      <c r="AU279">
        <v>0</v>
      </c>
      <c r="AV279">
        <v>0</v>
      </c>
      <c r="AX279">
        <v>39</v>
      </c>
      <c r="AY279" t="s">
        <v>81</v>
      </c>
      <c r="AZ279" t="s">
        <v>90</v>
      </c>
      <c r="BB279" t="s">
        <v>91</v>
      </c>
      <c r="BC279" t="s">
        <v>92</v>
      </c>
      <c r="BD279" t="b">
        <v>0</v>
      </c>
      <c r="BE279" t="b">
        <v>0</v>
      </c>
      <c r="BF279" t="b">
        <v>0</v>
      </c>
      <c r="BG279" t="b">
        <v>0</v>
      </c>
      <c r="BH279" t="b">
        <v>0</v>
      </c>
      <c r="BI279" t="b">
        <v>0</v>
      </c>
      <c r="BJ279" t="b">
        <v>0</v>
      </c>
      <c r="BK279" t="b">
        <v>0</v>
      </c>
      <c r="BL279" t="b">
        <v>0</v>
      </c>
      <c r="BM279" t="b">
        <v>0</v>
      </c>
      <c r="BN279" t="b">
        <v>0</v>
      </c>
      <c r="BO279" t="b">
        <v>0</v>
      </c>
      <c r="BP279" t="b">
        <v>0</v>
      </c>
      <c r="BR279" t="b">
        <f>IFERROR(IF(M279="PASSED",VLOOKUP(J279,Current!$J$1:$N$500,1,FALSE)),N279)</f>
        <v>0</v>
      </c>
    </row>
    <row r="280" spans="1:70" ht="15" hidden="1" customHeight="1" x14ac:dyDescent="0.25">
      <c r="A280">
        <v>21156</v>
      </c>
      <c r="C280">
        <v>0</v>
      </c>
      <c r="D280" t="s">
        <v>83</v>
      </c>
      <c r="E280" t="s">
        <v>66</v>
      </c>
      <c r="F280" t="s">
        <v>84</v>
      </c>
      <c r="G280">
        <v>0</v>
      </c>
      <c r="H280" t="s">
        <v>85</v>
      </c>
      <c r="I280" t="s">
        <v>86</v>
      </c>
      <c r="J280" t="str">
        <f>MID($N280,FIND("1.",$N280),FIND("-",$N280)-FIND("1.",$N280)-1)</f>
        <v>1.0279</v>
      </c>
      <c r="K280" t="str">
        <f t="shared" si="12"/>
        <v>Ensure Do not enumerate connected users on domain-joined computers is set to Enabled</v>
      </c>
      <c r="L280" t="str">
        <f t="shared" si="13"/>
        <v>1.0279 - MSWRK - Ensure Do not enumerate connected users on domain-joined computers is set to Enabled</v>
      </c>
      <c r="M280" t="str">
        <f t="shared" si="14"/>
        <v>FAILED</v>
      </c>
      <c r="N280" s="1" t="s">
        <v>383</v>
      </c>
      <c r="O280" t="s">
        <v>67</v>
      </c>
      <c r="R280" t="s">
        <v>68</v>
      </c>
      <c r="T280" t="s">
        <v>69</v>
      </c>
      <c r="U280" t="s">
        <v>70</v>
      </c>
      <c r="W280" t="s">
        <v>71</v>
      </c>
      <c r="X280" s="1" t="s">
        <v>72</v>
      </c>
      <c r="Y280" t="s">
        <v>88</v>
      </c>
      <c r="Z280">
        <v>0</v>
      </c>
      <c r="AA280">
        <v>0</v>
      </c>
      <c r="AD280">
        <v>0</v>
      </c>
      <c r="AE280">
        <v>0</v>
      </c>
      <c r="AH280" t="s">
        <v>73</v>
      </c>
      <c r="AI280" t="s">
        <v>318</v>
      </c>
      <c r="AJ280" t="s">
        <v>319</v>
      </c>
      <c r="AK280" t="s">
        <v>76</v>
      </c>
      <c r="AN280" t="s">
        <v>77</v>
      </c>
      <c r="AO280" t="s">
        <v>320</v>
      </c>
      <c r="AP280" t="s">
        <v>384</v>
      </c>
      <c r="AQ280" t="s">
        <v>322</v>
      </c>
      <c r="AS280" t="b">
        <v>1</v>
      </c>
      <c r="AT280" t="s">
        <v>65</v>
      </c>
      <c r="AU280">
        <v>0</v>
      </c>
      <c r="AV280">
        <v>0</v>
      </c>
      <c r="AX280">
        <v>39</v>
      </c>
      <c r="AY280" t="s">
        <v>81</v>
      </c>
      <c r="AZ280" t="s">
        <v>90</v>
      </c>
      <c r="BB280" t="s">
        <v>91</v>
      </c>
      <c r="BC280" t="s">
        <v>92</v>
      </c>
      <c r="BD280" t="b">
        <v>0</v>
      </c>
      <c r="BE280" t="b">
        <v>0</v>
      </c>
      <c r="BF280" t="b">
        <v>0</v>
      </c>
      <c r="BG280" t="b">
        <v>0</v>
      </c>
      <c r="BH280" t="b">
        <v>0</v>
      </c>
      <c r="BI280" t="b">
        <v>0</v>
      </c>
      <c r="BJ280" t="b">
        <v>0</v>
      </c>
      <c r="BK280" t="b">
        <v>0</v>
      </c>
      <c r="BL280" t="b">
        <v>0</v>
      </c>
      <c r="BM280" t="b">
        <v>0</v>
      </c>
      <c r="BN280" t="b">
        <v>0</v>
      </c>
      <c r="BO280" t="b">
        <v>0</v>
      </c>
      <c r="BP280" t="b">
        <v>0</v>
      </c>
      <c r="BR280" t="b">
        <f>IFERROR(IF(M280="PASSED",VLOOKUP(J280,Current!$J$1:$N$500,1,FALSE)),N280)</f>
        <v>0</v>
      </c>
    </row>
    <row r="281" spans="1:70" ht="15" customHeight="1" x14ac:dyDescent="0.25">
      <c r="A281">
        <v>21156</v>
      </c>
      <c r="C281">
        <v>0</v>
      </c>
      <c r="D281" t="s">
        <v>65</v>
      </c>
      <c r="E281" t="s">
        <v>66</v>
      </c>
      <c r="F281" t="s">
        <v>84</v>
      </c>
      <c r="G281">
        <v>0</v>
      </c>
      <c r="H281" t="s">
        <v>85</v>
      </c>
      <c r="I281" t="s">
        <v>86</v>
      </c>
      <c r="J281" t="str">
        <f>MID($N281,FIND("1.",$N281),FIND("-",$N281)-FIND("1.",$N281)-1)</f>
        <v>1.0280</v>
      </c>
      <c r="K281" t="str">
        <f t="shared" si="12"/>
        <v>Ensure Enumerate local users on domain-joined computers is set to Disabled</v>
      </c>
      <c r="L281" t="str">
        <f t="shared" si="13"/>
        <v>1.0280 - MSWRK - Ensure Enumerate local users on domain-joined computers is set to Disabled</v>
      </c>
      <c r="M281" t="str">
        <f t="shared" si="14"/>
        <v>PASSED</v>
      </c>
      <c r="N281" s="1" t="s">
        <v>769</v>
      </c>
      <c r="O281" t="s">
        <v>67</v>
      </c>
      <c r="R281" t="s">
        <v>68</v>
      </c>
      <c r="T281" t="s">
        <v>69</v>
      </c>
      <c r="U281" t="s">
        <v>70</v>
      </c>
      <c r="W281" t="s">
        <v>71</v>
      </c>
      <c r="X281" s="1" t="s">
        <v>72</v>
      </c>
      <c r="Y281" t="s">
        <v>88</v>
      </c>
      <c r="Z281">
        <v>0</v>
      </c>
      <c r="AA281">
        <v>0</v>
      </c>
      <c r="AD281">
        <v>0</v>
      </c>
      <c r="AE281">
        <v>0</v>
      </c>
      <c r="AH281" t="s">
        <v>73</v>
      </c>
      <c r="AI281" t="s">
        <v>318</v>
      </c>
      <c r="AJ281" t="s">
        <v>319</v>
      </c>
      <c r="AK281" t="s">
        <v>76</v>
      </c>
      <c r="AN281" t="s">
        <v>77</v>
      </c>
      <c r="AO281" t="s">
        <v>320</v>
      </c>
      <c r="AP281" t="s">
        <v>768</v>
      </c>
      <c r="AQ281" t="s">
        <v>322</v>
      </c>
      <c r="AS281" t="b">
        <v>1</v>
      </c>
      <c r="AT281" t="s">
        <v>65</v>
      </c>
      <c r="AU281">
        <v>0</v>
      </c>
      <c r="AV281">
        <v>0</v>
      </c>
      <c r="AX281">
        <v>39</v>
      </c>
      <c r="AY281" t="s">
        <v>81</v>
      </c>
      <c r="AZ281" t="s">
        <v>90</v>
      </c>
      <c r="BB281" t="s">
        <v>91</v>
      </c>
      <c r="BC281" t="s">
        <v>92</v>
      </c>
      <c r="BD281" t="b">
        <v>0</v>
      </c>
      <c r="BE281" t="b">
        <v>0</v>
      </c>
      <c r="BF281" t="b">
        <v>0</v>
      </c>
      <c r="BG281" t="b">
        <v>0</v>
      </c>
      <c r="BH281" t="b">
        <v>0</v>
      </c>
      <c r="BI281" t="b">
        <v>0</v>
      </c>
      <c r="BJ281" t="b">
        <v>0</v>
      </c>
      <c r="BK281" t="b">
        <v>0</v>
      </c>
      <c r="BL281" t="b">
        <v>0</v>
      </c>
      <c r="BM281" t="b">
        <v>0</v>
      </c>
      <c r="BN281" t="b">
        <v>0</v>
      </c>
      <c r="BO281" t="b">
        <v>0</v>
      </c>
      <c r="BP281" t="b">
        <v>0</v>
      </c>
      <c r="BR281" t="str">
        <f>IFERROR(IF(M281="PASSED",VLOOKUP(J281,Current!$J$1:$N$500,1,FALSE)),N281)</f>
        <v>"1.0280 - MSWRK - Ensure Enumerate local users on domain-joined computers is set to Disabled: [PASSED]"
This policy setting allows local users to be enumerated on domain-joined computers.
See Also:
See HTH Policies and Standards
Reference:
NIST 800-53r5|AC-6(10)
Policy Value:
'0'
Actual Value:
'0'</v>
      </c>
    </row>
    <row r="282" spans="1:70" ht="15" hidden="1" customHeight="1" x14ac:dyDescent="0.25">
      <c r="A282">
        <v>21156</v>
      </c>
      <c r="C282">
        <v>0</v>
      </c>
      <c r="D282" t="s">
        <v>83</v>
      </c>
      <c r="E282" t="s">
        <v>66</v>
      </c>
      <c r="F282" t="s">
        <v>84</v>
      </c>
      <c r="G282">
        <v>0</v>
      </c>
      <c r="H282" t="s">
        <v>85</v>
      </c>
      <c r="I282" t="s">
        <v>86</v>
      </c>
      <c r="J282" t="str">
        <f>MID($N282,FIND("1.",$N282),FIND("-",$N282)-FIND("1.",$N282)-1)</f>
        <v>1.0281</v>
      </c>
      <c r="K282" t="str">
        <f t="shared" si="12"/>
        <v>Ensure Turn off app notifications on the lock screen is set to Enabled</v>
      </c>
      <c r="L282" t="str">
        <f t="shared" si="13"/>
        <v>1.0281 - MSWRK - Ensure Turn off app notifications on the lock screen is set to Enabled</v>
      </c>
      <c r="M282" t="str">
        <f t="shared" si="14"/>
        <v>FAILED</v>
      </c>
      <c r="N282" s="1" t="s">
        <v>492</v>
      </c>
      <c r="O282" t="s">
        <v>67</v>
      </c>
      <c r="R282" t="s">
        <v>68</v>
      </c>
      <c r="T282" t="s">
        <v>69</v>
      </c>
      <c r="U282" t="s">
        <v>70</v>
      </c>
      <c r="W282" t="s">
        <v>71</v>
      </c>
      <c r="X282" s="1" t="s">
        <v>72</v>
      </c>
      <c r="Y282" t="s">
        <v>88</v>
      </c>
      <c r="Z282">
        <v>0</v>
      </c>
      <c r="AA282">
        <v>0</v>
      </c>
      <c r="AD282">
        <v>0</v>
      </c>
      <c r="AE282">
        <v>0</v>
      </c>
      <c r="AH282" t="s">
        <v>73</v>
      </c>
      <c r="AI282" t="s">
        <v>318</v>
      </c>
      <c r="AJ282" t="s">
        <v>319</v>
      </c>
      <c r="AK282" t="s">
        <v>76</v>
      </c>
      <c r="AN282" t="s">
        <v>77</v>
      </c>
      <c r="AO282" t="s">
        <v>320</v>
      </c>
      <c r="AP282" t="s">
        <v>491</v>
      </c>
      <c r="AQ282" t="s">
        <v>322</v>
      </c>
      <c r="AS282" t="b">
        <v>1</v>
      </c>
      <c r="AT282" t="s">
        <v>65</v>
      </c>
      <c r="AU282">
        <v>0</v>
      </c>
      <c r="AV282">
        <v>0</v>
      </c>
      <c r="AX282">
        <v>39</v>
      </c>
      <c r="AY282" t="s">
        <v>81</v>
      </c>
      <c r="AZ282" t="s">
        <v>90</v>
      </c>
      <c r="BB282" t="s">
        <v>91</v>
      </c>
      <c r="BC282" t="s">
        <v>92</v>
      </c>
      <c r="BD282" t="b">
        <v>0</v>
      </c>
      <c r="BE282" t="b">
        <v>0</v>
      </c>
      <c r="BF282" t="b">
        <v>0</v>
      </c>
      <c r="BG282" t="b">
        <v>0</v>
      </c>
      <c r="BH282" t="b">
        <v>0</v>
      </c>
      <c r="BI282" t="b">
        <v>0</v>
      </c>
      <c r="BJ282" t="b">
        <v>0</v>
      </c>
      <c r="BK282" t="b">
        <v>0</v>
      </c>
      <c r="BL282" t="b">
        <v>0</v>
      </c>
      <c r="BM282" t="b">
        <v>0</v>
      </c>
      <c r="BN282" t="b">
        <v>0</v>
      </c>
      <c r="BO282" t="b">
        <v>0</v>
      </c>
      <c r="BP282" t="b">
        <v>0</v>
      </c>
      <c r="BR282" t="b">
        <f>IFERROR(IF(M282="PASSED",VLOOKUP(J282,Current!$J$1:$N$500,1,FALSE)),N282)</f>
        <v>0</v>
      </c>
    </row>
    <row r="283" spans="1:70" ht="15" hidden="1" customHeight="1" x14ac:dyDescent="0.25">
      <c r="A283">
        <v>21156</v>
      </c>
      <c r="C283">
        <v>0</v>
      </c>
      <c r="D283" t="s">
        <v>83</v>
      </c>
      <c r="E283" t="s">
        <v>66</v>
      </c>
      <c r="F283" t="s">
        <v>84</v>
      </c>
      <c r="G283">
        <v>0</v>
      </c>
      <c r="H283" t="s">
        <v>85</v>
      </c>
      <c r="I283" t="s">
        <v>86</v>
      </c>
      <c r="J283" t="str">
        <f>MID($N283,FIND("1.",$N283),FIND("-",$N283)-FIND("1.",$N283)-1)</f>
        <v>1.0282</v>
      </c>
      <c r="K283" t="str">
        <f t="shared" si="12"/>
        <v>Ensure Turn off picture password sign-in is set to Enabled</v>
      </c>
      <c r="L283" t="str">
        <f t="shared" si="13"/>
        <v>1.0282 - MSWRK - Ensure Turn off picture password sign-in is set to Enabled</v>
      </c>
      <c r="M283" t="str">
        <f t="shared" si="14"/>
        <v>FAILED</v>
      </c>
      <c r="N283" s="1" t="s">
        <v>789</v>
      </c>
      <c r="O283" t="s">
        <v>67</v>
      </c>
      <c r="R283" t="s">
        <v>68</v>
      </c>
      <c r="T283" t="s">
        <v>69</v>
      </c>
      <c r="U283" t="s">
        <v>70</v>
      </c>
      <c r="W283" t="s">
        <v>71</v>
      </c>
      <c r="X283" s="1" t="s">
        <v>72</v>
      </c>
      <c r="Y283" t="s">
        <v>88</v>
      </c>
      <c r="Z283">
        <v>0</v>
      </c>
      <c r="AA283">
        <v>0</v>
      </c>
      <c r="AD283">
        <v>0</v>
      </c>
      <c r="AE283">
        <v>0</v>
      </c>
      <c r="AH283" t="s">
        <v>73</v>
      </c>
      <c r="AI283" t="s">
        <v>318</v>
      </c>
      <c r="AJ283" t="s">
        <v>319</v>
      </c>
      <c r="AK283" t="s">
        <v>76</v>
      </c>
      <c r="AN283" t="s">
        <v>77</v>
      </c>
      <c r="AO283" t="s">
        <v>320</v>
      </c>
      <c r="AP283" t="s">
        <v>790</v>
      </c>
      <c r="AQ283" t="s">
        <v>322</v>
      </c>
      <c r="AS283" t="b">
        <v>1</v>
      </c>
      <c r="AT283" t="s">
        <v>65</v>
      </c>
      <c r="AU283">
        <v>0</v>
      </c>
      <c r="AV283">
        <v>0</v>
      </c>
      <c r="AX283">
        <v>39</v>
      </c>
      <c r="AY283" t="s">
        <v>81</v>
      </c>
      <c r="AZ283" t="s">
        <v>90</v>
      </c>
      <c r="BB283" t="s">
        <v>91</v>
      </c>
      <c r="BC283" t="s">
        <v>92</v>
      </c>
      <c r="BD283" t="b">
        <v>0</v>
      </c>
      <c r="BE283" t="b">
        <v>0</v>
      </c>
      <c r="BF283" t="b">
        <v>0</v>
      </c>
      <c r="BG283" t="b">
        <v>0</v>
      </c>
      <c r="BH283" t="b">
        <v>0</v>
      </c>
      <c r="BI283" t="b">
        <v>0</v>
      </c>
      <c r="BJ283" t="b">
        <v>0</v>
      </c>
      <c r="BK283" t="b">
        <v>0</v>
      </c>
      <c r="BL283" t="b">
        <v>0</v>
      </c>
      <c r="BM283" t="b">
        <v>0</v>
      </c>
      <c r="BN283" t="b">
        <v>0</v>
      </c>
      <c r="BO283" t="b">
        <v>0</v>
      </c>
      <c r="BP283" t="b">
        <v>0</v>
      </c>
      <c r="BR283" t="b">
        <f>IFERROR(IF(M283="PASSED",VLOOKUP(J283,Current!$J$1:$N$500,1,FALSE)),N283)</f>
        <v>0</v>
      </c>
    </row>
    <row r="284" spans="1:70" ht="15" hidden="1" customHeight="1" x14ac:dyDescent="0.25">
      <c r="A284">
        <v>21156</v>
      </c>
      <c r="C284">
        <v>0</v>
      </c>
      <c r="D284" t="s">
        <v>65</v>
      </c>
      <c r="E284" t="s">
        <v>66</v>
      </c>
      <c r="F284" t="s">
        <v>84</v>
      </c>
      <c r="G284">
        <v>0</v>
      </c>
      <c r="H284" t="s">
        <v>85</v>
      </c>
      <c r="I284" t="s">
        <v>86</v>
      </c>
      <c r="J284" t="str">
        <f>MID($N284,FIND("1.",$N284),FIND("-",$N284)-FIND("1.",$N284)-1)</f>
        <v>1.0283</v>
      </c>
      <c r="K284" t="str">
        <f t="shared" si="12"/>
        <v>Ensure Turn on convenience PIN sign-in is set to Disabled</v>
      </c>
      <c r="L284" t="str">
        <f t="shared" si="13"/>
        <v>1.0283 - MSWRK - Ensure Turn on convenience PIN sign-in is set to Disabled</v>
      </c>
      <c r="M284" t="str">
        <f t="shared" si="14"/>
        <v>PASSED</v>
      </c>
      <c r="N284" s="1" t="s">
        <v>293</v>
      </c>
      <c r="O284" t="s">
        <v>67</v>
      </c>
      <c r="R284" t="s">
        <v>68</v>
      </c>
      <c r="T284" t="s">
        <v>69</v>
      </c>
      <c r="U284" t="s">
        <v>70</v>
      </c>
      <c r="W284" t="s">
        <v>71</v>
      </c>
      <c r="X284" s="1" t="s">
        <v>72</v>
      </c>
      <c r="Y284" t="s">
        <v>88</v>
      </c>
      <c r="Z284">
        <v>0</v>
      </c>
      <c r="AA284">
        <v>0</v>
      </c>
      <c r="AD284">
        <v>0</v>
      </c>
      <c r="AE284">
        <v>0</v>
      </c>
      <c r="AH284" t="s">
        <v>73</v>
      </c>
      <c r="AI284" t="s">
        <v>318</v>
      </c>
      <c r="AJ284" t="s">
        <v>319</v>
      </c>
      <c r="AK284" t="s">
        <v>76</v>
      </c>
      <c r="AN284" t="s">
        <v>77</v>
      </c>
      <c r="AO284" t="s">
        <v>320</v>
      </c>
      <c r="AP284" t="s">
        <v>428</v>
      </c>
      <c r="AQ284" t="s">
        <v>322</v>
      </c>
      <c r="AS284" t="b">
        <v>1</v>
      </c>
      <c r="AT284" t="s">
        <v>65</v>
      </c>
      <c r="AU284">
        <v>0</v>
      </c>
      <c r="AV284">
        <v>0</v>
      </c>
      <c r="AX284">
        <v>39</v>
      </c>
      <c r="AY284" t="s">
        <v>81</v>
      </c>
      <c r="AZ284" t="s">
        <v>90</v>
      </c>
      <c r="BB284" t="s">
        <v>91</v>
      </c>
      <c r="BC284" t="s">
        <v>92</v>
      </c>
      <c r="BD284" t="b">
        <v>0</v>
      </c>
      <c r="BE284" t="b">
        <v>0</v>
      </c>
      <c r="BF284" t="b">
        <v>0</v>
      </c>
      <c r="BG284" t="b">
        <v>0</v>
      </c>
      <c r="BH284" t="b">
        <v>0</v>
      </c>
      <c r="BI284" t="b">
        <v>0</v>
      </c>
      <c r="BJ284" t="b">
        <v>0</v>
      </c>
      <c r="BK284" t="b">
        <v>0</v>
      </c>
      <c r="BL284" t="b">
        <v>0</v>
      </c>
      <c r="BM284" t="b">
        <v>0</v>
      </c>
      <c r="BN284" t="b">
        <v>0</v>
      </c>
      <c r="BO284" t="b">
        <v>0</v>
      </c>
      <c r="BP284" t="b">
        <v>0</v>
      </c>
      <c r="BR284" t="str">
        <f>IFERROR(IF(M284="PASSED",VLOOKUP(J284,Current!$J$1:$N$500,1,FALSE)),N284)</f>
        <v>1.0283</v>
      </c>
    </row>
    <row r="285" spans="1:70" ht="15" hidden="1" customHeight="1" x14ac:dyDescent="0.25">
      <c r="A285">
        <v>21156</v>
      </c>
      <c r="C285">
        <v>0</v>
      </c>
      <c r="D285" t="s">
        <v>83</v>
      </c>
      <c r="E285" t="s">
        <v>66</v>
      </c>
      <c r="F285" t="s">
        <v>84</v>
      </c>
      <c r="G285">
        <v>0</v>
      </c>
      <c r="H285" t="s">
        <v>85</v>
      </c>
      <c r="I285" t="s">
        <v>86</v>
      </c>
      <c r="J285" t="str">
        <f>MID($N285,FIND("1.",$N285),FIND("-",$N285)-FIND("1.",$N285)-1)</f>
        <v>1.0284</v>
      </c>
      <c r="K285" t="str">
        <f t="shared" si="12"/>
        <v>Ensure Include command line in process creation events is set to Enabled</v>
      </c>
      <c r="L285" t="str">
        <f t="shared" si="13"/>
        <v>1.0284 - MSWRK - Ensure Include command line in process creation events is set to Enabled</v>
      </c>
      <c r="M285" t="str">
        <f t="shared" si="14"/>
        <v>FAILED</v>
      </c>
      <c r="N285" s="1" t="s">
        <v>515</v>
      </c>
      <c r="O285" t="s">
        <v>67</v>
      </c>
      <c r="R285" t="s">
        <v>68</v>
      </c>
      <c r="T285" t="s">
        <v>69</v>
      </c>
      <c r="U285" t="s">
        <v>70</v>
      </c>
      <c r="W285" t="s">
        <v>71</v>
      </c>
      <c r="X285" s="1" t="s">
        <v>72</v>
      </c>
      <c r="Y285" t="s">
        <v>88</v>
      </c>
      <c r="Z285">
        <v>0</v>
      </c>
      <c r="AA285">
        <v>0</v>
      </c>
      <c r="AD285">
        <v>0</v>
      </c>
      <c r="AE285">
        <v>0</v>
      </c>
      <c r="AH285" t="s">
        <v>73</v>
      </c>
      <c r="AI285" t="s">
        <v>318</v>
      </c>
      <c r="AJ285" t="s">
        <v>319</v>
      </c>
      <c r="AK285" t="s">
        <v>76</v>
      </c>
      <c r="AN285" t="s">
        <v>77</v>
      </c>
      <c r="AO285" t="s">
        <v>320</v>
      </c>
      <c r="AP285" t="s">
        <v>514</v>
      </c>
      <c r="AQ285" t="s">
        <v>322</v>
      </c>
      <c r="AS285" t="b">
        <v>1</v>
      </c>
      <c r="AT285" t="s">
        <v>65</v>
      </c>
      <c r="AU285">
        <v>0</v>
      </c>
      <c r="AV285">
        <v>0</v>
      </c>
      <c r="AX285">
        <v>39</v>
      </c>
      <c r="AY285" t="s">
        <v>81</v>
      </c>
      <c r="AZ285" t="s">
        <v>90</v>
      </c>
      <c r="BB285" t="s">
        <v>91</v>
      </c>
      <c r="BC285" t="s">
        <v>92</v>
      </c>
      <c r="BD285" t="b">
        <v>0</v>
      </c>
      <c r="BE285" t="b">
        <v>0</v>
      </c>
      <c r="BF285" t="b">
        <v>0</v>
      </c>
      <c r="BG285" t="b">
        <v>0</v>
      </c>
      <c r="BH285" t="b">
        <v>0</v>
      </c>
      <c r="BI285" t="b">
        <v>0</v>
      </c>
      <c r="BJ285" t="b">
        <v>0</v>
      </c>
      <c r="BK285" t="b">
        <v>0</v>
      </c>
      <c r="BL285" t="b">
        <v>0</v>
      </c>
      <c r="BM285" t="b">
        <v>0</v>
      </c>
      <c r="BN285" t="b">
        <v>0</v>
      </c>
      <c r="BO285" t="b">
        <v>0</v>
      </c>
      <c r="BP285" t="b">
        <v>0</v>
      </c>
      <c r="BR285" t="b">
        <f>IFERROR(IF(M285="PASSED",VLOOKUP(J285,Current!$J$1:$N$500,1,FALSE)),N285)</f>
        <v>0</v>
      </c>
    </row>
    <row r="286" spans="1:70" ht="15" hidden="1" customHeight="1" x14ac:dyDescent="0.25">
      <c r="A286">
        <v>21156</v>
      </c>
      <c r="C286">
        <v>0</v>
      </c>
      <c r="D286" t="s">
        <v>83</v>
      </c>
      <c r="E286" t="s">
        <v>66</v>
      </c>
      <c r="F286" t="s">
        <v>84</v>
      </c>
      <c r="G286">
        <v>0</v>
      </c>
      <c r="H286" t="s">
        <v>85</v>
      </c>
      <c r="I286" t="s">
        <v>86</v>
      </c>
      <c r="J286" t="str">
        <f>MID($N286,FIND("1.",$N286),FIND("-",$N286)-FIND("1.",$N286)-1)</f>
        <v>1.0285</v>
      </c>
      <c r="K286" t="str">
        <f t="shared" si="12"/>
        <v>Ensure Block NetBIOS-based discovery for domain controller location is set to Enabled</v>
      </c>
      <c r="L286" t="str">
        <f t="shared" si="13"/>
        <v>1.0285 - MSWRK - Ensure Block NetBIOS-based discovery for domain controller location is set to Enabled</v>
      </c>
      <c r="M286" t="str">
        <f t="shared" si="14"/>
        <v>FAILED</v>
      </c>
      <c r="N286" s="1" t="s">
        <v>762</v>
      </c>
      <c r="O286" t="s">
        <v>67</v>
      </c>
      <c r="R286" t="s">
        <v>68</v>
      </c>
      <c r="T286" t="s">
        <v>69</v>
      </c>
      <c r="U286" t="s">
        <v>70</v>
      </c>
      <c r="W286" t="s">
        <v>71</v>
      </c>
      <c r="X286" s="1" t="s">
        <v>72</v>
      </c>
      <c r="Y286" t="s">
        <v>88</v>
      </c>
      <c r="Z286">
        <v>0</v>
      </c>
      <c r="AA286">
        <v>0</v>
      </c>
      <c r="AD286">
        <v>0</v>
      </c>
      <c r="AE286">
        <v>0</v>
      </c>
      <c r="AH286" t="s">
        <v>73</v>
      </c>
      <c r="AI286" t="s">
        <v>318</v>
      </c>
      <c r="AJ286" t="s">
        <v>319</v>
      </c>
      <c r="AK286" t="s">
        <v>76</v>
      </c>
      <c r="AN286" t="s">
        <v>77</v>
      </c>
      <c r="AO286" t="s">
        <v>320</v>
      </c>
      <c r="AP286" t="s">
        <v>763</v>
      </c>
      <c r="AQ286" t="s">
        <v>322</v>
      </c>
      <c r="AS286" t="b">
        <v>1</v>
      </c>
      <c r="AT286" t="s">
        <v>65</v>
      </c>
      <c r="AU286">
        <v>0</v>
      </c>
      <c r="AV286">
        <v>0</v>
      </c>
      <c r="AX286">
        <v>39</v>
      </c>
      <c r="AY286" t="s">
        <v>81</v>
      </c>
      <c r="AZ286" t="s">
        <v>90</v>
      </c>
      <c r="BB286" t="s">
        <v>91</v>
      </c>
      <c r="BC286" t="s">
        <v>92</v>
      </c>
      <c r="BD286" t="b">
        <v>0</v>
      </c>
      <c r="BE286" t="b">
        <v>0</v>
      </c>
      <c r="BF286" t="b">
        <v>0</v>
      </c>
      <c r="BG286" t="b">
        <v>0</v>
      </c>
      <c r="BH286" t="b">
        <v>0</v>
      </c>
      <c r="BI286" t="b">
        <v>0</v>
      </c>
      <c r="BJ286" t="b">
        <v>0</v>
      </c>
      <c r="BK286" t="b">
        <v>0</v>
      </c>
      <c r="BL286" t="b">
        <v>0</v>
      </c>
      <c r="BM286" t="b">
        <v>0</v>
      </c>
      <c r="BN286" t="b">
        <v>0</v>
      </c>
      <c r="BO286" t="b">
        <v>0</v>
      </c>
      <c r="BP286" t="b">
        <v>0</v>
      </c>
      <c r="BR286" t="b">
        <f>IFERROR(IF(M286="PASSED",VLOOKUP(J286,Current!$J$1:$N$500,1,FALSE)),N286)</f>
        <v>0</v>
      </c>
    </row>
    <row r="287" spans="1:70" ht="15" hidden="1" customHeight="1" x14ac:dyDescent="0.25">
      <c r="A287">
        <v>21156</v>
      </c>
      <c r="C287">
        <v>0</v>
      </c>
      <c r="D287" t="s">
        <v>83</v>
      </c>
      <c r="E287" t="s">
        <v>66</v>
      </c>
      <c r="F287" t="s">
        <v>84</v>
      </c>
      <c r="G287">
        <v>0</v>
      </c>
      <c r="H287" t="s">
        <v>85</v>
      </c>
      <c r="I287" t="s">
        <v>86</v>
      </c>
      <c r="J287" t="str">
        <f>MID($N287,FIND("1.",$N287),FIND("-",$N287)-FIND("1.",$N287)-1)</f>
        <v>1.0286</v>
      </c>
      <c r="K287" t="str">
        <f t="shared" si="12"/>
        <v>Ensure Allow network connectivity during connected-standby (on battery) is set to Disabled - F15576e8-98b7-4186-b944-eafa664402d9</v>
      </c>
      <c r="L287" t="str">
        <f t="shared" si="13"/>
        <v>1.0286 - MSWRK - Ensure Allow network connectivity during connected-standby (on battery) is set to Disabled - F15576e8-98b7-4186-b944-eafa664402d9</v>
      </c>
      <c r="M287" t="str">
        <f t="shared" si="14"/>
        <v>FAILED</v>
      </c>
      <c r="N287" s="1" t="s">
        <v>256</v>
      </c>
      <c r="O287" t="s">
        <v>67</v>
      </c>
      <c r="R287" t="s">
        <v>68</v>
      </c>
      <c r="T287" t="s">
        <v>69</v>
      </c>
      <c r="U287" t="s">
        <v>70</v>
      </c>
      <c r="W287" t="s">
        <v>71</v>
      </c>
      <c r="X287" s="1" t="s">
        <v>72</v>
      </c>
      <c r="Y287" t="s">
        <v>88</v>
      </c>
      <c r="Z287">
        <v>0</v>
      </c>
      <c r="AA287">
        <v>0</v>
      </c>
      <c r="AD287">
        <v>0</v>
      </c>
      <c r="AE287">
        <v>0</v>
      </c>
      <c r="AH287" t="s">
        <v>73</v>
      </c>
      <c r="AI287" t="s">
        <v>318</v>
      </c>
      <c r="AJ287" t="s">
        <v>319</v>
      </c>
      <c r="AK287" t="s">
        <v>76</v>
      </c>
      <c r="AN287" t="s">
        <v>77</v>
      </c>
      <c r="AO287" t="s">
        <v>320</v>
      </c>
      <c r="AP287" t="s">
        <v>684</v>
      </c>
      <c r="AQ287" t="s">
        <v>322</v>
      </c>
      <c r="AS287" t="b">
        <v>1</v>
      </c>
      <c r="AT287" t="s">
        <v>65</v>
      </c>
      <c r="AU287">
        <v>0</v>
      </c>
      <c r="AV287">
        <v>0</v>
      </c>
      <c r="AX287">
        <v>39</v>
      </c>
      <c r="AY287" t="s">
        <v>81</v>
      </c>
      <c r="AZ287" t="s">
        <v>90</v>
      </c>
      <c r="BB287" t="s">
        <v>91</v>
      </c>
      <c r="BC287" t="s">
        <v>92</v>
      </c>
      <c r="BD287" t="b">
        <v>0</v>
      </c>
      <c r="BE287" t="b">
        <v>0</v>
      </c>
      <c r="BF287" t="b">
        <v>0</v>
      </c>
      <c r="BG287" t="b">
        <v>0</v>
      </c>
      <c r="BH287" t="b">
        <v>0</v>
      </c>
      <c r="BI287" t="b">
        <v>0</v>
      </c>
      <c r="BJ287" t="b">
        <v>0</v>
      </c>
      <c r="BK287" t="b">
        <v>0</v>
      </c>
      <c r="BL287" t="b">
        <v>0</v>
      </c>
      <c r="BM287" t="b">
        <v>0</v>
      </c>
      <c r="BN287" t="b">
        <v>0</v>
      </c>
      <c r="BO287" t="b">
        <v>0</v>
      </c>
      <c r="BP287" t="b">
        <v>0</v>
      </c>
      <c r="BR287" t="b">
        <f>IFERROR(IF(M287="PASSED",VLOOKUP(J287,Current!$J$1:$N$500,1,FALSE)),N287)</f>
        <v>0</v>
      </c>
    </row>
    <row r="288" spans="1:70" ht="15" hidden="1" customHeight="1" x14ac:dyDescent="0.25">
      <c r="A288">
        <v>21156</v>
      </c>
      <c r="C288">
        <v>0</v>
      </c>
      <c r="D288" t="s">
        <v>83</v>
      </c>
      <c r="E288" t="s">
        <v>66</v>
      </c>
      <c r="F288" t="s">
        <v>84</v>
      </c>
      <c r="G288">
        <v>0</v>
      </c>
      <c r="H288" t="s">
        <v>85</v>
      </c>
      <c r="I288" t="s">
        <v>86</v>
      </c>
      <c r="J288" t="str">
        <f>MID($N288,FIND("1.",$N288),FIND("-",$N288)-FIND("1.",$N288)-1)</f>
        <v>1.0287</v>
      </c>
      <c r="K288" t="str">
        <f t="shared" si="12"/>
        <v>Ensure Allow network connectivity during connected-standby (plugged in) is set to Disabled - F15576e8-98b7-4186-b944-eafa664402d9</v>
      </c>
      <c r="L288" t="str">
        <f t="shared" si="13"/>
        <v>1.0287 - MSWRK - Ensure Allow network connectivity during connected-standby (plugged in) is set to Disabled - F15576e8-98b7-4186-b944-eafa664402d9</v>
      </c>
      <c r="M288" t="str">
        <f t="shared" si="14"/>
        <v>FAILED</v>
      </c>
      <c r="N288" s="1" t="s">
        <v>280</v>
      </c>
      <c r="O288" t="s">
        <v>67</v>
      </c>
      <c r="R288" t="s">
        <v>68</v>
      </c>
      <c r="T288" t="s">
        <v>69</v>
      </c>
      <c r="U288" t="s">
        <v>70</v>
      </c>
      <c r="W288" t="s">
        <v>71</v>
      </c>
      <c r="X288" s="1" t="s">
        <v>72</v>
      </c>
      <c r="Y288" t="s">
        <v>88</v>
      </c>
      <c r="Z288">
        <v>0</v>
      </c>
      <c r="AA288">
        <v>0</v>
      </c>
      <c r="AD288">
        <v>0</v>
      </c>
      <c r="AE288">
        <v>0</v>
      </c>
      <c r="AH288" t="s">
        <v>73</v>
      </c>
      <c r="AI288" t="s">
        <v>318</v>
      </c>
      <c r="AJ288" t="s">
        <v>319</v>
      </c>
      <c r="AK288" t="s">
        <v>76</v>
      </c>
      <c r="AN288" t="s">
        <v>77</v>
      </c>
      <c r="AO288" t="s">
        <v>320</v>
      </c>
      <c r="AP288" t="s">
        <v>466</v>
      </c>
      <c r="AQ288" t="s">
        <v>322</v>
      </c>
      <c r="AS288" t="b">
        <v>1</v>
      </c>
      <c r="AT288" t="s">
        <v>65</v>
      </c>
      <c r="AU288">
        <v>0</v>
      </c>
      <c r="AV288">
        <v>0</v>
      </c>
      <c r="AX288">
        <v>39</v>
      </c>
      <c r="AY288" t="s">
        <v>81</v>
      </c>
      <c r="AZ288" t="s">
        <v>90</v>
      </c>
      <c r="BB288" t="s">
        <v>91</v>
      </c>
      <c r="BC288" t="s">
        <v>92</v>
      </c>
      <c r="BD288" t="b">
        <v>0</v>
      </c>
      <c r="BE288" t="b">
        <v>0</v>
      </c>
      <c r="BF288" t="b">
        <v>0</v>
      </c>
      <c r="BG288" t="b">
        <v>0</v>
      </c>
      <c r="BH288" t="b">
        <v>0</v>
      </c>
      <c r="BI288" t="b">
        <v>0</v>
      </c>
      <c r="BJ288" t="b">
        <v>0</v>
      </c>
      <c r="BK288" t="b">
        <v>0</v>
      </c>
      <c r="BL288" t="b">
        <v>0</v>
      </c>
      <c r="BM288" t="b">
        <v>0</v>
      </c>
      <c r="BN288" t="b">
        <v>0</v>
      </c>
      <c r="BO288" t="b">
        <v>0</v>
      </c>
      <c r="BP288" t="b">
        <v>0</v>
      </c>
      <c r="BR288" t="b">
        <f>IFERROR(IF(M288="PASSED",VLOOKUP(J288,Current!$J$1:$N$500,1,FALSE)),N288)</f>
        <v>0</v>
      </c>
    </row>
    <row r="289" spans="1:70" ht="15" customHeight="1" x14ac:dyDescent="0.25">
      <c r="A289">
        <v>21156</v>
      </c>
      <c r="C289">
        <v>0</v>
      </c>
      <c r="D289" t="s">
        <v>65</v>
      </c>
      <c r="E289" t="s">
        <v>66</v>
      </c>
      <c r="F289" t="s">
        <v>84</v>
      </c>
      <c r="G289">
        <v>0</v>
      </c>
      <c r="H289" t="s">
        <v>85</v>
      </c>
      <c r="I289" t="s">
        <v>86</v>
      </c>
      <c r="J289" t="str">
        <f>MID($N289,FIND("1.",$N289),FIND("-",$N289)-FIND("1.",$N289)-1)</f>
        <v>1.0288</v>
      </c>
      <c r="K289" t="str">
        <f t="shared" si="12"/>
        <v>Ensure Allow standby states (S1-S3) when sleeping (on battery) is set to Disabled - Abfc2519-3608-4c2a-94ea-171b0ed546ab</v>
      </c>
      <c r="L289" t="str">
        <f t="shared" si="13"/>
        <v>1.0288 - MSWRK - Ensure Allow standby states (S1-S3) when sleeping (on battery) is set to Disabled - Abfc2519-3608-4c2a-94ea-171b0ed546ab</v>
      </c>
      <c r="M289" t="str">
        <f t="shared" si="14"/>
        <v>PASSED</v>
      </c>
      <c r="N289" s="1" t="s">
        <v>474</v>
      </c>
      <c r="O289" t="s">
        <v>67</v>
      </c>
      <c r="R289" t="s">
        <v>68</v>
      </c>
      <c r="T289" t="s">
        <v>69</v>
      </c>
      <c r="U289" t="s">
        <v>70</v>
      </c>
      <c r="W289" t="s">
        <v>71</v>
      </c>
      <c r="X289" s="1" t="s">
        <v>72</v>
      </c>
      <c r="Y289" t="s">
        <v>88</v>
      </c>
      <c r="Z289">
        <v>0</v>
      </c>
      <c r="AA289">
        <v>0</v>
      </c>
      <c r="AD289">
        <v>0</v>
      </c>
      <c r="AE289">
        <v>0</v>
      </c>
      <c r="AH289" t="s">
        <v>73</v>
      </c>
      <c r="AI289" t="s">
        <v>318</v>
      </c>
      <c r="AJ289" t="s">
        <v>319</v>
      </c>
      <c r="AK289" t="s">
        <v>76</v>
      </c>
      <c r="AN289" t="s">
        <v>77</v>
      </c>
      <c r="AO289" t="s">
        <v>320</v>
      </c>
      <c r="AP289" t="s">
        <v>472</v>
      </c>
      <c r="AQ289" t="s">
        <v>322</v>
      </c>
      <c r="AS289" t="b">
        <v>1</v>
      </c>
      <c r="AT289" t="s">
        <v>65</v>
      </c>
      <c r="AU289">
        <v>0</v>
      </c>
      <c r="AV289">
        <v>0</v>
      </c>
      <c r="AX289">
        <v>39</v>
      </c>
      <c r="AY289" t="s">
        <v>81</v>
      </c>
      <c r="AZ289" t="s">
        <v>90</v>
      </c>
      <c r="BB289" t="s">
        <v>91</v>
      </c>
      <c r="BC289" t="s">
        <v>92</v>
      </c>
      <c r="BD289" t="b">
        <v>0</v>
      </c>
      <c r="BE289" t="b">
        <v>0</v>
      </c>
      <c r="BF289" t="b">
        <v>0</v>
      </c>
      <c r="BG289" t="b">
        <v>0</v>
      </c>
      <c r="BH289" t="b">
        <v>0</v>
      </c>
      <c r="BI289" t="b">
        <v>0</v>
      </c>
      <c r="BJ289" t="b">
        <v>0</v>
      </c>
      <c r="BK289" t="b">
        <v>0</v>
      </c>
      <c r="BL289" t="b">
        <v>0</v>
      </c>
      <c r="BM289" t="b">
        <v>0</v>
      </c>
      <c r="BN289" t="b">
        <v>0</v>
      </c>
      <c r="BO289" t="b">
        <v>0</v>
      </c>
      <c r="BP289" t="b">
        <v>0</v>
      </c>
      <c r="BR289" t="str">
        <f>IFERROR(IF(M289="PASSED",VLOOKUP(J289,Current!$J$1:$N$500,1,FALSE)),N289)</f>
        <v>"1.0288 - MSWRK - Ensure Allow standby states (S1-S3) when sleeping (on battery) is set to Disabled - Abfc2519-3608-4c2a-94ea-171b0ed546ab: [PASSED]"
This policy setting manages whether or not Windows is allowed to use standby states when putting the computer in a sleep state.
See Also:
See HTH Policies and Standards
Reference:
NIST 800-53r5|CM-1 CM-2 CM-6 CM-7 CM-7(1) CM-9 SA-3 SA-8 SA-10
Policy Value:
'0'
Actual Value:
'0'</v>
      </c>
    </row>
    <row r="290" spans="1:70" ht="15" customHeight="1" x14ac:dyDescent="0.25">
      <c r="A290">
        <v>21156</v>
      </c>
      <c r="C290">
        <v>0</v>
      </c>
      <c r="D290" t="s">
        <v>65</v>
      </c>
      <c r="E290" t="s">
        <v>66</v>
      </c>
      <c r="F290" t="s">
        <v>84</v>
      </c>
      <c r="G290">
        <v>0</v>
      </c>
      <c r="H290" t="s">
        <v>85</v>
      </c>
      <c r="I290" t="s">
        <v>86</v>
      </c>
      <c r="J290" t="str">
        <f>MID($N290,FIND("1.",$N290),FIND("-",$N290)-FIND("1.",$N290)-1)</f>
        <v>1.0289</v>
      </c>
      <c r="K290" t="str">
        <f t="shared" si="12"/>
        <v>Ensure Allow standby states (S1-S3) when sleeping (plugged in) is set to Disabled - Abfc2519-3608-4c2a-94ea-171b0ed546ab</v>
      </c>
      <c r="L290" t="str">
        <f t="shared" si="13"/>
        <v>1.0289 - MSWRK - Ensure Allow standby states (S1-S3) when sleeping (plugged in) is set to Disabled - Abfc2519-3608-4c2a-94ea-171b0ed546ab</v>
      </c>
      <c r="M290" t="str">
        <f t="shared" si="14"/>
        <v>PASSED</v>
      </c>
      <c r="N290" s="1" t="s">
        <v>679</v>
      </c>
      <c r="O290" t="s">
        <v>67</v>
      </c>
      <c r="R290" t="s">
        <v>68</v>
      </c>
      <c r="T290" t="s">
        <v>69</v>
      </c>
      <c r="U290" t="s">
        <v>70</v>
      </c>
      <c r="W290" t="s">
        <v>71</v>
      </c>
      <c r="X290" s="1" t="s">
        <v>72</v>
      </c>
      <c r="Y290" t="s">
        <v>88</v>
      </c>
      <c r="Z290">
        <v>0</v>
      </c>
      <c r="AA290">
        <v>0</v>
      </c>
      <c r="AD290">
        <v>0</v>
      </c>
      <c r="AE290">
        <v>0</v>
      </c>
      <c r="AH290" t="s">
        <v>73</v>
      </c>
      <c r="AI290" t="s">
        <v>318</v>
      </c>
      <c r="AJ290" t="s">
        <v>319</v>
      </c>
      <c r="AK290" t="s">
        <v>76</v>
      </c>
      <c r="AN290" t="s">
        <v>77</v>
      </c>
      <c r="AO290" t="s">
        <v>320</v>
      </c>
      <c r="AP290" t="s">
        <v>677</v>
      </c>
      <c r="AQ290" t="s">
        <v>322</v>
      </c>
      <c r="AS290" t="b">
        <v>1</v>
      </c>
      <c r="AT290" t="s">
        <v>65</v>
      </c>
      <c r="AU290">
        <v>0</v>
      </c>
      <c r="AV290">
        <v>0</v>
      </c>
      <c r="AX290">
        <v>39</v>
      </c>
      <c r="AY290" t="s">
        <v>81</v>
      </c>
      <c r="AZ290" t="s">
        <v>90</v>
      </c>
      <c r="BB290" t="s">
        <v>91</v>
      </c>
      <c r="BC290" t="s">
        <v>92</v>
      </c>
      <c r="BD290" t="b">
        <v>0</v>
      </c>
      <c r="BE290" t="b">
        <v>0</v>
      </c>
      <c r="BF290" t="b">
        <v>0</v>
      </c>
      <c r="BG290" t="b">
        <v>0</v>
      </c>
      <c r="BH290" t="b">
        <v>0</v>
      </c>
      <c r="BI290" t="b">
        <v>0</v>
      </c>
      <c r="BJ290" t="b">
        <v>0</v>
      </c>
      <c r="BK290" t="b">
        <v>0</v>
      </c>
      <c r="BL290" t="b">
        <v>0</v>
      </c>
      <c r="BM290" t="b">
        <v>0</v>
      </c>
      <c r="BN290" t="b">
        <v>0</v>
      </c>
      <c r="BO290" t="b">
        <v>0</v>
      </c>
      <c r="BP290" t="b">
        <v>0</v>
      </c>
      <c r="BR290" t="str">
        <f>IFERROR(IF(M290="PASSED",VLOOKUP(J290,Current!$J$1:$N$500,1,FALSE)),N290)</f>
        <v>"1.0289 - MSWRK - Ensure Allow standby states (S1-S3) when sleeping (plugged in) is set to Disabled - Abfc2519-3608-4c2a-94ea-171b0ed546ab: [PASSED]"
This policy setting manages whether or not Windows is allowed to use standby states when putting the computer in a sleep state.
See Also:
See HTH Policies and Standards
Reference:
NIST 800-53r5|CM-1 CM-2 CM-6 CM-7 CM-7(1) CM-9 SA-3 SA-8 SA-10
Policy Value:
'0'
Actual Value:
'0'</v>
      </c>
    </row>
    <row r="291" spans="1:70" ht="15" customHeight="1" x14ac:dyDescent="0.25">
      <c r="A291">
        <v>21156</v>
      </c>
      <c r="C291">
        <v>0</v>
      </c>
      <c r="D291" t="s">
        <v>65</v>
      </c>
      <c r="E291" t="s">
        <v>66</v>
      </c>
      <c r="F291" t="s">
        <v>84</v>
      </c>
      <c r="G291">
        <v>0</v>
      </c>
      <c r="H291" t="s">
        <v>85</v>
      </c>
      <c r="I291" t="s">
        <v>86</v>
      </c>
      <c r="J291" t="str">
        <f>MID($N291,FIND("1.",$N291),FIND("-",$N291)-FIND("1.",$N291)-1)</f>
        <v>1.0290</v>
      </c>
      <c r="K291" t="str">
        <f t="shared" si="12"/>
        <v>Ensure Require a password when a computer wakes (on battery) is set to Enabled - 0e796bdb-100d-47d6-a2d5-f7d2daa51f51</v>
      </c>
      <c r="L291" t="str">
        <f t="shared" si="13"/>
        <v>1.0290 - MSWRK - Ensure Require a password when a computer wakes (on battery) is set to Enabled - 0e796bdb-100d-47d6-a2d5-f7d2daa51f51</v>
      </c>
      <c r="M291" t="str">
        <f t="shared" si="14"/>
        <v>PASSED</v>
      </c>
      <c r="N291" s="1" t="s">
        <v>595</v>
      </c>
      <c r="O291" t="s">
        <v>67</v>
      </c>
      <c r="R291" t="s">
        <v>68</v>
      </c>
      <c r="T291" t="s">
        <v>69</v>
      </c>
      <c r="U291" t="s">
        <v>70</v>
      </c>
      <c r="W291" t="s">
        <v>71</v>
      </c>
      <c r="X291" s="1" t="s">
        <v>72</v>
      </c>
      <c r="Y291" t="s">
        <v>88</v>
      </c>
      <c r="Z291">
        <v>0</v>
      </c>
      <c r="AA291">
        <v>0</v>
      </c>
      <c r="AD291">
        <v>0</v>
      </c>
      <c r="AE291">
        <v>0</v>
      </c>
      <c r="AH291" t="s">
        <v>73</v>
      </c>
      <c r="AI291" t="s">
        <v>318</v>
      </c>
      <c r="AJ291" t="s">
        <v>319</v>
      </c>
      <c r="AK291" t="s">
        <v>76</v>
      </c>
      <c r="AN291" t="s">
        <v>77</v>
      </c>
      <c r="AO291" t="s">
        <v>320</v>
      </c>
      <c r="AP291" t="s">
        <v>594</v>
      </c>
      <c r="AQ291" t="s">
        <v>322</v>
      </c>
      <c r="AS291" t="b">
        <v>1</v>
      </c>
      <c r="AT291" t="s">
        <v>65</v>
      </c>
      <c r="AU291">
        <v>0</v>
      </c>
      <c r="AV291">
        <v>0</v>
      </c>
      <c r="AX291">
        <v>39</v>
      </c>
      <c r="AY291" t="s">
        <v>81</v>
      </c>
      <c r="AZ291" t="s">
        <v>90</v>
      </c>
      <c r="BB291" t="s">
        <v>91</v>
      </c>
      <c r="BC291" t="s">
        <v>92</v>
      </c>
      <c r="BD291" t="b">
        <v>0</v>
      </c>
      <c r="BE291" t="b">
        <v>0</v>
      </c>
      <c r="BF291" t="b">
        <v>0</v>
      </c>
      <c r="BG291" t="b">
        <v>0</v>
      </c>
      <c r="BH291" t="b">
        <v>0</v>
      </c>
      <c r="BI291" t="b">
        <v>0</v>
      </c>
      <c r="BJ291" t="b">
        <v>0</v>
      </c>
      <c r="BK291" t="b">
        <v>0</v>
      </c>
      <c r="BL291" t="b">
        <v>0</v>
      </c>
      <c r="BM291" t="b">
        <v>0</v>
      </c>
      <c r="BN291" t="b">
        <v>0</v>
      </c>
      <c r="BO291" t="b">
        <v>0</v>
      </c>
      <c r="BP291" t="b">
        <v>0</v>
      </c>
      <c r="BR291" t="str">
        <f>IFERROR(IF(M291="PASSED",VLOOKUP(J291,Current!$J$1:$N$500,1,FALSE)),N291)</f>
        <v>"1.0290 - MSWRK - Ensure Require a password when a computer wakes (on battery) is set to Enabled - 0e796bdb-100d-47d6-a2d5-f7d2daa51f51: [PASSED]"
Specifies whether or not the user is prompted for a password when the system resumes from sleep.
See Also:
See HTH Policies and Standards
Reference:
NIST 800-53r5|AC-11
Policy Value:
'1'
Actual Value:
'1'</v>
      </c>
    </row>
    <row r="292" spans="1:70" ht="15" customHeight="1" x14ac:dyDescent="0.25">
      <c r="A292">
        <v>21156</v>
      </c>
      <c r="C292">
        <v>0</v>
      </c>
      <c r="D292" t="s">
        <v>65</v>
      </c>
      <c r="E292" t="s">
        <v>66</v>
      </c>
      <c r="F292" t="s">
        <v>84</v>
      </c>
      <c r="G292">
        <v>0</v>
      </c>
      <c r="H292" t="s">
        <v>85</v>
      </c>
      <c r="I292" t="s">
        <v>86</v>
      </c>
      <c r="J292" t="str">
        <f>MID($N292,FIND("1.",$N292),FIND("-",$N292)-FIND("1.",$N292)-1)</f>
        <v>1.0291</v>
      </c>
      <c r="K292" t="str">
        <f t="shared" si="12"/>
        <v>Ensure Require a password when a computer wakes (plugged in) is set to Enabled - 0e796bdb-100d-47d6-a2d5-f7d2daa51f51</v>
      </c>
      <c r="L292" t="str">
        <f t="shared" si="13"/>
        <v>1.0291 - MSWRK - Ensure Require a password when a computer wakes (plugged in) is set to Enabled - 0e796bdb-100d-47d6-a2d5-f7d2daa51f51</v>
      </c>
      <c r="M292" t="str">
        <f t="shared" si="14"/>
        <v>PASSED</v>
      </c>
      <c r="N292" s="1" t="s">
        <v>772</v>
      </c>
      <c r="O292" t="s">
        <v>67</v>
      </c>
      <c r="R292" t="s">
        <v>68</v>
      </c>
      <c r="T292" t="s">
        <v>69</v>
      </c>
      <c r="U292" t="s">
        <v>70</v>
      </c>
      <c r="W292" t="s">
        <v>71</v>
      </c>
      <c r="X292" s="1" t="s">
        <v>72</v>
      </c>
      <c r="Y292" t="s">
        <v>88</v>
      </c>
      <c r="Z292">
        <v>0</v>
      </c>
      <c r="AA292">
        <v>0</v>
      </c>
      <c r="AD292">
        <v>0</v>
      </c>
      <c r="AE292">
        <v>0</v>
      </c>
      <c r="AH292" t="s">
        <v>73</v>
      </c>
      <c r="AI292" t="s">
        <v>318</v>
      </c>
      <c r="AJ292" t="s">
        <v>319</v>
      </c>
      <c r="AK292" t="s">
        <v>76</v>
      </c>
      <c r="AN292" t="s">
        <v>77</v>
      </c>
      <c r="AO292" t="s">
        <v>320</v>
      </c>
      <c r="AP292" t="s">
        <v>771</v>
      </c>
      <c r="AQ292" t="s">
        <v>322</v>
      </c>
      <c r="AS292" t="b">
        <v>1</v>
      </c>
      <c r="AT292" t="s">
        <v>65</v>
      </c>
      <c r="AU292">
        <v>0</v>
      </c>
      <c r="AV292">
        <v>0</v>
      </c>
      <c r="AX292">
        <v>39</v>
      </c>
      <c r="AY292" t="s">
        <v>81</v>
      </c>
      <c r="AZ292" t="s">
        <v>90</v>
      </c>
      <c r="BB292" t="s">
        <v>91</v>
      </c>
      <c r="BC292" t="s">
        <v>92</v>
      </c>
      <c r="BD292" t="b">
        <v>0</v>
      </c>
      <c r="BE292" t="b">
        <v>0</v>
      </c>
      <c r="BF292" t="b">
        <v>0</v>
      </c>
      <c r="BG292" t="b">
        <v>0</v>
      </c>
      <c r="BH292" t="b">
        <v>0</v>
      </c>
      <c r="BI292" t="b">
        <v>0</v>
      </c>
      <c r="BJ292" t="b">
        <v>0</v>
      </c>
      <c r="BK292" t="b">
        <v>0</v>
      </c>
      <c r="BL292" t="b">
        <v>0</v>
      </c>
      <c r="BM292" t="b">
        <v>0</v>
      </c>
      <c r="BN292" t="b">
        <v>0</v>
      </c>
      <c r="BO292" t="b">
        <v>0</v>
      </c>
      <c r="BP292" t="b">
        <v>0</v>
      </c>
      <c r="BR292" t="str">
        <f>IFERROR(IF(M292="PASSED",VLOOKUP(J292,Current!$J$1:$N$500,1,FALSE)),N292)</f>
        <v>"1.0291 - MSWRK - Ensure Require a password when a computer wakes (plugged in) is set to Enabled - 0e796bdb-100d-47d6-a2d5-f7d2daa51f51: [PASSED]"
Specifies whether or not the user is prompted for a password when the system resumes from sleep.
See Also:
See HTH Policies and Standards
Reference:
NIST 800-53r5|AC-11
Policy Value:
'1'
Actual Value:
'1'</v>
      </c>
    </row>
    <row r="293" spans="1:70" ht="15" customHeight="1" x14ac:dyDescent="0.25">
      <c r="A293">
        <v>21156</v>
      </c>
      <c r="C293">
        <v>0</v>
      </c>
      <c r="D293" t="s">
        <v>65</v>
      </c>
      <c r="E293" t="s">
        <v>66</v>
      </c>
      <c r="F293" t="s">
        <v>84</v>
      </c>
      <c r="G293">
        <v>0</v>
      </c>
      <c r="H293" t="s">
        <v>85</v>
      </c>
      <c r="I293" t="s">
        <v>86</v>
      </c>
      <c r="J293" t="str">
        <f>MID($N293,FIND("1.",$N293),FIND("-",$N293)-FIND("1.",$N293)-1)</f>
        <v>1.0292</v>
      </c>
      <c r="K293" t="str">
        <f t="shared" si="12"/>
        <v>Ensure Configure Offer Remote Assistance is set to Disabled</v>
      </c>
      <c r="L293" t="str">
        <f t="shared" si="13"/>
        <v>1.0292 - MSWRK - Ensure Configure Offer Remote Assistance is set to Disabled</v>
      </c>
      <c r="M293" t="str">
        <f t="shared" si="14"/>
        <v>PASSED</v>
      </c>
      <c r="N293" s="1" t="s">
        <v>742</v>
      </c>
      <c r="O293" t="s">
        <v>67</v>
      </c>
      <c r="R293" t="s">
        <v>68</v>
      </c>
      <c r="T293" t="s">
        <v>69</v>
      </c>
      <c r="U293" t="s">
        <v>70</v>
      </c>
      <c r="W293" t="s">
        <v>71</v>
      </c>
      <c r="X293" s="1" t="s">
        <v>72</v>
      </c>
      <c r="Y293" t="s">
        <v>88</v>
      </c>
      <c r="Z293">
        <v>0</v>
      </c>
      <c r="AA293">
        <v>0</v>
      </c>
      <c r="AD293">
        <v>0</v>
      </c>
      <c r="AE293">
        <v>0</v>
      </c>
      <c r="AH293" t="s">
        <v>73</v>
      </c>
      <c r="AI293" t="s">
        <v>318</v>
      </c>
      <c r="AJ293" t="s">
        <v>319</v>
      </c>
      <c r="AK293" t="s">
        <v>76</v>
      </c>
      <c r="AN293" t="s">
        <v>77</v>
      </c>
      <c r="AO293" t="s">
        <v>320</v>
      </c>
      <c r="AP293" t="s">
        <v>741</v>
      </c>
      <c r="AQ293" t="s">
        <v>322</v>
      </c>
      <c r="AS293" t="b">
        <v>1</v>
      </c>
      <c r="AT293" t="s">
        <v>65</v>
      </c>
      <c r="AU293">
        <v>0</v>
      </c>
      <c r="AV293">
        <v>0</v>
      </c>
      <c r="AX293">
        <v>39</v>
      </c>
      <c r="AY293" t="s">
        <v>81</v>
      </c>
      <c r="AZ293" t="s">
        <v>90</v>
      </c>
      <c r="BB293" t="s">
        <v>91</v>
      </c>
      <c r="BC293" t="s">
        <v>92</v>
      </c>
      <c r="BD293" t="b">
        <v>0</v>
      </c>
      <c r="BE293" t="b">
        <v>0</v>
      </c>
      <c r="BF293" t="b">
        <v>0</v>
      </c>
      <c r="BG293" t="b">
        <v>0</v>
      </c>
      <c r="BH293" t="b">
        <v>0</v>
      </c>
      <c r="BI293" t="b">
        <v>0</v>
      </c>
      <c r="BJ293" t="b">
        <v>0</v>
      </c>
      <c r="BK293" t="b">
        <v>0</v>
      </c>
      <c r="BL293" t="b">
        <v>0</v>
      </c>
      <c r="BM293" t="b">
        <v>0</v>
      </c>
      <c r="BN293" t="b">
        <v>0</v>
      </c>
      <c r="BO293" t="b">
        <v>0</v>
      </c>
      <c r="BP293" t="b">
        <v>0</v>
      </c>
      <c r="BR293" t="str">
        <f>IFERROR(IF(M293="PASSED",VLOOKUP(J293,Current!$J$1:$N$500,1,FALSE)),N293)</f>
        <v>"1.0292 - MSWRK - Ensure Configure Offer Remote Assistance is set to Disabled: [PASSED]"
This policy setting allows you to turn on or turn off Offer (Unsolicited) Remote Assistance on this computer.
See Also:
See HTH Policies and Standards
Reference:
NIST 800-53r5|CM-6 CM-7
Policy Value:
'0'
Actual Value:
'0'</v>
      </c>
    </row>
    <row r="294" spans="1:70" ht="15" hidden="1" customHeight="1" x14ac:dyDescent="0.25">
      <c r="A294">
        <v>21156</v>
      </c>
      <c r="C294">
        <v>0</v>
      </c>
      <c r="D294" t="s">
        <v>65</v>
      </c>
      <c r="E294" t="s">
        <v>66</v>
      </c>
      <c r="F294" t="s">
        <v>84</v>
      </c>
      <c r="G294">
        <v>0</v>
      </c>
      <c r="H294" t="s">
        <v>85</v>
      </c>
      <c r="I294" t="s">
        <v>86</v>
      </c>
      <c r="J294" t="str">
        <f>MID($N294,FIND("1.",$N294),FIND("-",$N294)-FIND("1.",$N294)-1)</f>
        <v>1.0293</v>
      </c>
      <c r="K294" t="str">
        <f t="shared" si="12"/>
        <v>Ensure Configure Solicited Remote Assistance is set to Disabled</v>
      </c>
      <c r="L294" t="str">
        <f t="shared" si="13"/>
        <v>1.0293 - MSWRK - Ensure Configure Solicited Remote Assistance is set to Disabled</v>
      </c>
      <c r="M294" t="str">
        <f t="shared" si="14"/>
        <v>PASSED</v>
      </c>
      <c r="N294" s="1" t="s">
        <v>122</v>
      </c>
      <c r="O294" t="s">
        <v>67</v>
      </c>
      <c r="R294" t="s">
        <v>68</v>
      </c>
      <c r="T294" t="s">
        <v>69</v>
      </c>
      <c r="U294" t="s">
        <v>70</v>
      </c>
      <c r="W294" t="s">
        <v>71</v>
      </c>
      <c r="X294" s="1" t="s">
        <v>72</v>
      </c>
      <c r="Y294" t="s">
        <v>88</v>
      </c>
      <c r="Z294">
        <v>0</v>
      </c>
      <c r="AA294">
        <v>0</v>
      </c>
      <c r="AD294">
        <v>0</v>
      </c>
      <c r="AE294">
        <v>0</v>
      </c>
      <c r="AH294" t="s">
        <v>73</v>
      </c>
      <c r="AI294" t="s">
        <v>318</v>
      </c>
      <c r="AJ294" t="s">
        <v>319</v>
      </c>
      <c r="AK294" t="s">
        <v>76</v>
      </c>
      <c r="AN294" t="s">
        <v>77</v>
      </c>
      <c r="AO294" t="s">
        <v>320</v>
      </c>
      <c r="AP294" t="s">
        <v>586</v>
      </c>
      <c r="AQ294" t="s">
        <v>322</v>
      </c>
      <c r="AS294" t="b">
        <v>1</v>
      </c>
      <c r="AT294" t="s">
        <v>65</v>
      </c>
      <c r="AU294">
        <v>0</v>
      </c>
      <c r="AV294">
        <v>0</v>
      </c>
      <c r="AX294">
        <v>39</v>
      </c>
      <c r="AY294" t="s">
        <v>81</v>
      </c>
      <c r="AZ294" t="s">
        <v>90</v>
      </c>
      <c r="BB294" t="s">
        <v>91</v>
      </c>
      <c r="BC294" t="s">
        <v>92</v>
      </c>
      <c r="BD294" t="b">
        <v>0</v>
      </c>
      <c r="BE294" t="b">
        <v>0</v>
      </c>
      <c r="BF294" t="b">
        <v>0</v>
      </c>
      <c r="BG294" t="b">
        <v>0</v>
      </c>
      <c r="BH294" t="b">
        <v>0</v>
      </c>
      <c r="BI294" t="b">
        <v>0</v>
      </c>
      <c r="BJ294" t="b">
        <v>0</v>
      </c>
      <c r="BK294" t="b">
        <v>0</v>
      </c>
      <c r="BL294" t="b">
        <v>0</v>
      </c>
      <c r="BM294" t="b">
        <v>0</v>
      </c>
      <c r="BN294" t="b">
        <v>0</v>
      </c>
      <c r="BO294" t="b">
        <v>0</v>
      </c>
      <c r="BP294" t="b">
        <v>0</v>
      </c>
      <c r="BR294" t="str">
        <f>IFERROR(IF(M294="PASSED",VLOOKUP(J294,Current!$J$1:$N$500,1,FALSE)),N294)</f>
        <v>1.0293</v>
      </c>
    </row>
    <row r="295" spans="1:70" ht="15" hidden="1" customHeight="1" x14ac:dyDescent="0.25">
      <c r="A295">
        <v>21156</v>
      </c>
      <c r="C295">
        <v>0</v>
      </c>
      <c r="D295" t="s">
        <v>83</v>
      </c>
      <c r="E295" t="s">
        <v>66</v>
      </c>
      <c r="F295" t="s">
        <v>84</v>
      </c>
      <c r="G295">
        <v>0</v>
      </c>
      <c r="H295" t="s">
        <v>85</v>
      </c>
      <c r="I295" t="s">
        <v>86</v>
      </c>
      <c r="J295" t="str">
        <f>MID($N295,FIND("1.",$N295),FIND("-",$N295)-FIND("1.",$N295)-1)</f>
        <v>1.0294</v>
      </c>
      <c r="K295" t="str">
        <f t="shared" si="12"/>
        <v>Ensure Enable RPC Endpoint Mapper Client Authentication is set to Enabled</v>
      </c>
      <c r="L295" t="str">
        <f t="shared" si="13"/>
        <v>1.0294 - MSWRK - Ensure Enable RPC Endpoint Mapper Client Authentication is set to Enabled</v>
      </c>
      <c r="M295" t="str">
        <f t="shared" si="14"/>
        <v>FAILED</v>
      </c>
      <c r="N295" s="1" t="s">
        <v>605</v>
      </c>
      <c r="O295" t="s">
        <v>67</v>
      </c>
      <c r="R295" t="s">
        <v>68</v>
      </c>
      <c r="T295" t="s">
        <v>69</v>
      </c>
      <c r="U295" t="s">
        <v>70</v>
      </c>
      <c r="W295" t="s">
        <v>71</v>
      </c>
      <c r="X295" s="1" t="s">
        <v>72</v>
      </c>
      <c r="Y295" t="s">
        <v>88</v>
      </c>
      <c r="Z295">
        <v>0</v>
      </c>
      <c r="AA295">
        <v>0</v>
      </c>
      <c r="AD295">
        <v>0</v>
      </c>
      <c r="AE295">
        <v>0</v>
      </c>
      <c r="AH295" t="s">
        <v>73</v>
      </c>
      <c r="AI295" t="s">
        <v>318</v>
      </c>
      <c r="AJ295" t="s">
        <v>319</v>
      </c>
      <c r="AK295" t="s">
        <v>76</v>
      </c>
      <c r="AN295" t="s">
        <v>77</v>
      </c>
      <c r="AO295" t="s">
        <v>320</v>
      </c>
      <c r="AP295" t="s">
        <v>604</v>
      </c>
      <c r="AQ295" t="s">
        <v>322</v>
      </c>
      <c r="AS295" t="b">
        <v>1</v>
      </c>
      <c r="AT295" t="s">
        <v>65</v>
      </c>
      <c r="AU295">
        <v>0</v>
      </c>
      <c r="AV295">
        <v>0</v>
      </c>
      <c r="AX295">
        <v>39</v>
      </c>
      <c r="AY295" t="s">
        <v>81</v>
      </c>
      <c r="AZ295" t="s">
        <v>90</v>
      </c>
      <c r="BB295" t="s">
        <v>91</v>
      </c>
      <c r="BC295" t="s">
        <v>92</v>
      </c>
      <c r="BD295" t="b">
        <v>0</v>
      </c>
      <c r="BE295" t="b">
        <v>0</v>
      </c>
      <c r="BF295" t="b">
        <v>0</v>
      </c>
      <c r="BG295" t="b">
        <v>0</v>
      </c>
      <c r="BH295" t="b">
        <v>0</v>
      </c>
      <c r="BI295" t="b">
        <v>0</v>
      </c>
      <c r="BJ295" t="b">
        <v>0</v>
      </c>
      <c r="BK295" t="b">
        <v>0</v>
      </c>
      <c r="BL295" t="b">
        <v>0</v>
      </c>
      <c r="BM295" t="b">
        <v>0</v>
      </c>
      <c r="BN295" t="b">
        <v>0</v>
      </c>
      <c r="BO295" t="b">
        <v>0</v>
      </c>
      <c r="BP295" t="b">
        <v>0</v>
      </c>
      <c r="BR295" t="b">
        <f>IFERROR(IF(M295="PASSED",VLOOKUP(J295,Current!$J$1:$N$500,1,FALSE)),N295)</f>
        <v>0</v>
      </c>
    </row>
    <row r="296" spans="1:70" ht="15" hidden="1" customHeight="1" x14ac:dyDescent="0.25">
      <c r="A296">
        <v>21156</v>
      </c>
      <c r="C296">
        <v>0</v>
      </c>
      <c r="D296" t="s">
        <v>83</v>
      </c>
      <c r="E296" t="s">
        <v>66</v>
      </c>
      <c r="F296" t="s">
        <v>84</v>
      </c>
      <c r="G296">
        <v>0</v>
      </c>
      <c r="H296" t="s">
        <v>85</v>
      </c>
      <c r="I296" t="s">
        <v>86</v>
      </c>
      <c r="J296" t="str">
        <f>MID($N296,FIND("1.",$N296),FIND("-",$N296)-FIND("1.",$N296)-1)</f>
        <v>1.0295</v>
      </c>
      <c r="K296" t="str">
        <f t="shared" si="12"/>
        <v>Ensure Restrict Unauthenticated RPC clients is set to Enabled</v>
      </c>
      <c r="L296" t="str">
        <f t="shared" si="13"/>
        <v>1.0295 - MSWRK - Ensure Restrict Unauthenticated RPC clients is set to Enabled: Authenticated</v>
      </c>
      <c r="M296" t="str">
        <f t="shared" si="14"/>
        <v>FAILED</v>
      </c>
      <c r="N296" s="1" t="s">
        <v>470</v>
      </c>
      <c r="O296" t="s">
        <v>67</v>
      </c>
      <c r="R296" t="s">
        <v>68</v>
      </c>
      <c r="T296" t="s">
        <v>69</v>
      </c>
      <c r="U296" t="s">
        <v>70</v>
      </c>
      <c r="W296" t="s">
        <v>71</v>
      </c>
      <c r="X296" s="1" t="s">
        <v>72</v>
      </c>
      <c r="Y296" t="s">
        <v>88</v>
      </c>
      <c r="Z296">
        <v>0</v>
      </c>
      <c r="AA296">
        <v>0</v>
      </c>
      <c r="AD296">
        <v>0</v>
      </c>
      <c r="AE296">
        <v>0</v>
      </c>
      <c r="AH296" t="s">
        <v>73</v>
      </c>
      <c r="AI296" t="s">
        <v>318</v>
      </c>
      <c r="AJ296" t="s">
        <v>319</v>
      </c>
      <c r="AK296" t="s">
        <v>76</v>
      </c>
      <c r="AN296" t="s">
        <v>77</v>
      </c>
      <c r="AO296" t="s">
        <v>320</v>
      </c>
      <c r="AP296" t="s">
        <v>468</v>
      </c>
      <c r="AQ296" t="s">
        <v>322</v>
      </c>
      <c r="AS296" t="b">
        <v>1</v>
      </c>
      <c r="AT296" t="s">
        <v>65</v>
      </c>
      <c r="AU296">
        <v>0</v>
      </c>
      <c r="AV296">
        <v>0</v>
      </c>
      <c r="AX296">
        <v>39</v>
      </c>
      <c r="AY296" t="s">
        <v>81</v>
      </c>
      <c r="AZ296" t="s">
        <v>90</v>
      </c>
      <c r="BB296" t="s">
        <v>91</v>
      </c>
      <c r="BC296" t="s">
        <v>92</v>
      </c>
      <c r="BD296" t="b">
        <v>0</v>
      </c>
      <c r="BE296" t="b">
        <v>0</v>
      </c>
      <c r="BF296" t="b">
        <v>0</v>
      </c>
      <c r="BG296" t="b">
        <v>0</v>
      </c>
      <c r="BH296" t="b">
        <v>0</v>
      </c>
      <c r="BI296" t="b">
        <v>0</v>
      </c>
      <c r="BJ296" t="b">
        <v>0</v>
      </c>
      <c r="BK296" t="b">
        <v>0</v>
      </c>
      <c r="BL296" t="b">
        <v>0</v>
      </c>
      <c r="BM296" t="b">
        <v>0</v>
      </c>
      <c r="BN296" t="b">
        <v>0</v>
      </c>
      <c r="BO296" t="b">
        <v>0</v>
      </c>
      <c r="BP296" t="b">
        <v>0</v>
      </c>
      <c r="BR296" t="b">
        <f>IFERROR(IF(M296="PASSED",VLOOKUP(J296,Current!$J$1:$N$500,1,FALSE)),N296)</f>
        <v>0</v>
      </c>
    </row>
    <row r="297" spans="1:70" ht="15" hidden="1" customHeight="1" x14ac:dyDescent="0.25">
      <c r="A297">
        <v>21156</v>
      </c>
      <c r="C297">
        <v>0</v>
      </c>
      <c r="D297" t="s">
        <v>83</v>
      </c>
      <c r="E297" t="s">
        <v>66</v>
      </c>
      <c r="F297" t="s">
        <v>84</v>
      </c>
      <c r="G297">
        <v>0</v>
      </c>
      <c r="H297" t="s">
        <v>85</v>
      </c>
      <c r="I297" t="s">
        <v>86</v>
      </c>
      <c r="J297" t="str">
        <f>MID($N297,FIND("1.",$N297),FIND("-",$N297)-FIND("1.",$N297)-1)</f>
        <v>1.0296</v>
      </c>
      <c r="K297" t="str">
        <f t="shared" si="12"/>
        <v>Ensure Encryption Oracle Remediation is set to Enabled</v>
      </c>
      <c r="L297" t="str">
        <f t="shared" si="13"/>
        <v>1.0296 - MSWRK - Ensure Encryption Oracle Remediation is set to Enabled: Force Updated Clients</v>
      </c>
      <c r="M297" t="str">
        <f t="shared" si="14"/>
        <v>FAILED</v>
      </c>
      <c r="N297" s="1" t="s">
        <v>441</v>
      </c>
      <c r="O297" t="s">
        <v>67</v>
      </c>
      <c r="R297" t="s">
        <v>68</v>
      </c>
      <c r="T297" t="s">
        <v>69</v>
      </c>
      <c r="U297" t="s">
        <v>70</v>
      </c>
      <c r="W297" t="s">
        <v>71</v>
      </c>
      <c r="X297" s="1" t="s">
        <v>72</v>
      </c>
      <c r="Y297" t="s">
        <v>88</v>
      </c>
      <c r="Z297">
        <v>0</v>
      </c>
      <c r="AA297">
        <v>0</v>
      </c>
      <c r="AD297">
        <v>0</v>
      </c>
      <c r="AE297">
        <v>0</v>
      </c>
      <c r="AH297" t="s">
        <v>73</v>
      </c>
      <c r="AI297" t="s">
        <v>318</v>
      </c>
      <c r="AJ297" t="s">
        <v>319</v>
      </c>
      <c r="AK297" t="s">
        <v>76</v>
      </c>
      <c r="AN297" t="s">
        <v>77</v>
      </c>
      <c r="AO297" t="s">
        <v>320</v>
      </c>
      <c r="AP297" t="s">
        <v>442</v>
      </c>
      <c r="AQ297" t="s">
        <v>322</v>
      </c>
      <c r="AS297" t="b">
        <v>1</v>
      </c>
      <c r="AT297" t="s">
        <v>65</v>
      </c>
      <c r="AU297">
        <v>0</v>
      </c>
      <c r="AV297">
        <v>0</v>
      </c>
      <c r="AX297">
        <v>39</v>
      </c>
      <c r="AY297" t="s">
        <v>81</v>
      </c>
      <c r="AZ297" t="s">
        <v>90</v>
      </c>
      <c r="BB297" t="s">
        <v>91</v>
      </c>
      <c r="BC297" t="s">
        <v>92</v>
      </c>
      <c r="BD297" t="b">
        <v>0</v>
      </c>
      <c r="BE297" t="b">
        <v>0</v>
      </c>
      <c r="BF297" t="b">
        <v>0</v>
      </c>
      <c r="BG297" t="b">
        <v>0</v>
      </c>
      <c r="BH297" t="b">
        <v>0</v>
      </c>
      <c r="BI297" t="b">
        <v>0</v>
      </c>
      <c r="BJ297" t="b">
        <v>0</v>
      </c>
      <c r="BK297" t="b">
        <v>0</v>
      </c>
      <c r="BL297" t="b">
        <v>0</v>
      </c>
      <c r="BM297" t="b">
        <v>0</v>
      </c>
      <c r="BN297" t="b">
        <v>0</v>
      </c>
      <c r="BO297" t="b">
        <v>0</v>
      </c>
      <c r="BP297" t="b">
        <v>0</v>
      </c>
      <c r="BR297" t="b">
        <f>IFERROR(IF(M297="PASSED",VLOOKUP(J297,Current!$J$1:$N$500,1,FALSE)),N297)</f>
        <v>0</v>
      </c>
    </row>
    <row r="298" spans="1:70" ht="15" hidden="1" customHeight="1" x14ac:dyDescent="0.25">
      <c r="A298">
        <v>21156</v>
      </c>
      <c r="C298">
        <v>0</v>
      </c>
      <c r="D298" t="s">
        <v>83</v>
      </c>
      <c r="E298" t="s">
        <v>66</v>
      </c>
      <c r="F298" t="s">
        <v>84</v>
      </c>
      <c r="G298">
        <v>0</v>
      </c>
      <c r="H298" t="s">
        <v>85</v>
      </c>
      <c r="I298" t="s">
        <v>86</v>
      </c>
      <c r="J298" t="str">
        <f>MID($N298,FIND("1.",$N298),FIND("-",$N298)-FIND("1.",$N298)-1)</f>
        <v>1.0297</v>
      </c>
      <c r="K298" t="str">
        <f t="shared" si="12"/>
        <v>Ensure Configure SAM change password RPC methods policy is set to Enabled</v>
      </c>
      <c r="L298" t="str">
        <f t="shared" si="13"/>
        <v>1.0297 - MSWRK - Ensure Configure SAM change password RPC methods policy is set to Enabled: Block all change password RPC methods</v>
      </c>
      <c r="M298" t="str">
        <f t="shared" si="14"/>
        <v>FAILED</v>
      </c>
      <c r="N298" s="1" t="s">
        <v>342</v>
      </c>
      <c r="O298" t="s">
        <v>67</v>
      </c>
      <c r="R298" t="s">
        <v>68</v>
      </c>
      <c r="T298" t="s">
        <v>69</v>
      </c>
      <c r="U298" t="s">
        <v>70</v>
      </c>
      <c r="W298" t="s">
        <v>71</v>
      </c>
      <c r="X298" s="1" t="s">
        <v>72</v>
      </c>
      <c r="Y298" t="s">
        <v>88</v>
      </c>
      <c r="Z298">
        <v>0</v>
      </c>
      <c r="AA298">
        <v>0</v>
      </c>
      <c r="AD298">
        <v>0</v>
      </c>
      <c r="AE298">
        <v>0</v>
      </c>
      <c r="AH298" t="s">
        <v>73</v>
      </c>
      <c r="AI298" t="s">
        <v>318</v>
      </c>
      <c r="AJ298" t="s">
        <v>319</v>
      </c>
      <c r="AK298" t="s">
        <v>76</v>
      </c>
      <c r="AN298" t="s">
        <v>77</v>
      </c>
      <c r="AO298" t="s">
        <v>320</v>
      </c>
      <c r="AP298" t="s">
        <v>340</v>
      </c>
      <c r="AQ298" t="s">
        <v>322</v>
      </c>
      <c r="AS298" t="b">
        <v>1</v>
      </c>
      <c r="AT298" t="s">
        <v>65</v>
      </c>
      <c r="AU298">
        <v>0</v>
      </c>
      <c r="AV298">
        <v>0</v>
      </c>
      <c r="AX298">
        <v>39</v>
      </c>
      <c r="AY298" t="s">
        <v>81</v>
      </c>
      <c r="AZ298" t="s">
        <v>90</v>
      </c>
      <c r="BB298" t="s">
        <v>91</v>
      </c>
      <c r="BC298" t="s">
        <v>92</v>
      </c>
      <c r="BD298" t="b">
        <v>0</v>
      </c>
      <c r="BE298" t="b">
        <v>0</v>
      </c>
      <c r="BF298" t="b">
        <v>0</v>
      </c>
      <c r="BG298" t="b">
        <v>0</v>
      </c>
      <c r="BH298" t="b">
        <v>0</v>
      </c>
      <c r="BI298" t="b">
        <v>0</v>
      </c>
      <c r="BJ298" t="b">
        <v>0</v>
      </c>
      <c r="BK298" t="b">
        <v>0</v>
      </c>
      <c r="BL298" t="b">
        <v>0</v>
      </c>
      <c r="BM298" t="b">
        <v>0</v>
      </c>
      <c r="BN298" t="b">
        <v>0</v>
      </c>
      <c r="BO298" t="b">
        <v>0</v>
      </c>
      <c r="BP298" t="b">
        <v>0</v>
      </c>
      <c r="BR298" t="b">
        <f>IFERROR(IF(M298="PASSED",VLOOKUP(J298,Current!$J$1:$N$500,1,FALSE)),N298)</f>
        <v>0</v>
      </c>
    </row>
    <row r="299" spans="1:70" ht="15" hidden="1" customHeight="1" x14ac:dyDescent="0.25">
      <c r="A299">
        <v>21156</v>
      </c>
      <c r="C299">
        <v>0</v>
      </c>
      <c r="D299" t="s">
        <v>83</v>
      </c>
      <c r="E299" t="s">
        <v>66</v>
      </c>
      <c r="F299" t="s">
        <v>84</v>
      </c>
      <c r="G299">
        <v>0</v>
      </c>
      <c r="H299" t="s">
        <v>85</v>
      </c>
      <c r="I299" t="s">
        <v>86</v>
      </c>
      <c r="J299" t="str">
        <f>MID($N299,FIND("1.",$N299),FIND("-",$N299)-FIND("1.",$N299)-1)</f>
        <v>1.0298</v>
      </c>
      <c r="K299" t="str">
        <f t="shared" si="12"/>
        <v>Ensure Remote host allows delegation of non-exportable credentials is set to Enabled</v>
      </c>
      <c r="L299" t="str">
        <f t="shared" si="13"/>
        <v>1.0298 - MSWRK - Ensure Remote host allows delegation of non-exportable credentials is set to Enabled</v>
      </c>
      <c r="M299" t="str">
        <f t="shared" si="14"/>
        <v>FAILED</v>
      </c>
      <c r="N299" s="1" t="s">
        <v>464</v>
      </c>
      <c r="O299" t="s">
        <v>67</v>
      </c>
      <c r="R299" t="s">
        <v>68</v>
      </c>
      <c r="T299" t="s">
        <v>69</v>
      </c>
      <c r="U299" t="s">
        <v>70</v>
      </c>
      <c r="W299" t="s">
        <v>71</v>
      </c>
      <c r="X299" s="1" t="s">
        <v>72</v>
      </c>
      <c r="Y299" t="s">
        <v>88</v>
      </c>
      <c r="Z299">
        <v>0</v>
      </c>
      <c r="AA299">
        <v>0</v>
      </c>
      <c r="AD299">
        <v>0</v>
      </c>
      <c r="AE299">
        <v>0</v>
      </c>
      <c r="AH299" t="s">
        <v>73</v>
      </c>
      <c r="AI299" t="s">
        <v>318</v>
      </c>
      <c r="AJ299" t="s">
        <v>319</v>
      </c>
      <c r="AK299" t="s">
        <v>76</v>
      </c>
      <c r="AN299" t="s">
        <v>77</v>
      </c>
      <c r="AO299" t="s">
        <v>320</v>
      </c>
      <c r="AP299" t="s">
        <v>463</v>
      </c>
      <c r="AQ299" t="s">
        <v>322</v>
      </c>
      <c r="AS299" t="b">
        <v>1</v>
      </c>
      <c r="AT299" t="s">
        <v>65</v>
      </c>
      <c r="AU299">
        <v>0</v>
      </c>
      <c r="AV299">
        <v>0</v>
      </c>
      <c r="AX299">
        <v>39</v>
      </c>
      <c r="AY299" t="s">
        <v>81</v>
      </c>
      <c r="AZ299" t="s">
        <v>90</v>
      </c>
      <c r="BB299" t="s">
        <v>91</v>
      </c>
      <c r="BC299" t="s">
        <v>92</v>
      </c>
      <c r="BD299" t="b">
        <v>0</v>
      </c>
      <c r="BE299" t="b">
        <v>0</v>
      </c>
      <c r="BF299" t="b">
        <v>0</v>
      </c>
      <c r="BG299" t="b">
        <v>0</v>
      </c>
      <c r="BH299" t="b">
        <v>0</v>
      </c>
      <c r="BI299" t="b">
        <v>0</v>
      </c>
      <c r="BJ299" t="b">
        <v>0</v>
      </c>
      <c r="BK299" t="b">
        <v>0</v>
      </c>
      <c r="BL299" t="b">
        <v>0</v>
      </c>
      <c r="BM299" t="b">
        <v>0</v>
      </c>
      <c r="BN299" t="b">
        <v>0</v>
      </c>
      <c r="BO299" t="b">
        <v>0</v>
      </c>
      <c r="BP299" t="b">
        <v>0</v>
      </c>
      <c r="BR299" t="b">
        <f>IFERROR(IF(M299="PASSED",VLOOKUP(J299,Current!$J$1:$N$500,1,FALSE)),N299)</f>
        <v>0</v>
      </c>
    </row>
    <row r="300" spans="1:70" ht="15" hidden="1" customHeight="1" x14ac:dyDescent="0.25">
      <c r="A300">
        <v>21156</v>
      </c>
      <c r="C300">
        <v>0</v>
      </c>
      <c r="D300" t="s">
        <v>65</v>
      </c>
      <c r="E300" t="s">
        <v>66</v>
      </c>
      <c r="F300" t="s">
        <v>84</v>
      </c>
      <c r="G300">
        <v>0</v>
      </c>
      <c r="H300" t="s">
        <v>85</v>
      </c>
      <c r="I300" t="s">
        <v>86</v>
      </c>
      <c r="J300" t="str">
        <f>MID($N300,FIND("1.",$N300),FIND("-",$N300)-FIND("1.",$N300)-1)</f>
        <v>1.0299</v>
      </c>
      <c r="K300" t="str">
        <f t="shared" si="12"/>
        <v>Ensure Turn On Virtualization Based Security is set to Enabled</v>
      </c>
      <c r="L300" t="str">
        <f t="shared" si="13"/>
        <v>1.0299 - MSWRK - Ensure Turn On Virtualization Based Security is set to Enabled</v>
      </c>
      <c r="M300" t="str">
        <f t="shared" si="14"/>
        <v>PASSED</v>
      </c>
      <c r="N300" s="1" t="s">
        <v>287</v>
      </c>
      <c r="O300" t="s">
        <v>67</v>
      </c>
      <c r="R300" t="s">
        <v>68</v>
      </c>
      <c r="T300" t="s">
        <v>69</v>
      </c>
      <c r="U300" t="s">
        <v>70</v>
      </c>
      <c r="W300" t="s">
        <v>71</v>
      </c>
      <c r="X300" s="1" t="s">
        <v>72</v>
      </c>
      <c r="Y300" t="s">
        <v>88</v>
      </c>
      <c r="Z300">
        <v>0</v>
      </c>
      <c r="AA300">
        <v>0</v>
      </c>
      <c r="AD300">
        <v>0</v>
      </c>
      <c r="AE300">
        <v>0</v>
      </c>
      <c r="AH300" t="s">
        <v>73</v>
      </c>
      <c r="AI300" t="s">
        <v>318</v>
      </c>
      <c r="AJ300" t="s">
        <v>319</v>
      </c>
      <c r="AK300" t="s">
        <v>76</v>
      </c>
      <c r="AN300" t="s">
        <v>77</v>
      </c>
      <c r="AO300" t="s">
        <v>320</v>
      </c>
      <c r="AP300" t="s">
        <v>806</v>
      </c>
      <c r="AQ300" t="s">
        <v>322</v>
      </c>
      <c r="AS300" t="b">
        <v>1</v>
      </c>
      <c r="AT300" t="s">
        <v>65</v>
      </c>
      <c r="AU300">
        <v>0</v>
      </c>
      <c r="AV300">
        <v>0</v>
      </c>
      <c r="AX300">
        <v>39</v>
      </c>
      <c r="AY300" t="s">
        <v>81</v>
      </c>
      <c r="AZ300" t="s">
        <v>90</v>
      </c>
      <c r="BB300" t="s">
        <v>91</v>
      </c>
      <c r="BC300" t="s">
        <v>92</v>
      </c>
      <c r="BD300" t="b">
        <v>0</v>
      </c>
      <c r="BE300" t="b">
        <v>0</v>
      </c>
      <c r="BF300" t="b">
        <v>0</v>
      </c>
      <c r="BG300" t="b">
        <v>0</v>
      </c>
      <c r="BH300" t="b">
        <v>0</v>
      </c>
      <c r="BI300" t="b">
        <v>0</v>
      </c>
      <c r="BJ300" t="b">
        <v>0</v>
      </c>
      <c r="BK300" t="b">
        <v>0</v>
      </c>
      <c r="BL300" t="b">
        <v>0</v>
      </c>
      <c r="BM300" t="b">
        <v>0</v>
      </c>
      <c r="BN300" t="b">
        <v>0</v>
      </c>
      <c r="BO300" t="b">
        <v>0</v>
      </c>
      <c r="BP300" t="b">
        <v>0</v>
      </c>
      <c r="BR300" t="str">
        <f>IFERROR(IF(M300="PASSED",VLOOKUP(J300,Current!$J$1:$N$500,1,FALSE)),N300)</f>
        <v>1.0299</v>
      </c>
    </row>
    <row r="301" spans="1:70" ht="15" hidden="1" customHeight="1" x14ac:dyDescent="0.25">
      <c r="A301">
        <v>21156</v>
      </c>
      <c r="C301">
        <v>0</v>
      </c>
      <c r="D301" t="s">
        <v>65</v>
      </c>
      <c r="E301" t="s">
        <v>66</v>
      </c>
      <c r="F301" t="s">
        <v>84</v>
      </c>
      <c r="G301">
        <v>0</v>
      </c>
      <c r="H301" t="s">
        <v>85</v>
      </c>
      <c r="I301" t="s">
        <v>86</v>
      </c>
      <c r="J301" t="str">
        <f>MID($N301,FIND("1.",$N301),FIND("-",$N301)-FIND("1.",$N301)-1)</f>
        <v>1.0300</v>
      </c>
      <c r="K301" t="str">
        <f t="shared" si="12"/>
        <v>Ensure Turn On Virtualization Based Security</v>
      </c>
      <c r="L301" t="str">
        <f t="shared" si="13"/>
        <v>1.0300 - MSWRK - Ensure Turn On Virtualization Based Security: Select Platform Security Level is set to Secure Boot or higher</v>
      </c>
      <c r="M301" t="str">
        <f t="shared" si="14"/>
        <v>PASSED</v>
      </c>
      <c r="N301" s="1" t="s">
        <v>305</v>
      </c>
      <c r="O301" t="s">
        <v>67</v>
      </c>
      <c r="R301" t="s">
        <v>68</v>
      </c>
      <c r="T301" t="s">
        <v>69</v>
      </c>
      <c r="U301" t="s">
        <v>70</v>
      </c>
      <c r="W301" t="s">
        <v>71</v>
      </c>
      <c r="X301" s="1" t="s">
        <v>72</v>
      </c>
      <c r="Y301" t="s">
        <v>88</v>
      </c>
      <c r="Z301">
        <v>0</v>
      </c>
      <c r="AA301">
        <v>0</v>
      </c>
      <c r="AD301">
        <v>0</v>
      </c>
      <c r="AE301">
        <v>0</v>
      </c>
      <c r="AH301" t="s">
        <v>73</v>
      </c>
      <c r="AI301" t="s">
        <v>318</v>
      </c>
      <c r="AJ301" t="s">
        <v>319</v>
      </c>
      <c r="AK301" t="s">
        <v>76</v>
      </c>
      <c r="AN301" t="s">
        <v>77</v>
      </c>
      <c r="AO301" t="s">
        <v>320</v>
      </c>
      <c r="AP301" t="s">
        <v>708</v>
      </c>
      <c r="AQ301" t="s">
        <v>322</v>
      </c>
      <c r="AS301" t="b">
        <v>1</v>
      </c>
      <c r="AT301" t="s">
        <v>65</v>
      </c>
      <c r="AU301">
        <v>0</v>
      </c>
      <c r="AV301">
        <v>0</v>
      </c>
      <c r="AX301">
        <v>39</v>
      </c>
      <c r="AY301" t="s">
        <v>81</v>
      </c>
      <c r="AZ301" t="s">
        <v>90</v>
      </c>
      <c r="BB301" t="s">
        <v>91</v>
      </c>
      <c r="BC301" t="s">
        <v>92</v>
      </c>
      <c r="BD301" t="b">
        <v>0</v>
      </c>
      <c r="BE301" t="b">
        <v>0</v>
      </c>
      <c r="BF301" t="b">
        <v>0</v>
      </c>
      <c r="BG301" t="b">
        <v>0</v>
      </c>
      <c r="BH301" t="b">
        <v>0</v>
      </c>
      <c r="BI301" t="b">
        <v>0</v>
      </c>
      <c r="BJ301" t="b">
        <v>0</v>
      </c>
      <c r="BK301" t="b">
        <v>0</v>
      </c>
      <c r="BL301" t="b">
        <v>0</v>
      </c>
      <c r="BM301" t="b">
        <v>0</v>
      </c>
      <c r="BN301" t="b">
        <v>0</v>
      </c>
      <c r="BO301" t="b">
        <v>0</v>
      </c>
      <c r="BP301" t="b">
        <v>0</v>
      </c>
      <c r="BR301" t="str">
        <f>IFERROR(IF(M301="PASSED",VLOOKUP(J301,Current!$J$1:$N$500,1,FALSE)),N301)</f>
        <v>1.0300</v>
      </c>
    </row>
    <row r="302" spans="1:70" ht="15" hidden="1" customHeight="1" x14ac:dyDescent="0.25">
      <c r="A302">
        <v>21156</v>
      </c>
      <c r="C302">
        <v>0</v>
      </c>
      <c r="D302" t="s">
        <v>83</v>
      </c>
      <c r="E302" t="s">
        <v>66</v>
      </c>
      <c r="F302" t="s">
        <v>84</v>
      </c>
      <c r="G302">
        <v>0</v>
      </c>
      <c r="H302" t="s">
        <v>85</v>
      </c>
      <c r="I302" t="s">
        <v>86</v>
      </c>
      <c r="J302" t="str">
        <f>MID($N302,FIND("1.",$N302),FIND("-",$N302)-FIND("1.",$N302)-1)</f>
        <v>1.0301</v>
      </c>
      <c r="K302" t="str">
        <f t="shared" si="12"/>
        <v>Ensure Turn On Virtualization Based Security</v>
      </c>
      <c r="L302" t="str">
        <f t="shared" si="13"/>
        <v>1.0301 - MSWRK - Ensure Turn On Virtualization Based Security: Virtualization Based Protection of Code Integrity is set to Enabled with UEFI lock</v>
      </c>
      <c r="M302" t="str">
        <f t="shared" si="14"/>
        <v>FAILED</v>
      </c>
      <c r="N302" s="1" t="s">
        <v>459</v>
      </c>
      <c r="O302" t="s">
        <v>67</v>
      </c>
      <c r="R302" t="s">
        <v>68</v>
      </c>
      <c r="T302" t="s">
        <v>69</v>
      </c>
      <c r="U302" t="s">
        <v>70</v>
      </c>
      <c r="W302" t="s">
        <v>71</v>
      </c>
      <c r="X302" s="1" t="s">
        <v>72</v>
      </c>
      <c r="Y302" t="s">
        <v>88</v>
      </c>
      <c r="Z302">
        <v>0</v>
      </c>
      <c r="AA302">
        <v>0</v>
      </c>
      <c r="AD302">
        <v>0</v>
      </c>
      <c r="AE302">
        <v>0</v>
      </c>
      <c r="AH302" t="s">
        <v>73</v>
      </c>
      <c r="AI302" t="s">
        <v>318</v>
      </c>
      <c r="AJ302" t="s">
        <v>319</v>
      </c>
      <c r="AK302" t="s">
        <v>76</v>
      </c>
      <c r="AN302" t="s">
        <v>77</v>
      </c>
      <c r="AO302" t="s">
        <v>320</v>
      </c>
      <c r="AP302" t="s">
        <v>460</v>
      </c>
      <c r="AQ302" t="s">
        <v>322</v>
      </c>
      <c r="AS302" t="b">
        <v>1</v>
      </c>
      <c r="AT302" t="s">
        <v>65</v>
      </c>
      <c r="AU302">
        <v>0</v>
      </c>
      <c r="AV302">
        <v>0</v>
      </c>
      <c r="AX302">
        <v>39</v>
      </c>
      <c r="AY302" t="s">
        <v>81</v>
      </c>
      <c r="AZ302" t="s">
        <v>90</v>
      </c>
      <c r="BB302" t="s">
        <v>91</v>
      </c>
      <c r="BC302" t="s">
        <v>92</v>
      </c>
      <c r="BD302" t="b">
        <v>0</v>
      </c>
      <c r="BE302" t="b">
        <v>0</v>
      </c>
      <c r="BF302" t="b">
        <v>0</v>
      </c>
      <c r="BG302" t="b">
        <v>0</v>
      </c>
      <c r="BH302" t="b">
        <v>0</v>
      </c>
      <c r="BI302" t="b">
        <v>0</v>
      </c>
      <c r="BJ302" t="b">
        <v>0</v>
      </c>
      <c r="BK302" t="b">
        <v>0</v>
      </c>
      <c r="BL302" t="b">
        <v>0</v>
      </c>
      <c r="BM302" t="b">
        <v>0</v>
      </c>
      <c r="BN302" t="b">
        <v>0</v>
      </c>
      <c r="BO302" t="b">
        <v>0</v>
      </c>
      <c r="BP302" t="b">
        <v>0</v>
      </c>
      <c r="BR302" t="b">
        <f>IFERROR(IF(M302="PASSED",VLOOKUP(J302,Current!$J$1:$N$500,1,FALSE)),N302)</f>
        <v>0</v>
      </c>
    </row>
    <row r="303" spans="1:70" ht="15" hidden="1" customHeight="1" x14ac:dyDescent="0.25">
      <c r="A303">
        <v>21156</v>
      </c>
      <c r="C303">
        <v>0</v>
      </c>
      <c r="D303" t="s">
        <v>83</v>
      </c>
      <c r="E303" t="s">
        <v>66</v>
      </c>
      <c r="F303" t="s">
        <v>84</v>
      </c>
      <c r="G303">
        <v>0</v>
      </c>
      <c r="H303" t="s">
        <v>85</v>
      </c>
      <c r="I303" t="s">
        <v>86</v>
      </c>
      <c r="J303" t="str">
        <f>MID($N303,FIND("1.",$N303),FIND("-",$N303)-FIND("1.",$N303)-1)</f>
        <v>1.0302</v>
      </c>
      <c r="K303" t="str">
        <f t="shared" si="12"/>
        <v>Ensure Enable Windows NTP Client is set to Enabled - Ntpclient</v>
      </c>
      <c r="L303" t="str">
        <f t="shared" si="13"/>
        <v>1.0302 - MSWRK - Ensure Enable Windows NTP Client is set to Enabled - Ntpclient</v>
      </c>
      <c r="M303" t="str">
        <f t="shared" si="14"/>
        <v>FAILED</v>
      </c>
      <c r="N303" s="1" t="s">
        <v>779</v>
      </c>
      <c r="O303" t="s">
        <v>67</v>
      </c>
      <c r="R303" t="s">
        <v>68</v>
      </c>
      <c r="T303" t="s">
        <v>69</v>
      </c>
      <c r="U303" t="s">
        <v>70</v>
      </c>
      <c r="W303" t="s">
        <v>71</v>
      </c>
      <c r="X303" s="1" t="s">
        <v>72</v>
      </c>
      <c r="Y303" t="s">
        <v>88</v>
      </c>
      <c r="Z303">
        <v>0</v>
      </c>
      <c r="AA303">
        <v>0</v>
      </c>
      <c r="AD303">
        <v>0</v>
      </c>
      <c r="AE303">
        <v>0</v>
      </c>
      <c r="AH303" t="s">
        <v>73</v>
      </c>
      <c r="AI303" t="s">
        <v>318</v>
      </c>
      <c r="AJ303" t="s">
        <v>319</v>
      </c>
      <c r="AK303" t="s">
        <v>76</v>
      </c>
      <c r="AN303" t="s">
        <v>77</v>
      </c>
      <c r="AO303" t="s">
        <v>320</v>
      </c>
      <c r="AP303" t="s">
        <v>777</v>
      </c>
      <c r="AQ303" t="s">
        <v>322</v>
      </c>
      <c r="AS303" t="b">
        <v>1</v>
      </c>
      <c r="AT303" t="s">
        <v>65</v>
      </c>
      <c r="AU303">
        <v>0</v>
      </c>
      <c r="AV303">
        <v>0</v>
      </c>
      <c r="AX303">
        <v>39</v>
      </c>
      <c r="AY303" t="s">
        <v>81</v>
      </c>
      <c r="AZ303" t="s">
        <v>90</v>
      </c>
      <c r="BB303" t="s">
        <v>91</v>
      </c>
      <c r="BC303" t="s">
        <v>92</v>
      </c>
      <c r="BD303" t="b">
        <v>0</v>
      </c>
      <c r="BE303" t="b">
        <v>0</v>
      </c>
      <c r="BF303" t="b">
        <v>0</v>
      </c>
      <c r="BG303" t="b">
        <v>0</v>
      </c>
      <c r="BH303" t="b">
        <v>0</v>
      </c>
      <c r="BI303" t="b">
        <v>0</v>
      </c>
      <c r="BJ303" t="b">
        <v>0</v>
      </c>
      <c r="BK303" t="b">
        <v>0</v>
      </c>
      <c r="BL303" t="b">
        <v>0</v>
      </c>
      <c r="BM303" t="b">
        <v>0</v>
      </c>
      <c r="BN303" t="b">
        <v>0</v>
      </c>
      <c r="BO303" t="b">
        <v>0</v>
      </c>
      <c r="BP303" t="b">
        <v>0</v>
      </c>
      <c r="BR303" t="b">
        <f>IFERROR(IF(M303="PASSED",VLOOKUP(J303,Current!$J$1:$N$500,1,FALSE)),N303)</f>
        <v>0</v>
      </c>
    </row>
    <row r="304" spans="1:70" ht="15" customHeight="1" x14ac:dyDescent="0.25">
      <c r="A304">
        <v>21156</v>
      </c>
      <c r="C304">
        <v>0</v>
      </c>
      <c r="D304" t="s">
        <v>65</v>
      </c>
      <c r="E304" t="s">
        <v>66</v>
      </c>
      <c r="F304" t="s">
        <v>84</v>
      </c>
      <c r="G304">
        <v>0</v>
      </c>
      <c r="H304" t="s">
        <v>85</v>
      </c>
      <c r="I304" t="s">
        <v>86</v>
      </c>
      <c r="J304" t="str">
        <f>MID($N304,FIND("1.",$N304),FIND("-",$N304)-FIND("1.",$N304)-1)</f>
        <v>1.0303</v>
      </c>
      <c r="K304" t="str">
        <f t="shared" si="12"/>
        <v>Ensure Enable Windows NTP Server is set to Disabled - Ntpserver</v>
      </c>
      <c r="L304" t="str">
        <f t="shared" si="13"/>
        <v>1.0303 - MSWRK - Ensure Enable Windows NTP Server is set to Disabled - Ntpserver</v>
      </c>
      <c r="M304" t="str">
        <f t="shared" si="14"/>
        <v>PASSED</v>
      </c>
      <c r="N304" s="1" t="s">
        <v>355</v>
      </c>
      <c r="O304" t="s">
        <v>67</v>
      </c>
      <c r="R304" t="s">
        <v>68</v>
      </c>
      <c r="T304" t="s">
        <v>69</v>
      </c>
      <c r="U304" t="s">
        <v>70</v>
      </c>
      <c r="W304" t="s">
        <v>71</v>
      </c>
      <c r="X304" s="1" t="s">
        <v>72</v>
      </c>
      <c r="Y304" t="s">
        <v>88</v>
      </c>
      <c r="Z304">
        <v>0</v>
      </c>
      <c r="AA304">
        <v>0</v>
      </c>
      <c r="AD304">
        <v>0</v>
      </c>
      <c r="AE304">
        <v>0</v>
      </c>
      <c r="AH304" t="s">
        <v>73</v>
      </c>
      <c r="AI304" t="s">
        <v>318</v>
      </c>
      <c r="AJ304" t="s">
        <v>319</v>
      </c>
      <c r="AK304" t="s">
        <v>76</v>
      </c>
      <c r="AN304" t="s">
        <v>77</v>
      </c>
      <c r="AO304" t="s">
        <v>320</v>
      </c>
      <c r="AP304" t="s">
        <v>353</v>
      </c>
      <c r="AQ304" t="s">
        <v>322</v>
      </c>
      <c r="AS304" t="b">
        <v>1</v>
      </c>
      <c r="AT304" t="s">
        <v>65</v>
      </c>
      <c r="AU304">
        <v>0</v>
      </c>
      <c r="AV304">
        <v>0</v>
      </c>
      <c r="AX304">
        <v>39</v>
      </c>
      <c r="AY304" t="s">
        <v>81</v>
      </c>
      <c r="AZ304" t="s">
        <v>90</v>
      </c>
      <c r="BB304" t="s">
        <v>91</v>
      </c>
      <c r="BC304" t="s">
        <v>92</v>
      </c>
      <c r="BD304" t="b">
        <v>0</v>
      </c>
      <c r="BE304" t="b">
        <v>0</v>
      </c>
      <c r="BF304" t="b">
        <v>0</v>
      </c>
      <c r="BG304" t="b">
        <v>0</v>
      </c>
      <c r="BH304" t="b">
        <v>0</v>
      </c>
      <c r="BI304" t="b">
        <v>0</v>
      </c>
      <c r="BJ304" t="b">
        <v>0</v>
      </c>
      <c r="BK304" t="b">
        <v>0</v>
      </c>
      <c r="BL304" t="b">
        <v>0</v>
      </c>
      <c r="BM304" t="b">
        <v>0</v>
      </c>
      <c r="BN304" t="b">
        <v>0</v>
      </c>
      <c r="BO304" t="b">
        <v>0</v>
      </c>
      <c r="BP304" t="b">
        <v>0</v>
      </c>
      <c r="BR304" t="str">
        <f>IFERROR(IF(M304="PASSED",VLOOKUP(J304,Current!$J$1:$N$500,1,FALSE)),N304)</f>
        <v>"1.0303 - MSWRK - Ensure Enable Windows NTP Server is set to Disabled - Ntpserver: [PASSED]"
This policy setting specifies whether the Windows NTP Server is enabled.
See Also:
See HTH Policies and Standards
Reference:
NIST 800-53r5|AU-7 AU-8
Policy Value:
'0'
Actual Value:
'0'</v>
      </c>
    </row>
    <row r="305" spans="1:70" ht="15" hidden="1" customHeight="1" x14ac:dyDescent="0.25">
      <c r="A305">
        <v>21156</v>
      </c>
      <c r="C305">
        <v>0</v>
      </c>
      <c r="D305" t="s">
        <v>83</v>
      </c>
      <c r="E305" t="s">
        <v>66</v>
      </c>
      <c r="F305" t="s">
        <v>84</v>
      </c>
      <c r="G305">
        <v>0</v>
      </c>
      <c r="H305" t="s">
        <v>85</v>
      </c>
      <c r="I305" t="s">
        <v>86</v>
      </c>
      <c r="J305" t="str">
        <f>MID($N305,FIND("1.",$N305),FIND("-",$N305)-FIND("1.",$N305)-1)</f>
        <v>1.0304</v>
      </c>
      <c r="K305" t="str">
        <f t="shared" si="12"/>
        <v>Ensure Turn On Virtualization Based Security</v>
      </c>
      <c r="L305" t="str">
        <f t="shared" si="13"/>
        <v>1.0304 - MSWRK - Ensure Turn On Virtualization Based Security: Require UEFI Memory Attributes Table is set to True (checked)</v>
      </c>
      <c r="M305" t="str">
        <f t="shared" si="14"/>
        <v>FAILED</v>
      </c>
      <c r="N305" s="1" t="s">
        <v>417</v>
      </c>
      <c r="O305" t="s">
        <v>67</v>
      </c>
      <c r="R305" t="s">
        <v>68</v>
      </c>
      <c r="T305" t="s">
        <v>69</v>
      </c>
      <c r="U305" t="s">
        <v>70</v>
      </c>
      <c r="W305" t="s">
        <v>71</v>
      </c>
      <c r="X305" s="1" t="s">
        <v>72</v>
      </c>
      <c r="Y305" t="s">
        <v>88</v>
      </c>
      <c r="Z305">
        <v>0</v>
      </c>
      <c r="AA305">
        <v>0</v>
      </c>
      <c r="AD305">
        <v>0</v>
      </c>
      <c r="AE305">
        <v>0</v>
      </c>
      <c r="AH305" t="s">
        <v>73</v>
      </c>
      <c r="AI305" t="s">
        <v>318</v>
      </c>
      <c r="AJ305" t="s">
        <v>319</v>
      </c>
      <c r="AK305" t="s">
        <v>76</v>
      </c>
      <c r="AN305" t="s">
        <v>77</v>
      </c>
      <c r="AO305" t="s">
        <v>320</v>
      </c>
      <c r="AP305" t="s">
        <v>418</v>
      </c>
      <c r="AQ305" t="s">
        <v>322</v>
      </c>
      <c r="AS305" t="b">
        <v>1</v>
      </c>
      <c r="AT305" t="s">
        <v>65</v>
      </c>
      <c r="AU305">
        <v>0</v>
      </c>
      <c r="AV305">
        <v>0</v>
      </c>
      <c r="AX305">
        <v>39</v>
      </c>
      <c r="AY305" t="s">
        <v>81</v>
      </c>
      <c r="AZ305" t="s">
        <v>90</v>
      </c>
      <c r="BB305" t="s">
        <v>91</v>
      </c>
      <c r="BC305" t="s">
        <v>92</v>
      </c>
      <c r="BD305" t="b">
        <v>0</v>
      </c>
      <c r="BE305" t="b">
        <v>0</v>
      </c>
      <c r="BF305" t="b">
        <v>0</v>
      </c>
      <c r="BG305" t="b">
        <v>0</v>
      </c>
      <c r="BH305" t="b">
        <v>0</v>
      </c>
      <c r="BI305" t="b">
        <v>0</v>
      </c>
      <c r="BJ305" t="b">
        <v>0</v>
      </c>
      <c r="BK305" t="b">
        <v>0</v>
      </c>
      <c r="BL305" t="b">
        <v>0</v>
      </c>
      <c r="BM305" t="b">
        <v>0</v>
      </c>
      <c r="BN305" t="b">
        <v>0</v>
      </c>
      <c r="BO305" t="b">
        <v>0</v>
      </c>
      <c r="BP305" t="b">
        <v>0</v>
      </c>
      <c r="BR305" t="b">
        <f>IFERROR(IF(M305="PASSED",VLOOKUP(J305,Current!$J$1:$N$500,1,FALSE)),N305)</f>
        <v>0</v>
      </c>
    </row>
    <row r="306" spans="1:70" ht="15" customHeight="1" x14ac:dyDescent="0.25">
      <c r="A306">
        <v>21156</v>
      </c>
      <c r="C306">
        <v>0</v>
      </c>
      <c r="D306" t="s">
        <v>65</v>
      </c>
      <c r="E306" t="s">
        <v>66</v>
      </c>
      <c r="F306" t="s">
        <v>84</v>
      </c>
      <c r="G306">
        <v>0</v>
      </c>
      <c r="H306" t="s">
        <v>85</v>
      </c>
      <c r="I306" t="s">
        <v>86</v>
      </c>
      <c r="J306" t="str">
        <f>MID($N306,FIND("1.",$N306),FIND("-",$N306)-FIND("1.",$N306)-1)</f>
        <v>1.0305</v>
      </c>
      <c r="K306" t="str">
        <f t="shared" si="12"/>
        <v>(L1) Ensure Configure the behavior of the sudo command is set to Enabled</v>
      </c>
      <c r="L306" t="str">
        <f t="shared" si="13"/>
        <v>1.0305 - MSWRK - (L1) Ensure Configure the behavior of the sudo command is set to Enabled: Disabled - Sudo</v>
      </c>
      <c r="M306" t="str">
        <f t="shared" si="14"/>
        <v>PASSED</v>
      </c>
      <c r="N306" s="1" t="s">
        <v>626</v>
      </c>
      <c r="O306" t="s">
        <v>67</v>
      </c>
      <c r="R306" t="s">
        <v>68</v>
      </c>
      <c r="T306" t="s">
        <v>69</v>
      </c>
      <c r="U306" t="s">
        <v>70</v>
      </c>
      <c r="W306" t="s">
        <v>71</v>
      </c>
      <c r="X306" s="1" t="s">
        <v>72</v>
      </c>
      <c r="Y306" t="s">
        <v>88</v>
      </c>
      <c r="Z306">
        <v>0</v>
      </c>
      <c r="AA306">
        <v>0</v>
      </c>
      <c r="AD306">
        <v>0</v>
      </c>
      <c r="AE306">
        <v>0</v>
      </c>
      <c r="AH306" t="s">
        <v>73</v>
      </c>
      <c r="AI306" t="s">
        <v>318</v>
      </c>
      <c r="AJ306" t="s">
        <v>319</v>
      </c>
      <c r="AK306" t="s">
        <v>76</v>
      </c>
      <c r="AN306" t="s">
        <v>77</v>
      </c>
      <c r="AO306" t="s">
        <v>320</v>
      </c>
      <c r="AP306" t="s">
        <v>625</v>
      </c>
      <c r="AQ306" t="s">
        <v>322</v>
      </c>
      <c r="AS306" t="b">
        <v>1</v>
      </c>
      <c r="AT306" t="s">
        <v>65</v>
      </c>
      <c r="AU306">
        <v>0</v>
      </c>
      <c r="AV306">
        <v>0</v>
      </c>
      <c r="AX306">
        <v>39</v>
      </c>
      <c r="AY306" t="s">
        <v>81</v>
      </c>
      <c r="AZ306" t="s">
        <v>90</v>
      </c>
      <c r="BB306" t="s">
        <v>91</v>
      </c>
      <c r="BC306" t="s">
        <v>92</v>
      </c>
      <c r="BD306" t="b">
        <v>0</v>
      </c>
      <c r="BE306" t="b">
        <v>0</v>
      </c>
      <c r="BF306" t="b">
        <v>0</v>
      </c>
      <c r="BG306" t="b">
        <v>0</v>
      </c>
      <c r="BH306" t="b">
        <v>0</v>
      </c>
      <c r="BI306" t="b">
        <v>0</v>
      </c>
      <c r="BJ306" t="b">
        <v>0</v>
      </c>
      <c r="BK306" t="b">
        <v>0</v>
      </c>
      <c r="BL306" t="b">
        <v>0</v>
      </c>
      <c r="BM306" t="b">
        <v>0</v>
      </c>
      <c r="BN306" t="b">
        <v>0</v>
      </c>
      <c r="BO306" t="b">
        <v>0</v>
      </c>
      <c r="BP306" t="b">
        <v>0</v>
      </c>
      <c r="BR306" t="str">
        <f>IFERROR(IF(M306="PASSED",VLOOKUP(J306,Current!$J$1:$N$500,1,FALSE)),N306)</f>
        <v>"1.0305 - MSWRK - (L1) Ensure Configure the behavior of the sudo command is set to Enabled: Disabled - Sudo: [PASSED]"
This policy setting configures the use of the sudo.
See Also:
See HTH Policies and Standards
Reference:
NIST 800-53r5|CM-7b.
Policy Value:
'0'
Actual Value:
'0'</v>
      </c>
    </row>
    <row r="307" spans="1:70" ht="15" hidden="1" customHeight="1" x14ac:dyDescent="0.25">
      <c r="A307">
        <v>21156</v>
      </c>
      <c r="C307">
        <v>0</v>
      </c>
      <c r="D307" t="s">
        <v>83</v>
      </c>
      <c r="E307" t="s">
        <v>66</v>
      </c>
      <c r="F307" t="s">
        <v>84</v>
      </c>
      <c r="G307">
        <v>0</v>
      </c>
      <c r="H307" t="s">
        <v>85</v>
      </c>
      <c r="I307" t="s">
        <v>86</v>
      </c>
      <c r="J307" t="str">
        <f>MID($N307,FIND("1.",$N307),FIND("-",$N307)-FIND("1.",$N307)-1)</f>
        <v>1.0306</v>
      </c>
      <c r="K307" t="str">
        <f t="shared" si="12"/>
        <v>Ensure Turn On Virtualization Based Security</v>
      </c>
      <c r="L307" t="str">
        <f t="shared" si="13"/>
        <v>1.0306 - MSWRK - Ensure Turn On Virtualization Based Security: Credential Guard Configuration is set to Enabled with UEFI lock</v>
      </c>
      <c r="M307" t="str">
        <f t="shared" si="14"/>
        <v>FAILED</v>
      </c>
      <c r="N307" s="1" t="s">
        <v>471</v>
      </c>
      <c r="O307" t="s">
        <v>67</v>
      </c>
      <c r="R307" t="s">
        <v>68</v>
      </c>
      <c r="T307" t="s">
        <v>69</v>
      </c>
      <c r="U307" t="s">
        <v>70</v>
      </c>
      <c r="W307" t="s">
        <v>71</v>
      </c>
      <c r="X307" s="1" t="s">
        <v>72</v>
      </c>
      <c r="Y307" t="s">
        <v>88</v>
      </c>
      <c r="Z307">
        <v>0</v>
      </c>
      <c r="AA307">
        <v>0</v>
      </c>
      <c r="AD307">
        <v>0</v>
      </c>
      <c r="AE307">
        <v>0</v>
      </c>
      <c r="AH307" t="s">
        <v>73</v>
      </c>
      <c r="AI307" t="s">
        <v>318</v>
      </c>
      <c r="AJ307" t="s">
        <v>319</v>
      </c>
      <c r="AK307" t="s">
        <v>76</v>
      </c>
      <c r="AN307" t="s">
        <v>77</v>
      </c>
      <c r="AO307" t="s">
        <v>320</v>
      </c>
      <c r="AP307" t="s">
        <v>472</v>
      </c>
      <c r="AQ307" t="s">
        <v>322</v>
      </c>
      <c r="AS307" t="b">
        <v>1</v>
      </c>
      <c r="AT307" t="s">
        <v>65</v>
      </c>
      <c r="AU307">
        <v>0</v>
      </c>
      <c r="AV307">
        <v>0</v>
      </c>
      <c r="AX307">
        <v>39</v>
      </c>
      <c r="AY307" t="s">
        <v>81</v>
      </c>
      <c r="AZ307" t="s">
        <v>90</v>
      </c>
      <c r="BB307" t="s">
        <v>91</v>
      </c>
      <c r="BC307" t="s">
        <v>92</v>
      </c>
      <c r="BD307" t="b">
        <v>0</v>
      </c>
      <c r="BE307" t="b">
        <v>0</v>
      </c>
      <c r="BF307" t="b">
        <v>0</v>
      </c>
      <c r="BG307" t="b">
        <v>0</v>
      </c>
      <c r="BH307" t="b">
        <v>0</v>
      </c>
      <c r="BI307" t="b">
        <v>0</v>
      </c>
      <c r="BJ307" t="b">
        <v>0</v>
      </c>
      <c r="BK307" t="b">
        <v>0</v>
      </c>
      <c r="BL307" t="b">
        <v>0</v>
      </c>
      <c r="BM307" t="b">
        <v>0</v>
      </c>
      <c r="BN307" t="b">
        <v>0</v>
      </c>
      <c r="BO307" t="b">
        <v>0</v>
      </c>
      <c r="BP307" t="b">
        <v>0</v>
      </c>
      <c r="BR307" t="b">
        <f>IFERROR(IF(M307="PASSED",VLOOKUP(J307,Current!$J$1:$N$500,1,FALSE)),N307)</f>
        <v>0</v>
      </c>
    </row>
    <row r="308" spans="1:70" ht="15" hidden="1" customHeight="1" x14ac:dyDescent="0.25">
      <c r="A308">
        <v>21156</v>
      </c>
      <c r="C308">
        <v>0</v>
      </c>
      <c r="D308" t="s">
        <v>83</v>
      </c>
      <c r="E308" t="s">
        <v>66</v>
      </c>
      <c r="F308" t="s">
        <v>84</v>
      </c>
      <c r="G308">
        <v>0</v>
      </c>
      <c r="H308" t="s">
        <v>85</v>
      </c>
      <c r="I308" t="s">
        <v>86</v>
      </c>
      <c r="J308" t="str">
        <f>MID($N308,FIND("1.",$N308),FIND("-",$N308)-FIND("1.",$N308)-1)</f>
        <v>1.0307</v>
      </c>
      <c r="K308" t="str">
        <f t="shared" si="12"/>
        <v>Ensure Turn On Virtualization Based Security</v>
      </c>
      <c r="L308" t="str">
        <f t="shared" si="13"/>
        <v>1.0307 - MSWRK - Ensure Turn On Virtualization Based Security: Secure Launch Configuration is set to Enabled</v>
      </c>
      <c r="M308" t="str">
        <f t="shared" si="14"/>
        <v>FAILED</v>
      </c>
      <c r="N308" s="1" t="s">
        <v>570</v>
      </c>
      <c r="O308" t="s">
        <v>67</v>
      </c>
      <c r="R308" t="s">
        <v>68</v>
      </c>
      <c r="T308" t="s">
        <v>69</v>
      </c>
      <c r="U308" t="s">
        <v>70</v>
      </c>
      <c r="W308" t="s">
        <v>71</v>
      </c>
      <c r="X308" s="1" t="s">
        <v>72</v>
      </c>
      <c r="Y308" t="s">
        <v>88</v>
      </c>
      <c r="Z308">
        <v>0</v>
      </c>
      <c r="AA308">
        <v>0</v>
      </c>
      <c r="AD308">
        <v>0</v>
      </c>
      <c r="AE308">
        <v>0</v>
      </c>
      <c r="AH308" t="s">
        <v>73</v>
      </c>
      <c r="AI308" t="s">
        <v>318</v>
      </c>
      <c r="AJ308" t="s">
        <v>319</v>
      </c>
      <c r="AK308" t="s">
        <v>76</v>
      </c>
      <c r="AN308" t="s">
        <v>77</v>
      </c>
      <c r="AO308" t="s">
        <v>320</v>
      </c>
      <c r="AP308" t="s">
        <v>571</v>
      </c>
      <c r="AQ308" t="s">
        <v>322</v>
      </c>
      <c r="AS308" t="b">
        <v>1</v>
      </c>
      <c r="AT308" t="s">
        <v>65</v>
      </c>
      <c r="AU308">
        <v>0</v>
      </c>
      <c r="AV308">
        <v>0</v>
      </c>
      <c r="AX308">
        <v>39</v>
      </c>
      <c r="AY308" t="s">
        <v>81</v>
      </c>
      <c r="AZ308" t="s">
        <v>90</v>
      </c>
      <c r="BB308" t="s">
        <v>91</v>
      </c>
      <c r="BC308" t="s">
        <v>92</v>
      </c>
      <c r="BD308" t="b">
        <v>0</v>
      </c>
      <c r="BE308" t="b">
        <v>0</v>
      </c>
      <c r="BF308" t="b">
        <v>0</v>
      </c>
      <c r="BG308" t="b">
        <v>0</v>
      </c>
      <c r="BH308" t="b">
        <v>0</v>
      </c>
      <c r="BI308" t="b">
        <v>0</v>
      </c>
      <c r="BJ308" t="b">
        <v>0</v>
      </c>
      <c r="BK308" t="b">
        <v>0</v>
      </c>
      <c r="BL308" t="b">
        <v>0</v>
      </c>
      <c r="BM308" t="b">
        <v>0</v>
      </c>
      <c r="BN308" t="b">
        <v>0</v>
      </c>
      <c r="BO308" t="b">
        <v>0</v>
      </c>
      <c r="BP308" t="b">
        <v>0</v>
      </c>
      <c r="BR308" t="b">
        <f>IFERROR(IF(M308="PASSED",VLOOKUP(J308,Current!$J$1:$N$500,1,FALSE)),N308)</f>
        <v>0</v>
      </c>
    </row>
    <row r="309" spans="1:70" ht="15" hidden="1" customHeight="1" x14ac:dyDescent="0.25">
      <c r="A309">
        <v>21156</v>
      </c>
      <c r="C309">
        <v>0</v>
      </c>
      <c r="D309" t="s">
        <v>83</v>
      </c>
      <c r="E309" t="s">
        <v>66</v>
      </c>
      <c r="F309" t="s">
        <v>84</v>
      </c>
      <c r="G309">
        <v>0</v>
      </c>
      <c r="H309" t="s">
        <v>85</v>
      </c>
      <c r="I309" t="s">
        <v>86</v>
      </c>
      <c r="J309" t="str">
        <f>MID($N309,FIND("1.",$N309),FIND("-",$N309)-FIND("1.",$N309)-1)</f>
        <v>1.0308</v>
      </c>
      <c r="K309" t="str">
        <f t="shared" si="12"/>
        <v>Ensure Turn On Virtualization Based Security</v>
      </c>
      <c r="L309" t="str">
        <f t="shared" si="13"/>
        <v>1.0308 - MSWRK - Ensure Turn On Virtualization Based Security: Kernel-mode Hardware-enforced Stack Protection is set to Enabled: Enabled in enforcement mode</v>
      </c>
      <c r="M309" t="str">
        <f t="shared" si="14"/>
        <v>FAILED</v>
      </c>
      <c r="N309" s="1" t="s">
        <v>709</v>
      </c>
      <c r="O309" t="s">
        <v>67</v>
      </c>
      <c r="R309" t="s">
        <v>68</v>
      </c>
      <c r="T309" t="s">
        <v>69</v>
      </c>
      <c r="U309" t="s">
        <v>70</v>
      </c>
      <c r="W309" t="s">
        <v>71</v>
      </c>
      <c r="X309" s="1" t="s">
        <v>72</v>
      </c>
      <c r="Y309" t="s">
        <v>88</v>
      </c>
      <c r="Z309">
        <v>0</v>
      </c>
      <c r="AA309">
        <v>0</v>
      </c>
      <c r="AD309">
        <v>0</v>
      </c>
      <c r="AE309">
        <v>0</v>
      </c>
      <c r="AH309" t="s">
        <v>73</v>
      </c>
      <c r="AI309" t="s">
        <v>318</v>
      </c>
      <c r="AJ309" t="s">
        <v>319</v>
      </c>
      <c r="AK309" t="s">
        <v>76</v>
      </c>
      <c r="AN309" t="s">
        <v>77</v>
      </c>
      <c r="AO309" t="s">
        <v>320</v>
      </c>
      <c r="AP309" t="s">
        <v>708</v>
      </c>
      <c r="AQ309" t="s">
        <v>322</v>
      </c>
      <c r="AS309" t="b">
        <v>1</v>
      </c>
      <c r="AT309" t="s">
        <v>65</v>
      </c>
      <c r="AU309">
        <v>0</v>
      </c>
      <c r="AV309">
        <v>0</v>
      </c>
      <c r="AX309">
        <v>39</v>
      </c>
      <c r="AY309" t="s">
        <v>81</v>
      </c>
      <c r="AZ309" t="s">
        <v>90</v>
      </c>
      <c r="BB309" t="s">
        <v>91</v>
      </c>
      <c r="BC309" t="s">
        <v>92</v>
      </c>
      <c r="BD309" t="b">
        <v>0</v>
      </c>
      <c r="BE309" t="b">
        <v>0</v>
      </c>
      <c r="BF309" t="b">
        <v>0</v>
      </c>
      <c r="BG309" t="b">
        <v>0</v>
      </c>
      <c r="BH309" t="b">
        <v>0</v>
      </c>
      <c r="BI309" t="b">
        <v>0</v>
      </c>
      <c r="BJ309" t="b">
        <v>0</v>
      </c>
      <c r="BK309" t="b">
        <v>0</v>
      </c>
      <c r="BL309" t="b">
        <v>0</v>
      </c>
      <c r="BM309" t="b">
        <v>0</v>
      </c>
      <c r="BN309" t="b">
        <v>0</v>
      </c>
      <c r="BO309" t="b">
        <v>0</v>
      </c>
      <c r="BP309" t="b">
        <v>0</v>
      </c>
      <c r="BR309" t="b">
        <f>IFERROR(IF(M309="PASSED",VLOOKUP(J309,Current!$J$1:$N$500,1,FALSE)),N309)</f>
        <v>0</v>
      </c>
    </row>
    <row r="310" spans="1:70" ht="15" hidden="1" customHeight="1" x14ac:dyDescent="0.25">
      <c r="A310">
        <v>21156</v>
      </c>
      <c r="C310">
        <v>0</v>
      </c>
      <c r="D310" t="s">
        <v>83</v>
      </c>
      <c r="E310" t="s">
        <v>66</v>
      </c>
      <c r="F310" t="s">
        <v>84</v>
      </c>
      <c r="G310">
        <v>0</v>
      </c>
      <c r="H310" t="s">
        <v>85</v>
      </c>
      <c r="I310" t="s">
        <v>86</v>
      </c>
      <c r="J310" t="str">
        <f>MID($N310,FIND("1.",$N310),FIND("-",$N310)-FIND("1.",$N310)-1)</f>
        <v>1.0309</v>
      </c>
      <c r="K310" t="str">
        <f t="shared" si="12"/>
        <v>Ensure Prevent installation of devices using drivers that match these device setup classes is set to Enabled</v>
      </c>
      <c r="L310" t="str">
        <f t="shared" si="13"/>
        <v>1.0309 - MSWRK - Ensure Prevent installation of devices using drivers that match these device setup classes is set to Enabled</v>
      </c>
      <c r="M310" t="str">
        <f t="shared" si="14"/>
        <v>FAILED</v>
      </c>
      <c r="N310" s="1" t="s">
        <v>419</v>
      </c>
      <c r="O310" t="s">
        <v>67</v>
      </c>
      <c r="R310" t="s">
        <v>68</v>
      </c>
      <c r="T310" t="s">
        <v>69</v>
      </c>
      <c r="U310" t="s">
        <v>70</v>
      </c>
      <c r="W310" t="s">
        <v>71</v>
      </c>
      <c r="X310" s="1" t="s">
        <v>72</v>
      </c>
      <c r="Y310" t="s">
        <v>88</v>
      </c>
      <c r="Z310">
        <v>0</v>
      </c>
      <c r="AA310">
        <v>0</v>
      </c>
      <c r="AD310">
        <v>0</v>
      </c>
      <c r="AE310">
        <v>0</v>
      </c>
      <c r="AH310" t="s">
        <v>73</v>
      </c>
      <c r="AI310" t="s">
        <v>318</v>
      </c>
      <c r="AJ310" t="s">
        <v>319</v>
      </c>
      <c r="AK310" t="s">
        <v>76</v>
      </c>
      <c r="AN310" t="s">
        <v>77</v>
      </c>
      <c r="AO310" t="s">
        <v>320</v>
      </c>
      <c r="AP310" t="s">
        <v>323</v>
      </c>
      <c r="AQ310" t="s">
        <v>322</v>
      </c>
      <c r="AS310" t="b">
        <v>1</v>
      </c>
      <c r="AT310" t="s">
        <v>65</v>
      </c>
      <c r="AU310">
        <v>0</v>
      </c>
      <c r="AV310">
        <v>0</v>
      </c>
      <c r="AX310">
        <v>39</v>
      </c>
      <c r="AY310" t="s">
        <v>81</v>
      </c>
      <c r="AZ310" t="s">
        <v>90</v>
      </c>
      <c r="BB310" t="s">
        <v>91</v>
      </c>
      <c r="BC310" t="s">
        <v>92</v>
      </c>
      <c r="BD310" t="b">
        <v>0</v>
      </c>
      <c r="BE310" t="b">
        <v>0</v>
      </c>
      <c r="BF310" t="b">
        <v>0</v>
      </c>
      <c r="BG310" t="b">
        <v>0</v>
      </c>
      <c r="BH310" t="b">
        <v>0</v>
      </c>
      <c r="BI310" t="b">
        <v>0</v>
      </c>
      <c r="BJ310" t="b">
        <v>0</v>
      </c>
      <c r="BK310" t="b">
        <v>0</v>
      </c>
      <c r="BL310" t="b">
        <v>0</v>
      </c>
      <c r="BM310" t="b">
        <v>0</v>
      </c>
      <c r="BN310" t="b">
        <v>0</v>
      </c>
      <c r="BO310" t="b">
        <v>0</v>
      </c>
      <c r="BP310" t="b">
        <v>0</v>
      </c>
      <c r="BR310" t="b">
        <f>IFERROR(IF(M310="PASSED",VLOOKUP(J310,Current!$J$1:$N$500,1,FALSE)),N310)</f>
        <v>0</v>
      </c>
    </row>
    <row r="311" spans="1:70" ht="15" hidden="1" customHeight="1" x14ac:dyDescent="0.25">
      <c r="A311">
        <v>21156</v>
      </c>
      <c r="C311">
        <v>0</v>
      </c>
      <c r="D311" t="s">
        <v>83</v>
      </c>
      <c r="E311" t="s">
        <v>66</v>
      </c>
      <c r="F311" t="s">
        <v>84</v>
      </c>
      <c r="G311">
        <v>0</v>
      </c>
      <c r="H311" t="s">
        <v>85</v>
      </c>
      <c r="I311" t="s">
        <v>86</v>
      </c>
      <c r="J311" t="str">
        <f>MID($N311,FIND("1.",$N311),FIND("-",$N311)-FIND("1.",$N311)-1)</f>
        <v>1.0310</v>
      </c>
      <c r="K311" t="str">
        <f t="shared" si="12"/>
        <v>Ensure Prevent installation of devices using drivers that match these device setup classes</v>
      </c>
      <c r="L311" t="str">
        <f t="shared" si="13"/>
        <v>1.0310 - MSWRK - Ensure Prevent installation of devices using drivers that match these device setup classes: Prevent installation of devices using drivers for these device setup is set to IEEE 1394 device setup classes</v>
      </c>
      <c r="M311" t="str">
        <f t="shared" si="14"/>
        <v>FAILED</v>
      </c>
      <c r="N311" s="1" t="s">
        <v>370</v>
      </c>
      <c r="O311" t="s">
        <v>67</v>
      </c>
      <c r="R311" t="s">
        <v>68</v>
      </c>
      <c r="T311" t="s">
        <v>69</v>
      </c>
      <c r="U311" t="s">
        <v>70</v>
      </c>
      <c r="W311" t="s">
        <v>71</v>
      </c>
      <c r="X311" s="1" t="s">
        <v>72</v>
      </c>
      <c r="Y311" t="s">
        <v>88</v>
      </c>
      <c r="Z311">
        <v>0</v>
      </c>
      <c r="AA311">
        <v>0</v>
      </c>
      <c r="AD311">
        <v>0</v>
      </c>
      <c r="AE311">
        <v>0</v>
      </c>
      <c r="AH311" t="s">
        <v>73</v>
      </c>
      <c r="AI311" t="s">
        <v>318</v>
      </c>
      <c r="AJ311" t="s">
        <v>319</v>
      </c>
      <c r="AK311" t="s">
        <v>76</v>
      </c>
      <c r="AN311" t="s">
        <v>77</v>
      </c>
      <c r="AO311" t="s">
        <v>320</v>
      </c>
      <c r="AP311" t="s">
        <v>369</v>
      </c>
      <c r="AQ311" t="s">
        <v>322</v>
      </c>
      <c r="AS311" t="b">
        <v>1</v>
      </c>
      <c r="AT311" t="s">
        <v>65</v>
      </c>
      <c r="AU311">
        <v>0</v>
      </c>
      <c r="AV311">
        <v>0</v>
      </c>
      <c r="AX311">
        <v>39</v>
      </c>
      <c r="AY311" t="s">
        <v>81</v>
      </c>
      <c r="AZ311" t="s">
        <v>90</v>
      </c>
      <c r="BB311" t="s">
        <v>91</v>
      </c>
      <c r="BC311" t="s">
        <v>92</v>
      </c>
      <c r="BD311" t="b">
        <v>0</v>
      </c>
      <c r="BE311" t="b">
        <v>0</v>
      </c>
      <c r="BF311" t="b">
        <v>0</v>
      </c>
      <c r="BG311" t="b">
        <v>0</v>
      </c>
      <c r="BH311" t="b">
        <v>0</v>
      </c>
      <c r="BI311" t="b">
        <v>0</v>
      </c>
      <c r="BJ311" t="b">
        <v>0</v>
      </c>
      <c r="BK311" t="b">
        <v>0</v>
      </c>
      <c r="BL311" t="b">
        <v>0</v>
      </c>
      <c r="BM311" t="b">
        <v>0</v>
      </c>
      <c r="BN311" t="b">
        <v>0</v>
      </c>
      <c r="BO311" t="b">
        <v>0</v>
      </c>
      <c r="BP311" t="b">
        <v>0</v>
      </c>
      <c r="BR311" t="b">
        <f>IFERROR(IF(M311="PASSED",VLOOKUP(J311,Current!$J$1:$N$500,1,FALSE)),N311)</f>
        <v>0</v>
      </c>
    </row>
    <row r="312" spans="1:70" ht="15" hidden="1" customHeight="1" x14ac:dyDescent="0.25">
      <c r="A312">
        <v>21156</v>
      </c>
      <c r="C312">
        <v>0</v>
      </c>
      <c r="D312" t="s">
        <v>83</v>
      </c>
      <c r="E312" t="s">
        <v>66</v>
      </c>
      <c r="F312" t="s">
        <v>84</v>
      </c>
      <c r="G312">
        <v>0</v>
      </c>
      <c r="H312" t="s">
        <v>85</v>
      </c>
      <c r="I312" t="s">
        <v>86</v>
      </c>
      <c r="J312" t="str">
        <f>MID($N312,FIND("1.",$N312),FIND("-",$N312)-FIND("1.",$N312)-1)</f>
        <v>1.0311</v>
      </c>
      <c r="K312" t="str">
        <f t="shared" si="12"/>
        <v>Ensure Prevent installation of devices using drivers that match these device setup classes</v>
      </c>
      <c r="L312" t="str">
        <f t="shared" si="13"/>
        <v>1.0311 - MSWRK - Ensure Prevent installation of devices using drivers that match these device setup classes: Also apply to matching devices that are already installed. is set to True (checked)</v>
      </c>
      <c r="M312" t="str">
        <f t="shared" si="14"/>
        <v>FAILED</v>
      </c>
      <c r="N312" s="1" t="s">
        <v>685</v>
      </c>
      <c r="O312" t="s">
        <v>67</v>
      </c>
      <c r="R312" t="s">
        <v>68</v>
      </c>
      <c r="T312" t="s">
        <v>69</v>
      </c>
      <c r="U312" t="s">
        <v>70</v>
      </c>
      <c r="W312" t="s">
        <v>71</v>
      </c>
      <c r="X312" s="1" t="s">
        <v>72</v>
      </c>
      <c r="Y312" t="s">
        <v>88</v>
      </c>
      <c r="Z312">
        <v>0</v>
      </c>
      <c r="AA312">
        <v>0</v>
      </c>
      <c r="AD312">
        <v>0</v>
      </c>
      <c r="AE312">
        <v>0</v>
      </c>
      <c r="AH312" t="s">
        <v>73</v>
      </c>
      <c r="AI312" t="s">
        <v>318</v>
      </c>
      <c r="AJ312" t="s">
        <v>319</v>
      </c>
      <c r="AK312" t="s">
        <v>76</v>
      </c>
      <c r="AN312" t="s">
        <v>77</v>
      </c>
      <c r="AO312" t="s">
        <v>320</v>
      </c>
      <c r="AP312" t="s">
        <v>684</v>
      </c>
      <c r="AQ312" t="s">
        <v>322</v>
      </c>
      <c r="AS312" t="b">
        <v>1</v>
      </c>
      <c r="AT312" t="s">
        <v>65</v>
      </c>
      <c r="AU312">
        <v>0</v>
      </c>
      <c r="AV312">
        <v>0</v>
      </c>
      <c r="AX312">
        <v>39</v>
      </c>
      <c r="AY312" t="s">
        <v>81</v>
      </c>
      <c r="AZ312" t="s">
        <v>90</v>
      </c>
      <c r="BB312" t="s">
        <v>91</v>
      </c>
      <c r="BC312" t="s">
        <v>92</v>
      </c>
      <c r="BD312" t="b">
        <v>0</v>
      </c>
      <c r="BE312" t="b">
        <v>0</v>
      </c>
      <c r="BF312" t="b">
        <v>0</v>
      </c>
      <c r="BG312" t="b">
        <v>0</v>
      </c>
      <c r="BH312" t="b">
        <v>0</v>
      </c>
      <c r="BI312" t="b">
        <v>0</v>
      </c>
      <c r="BJ312" t="b">
        <v>0</v>
      </c>
      <c r="BK312" t="b">
        <v>0</v>
      </c>
      <c r="BL312" t="b">
        <v>0</v>
      </c>
      <c r="BM312" t="b">
        <v>0</v>
      </c>
      <c r="BN312" t="b">
        <v>0</v>
      </c>
      <c r="BO312" t="b">
        <v>0</v>
      </c>
      <c r="BP312" t="b">
        <v>0</v>
      </c>
      <c r="BR312" t="b">
        <f>IFERROR(IF(M312="PASSED",VLOOKUP(J312,Current!$J$1:$N$500,1,FALSE)),N312)</f>
        <v>0</v>
      </c>
    </row>
    <row r="313" spans="1:70" ht="15" hidden="1" customHeight="1" x14ac:dyDescent="0.25">
      <c r="A313">
        <v>21156</v>
      </c>
      <c r="C313">
        <v>0</v>
      </c>
      <c r="D313" t="s">
        <v>83</v>
      </c>
      <c r="E313" t="s">
        <v>66</v>
      </c>
      <c r="F313" t="s">
        <v>84</v>
      </c>
      <c r="G313">
        <v>0</v>
      </c>
      <c r="H313" t="s">
        <v>85</v>
      </c>
      <c r="I313" t="s">
        <v>86</v>
      </c>
      <c r="J313" t="str">
        <f>MID($N313,FIND("1.",$N313),FIND("-",$N313)-FIND("1.",$N313)-1)</f>
        <v>1.0312</v>
      </c>
      <c r="K313" t="str">
        <f t="shared" si="12"/>
        <v>Ensure Prevent automatic download of applications associated with device metadata is set to Enabled</v>
      </c>
      <c r="L313" t="str">
        <f t="shared" si="13"/>
        <v>1.0312 - MSWRK - Ensure Prevent automatic download of applications associated with device metadata is set to Enabled</v>
      </c>
      <c r="M313" t="str">
        <f t="shared" si="14"/>
        <v>FAILED</v>
      </c>
      <c r="N313" s="1" t="s">
        <v>643</v>
      </c>
      <c r="O313" t="s">
        <v>67</v>
      </c>
      <c r="R313" t="s">
        <v>68</v>
      </c>
      <c r="T313" t="s">
        <v>69</v>
      </c>
      <c r="U313" t="s">
        <v>70</v>
      </c>
      <c r="W313" t="s">
        <v>71</v>
      </c>
      <c r="X313" s="1" t="s">
        <v>72</v>
      </c>
      <c r="Y313" t="s">
        <v>88</v>
      </c>
      <c r="Z313">
        <v>0</v>
      </c>
      <c r="AA313">
        <v>0</v>
      </c>
      <c r="AD313">
        <v>0</v>
      </c>
      <c r="AE313">
        <v>0</v>
      </c>
      <c r="AH313" t="s">
        <v>73</v>
      </c>
      <c r="AI313" t="s">
        <v>318</v>
      </c>
      <c r="AJ313" t="s">
        <v>319</v>
      </c>
      <c r="AK313" t="s">
        <v>76</v>
      </c>
      <c r="AN313" t="s">
        <v>77</v>
      </c>
      <c r="AO313" t="s">
        <v>320</v>
      </c>
      <c r="AP313" t="s">
        <v>644</v>
      </c>
      <c r="AQ313" t="s">
        <v>322</v>
      </c>
      <c r="AS313" t="b">
        <v>1</v>
      </c>
      <c r="AT313" t="s">
        <v>65</v>
      </c>
      <c r="AU313">
        <v>0</v>
      </c>
      <c r="AV313">
        <v>0</v>
      </c>
      <c r="AX313">
        <v>39</v>
      </c>
      <c r="AY313" t="s">
        <v>81</v>
      </c>
      <c r="AZ313" t="s">
        <v>90</v>
      </c>
      <c r="BB313" t="s">
        <v>91</v>
      </c>
      <c r="BC313" t="s">
        <v>92</v>
      </c>
      <c r="BD313" t="b">
        <v>0</v>
      </c>
      <c r="BE313" t="b">
        <v>0</v>
      </c>
      <c r="BF313" t="b">
        <v>0</v>
      </c>
      <c r="BG313" t="b">
        <v>0</v>
      </c>
      <c r="BH313" t="b">
        <v>0</v>
      </c>
      <c r="BI313" t="b">
        <v>0</v>
      </c>
      <c r="BJ313" t="b">
        <v>0</v>
      </c>
      <c r="BK313" t="b">
        <v>0</v>
      </c>
      <c r="BL313" t="b">
        <v>0</v>
      </c>
      <c r="BM313" t="b">
        <v>0</v>
      </c>
      <c r="BN313" t="b">
        <v>0</v>
      </c>
      <c r="BO313" t="b">
        <v>0</v>
      </c>
      <c r="BP313" t="b">
        <v>0</v>
      </c>
      <c r="BR313" t="b">
        <f>IFERROR(IF(M313="PASSED",VLOOKUP(J313,Current!$J$1:$N$500,1,FALSE)),N313)</f>
        <v>0</v>
      </c>
    </row>
    <row r="314" spans="1:70" ht="15" hidden="1" customHeight="1" x14ac:dyDescent="0.25">
      <c r="A314">
        <v>21156</v>
      </c>
      <c r="C314">
        <v>0</v>
      </c>
      <c r="D314" t="s">
        <v>83</v>
      </c>
      <c r="E314" t="s">
        <v>66</v>
      </c>
      <c r="F314" t="s">
        <v>84</v>
      </c>
      <c r="G314">
        <v>0</v>
      </c>
      <c r="H314" t="s">
        <v>85</v>
      </c>
      <c r="I314" t="s">
        <v>86</v>
      </c>
      <c r="J314" t="str">
        <f>MID($N314,FIND("1.",$N314),FIND("-",$N314)-FIND("1.",$N314)-1)</f>
        <v>1.0313</v>
      </c>
      <c r="K314" t="str">
        <f t="shared" si="12"/>
        <v>Ensure Turn off toast notifications on the lock screen is set to Enabled</v>
      </c>
      <c r="L314" t="str">
        <f t="shared" si="13"/>
        <v>1.0313 - MSWRK - Ensure Turn off toast notifications on the lock screen is set to Enabled</v>
      </c>
      <c r="M314" t="str">
        <f t="shared" si="14"/>
        <v>FAILED</v>
      </c>
      <c r="N314" s="1" t="s">
        <v>522</v>
      </c>
      <c r="O314" t="s">
        <v>67</v>
      </c>
      <c r="R314" t="s">
        <v>68</v>
      </c>
      <c r="T314" t="s">
        <v>69</v>
      </c>
      <c r="U314" t="s">
        <v>70</v>
      </c>
      <c r="W314" t="s">
        <v>71</v>
      </c>
      <c r="X314" s="1" t="s">
        <v>72</v>
      </c>
      <c r="Y314" t="s">
        <v>88</v>
      </c>
      <c r="Z314">
        <v>0</v>
      </c>
      <c r="AA314">
        <v>0</v>
      </c>
      <c r="AD314">
        <v>0</v>
      </c>
      <c r="AE314">
        <v>0</v>
      </c>
      <c r="AH314" t="s">
        <v>73</v>
      </c>
      <c r="AI314" t="s">
        <v>318</v>
      </c>
      <c r="AJ314" t="s">
        <v>319</v>
      </c>
      <c r="AK314" t="s">
        <v>76</v>
      </c>
      <c r="AN314" t="s">
        <v>77</v>
      </c>
      <c r="AO314" t="s">
        <v>320</v>
      </c>
      <c r="AP314" t="s">
        <v>520</v>
      </c>
      <c r="AQ314" t="s">
        <v>322</v>
      </c>
      <c r="AS314" t="b">
        <v>1</v>
      </c>
      <c r="AT314" t="s">
        <v>65</v>
      </c>
      <c r="AU314">
        <v>0</v>
      </c>
      <c r="AV314">
        <v>0</v>
      </c>
      <c r="AX314">
        <v>39</v>
      </c>
      <c r="AY314" t="s">
        <v>81</v>
      </c>
      <c r="AZ314" t="s">
        <v>90</v>
      </c>
      <c r="BB314" t="s">
        <v>91</v>
      </c>
      <c r="BC314" t="s">
        <v>92</v>
      </c>
      <c r="BD314" t="b">
        <v>0</v>
      </c>
      <c r="BE314" t="b">
        <v>0</v>
      </c>
      <c r="BF314" t="b">
        <v>0</v>
      </c>
      <c r="BG314" t="b">
        <v>0</v>
      </c>
      <c r="BH314" t="b">
        <v>0</v>
      </c>
      <c r="BI314" t="b">
        <v>0</v>
      </c>
      <c r="BJ314" t="b">
        <v>0</v>
      </c>
      <c r="BK314" t="b">
        <v>0</v>
      </c>
      <c r="BL314" t="b">
        <v>0</v>
      </c>
      <c r="BM314" t="b">
        <v>0</v>
      </c>
      <c r="BN314" t="b">
        <v>0</v>
      </c>
      <c r="BO314" t="b">
        <v>0</v>
      </c>
      <c r="BP314" t="b">
        <v>0</v>
      </c>
      <c r="BR314" t="b">
        <f>IFERROR(IF(M314="PASSED",VLOOKUP(J314,Current!$J$1:$N$500,1,FALSE)),N314)</f>
        <v>0</v>
      </c>
    </row>
    <row r="315" spans="1:70" ht="15" hidden="1" customHeight="1" x14ac:dyDescent="0.25">
      <c r="A315">
        <v>21156</v>
      </c>
      <c r="C315">
        <v>0</v>
      </c>
      <c r="D315" t="s">
        <v>83</v>
      </c>
      <c r="E315" t="s">
        <v>66</v>
      </c>
      <c r="F315" t="s">
        <v>84</v>
      </c>
      <c r="G315">
        <v>0</v>
      </c>
      <c r="H315" t="s">
        <v>85</v>
      </c>
      <c r="I315" t="s">
        <v>86</v>
      </c>
      <c r="J315" t="str">
        <f>MID($N315,FIND("1.",$N315),FIND("-",$N315)-FIND("1.",$N315)-1)</f>
        <v>1.0314</v>
      </c>
      <c r="K315" t="str">
        <f t="shared" si="12"/>
        <v>Ensure Prevent users from sharing files within their profile. is set to Enabled</v>
      </c>
      <c r="L315" t="str">
        <f t="shared" si="13"/>
        <v>1.0314 - MSWRK - Ensure Prevent users from sharing files within their profile. is set to Enabled</v>
      </c>
      <c r="M315" t="str">
        <f t="shared" si="14"/>
        <v>FAILED</v>
      </c>
      <c r="N315" s="1" t="s">
        <v>389</v>
      </c>
      <c r="O315" t="s">
        <v>67</v>
      </c>
      <c r="R315" t="s">
        <v>68</v>
      </c>
      <c r="T315" t="s">
        <v>69</v>
      </c>
      <c r="U315" t="s">
        <v>70</v>
      </c>
      <c r="W315" t="s">
        <v>71</v>
      </c>
      <c r="X315" s="1" t="s">
        <v>72</v>
      </c>
      <c r="Y315" t="s">
        <v>88</v>
      </c>
      <c r="Z315">
        <v>0</v>
      </c>
      <c r="AA315">
        <v>0</v>
      </c>
      <c r="AD315">
        <v>0</v>
      </c>
      <c r="AE315">
        <v>0</v>
      </c>
      <c r="AH315" t="s">
        <v>73</v>
      </c>
      <c r="AI315" t="s">
        <v>318</v>
      </c>
      <c r="AJ315" t="s">
        <v>319</v>
      </c>
      <c r="AK315" t="s">
        <v>76</v>
      </c>
      <c r="AN315" t="s">
        <v>77</v>
      </c>
      <c r="AO315" t="s">
        <v>320</v>
      </c>
      <c r="AP315" t="s">
        <v>388</v>
      </c>
      <c r="AQ315" t="s">
        <v>322</v>
      </c>
      <c r="AS315" t="b">
        <v>1</v>
      </c>
      <c r="AT315" t="s">
        <v>65</v>
      </c>
      <c r="AU315">
        <v>0</v>
      </c>
      <c r="AV315">
        <v>0</v>
      </c>
      <c r="AX315">
        <v>39</v>
      </c>
      <c r="AY315" t="s">
        <v>81</v>
      </c>
      <c r="AZ315" t="s">
        <v>90</v>
      </c>
      <c r="BB315" t="s">
        <v>91</v>
      </c>
      <c r="BC315" t="s">
        <v>92</v>
      </c>
      <c r="BD315" t="b">
        <v>0</v>
      </c>
      <c r="BE315" t="b">
        <v>0</v>
      </c>
      <c r="BF315" t="b">
        <v>0</v>
      </c>
      <c r="BG315" t="b">
        <v>0</v>
      </c>
      <c r="BH315" t="b">
        <v>0</v>
      </c>
      <c r="BI315" t="b">
        <v>0</v>
      </c>
      <c r="BJ315" t="b">
        <v>0</v>
      </c>
      <c r="BK315" t="b">
        <v>0</v>
      </c>
      <c r="BL315" t="b">
        <v>0</v>
      </c>
      <c r="BM315" t="b">
        <v>0</v>
      </c>
      <c r="BN315" t="b">
        <v>0</v>
      </c>
      <c r="BO315" t="b">
        <v>0</v>
      </c>
      <c r="BP315" t="b">
        <v>0</v>
      </c>
      <c r="BR315" t="b">
        <f>IFERROR(IF(M315="PASSED",VLOOKUP(J315,Current!$J$1:$N$500,1,FALSE)),N315)</f>
        <v>0</v>
      </c>
    </row>
    <row r="316" spans="1:70" ht="15" hidden="1" customHeight="1" x14ac:dyDescent="0.25">
      <c r="A316">
        <v>21156</v>
      </c>
      <c r="C316">
        <v>0</v>
      </c>
      <c r="D316" t="s">
        <v>83</v>
      </c>
      <c r="E316" t="s">
        <v>66</v>
      </c>
      <c r="F316" t="s">
        <v>84</v>
      </c>
      <c r="G316">
        <v>0</v>
      </c>
      <c r="H316" t="s">
        <v>85</v>
      </c>
      <c r="I316" t="s">
        <v>86</v>
      </c>
      <c r="J316" t="str">
        <f>MID($N316,FIND("1.",$N316),FIND("-",$N316)-FIND("1.",$N316)-1)</f>
        <v>1.0315</v>
      </c>
      <c r="K316" t="str">
        <f t="shared" si="12"/>
        <v>Ensure Do not preserve zone information in file attachments is set to Disabled</v>
      </c>
      <c r="L316" t="str">
        <f t="shared" si="13"/>
        <v>1.0315 - MSWRK - Ensure Do not preserve zone information in file attachments is set to Disabled</v>
      </c>
      <c r="M316" t="str">
        <f t="shared" si="14"/>
        <v>FAILED</v>
      </c>
      <c r="N316" s="1" t="s">
        <v>436</v>
      </c>
      <c r="O316" t="s">
        <v>67</v>
      </c>
      <c r="R316" t="s">
        <v>68</v>
      </c>
      <c r="T316" t="s">
        <v>69</v>
      </c>
      <c r="U316" t="s">
        <v>70</v>
      </c>
      <c r="W316" t="s">
        <v>71</v>
      </c>
      <c r="X316" s="1" t="s">
        <v>72</v>
      </c>
      <c r="Y316" t="s">
        <v>88</v>
      </c>
      <c r="Z316">
        <v>0</v>
      </c>
      <c r="AA316">
        <v>0</v>
      </c>
      <c r="AD316">
        <v>0</v>
      </c>
      <c r="AE316">
        <v>0</v>
      </c>
      <c r="AH316" t="s">
        <v>73</v>
      </c>
      <c r="AI316" t="s">
        <v>318</v>
      </c>
      <c r="AJ316" t="s">
        <v>319</v>
      </c>
      <c r="AK316" t="s">
        <v>76</v>
      </c>
      <c r="AN316" t="s">
        <v>77</v>
      </c>
      <c r="AO316" t="s">
        <v>320</v>
      </c>
      <c r="AP316" t="s">
        <v>435</v>
      </c>
      <c r="AQ316" t="s">
        <v>322</v>
      </c>
      <c r="AS316" t="b">
        <v>1</v>
      </c>
      <c r="AT316" t="s">
        <v>65</v>
      </c>
      <c r="AU316">
        <v>0</v>
      </c>
      <c r="AV316">
        <v>0</v>
      </c>
      <c r="AX316">
        <v>39</v>
      </c>
      <c r="AY316" t="s">
        <v>81</v>
      </c>
      <c r="AZ316" t="s">
        <v>90</v>
      </c>
      <c r="BB316" t="s">
        <v>91</v>
      </c>
      <c r="BC316" t="s">
        <v>92</v>
      </c>
      <c r="BD316" t="b">
        <v>0</v>
      </c>
      <c r="BE316" t="b">
        <v>0</v>
      </c>
      <c r="BF316" t="b">
        <v>0</v>
      </c>
      <c r="BG316" t="b">
        <v>0</v>
      </c>
      <c r="BH316" t="b">
        <v>0</v>
      </c>
      <c r="BI316" t="b">
        <v>0</v>
      </c>
      <c r="BJ316" t="b">
        <v>0</v>
      </c>
      <c r="BK316" t="b">
        <v>0</v>
      </c>
      <c r="BL316" t="b">
        <v>0</v>
      </c>
      <c r="BM316" t="b">
        <v>0</v>
      </c>
      <c r="BN316" t="b">
        <v>0</v>
      </c>
      <c r="BO316" t="b">
        <v>0</v>
      </c>
      <c r="BP316" t="b">
        <v>0</v>
      </c>
      <c r="BR316" t="b">
        <f>IFERROR(IF(M316="PASSED",VLOOKUP(J316,Current!$J$1:$N$500,1,FALSE)),N316)</f>
        <v>0</v>
      </c>
    </row>
    <row r="317" spans="1:70" ht="15" hidden="1" customHeight="1" x14ac:dyDescent="0.25">
      <c r="A317">
        <v>21156</v>
      </c>
      <c r="C317">
        <v>0</v>
      </c>
      <c r="D317" t="s">
        <v>83</v>
      </c>
      <c r="E317" t="s">
        <v>66</v>
      </c>
      <c r="F317" t="s">
        <v>84</v>
      </c>
      <c r="G317">
        <v>0</v>
      </c>
      <c r="H317" t="s">
        <v>85</v>
      </c>
      <c r="I317" t="s">
        <v>86</v>
      </c>
      <c r="J317" t="str">
        <f>MID($N317,FIND("1.",$N317),FIND("-",$N317)-FIND("1.",$N317)-1)</f>
        <v>1.0316</v>
      </c>
      <c r="K317" t="str">
        <f t="shared" si="12"/>
        <v>Ensure Notify antivirus programs when opening attachments is set to Enabled</v>
      </c>
      <c r="L317" t="str">
        <f t="shared" si="13"/>
        <v>1.0316 - MSWRK - Ensure Notify antivirus programs when opening attachments is set to Enabled</v>
      </c>
      <c r="M317" t="str">
        <f t="shared" si="14"/>
        <v>FAILED</v>
      </c>
      <c r="N317" s="1" t="s">
        <v>469</v>
      </c>
      <c r="O317" t="s">
        <v>67</v>
      </c>
      <c r="R317" t="s">
        <v>68</v>
      </c>
      <c r="T317" t="s">
        <v>69</v>
      </c>
      <c r="U317" t="s">
        <v>70</v>
      </c>
      <c r="W317" t="s">
        <v>71</v>
      </c>
      <c r="X317" s="1" t="s">
        <v>72</v>
      </c>
      <c r="Y317" t="s">
        <v>88</v>
      </c>
      <c r="Z317">
        <v>0</v>
      </c>
      <c r="AA317">
        <v>0</v>
      </c>
      <c r="AD317">
        <v>0</v>
      </c>
      <c r="AE317">
        <v>0</v>
      </c>
      <c r="AH317" t="s">
        <v>73</v>
      </c>
      <c r="AI317" t="s">
        <v>318</v>
      </c>
      <c r="AJ317" t="s">
        <v>319</v>
      </c>
      <c r="AK317" t="s">
        <v>76</v>
      </c>
      <c r="AN317" t="s">
        <v>77</v>
      </c>
      <c r="AO317" t="s">
        <v>320</v>
      </c>
      <c r="AP317" t="s">
        <v>468</v>
      </c>
      <c r="AQ317" t="s">
        <v>322</v>
      </c>
      <c r="AS317" t="b">
        <v>1</v>
      </c>
      <c r="AT317" t="s">
        <v>65</v>
      </c>
      <c r="AU317">
        <v>0</v>
      </c>
      <c r="AV317">
        <v>0</v>
      </c>
      <c r="AX317">
        <v>39</v>
      </c>
      <c r="AY317" t="s">
        <v>81</v>
      </c>
      <c r="AZ317" t="s">
        <v>90</v>
      </c>
      <c r="BB317" t="s">
        <v>91</v>
      </c>
      <c r="BC317" t="s">
        <v>92</v>
      </c>
      <c r="BD317" t="b">
        <v>0</v>
      </c>
      <c r="BE317" t="b">
        <v>0</v>
      </c>
      <c r="BF317" t="b">
        <v>0</v>
      </c>
      <c r="BG317" t="b">
        <v>0</v>
      </c>
      <c r="BH317" t="b">
        <v>0</v>
      </c>
      <c r="BI317" t="b">
        <v>0</v>
      </c>
      <c r="BJ317" t="b">
        <v>0</v>
      </c>
      <c r="BK317" t="b">
        <v>0</v>
      </c>
      <c r="BL317" t="b">
        <v>0</v>
      </c>
      <c r="BM317" t="b">
        <v>0</v>
      </c>
      <c r="BN317" t="b">
        <v>0</v>
      </c>
      <c r="BO317" t="b">
        <v>0</v>
      </c>
      <c r="BP317" t="b">
        <v>0</v>
      </c>
      <c r="BR317" t="b">
        <f>IFERROR(IF(M317="PASSED",VLOOKUP(J317,Current!$J$1:$N$500,1,FALSE)),N317)</f>
        <v>0</v>
      </c>
    </row>
    <row r="318" spans="1:70" ht="15" hidden="1" customHeight="1" x14ac:dyDescent="0.25">
      <c r="A318">
        <v>21156</v>
      </c>
      <c r="C318">
        <v>0</v>
      </c>
      <c r="D318" t="s">
        <v>83</v>
      </c>
      <c r="E318" t="s">
        <v>66</v>
      </c>
      <c r="F318" t="s">
        <v>84</v>
      </c>
      <c r="G318">
        <v>0</v>
      </c>
      <c r="H318" t="s">
        <v>85</v>
      </c>
      <c r="I318" t="s">
        <v>86</v>
      </c>
      <c r="J318" t="str">
        <f>MID($N318,FIND("1.",$N318),FIND("-",$N318)-FIND("1.",$N318)-1)</f>
        <v>1.0317</v>
      </c>
      <c r="K318" t="str">
        <f t="shared" si="12"/>
        <v>Ensure Configure Windows spotlight on lock screen is set to Disabled</v>
      </c>
      <c r="L318" t="str">
        <f t="shared" si="13"/>
        <v>1.0317 - MSWRK - Ensure Configure Windows spotlight on lock screen is set to Disabled</v>
      </c>
      <c r="M318" t="str">
        <f t="shared" si="14"/>
        <v>FAILED</v>
      </c>
      <c r="N318" s="1" t="s">
        <v>549</v>
      </c>
      <c r="O318" t="s">
        <v>67</v>
      </c>
      <c r="R318" t="s">
        <v>68</v>
      </c>
      <c r="T318" t="s">
        <v>69</v>
      </c>
      <c r="U318" t="s">
        <v>70</v>
      </c>
      <c r="W318" t="s">
        <v>71</v>
      </c>
      <c r="X318" s="1" t="s">
        <v>72</v>
      </c>
      <c r="Y318" t="s">
        <v>88</v>
      </c>
      <c r="Z318">
        <v>0</v>
      </c>
      <c r="AA318">
        <v>0</v>
      </c>
      <c r="AD318">
        <v>0</v>
      </c>
      <c r="AE318">
        <v>0</v>
      </c>
      <c r="AH318" t="s">
        <v>73</v>
      </c>
      <c r="AI318" t="s">
        <v>318</v>
      </c>
      <c r="AJ318" t="s">
        <v>319</v>
      </c>
      <c r="AK318" t="s">
        <v>76</v>
      </c>
      <c r="AN318" t="s">
        <v>77</v>
      </c>
      <c r="AO318" t="s">
        <v>320</v>
      </c>
      <c r="AP318" t="s">
        <v>548</v>
      </c>
      <c r="AQ318" t="s">
        <v>322</v>
      </c>
      <c r="AS318" t="b">
        <v>1</v>
      </c>
      <c r="AT318" t="s">
        <v>65</v>
      </c>
      <c r="AU318">
        <v>0</v>
      </c>
      <c r="AV318">
        <v>0</v>
      </c>
      <c r="AX318">
        <v>39</v>
      </c>
      <c r="AY318" t="s">
        <v>81</v>
      </c>
      <c r="AZ318" t="s">
        <v>90</v>
      </c>
      <c r="BB318" t="s">
        <v>91</v>
      </c>
      <c r="BC318" t="s">
        <v>92</v>
      </c>
      <c r="BD318" t="b">
        <v>0</v>
      </c>
      <c r="BE318" t="b">
        <v>0</v>
      </c>
      <c r="BF318" t="b">
        <v>0</v>
      </c>
      <c r="BG318" t="b">
        <v>0</v>
      </c>
      <c r="BH318" t="b">
        <v>0</v>
      </c>
      <c r="BI318" t="b">
        <v>0</v>
      </c>
      <c r="BJ318" t="b">
        <v>0</v>
      </c>
      <c r="BK318" t="b">
        <v>0</v>
      </c>
      <c r="BL318" t="b">
        <v>0</v>
      </c>
      <c r="BM318" t="b">
        <v>0</v>
      </c>
      <c r="BN318" t="b">
        <v>0</v>
      </c>
      <c r="BO318" t="b">
        <v>0</v>
      </c>
      <c r="BP318" t="b">
        <v>0</v>
      </c>
      <c r="BR318" t="b">
        <f>IFERROR(IF(M318="PASSED",VLOOKUP(J318,Current!$J$1:$N$500,1,FALSE)),N318)</f>
        <v>0</v>
      </c>
    </row>
    <row r="319" spans="1:70" ht="15" hidden="1" customHeight="1" x14ac:dyDescent="0.25">
      <c r="A319">
        <v>21156</v>
      </c>
      <c r="C319">
        <v>0</v>
      </c>
      <c r="D319" t="s">
        <v>83</v>
      </c>
      <c r="E319" t="s">
        <v>66</v>
      </c>
      <c r="F319" t="s">
        <v>84</v>
      </c>
      <c r="G319">
        <v>0</v>
      </c>
      <c r="H319" t="s">
        <v>85</v>
      </c>
      <c r="I319" t="s">
        <v>86</v>
      </c>
      <c r="J319" t="str">
        <f>MID($N319,FIND("1.",$N319),FIND("-",$N319)-FIND("1.",$N319)-1)</f>
        <v>1.0318</v>
      </c>
      <c r="K319" t="str">
        <f t="shared" si="12"/>
        <v>Ensure Do not suggest third-party content in Windows spotlight is set to Enabled</v>
      </c>
      <c r="L319" t="str">
        <f t="shared" si="13"/>
        <v>1.0318 - MSWRK - Ensure Do not suggest third-party content in Windows spotlight is set to Enabled</v>
      </c>
      <c r="M319" t="str">
        <f t="shared" si="14"/>
        <v>FAILED</v>
      </c>
      <c r="N319" s="1" t="s">
        <v>447</v>
      </c>
      <c r="O319" t="s">
        <v>67</v>
      </c>
      <c r="R319" t="s">
        <v>68</v>
      </c>
      <c r="T319" t="s">
        <v>69</v>
      </c>
      <c r="U319" t="s">
        <v>70</v>
      </c>
      <c r="W319" t="s">
        <v>71</v>
      </c>
      <c r="X319" s="1" t="s">
        <v>72</v>
      </c>
      <c r="Y319" t="s">
        <v>88</v>
      </c>
      <c r="Z319">
        <v>0</v>
      </c>
      <c r="AA319">
        <v>0</v>
      </c>
      <c r="AD319">
        <v>0</v>
      </c>
      <c r="AE319">
        <v>0</v>
      </c>
      <c r="AH319" t="s">
        <v>73</v>
      </c>
      <c r="AI319" t="s">
        <v>318</v>
      </c>
      <c r="AJ319" t="s">
        <v>319</v>
      </c>
      <c r="AK319" t="s">
        <v>76</v>
      </c>
      <c r="AN319" t="s">
        <v>77</v>
      </c>
      <c r="AO319" t="s">
        <v>320</v>
      </c>
      <c r="AP319" t="s">
        <v>446</v>
      </c>
      <c r="AQ319" t="s">
        <v>322</v>
      </c>
      <c r="AS319" t="b">
        <v>1</v>
      </c>
      <c r="AT319" t="s">
        <v>65</v>
      </c>
      <c r="AU319">
        <v>0</v>
      </c>
      <c r="AV319">
        <v>0</v>
      </c>
      <c r="AX319">
        <v>39</v>
      </c>
      <c r="AY319" t="s">
        <v>81</v>
      </c>
      <c r="AZ319" t="s">
        <v>90</v>
      </c>
      <c r="BB319" t="s">
        <v>91</v>
      </c>
      <c r="BC319" t="s">
        <v>92</v>
      </c>
      <c r="BD319" t="b">
        <v>0</v>
      </c>
      <c r="BE319" t="b">
        <v>0</v>
      </c>
      <c r="BF319" t="b">
        <v>0</v>
      </c>
      <c r="BG319" t="b">
        <v>0</v>
      </c>
      <c r="BH319" t="b">
        <v>0</v>
      </c>
      <c r="BI319" t="b">
        <v>0</v>
      </c>
      <c r="BJ319" t="b">
        <v>0</v>
      </c>
      <c r="BK319" t="b">
        <v>0</v>
      </c>
      <c r="BL319" t="b">
        <v>0</v>
      </c>
      <c r="BM319" t="b">
        <v>0</v>
      </c>
      <c r="BN319" t="b">
        <v>0</v>
      </c>
      <c r="BO319" t="b">
        <v>0</v>
      </c>
      <c r="BP319" t="b">
        <v>0</v>
      </c>
      <c r="BR319" t="b">
        <f>IFERROR(IF(M319="PASSED",VLOOKUP(J319,Current!$J$1:$N$500,1,FALSE)),N319)</f>
        <v>0</v>
      </c>
    </row>
    <row r="320" spans="1:70" ht="15" hidden="1" customHeight="1" x14ac:dyDescent="0.25">
      <c r="A320">
        <v>21156</v>
      </c>
      <c r="C320">
        <v>0</v>
      </c>
      <c r="D320" t="s">
        <v>83</v>
      </c>
      <c r="E320" t="s">
        <v>66</v>
      </c>
      <c r="F320" t="s">
        <v>84</v>
      </c>
      <c r="G320">
        <v>0</v>
      </c>
      <c r="H320" t="s">
        <v>85</v>
      </c>
      <c r="I320" t="s">
        <v>86</v>
      </c>
      <c r="J320" t="str">
        <f>MID($N320,FIND("1.",$N320),FIND("-",$N320)-FIND("1.",$N320)-1)</f>
        <v>1.0319</v>
      </c>
      <c r="K320" t="str">
        <f t="shared" si="12"/>
        <v>Ensure Turn off Spotlight collection on Desktop is set to Enabled</v>
      </c>
      <c r="L320" t="str">
        <f t="shared" si="13"/>
        <v>1.0319 - MSWRK - Ensure Turn off Spotlight collection on Desktop is set to Enabled</v>
      </c>
      <c r="M320" t="str">
        <f t="shared" si="14"/>
        <v>FAILED</v>
      </c>
      <c r="N320" s="1" t="s">
        <v>521</v>
      </c>
      <c r="O320" t="s">
        <v>67</v>
      </c>
      <c r="R320" t="s">
        <v>68</v>
      </c>
      <c r="T320" t="s">
        <v>69</v>
      </c>
      <c r="U320" t="s">
        <v>70</v>
      </c>
      <c r="W320" t="s">
        <v>71</v>
      </c>
      <c r="X320" s="1" t="s">
        <v>72</v>
      </c>
      <c r="Y320" t="s">
        <v>88</v>
      </c>
      <c r="Z320">
        <v>0</v>
      </c>
      <c r="AA320">
        <v>0</v>
      </c>
      <c r="AD320">
        <v>0</v>
      </c>
      <c r="AE320">
        <v>0</v>
      </c>
      <c r="AH320" t="s">
        <v>73</v>
      </c>
      <c r="AI320" t="s">
        <v>318</v>
      </c>
      <c r="AJ320" t="s">
        <v>319</v>
      </c>
      <c r="AK320" t="s">
        <v>76</v>
      </c>
      <c r="AN320" t="s">
        <v>77</v>
      </c>
      <c r="AO320" t="s">
        <v>320</v>
      </c>
      <c r="AP320" t="s">
        <v>520</v>
      </c>
      <c r="AQ320" t="s">
        <v>322</v>
      </c>
      <c r="AS320" t="b">
        <v>1</v>
      </c>
      <c r="AT320" t="s">
        <v>65</v>
      </c>
      <c r="AU320">
        <v>0</v>
      </c>
      <c r="AV320">
        <v>0</v>
      </c>
      <c r="AX320">
        <v>39</v>
      </c>
      <c r="AY320" t="s">
        <v>81</v>
      </c>
      <c r="AZ320" t="s">
        <v>90</v>
      </c>
      <c r="BB320" t="s">
        <v>91</v>
      </c>
      <c r="BC320" t="s">
        <v>92</v>
      </c>
      <c r="BD320" t="b">
        <v>0</v>
      </c>
      <c r="BE320" t="b">
        <v>0</v>
      </c>
      <c r="BF320" t="b">
        <v>0</v>
      </c>
      <c r="BG320" t="b">
        <v>0</v>
      </c>
      <c r="BH320" t="b">
        <v>0</v>
      </c>
      <c r="BI320" t="b">
        <v>0</v>
      </c>
      <c r="BJ320" t="b">
        <v>0</v>
      </c>
      <c r="BK320" t="b">
        <v>0</v>
      </c>
      <c r="BL320" t="b">
        <v>0</v>
      </c>
      <c r="BM320" t="b">
        <v>0</v>
      </c>
      <c r="BN320" t="b">
        <v>0</v>
      </c>
      <c r="BO320" t="b">
        <v>0</v>
      </c>
      <c r="BP320" t="b">
        <v>0</v>
      </c>
      <c r="BR320" t="b">
        <f>IFERROR(IF(M320="PASSED",VLOOKUP(J320,Current!$J$1:$N$500,1,FALSE)),N320)</f>
        <v>0</v>
      </c>
    </row>
    <row r="321" spans="1:70" ht="15" hidden="1" customHeight="1" x14ac:dyDescent="0.25">
      <c r="A321">
        <v>21156</v>
      </c>
      <c r="C321">
        <v>0</v>
      </c>
      <c r="D321" t="s">
        <v>65</v>
      </c>
      <c r="E321" t="s">
        <v>66</v>
      </c>
      <c r="F321" t="s">
        <v>84</v>
      </c>
      <c r="G321">
        <v>0</v>
      </c>
      <c r="H321" t="s">
        <v>85</v>
      </c>
      <c r="I321" t="s">
        <v>86</v>
      </c>
      <c r="J321" t="str">
        <f>MID($N321,FIND("1.",$N321),FIND("-",$N321)-FIND("1.",$N321)-1)</f>
        <v>1.0320</v>
      </c>
      <c r="K321" t="str">
        <f t="shared" si="12"/>
        <v>Ensure Access Credential Manager as a trusted caller is set to No One</v>
      </c>
      <c r="L321" t="str">
        <f t="shared" si="13"/>
        <v>1.0320 - MSWRK - Ensure Access Credential Manager as a trusted caller is set to No One</v>
      </c>
      <c r="M321" t="str">
        <f t="shared" si="14"/>
        <v>PASSED</v>
      </c>
      <c r="N321" s="1" t="s">
        <v>252</v>
      </c>
      <c r="O321" t="s">
        <v>67</v>
      </c>
      <c r="R321" t="s">
        <v>68</v>
      </c>
      <c r="T321" t="s">
        <v>69</v>
      </c>
      <c r="U321" t="s">
        <v>70</v>
      </c>
      <c r="W321" t="s">
        <v>71</v>
      </c>
      <c r="X321" s="1" t="s">
        <v>72</v>
      </c>
      <c r="Y321" t="s">
        <v>88</v>
      </c>
      <c r="Z321">
        <v>0</v>
      </c>
      <c r="AA321">
        <v>0</v>
      </c>
      <c r="AD321">
        <v>0</v>
      </c>
      <c r="AE321">
        <v>0</v>
      </c>
      <c r="AH321" t="s">
        <v>73</v>
      </c>
      <c r="AI321" t="s">
        <v>318</v>
      </c>
      <c r="AJ321" t="s">
        <v>319</v>
      </c>
      <c r="AK321" t="s">
        <v>76</v>
      </c>
      <c r="AN321" t="s">
        <v>77</v>
      </c>
      <c r="AO321" t="s">
        <v>320</v>
      </c>
      <c r="AP321" t="s">
        <v>608</v>
      </c>
      <c r="AQ321" t="s">
        <v>322</v>
      </c>
      <c r="AS321" t="b">
        <v>1</v>
      </c>
      <c r="AT321" t="s">
        <v>65</v>
      </c>
      <c r="AU321">
        <v>0</v>
      </c>
      <c r="AV321">
        <v>0</v>
      </c>
      <c r="AX321">
        <v>39</v>
      </c>
      <c r="AY321" t="s">
        <v>81</v>
      </c>
      <c r="AZ321" t="s">
        <v>90</v>
      </c>
      <c r="BB321" t="s">
        <v>91</v>
      </c>
      <c r="BC321" t="s">
        <v>92</v>
      </c>
      <c r="BD321" t="b">
        <v>0</v>
      </c>
      <c r="BE321" t="b">
        <v>0</v>
      </c>
      <c r="BF321" t="b">
        <v>0</v>
      </c>
      <c r="BG321" t="b">
        <v>0</v>
      </c>
      <c r="BH321" t="b">
        <v>0</v>
      </c>
      <c r="BI321" t="b">
        <v>0</v>
      </c>
      <c r="BJ321" t="b">
        <v>0</v>
      </c>
      <c r="BK321" t="b">
        <v>0</v>
      </c>
      <c r="BL321" t="b">
        <v>0</v>
      </c>
      <c r="BM321" t="b">
        <v>0</v>
      </c>
      <c r="BN321" t="b">
        <v>0</v>
      </c>
      <c r="BO321" t="b">
        <v>0</v>
      </c>
      <c r="BP321" t="b">
        <v>0</v>
      </c>
      <c r="BR321" t="str">
        <f>IFERROR(IF(M321="PASSED",VLOOKUP(J321,Current!$J$1:$N$500,1,FALSE)),N321)</f>
        <v>1.0320</v>
      </c>
    </row>
    <row r="322" spans="1:70" ht="15" hidden="1" customHeight="1" x14ac:dyDescent="0.25">
      <c r="A322">
        <v>21156</v>
      </c>
      <c r="C322">
        <v>0</v>
      </c>
      <c r="D322" t="s">
        <v>65</v>
      </c>
      <c r="E322" t="s">
        <v>66</v>
      </c>
      <c r="F322" t="s">
        <v>84</v>
      </c>
      <c r="G322">
        <v>0</v>
      </c>
      <c r="H322" t="s">
        <v>85</v>
      </c>
      <c r="I322" t="s">
        <v>86</v>
      </c>
      <c r="J322" t="str">
        <f>MID($N322,FIND("1.",$N322),FIND("-",$N322)-FIND("1.",$N322)-1)</f>
        <v>1.0321</v>
      </c>
      <c r="K322" t="str">
        <f t="shared" si="12"/>
        <v>Ensure Create a token object is set to No One</v>
      </c>
      <c r="L322" t="str">
        <f t="shared" si="13"/>
        <v>1.0321 - MSWRK - Ensure Create a token object is set to No One</v>
      </c>
      <c r="M322" t="str">
        <f t="shared" si="14"/>
        <v>PASSED</v>
      </c>
      <c r="N322" s="1" t="s">
        <v>200</v>
      </c>
      <c r="O322" t="s">
        <v>67</v>
      </c>
      <c r="R322" t="s">
        <v>68</v>
      </c>
      <c r="T322" t="s">
        <v>69</v>
      </c>
      <c r="U322" t="s">
        <v>70</v>
      </c>
      <c r="W322" t="s">
        <v>71</v>
      </c>
      <c r="X322" s="1" t="s">
        <v>72</v>
      </c>
      <c r="Y322" t="s">
        <v>88</v>
      </c>
      <c r="Z322">
        <v>0</v>
      </c>
      <c r="AA322">
        <v>0</v>
      </c>
      <c r="AD322">
        <v>0</v>
      </c>
      <c r="AE322">
        <v>0</v>
      </c>
      <c r="AH322" t="s">
        <v>73</v>
      </c>
      <c r="AI322" t="s">
        <v>318</v>
      </c>
      <c r="AJ322" t="s">
        <v>319</v>
      </c>
      <c r="AK322" t="s">
        <v>76</v>
      </c>
      <c r="AN322" t="s">
        <v>77</v>
      </c>
      <c r="AO322" t="s">
        <v>320</v>
      </c>
      <c r="AP322" t="s">
        <v>574</v>
      </c>
      <c r="AQ322" t="s">
        <v>322</v>
      </c>
      <c r="AS322" t="b">
        <v>1</v>
      </c>
      <c r="AT322" t="s">
        <v>65</v>
      </c>
      <c r="AU322">
        <v>0</v>
      </c>
      <c r="AV322">
        <v>0</v>
      </c>
      <c r="AX322">
        <v>39</v>
      </c>
      <c r="AY322" t="s">
        <v>81</v>
      </c>
      <c r="AZ322" t="s">
        <v>90</v>
      </c>
      <c r="BB322" t="s">
        <v>91</v>
      </c>
      <c r="BC322" t="s">
        <v>92</v>
      </c>
      <c r="BD322" t="b">
        <v>0</v>
      </c>
      <c r="BE322" t="b">
        <v>0</v>
      </c>
      <c r="BF322" t="b">
        <v>0</v>
      </c>
      <c r="BG322" t="b">
        <v>0</v>
      </c>
      <c r="BH322" t="b">
        <v>0</v>
      </c>
      <c r="BI322" t="b">
        <v>0</v>
      </c>
      <c r="BJ322" t="b">
        <v>0</v>
      </c>
      <c r="BK322" t="b">
        <v>0</v>
      </c>
      <c r="BL322" t="b">
        <v>0</v>
      </c>
      <c r="BM322" t="b">
        <v>0</v>
      </c>
      <c r="BN322" t="b">
        <v>0</v>
      </c>
      <c r="BO322" t="b">
        <v>0</v>
      </c>
      <c r="BP322" t="b">
        <v>0</v>
      </c>
      <c r="BR322" t="str">
        <f>IFERROR(IF(M322="PASSED",VLOOKUP(J322,Current!$J$1:$N$500,1,FALSE)),N322)</f>
        <v>1.0321</v>
      </c>
    </row>
    <row r="323" spans="1:70" ht="15" hidden="1" customHeight="1" x14ac:dyDescent="0.25">
      <c r="A323">
        <v>21156</v>
      </c>
      <c r="C323">
        <v>0</v>
      </c>
      <c r="D323" t="s">
        <v>83</v>
      </c>
      <c r="E323" t="s">
        <v>66</v>
      </c>
      <c r="F323" t="s">
        <v>84</v>
      </c>
      <c r="G323">
        <v>0</v>
      </c>
      <c r="H323" t="s">
        <v>85</v>
      </c>
      <c r="I323" t="s">
        <v>86</v>
      </c>
      <c r="J323" t="str">
        <f>MID($N323,FIND("1.",$N323),FIND("-",$N323)-FIND("1.",$N323)-1)</f>
        <v>1.0322</v>
      </c>
      <c r="K323" t="str">
        <f t="shared" ref="K323:K386" si="15">MID($N323,FIND("MSWRK - ",$N323)+8,FIND(":",$N323,40)-FIND("MSWRK - ",$N323)-8)</f>
        <v>Ensure Create global objects is set to Administrators, LOCAL SERVICE, NETWORK SERVICE, SERVICE</v>
      </c>
      <c r="L323" t="str">
        <f t="shared" ref="L323:L386" si="16">MID($N323,FIND("1.",$N323),FIND("[",$N323)-1-FIND("1.",$N323)-1)</f>
        <v>1.0322 - MSWRK - Ensure Create global objects is set to Administrators, LOCAL SERVICE, NETWORK SERVICE, SERVICE</v>
      </c>
      <c r="M323" t="str">
        <f t="shared" ref="M323:M386" si="17">MID($N323,FIND("[",$N323)+1,FIND("]",$N323)-FIND("[",$N323)-1)</f>
        <v>FAILED</v>
      </c>
      <c r="N323" s="1" t="s">
        <v>239</v>
      </c>
      <c r="O323" t="s">
        <v>67</v>
      </c>
      <c r="R323" t="s">
        <v>68</v>
      </c>
      <c r="T323" t="s">
        <v>69</v>
      </c>
      <c r="U323" t="s">
        <v>70</v>
      </c>
      <c r="W323" t="s">
        <v>71</v>
      </c>
      <c r="X323" s="1" t="s">
        <v>72</v>
      </c>
      <c r="Y323" t="s">
        <v>88</v>
      </c>
      <c r="Z323">
        <v>0</v>
      </c>
      <c r="AA323">
        <v>0</v>
      </c>
      <c r="AD323">
        <v>0</v>
      </c>
      <c r="AE323">
        <v>0</v>
      </c>
      <c r="AH323" t="s">
        <v>73</v>
      </c>
      <c r="AI323" t="s">
        <v>318</v>
      </c>
      <c r="AJ323" t="s">
        <v>319</v>
      </c>
      <c r="AK323" t="s">
        <v>76</v>
      </c>
      <c r="AN323" t="s">
        <v>77</v>
      </c>
      <c r="AO323" t="s">
        <v>320</v>
      </c>
      <c r="AP323" t="s">
        <v>446</v>
      </c>
      <c r="AQ323" t="s">
        <v>322</v>
      </c>
      <c r="AS323" t="b">
        <v>1</v>
      </c>
      <c r="AT323" t="s">
        <v>65</v>
      </c>
      <c r="AU323">
        <v>0</v>
      </c>
      <c r="AV323">
        <v>0</v>
      </c>
      <c r="AX323">
        <v>39</v>
      </c>
      <c r="AY323" t="s">
        <v>81</v>
      </c>
      <c r="AZ323" t="s">
        <v>90</v>
      </c>
      <c r="BB323" t="s">
        <v>91</v>
      </c>
      <c r="BC323" t="s">
        <v>92</v>
      </c>
      <c r="BD323" t="b">
        <v>0</v>
      </c>
      <c r="BE323" t="b">
        <v>0</v>
      </c>
      <c r="BF323" t="b">
        <v>0</v>
      </c>
      <c r="BG323" t="b">
        <v>0</v>
      </c>
      <c r="BH323" t="b">
        <v>0</v>
      </c>
      <c r="BI323" t="b">
        <v>0</v>
      </c>
      <c r="BJ323" t="b">
        <v>0</v>
      </c>
      <c r="BK323" t="b">
        <v>0</v>
      </c>
      <c r="BL323" t="b">
        <v>0</v>
      </c>
      <c r="BM323" t="b">
        <v>0</v>
      </c>
      <c r="BN323" t="b">
        <v>0</v>
      </c>
      <c r="BO323" t="b">
        <v>0</v>
      </c>
      <c r="BP323" t="b">
        <v>0</v>
      </c>
      <c r="BR323" t="b">
        <f>IFERROR(IF(M323="PASSED",VLOOKUP(J323,Current!$J$1:$N$500,1,FALSE)),N323)</f>
        <v>0</v>
      </c>
    </row>
    <row r="324" spans="1:70" ht="15" hidden="1" customHeight="1" x14ac:dyDescent="0.25">
      <c r="A324">
        <v>21156</v>
      </c>
      <c r="C324">
        <v>0</v>
      </c>
      <c r="D324" t="s">
        <v>65</v>
      </c>
      <c r="E324" t="s">
        <v>66</v>
      </c>
      <c r="F324" t="s">
        <v>84</v>
      </c>
      <c r="G324">
        <v>0</v>
      </c>
      <c r="H324" t="s">
        <v>85</v>
      </c>
      <c r="I324" t="s">
        <v>86</v>
      </c>
      <c r="J324" t="str">
        <f>MID($N324,FIND("1.",$N324),FIND("-",$N324)-FIND("1.",$N324)-1)</f>
        <v>1.0323</v>
      </c>
      <c r="K324" t="str">
        <f t="shared" si="15"/>
        <v>Ensure Create permanent shared objects is set to No One</v>
      </c>
      <c r="L324" t="str">
        <f t="shared" si="16"/>
        <v>1.0323 - MSWRK - Ensure Create permanent shared objects is set to No One</v>
      </c>
      <c r="M324" t="str">
        <f t="shared" si="17"/>
        <v>PASSED</v>
      </c>
      <c r="N324" s="1" t="s">
        <v>166</v>
      </c>
      <c r="O324" t="s">
        <v>67</v>
      </c>
      <c r="R324" t="s">
        <v>68</v>
      </c>
      <c r="T324" t="s">
        <v>69</v>
      </c>
      <c r="U324" t="s">
        <v>70</v>
      </c>
      <c r="W324" t="s">
        <v>71</v>
      </c>
      <c r="X324" s="1" t="s">
        <v>72</v>
      </c>
      <c r="Y324" t="s">
        <v>88</v>
      </c>
      <c r="Z324">
        <v>0</v>
      </c>
      <c r="AA324">
        <v>0</v>
      </c>
      <c r="AD324">
        <v>0</v>
      </c>
      <c r="AE324">
        <v>0</v>
      </c>
      <c r="AH324" t="s">
        <v>73</v>
      </c>
      <c r="AI324" t="s">
        <v>318</v>
      </c>
      <c r="AJ324" t="s">
        <v>319</v>
      </c>
      <c r="AK324" t="s">
        <v>76</v>
      </c>
      <c r="AN324" t="s">
        <v>77</v>
      </c>
      <c r="AO324" t="s">
        <v>320</v>
      </c>
      <c r="AP324" t="s">
        <v>811</v>
      </c>
      <c r="AQ324" t="s">
        <v>322</v>
      </c>
      <c r="AS324" t="b">
        <v>1</v>
      </c>
      <c r="AT324" t="s">
        <v>65</v>
      </c>
      <c r="AU324">
        <v>0</v>
      </c>
      <c r="AV324">
        <v>0</v>
      </c>
      <c r="AX324">
        <v>39</v>
      </c>
      <c r="AY324" t="s">
        <v>81</v>
      </c>
      <c r="AZ324" t="s">
        <v>90</v>
      </c>
      <c r="BB324" t="s">
        <v>91</v>
      </c>
      <c r="BC324" t="s">
        <v>92</v>
      </c>
      <c r="BD324" t="b">
        <v>0</v>
      </c>
      <c r="BE324" t="b">
        <v>0</v>
      </c>
      <c r="BF324" t="b">
        <v>0</v>
      </c>
      <c r="BG324" t="b">
        <v>0</v>
      </c>
      <c r="BH324" t="b">
        <v>0</v>
      </c>
      <c r="BI324" t="b">
        <v>0</v>
      </c>
      <c r="BJ324" t="b">
        <v>0</v>
      </c>
      <c r="BK324" t="b">
        <v>0</v>
      </c>
      <c r="BL324" t="b">
        <v>0</v>
      </c>
      <c r="BM324" t="b">
        <v>0</v>
      </c>
      <c r="BN324" t="b">
        <v>0</v>
      </c>
      <c r="BO324" t="b">
        <v>0</v>
      </c>
      <c r="BP324" t="b">
        <v>0</v>
      </c>
      <c r="BR324" t="str">
        <f>IFERROR(IF(M324="PASSED",VLOOKUP(J324,Current!$J$1:$N$500,1,FALSE)),N324)</f>
        <v>1.0323</v>
      </c>
    </row>
    <row r="325" spans="1:70" ht="15" hidden="1" customHeight="1" x14ac:dyDescent="0.25">
      <c r="A325">
        <v>21156</v>
      </c>
      <c r="C325">
        <v>0</v>
      </c>
      <c r="D325" t="s">
        <v>83</v>
      </c>
      <c r="E325" t="s">
        <v>66</v>
      </c>
      <c r="F325" t="s">
        <v>84</v>
      </c>
      <c r="G325">
        <v>0</v>
      </c>
      <c r="H325" t="s">
        <v>85</v>
      </c>
      <c r="I325" t="s">
        <v>86</v>
      </c>
      <c r="J325" t="str">
        <f>MID($N325,FIND("1.",$N325),FIND("-",$N325)-FIND("1.",$N325)-1)</f>
        <v>1.0324</v>
      </c>
      <c r="K325" t="str">
        <f t="shared" si="15"/>
        <v>Ensure Create symbolic links is set to Administrators</v>
      </c>
      <c r="L325" t="str">
        <f t="shared" si="16"/>
        <v>1.0324 - MSWRK - Ensure Create symbolic links is set to Administrators</v>
      </c>
      <c r="M325" t="str">
        <f t="shared" si="17"/>
        <v>FAILED</v>
      </c>
      <c r="N325" s="1" t="s">
        <v>194</v>
      </c>
      <c r="O325" t="s">
        <v>67</v>
      </c>
      <c r="R325" t="s">
        <v>68</v>
      </c>
      <c r="T325" t="s">
        <v>69</v>
      </c>
      <c r="U325" t="s">
        <v>70</v>
      </c>
      <c r="W325" t="s">
        <v>71</v>
      </c>
      <c r="X325" s="1" t="s">
        <v>72</v>
      </c>
      <c r="Y325" t="s">
        <v>88</v>
      </c>
      <c r="Z325">
        <v>0</v>
      </c>
      <c r="AA325">
        <v>0</v>
      </c>
      <c r="AD325">
        <v>0</v>
      </c>
      <c r="AE325">
        <v>0</v>
      </c>
      <c r="AH325" t="s">
        <v>73</v>
      </c>
      <c r="AI325" t="s">
        <v>318</v>
      </c>
      <c r="AJ325" t="s">
        <v>319</v>
      </c>
      <c r="AK325" t="s">
        <v>76</v>
      </c>
      <c r="AN325" t="s">
        <v>77</v>
      </c>
      <c r="AO325" t="s">
        <v>320</v>
      </c>
      <c r="AP325" t="s">
        <v>326</v>
      </c>
      <c r="AQ325" t="s">
        <v>322</v>
      </c>
      <c r="AS325" t="b">
        <v>1</v>
      </c>
      <c r="AT325" t="s">
        <v>65</v>
      </c>
      <c r="AU325">
        <v>0</v>
      </c>
      <c r="AV325">
        <v>0</v>
      </c>
      <c r="AX325">
        <v>39</v>
      </c>
      <c r="AY325" t="s">
        <v>81</v>
      </c>
      <c r="AZ325" t="s">
        <v>90</v>
      </c>
      <c r="BB325" t="s">
        <v>91</v>
      </c>
      <c r="BC325" t="s">
        <v>92</v>
      </c>
      <c r="BD325" t="b">
        <v>0</v>
      </c>
      <c r="BE325" t="b">
        <v>0</v>
      </c>
      <c r="BF325" t="b">
        <v>0</v>
      </c>
      <c r="BG325" t="b">
        <v>0</v>
      </c>
      <c r="BH325" t="b">
        <v>0</v>
      </c>
      <c r="BI325" t="b">
        <v>0</v>
      </c>
      <c r="BJ325" t="b">
        <v>0</v>
      </c>
      <c r="BK325" t="b">
        <v>0</v>
      </c>
      <c r="BL325" t="b">
        <v>0</v>
      </c>
      <c r="BM325" t="b">
        <v>0</v>
      </c>
      <c r="BN325" t="b">
        <v>0</v>
      </c>
      <c r="BO325" t="b">
        <v>0</v>
      </c>
      <c r="BP325" t="b">
        <v>0</v>
      </c>
      <c r="BR325" t="b">
        <f>IFERROR(IF(M325="PASSED",VLOOKUP(J325,Current!$J$1:$N$500,1,FALSE)),N325)</f>
        <v>0</v>
      </c>
    </row>
    <row r="326" spans="1:70" ht="15" hidden="1" customHeight="1" x14ac:dyDescent="0.25">
      <c r="A326">
        <v>21156</v>
      </c>
      <c r="C326">
        <v>0</v>
      </c>
      <c r="D326" t="s">
        <v>83</v>
      </c>
      <c r="E326" t="s">
        <v>66</v>
      </c>
      <c r="F326" t="s">
        <v>84</v>
      </c>
      <c r="G326">
        <v>0</v>
      </c>
      <c r="H326" t="s">
        <v>85</v>
      </c>
      <c r="I326" t="s">
        <v>86</v>
      </c>
      <c r="J326" t="str">
        <f>MID($N326,FIND("1.",$N326),FIND("-",$N326)-FIND("1.",$N326)-1)</f>
        <v>1.0325</v>
      </c>
      <c r="K326" t="str">
        <f t="shared" si="15"/>
        <v>Ensure Debug programs is set to Administrators</v>
      </c>
      <c r="L326" t="str">
        <f t="shared" si="16"/>
        <v>1.0325 - MSWRK - Ensure Debug programs is set to Administrators</v>
      </c>
      <c r="M326" t="str">
        <f t="shared" si="17"/>
        <v>FAILED</v>
      </c>
      <c r="N326" s="1" t="s">
        <v>116</v>
      </c>
      <c r="O326" t="s">
        <v>67</v>
      </c>
      <c r="R326" t="s">
        <v>68</v>
      </c>
      <c r="T326" t="s">
        <v>69</v>
      </c>
      <c r="U326" t="s">
        <v>70</v>
      </c>
      <c r="W326" t="s">
        <v>71</v>
      </c>
      <c r="X326" s="1" t="s">
        <v>72</v>
      </c>
      <c r="Y326" t="s">
        <v>88</v>
      </c>
      <c r="Z326">
        <v>0</v>
      </c>
      <c r="AA326">
        <v>0</v>
      </c>
      <c r="AD326">
        <v>0</v>
      </c>
      <c r="AE326">
        <v>0</v>
      </c>
      <c r="AH326" t="s">
        <v>73</v>
      </c>
      <c r="AI326" t="s">
        <v>318</v>
      </c>
      <c r="AJ326" t="s">
        <v>319</v>
      </c>
      <c r="AK326" t="s">
        <v>76</v>
      </c>
      <c r="AN326" t="s">
        <v>77</v>
      </c>
      <c r="AO326" t="s">
        <v>320</v>
      </c>
      <c r="AP326" t="s">
        <v>542</v>
      </c>
      <c r="AQ326" t="s">
        <v>322</v>
      </c>
      <c r="AS326" t="b">
        <v>1</v>
      </c>
      <c r="AT326" t="s">
        <v>65</v>
      </c>
      <c r="AU326">
        <v>0</v>
      </c>
      <c r="AV326">
        <v>0</v>
      </c>
      <c r="AX326">
        <v>39</v>
      </c>
      <c r="AY326" t="s">
        <v>81</v>
      </c>
      <c r="AZ326" t="s">
        <v>90</v>
      </c>
      <c r="BB326" t="s">
        <v>91</v>
      </c>
      <c r="BC326" t="s">
        <v>92</v>
      </c>
      <c r="BD326" t="b">
        <v>0</v>
      </c>
      <c r="BE326" t="b">
        <v>0</v>
      </c>
      <c r="BF326" t="b">
        <v>0</v>
      </c>
      <c r="BG326" t="b">
        <v>0</v>
      </c>
      <c r="BH326" t="b">
        <v>0</v>
      </c>
      <c r="BI326" t="b">
        <v>0</v>
      </c>
      <c r="BJ326" t="b">
        <v>0</v>
      </c>
      <c r="BK326" t="b">
        <v>0</v>
      </c>
      <c r="BL326" t="b">
        <v>0</v>
      </c>
      <c r="BM326" t="b">
        <v>0</v>
      </c>
      <c r="BN326" t="b">
        <v>0</v>
      </c>
      <c r="BO326" t="b">
        <v>0</v>
      </c>
      <c r="BP326" t="b">
        <v>0</v>
      </c>
      <c r="BR326" t="b">
        <f>IFERROR(IF(M326="PASSED",VLOOKUP(J326,Current!$J$1:$N$500,1,FALSE)),N326)</f>
        <v>0</v>
      </c>
    </row>
    <row r="327" spans="1:70" ht="15" hidden="1" customHeight="1" x14ac:dyDescent="0.25">
      <c r="A327">
        <v>21156</v>
      </c>
      <c r="C327">
        <v>0</v>
      </c>
      <c r="D327" t="s">
        <v>83</v>
      </c>
      <c r="E327" t="s">
        <v>66</v>
      </c>
      <c r="F327" t="s">
        <v>84</v>
      </c>
      <c r="G327">
        <v>0</v>
      </c>
      <c r="H327" t="s">
        <v>85</v>
      </c>
      <c r="I327" t="s">
        <v>86</v>
      </c>
      <c r="J327" t="str">
        <f>MID($N327,FIND("1.",$N327),FIND("-",$N327)-FIND("1.",$N327)-1)</f>
        <v>1.0326</v>
      </c>
      <c r="K327" t="str">
        <f t="shared" si="15"/>
        <v>Ensure Deny access to this computer from the network to include Guests, Local account</v>
      </c>
      <c r="L327" t="str">
        <f t="shared" si="16"/>
        <v>1.0326 - MSWRK - Ensure Deny access to this computer from the network to include Guests, Local account</v>
      </c>
      <c r="M327" t="str">
        <f t="shared" si="17"/>
        <v>FAILED</v>
      </c>
      <c r="N327" s="1" t="s">
        <v>500</v>
      </c>
      <c r="O327" t="s">
        <v>67</v>
      </c>
      <c r="R327" t="s">
        <v>68</v>
      </c>
      <c r="T327" t="s">
        <v>69</v>
      </c>
      <c r="U327" t="s">
        <v>70</v>
      </c>
      <c r="W327" t="s">
        <v>71</v>
      </c>
      <c r="X327" s="1" t="s">
        <v>72</v>
      </c>
      <c r="Y327" t="s">
        <v>88</v>
      </c>
      <c r="Z327">
        <v>0</v>
      </c>
      <c r="AA327">
        <v>0</v>
      </c>
      <c r="AD327">
        <v>0</v>
      </c>
      <c r="AE327">
        <v>0</v>
      </c>
      <c r="AH327" t="s">
        <v>73</v>
      </c>
      <c r="AI327" t="s">
        <v>318</v>
      </c>
      <c r="AJ327" t="s">
        <v>319</v>
      </c>
      <c r="AK327" t="s">
        <v>76</v>
      </c>
      <c r="AN327" t="s">
        <v>77</v>
      </c>
      <c r="AO327" t="s">
        <v>320</v>
      </c>
      <c r="AP327" t="s">
        <v>499</v>
      </c>
      <c r="AQ327" t="s">
        <v>322</v>
      </c>
      <c r="AS327" t="b">
        <v>1</v>
      </c>
      <c r="AT327" t="s">
        <v>65</v>
      </c>
      <c r="AU327">
        <v>0</v>
      </c>
      <c r="AV327">
        <v>0</v>
      </c>
      <c r="AX327">
        <v>39</v>
      </c>
      <c r="AY327" t="s">
        <v>81</v>
      </c>
      <c r="AZ327" t="s">
        <v>90</v>
      </c>
      <c r="BB327" t="s">
        <v>91</v>
      </c>
      <c r="BC327" t="s">
        <v>92</v>
      </c>
      <c r="BD327" t="b">
        <v>0</v>
      </c>
      <c r="BE327" t="b">
        <v>0</v>
      </c>
      <c r="BF327" t="b">
        <v>0</v>
      </c>
      <c r="BG327" t="b">
        <v>0</v>
      </c>
      <c r="BH327" t="b">
        <v>0</v>
      </c>
      <c r="BI327" t="b">
        <v>0</v>
      </c>
      <c r="BJ327" t="b">
        <v>0</v>
      </c>
      <c r="BK327" t="b">
        <v>0</v>
      </c>
      <c r="BL327" t="b">
        <v>0</v>
      </c>
      <c r="BM327" t="b">
        <v>0</v>
      </c>
      <c r="BN327" t="b">
        <v>0</v>
      </c>
      <c r="BO327" t="b">
        <v>0</v>
      </c>
      <c r="BP327" t="b">
        <v>0</v>
      </c>
      <c r="BR327" t="b">
        <f>IFERROR(IF(M327="PASSED",VLOOKUP(J327,Current!$J$1:$N$500,1,FALSE)),N327)</f>
        <v>0</v>
      </c>
    </row>
    <row r="328" spans="1:70" ht="15" hidden="1" customHeight="1" x14ac:dyDescent="0.25">
      <c r="A328">
        <v>21156</v>
      </c>
      <c r="C328">
        <v>0</v>
      </c>
      <c r="D328" t="s">
        <v>83</v>
      </c>
      <c r="E328" t="s">
        <v>66</v>
      </c>
      <c r="F328" t="s">
        <v>84</v>
      </c>
      <c r="G328">
        <v>0</v>
      </c>
      <c r="H328" t="s">
        <v>85</v>
      </c>
      <c r="I328" t="s">
        <v>86</v>
      </c>
      <c r="J328" t="str">
        <f>MID($N328,FIND("1.",$N328),FIND("-",$N328)-FIND("1.",$N328)-1)</f>
        <v>1.0327</v>
      </c>
      <c r="K328" t="str">
        <f t="shared" si="15"/>
        <v>Ensure Deny log on as a batch job to include Guests</v>
      </c>
      <c r="L328" t="str">
        <f t="shared" si="16"/>
        <v>1.0327 - MSWRK - Ensure Deny log on as a batch job to include Guests</v>
      </c>
      <c r="M328" t="str">
        <f t="shared" si="17"/>
        <v>FAILED</v>
      </c>
      <c r="N328" s="1" t="s">
        <v>634</v>
      </c>
      <c r="O328" t="s">
        <v>67</v>
      </c>
      <c r="R328" t="s">
        <v>68</v>
      </c>
      <c r="T328" t="s">
        <v>69</v>
      </c>
      <c r="U328" t="s">
        <v>70</v>
      </c>
      <c r="W328" t="s">
        <v>71</v>
      </c>
      <c r="X328" s="1" t="s">
        <v>72</v>
      </c>
      <c r="Y328" t="s">
        <v>88</v>
      </c>
      <c r="Z328">
        <v>0</v>
      </c>
      <c r="AA328">
        <v>0</v>
      </c>
      <c r="AD328">
        <v>0</v>
      </c>
      <c r="AE328">
        <v>0</v>
      </c>
      <c r="AH328" t="s">
        <v>73</v>
      </c>
      <c r="AI328" t="s">
        <v>318</v>
      </c>
      <c r="AJ328" t="s">
        <v>319</v>
      </c>
      <c r="AK328" t="s">
        <v>76</v>
      </c>
      <c r="AN328" t="s">
        <v>77</v>
      </c>
      <c r="AO328" t="s">
        <v>320</v>
      </c>
      <c r="AP328" t="s">
        <v>633</v>
      </c>
      <c r="AQ328" t="s">
        <v>322</v>
      </c>
      <c r="AS328" t="b">
        <v>1</v>
      </c>
      <c r="AT328" t="s">
        <v>65</v>
      </c>
      <c r="AU328">
        <v>0</v>
      </c>
      <c r="AV328">
        <v>0</v>
      </c>
      <c r="AX328">
        <v>39</v>
      </c>
      <c r="AY328" t="s">
        <v>81</v>
      </c>
      <c r="AZ328" t="s">
        <v>90</v>
      </c>
      <c r="BB328" t="s">
        <v>91</v>
      </c>
      <c r="BC328" t="s">
        <v>92</v>
      </c>
      <c r="BD328" t="b">
        <v>0</v>
      </c>
      <c r="BE328" t="b">
        <v>0</v>
      </c>
      <c r="BF328" t="b">
        <v>0</v>
      </c>
      <c r="BG328" t="b">
        <v>0</v>
      </c>
      <c r="BH328" t="b">
        <v>0</v>
      </c>
      <c r="BI328" t="b">
        <v>0</v>
      </c>
      <c r="BJ328" t="b">
        <v>0</v>
      </c>
      <c r="BK328" t="b">
        <v>0</v>
      </c>
      <c r="BL328" t="b">
        <v>0</v>
      </c>
      <c r="BM328" t="b">
        <v>0</v>
      </c>
      <c r="BN328" t="b">
        <v>0</v>
      </c>
      <c r="BO328" t="b">
        <v>0</v>
      </c>
      <c r="BP328" t="b">
        <v>0</v>
      </c>
      <c r="BR328" t="b">
        <f>IFERROR(IF(M328="PASSED",VLOOKUP(J328,Current!$J$1:$N$500,1,FALSE)),N328)</f>
        <v>0</v>
      </c>
    </row>
    <row r="329" spans="1:70" ht="15" hidden="1" customHeight="1" x14ac:dyDescent="0.25">
      <c r="A329">
        <v>21156</v>
      </c>
      <c r="C329">
        <v>0</v>
      </c>
      <c r="D329" t="s">
        <v>83</v>
      </c>
      <c r="E329" t="s">
        <v>66</v>
      </c>
      <c r="F329" t="s">
        <v>84</v>
      </c>
      <c r="G329">
        <v>0</v>
      </c>
      <c r="H329" t="s">
        <v>85</v>
      </c>
      <c r="I329" t="s">
        <v>86</v>
      </c>
      <c r="J329" t="str">
        <f>MID($N329,FIND("1.",$N329),FIND("-",$N329)-FIND("1.",$N329)-1)</f>
        <v>1.0328</v>
      </c>
      <c r="K329" t="str">
        <f t="shared" si="15"/>
        <v>Ensure Deny log on as a service to include Guests</v>
      </c>
      <c r="L329" t="str">
        <f t="shared" si="16"/>
        <v>1.0328 - MSWRK - Ensure Deny log on as a service to include Guests</v>
      </c>
      <c r="M329" t="str">
        <f t="shared" si="17"/>
        <v>FAILED</v>
      </c>
      <c r="N329" s="1" t="s">
        <v>193</v>
      </c>
      <c r="O329" t="s">
        <v>67</v>
      </c>
      <c r="R329" t="s">
        <v>68</v>
      </c>
      <c r="T329" t="s">
        <v>69</v>
      </c>
      <c r="U329" t="s">
        <v>70</v>
      </c>
      <c r="W329" t="s">
        <v>71</v>
      </c>
      <c r="X329" s="1" t="s">
        <v>72</v>
      </c>
      <c r="Y329" t="s">
        <v>88</v>
      </c>
      <c r="Z329">
        <v>0</v>
      </c>
      <c r="AA329">
        <v>0</v>
      </c>
      <c r="AD329">
        <v>0</v>
      </c>
      <c r="AE329">
        <v>0</v>
      </c>
      <c r="AH329" t="s">
        <v>73</v>
      </c>
      <c r="AI329" t="s">
        <v>318</v>
      </c>
      <c r="AJ329" t="s">
        <v>319</v>
      </c>
      <c r="AK329" t="s">
        <v>76</v>
      </c>
      <c r="AN329" t="s">
        <v>77</v>
      </c>
      <c r="AO329" t="s">
        <v>320</v>
      </c>
      <c r="AP329" t="s">
        <v>369</v>
      </c>
      <c r="AQ329" t="s">
        <v>322</v>
      </c>
      <c r="AS329" t="b">
        <v>1</v>
      </c>
      <c r="AT329" t="s">
        <v>65</v>
      </c>
      <c r="AU329">
        <v>0</v>
      </c>
      <c r="AV329">
        <v>0</v>
      </c>
      <c r="AX329">
        <v>39</v>
      </c>
      <c r="AY329" t="s">
        <v>81</v>
      </c>
      <c r="AZ329" t="s">
        <v>90</v>
      </c>
      <c r="BB329" t="s">
        <v>91</v>
      </c>
      <c r="BC329" t="s">
        <v>92</v>
      </c>
      <c r="BD329" t="b">
        <v>0</v>
      </c>
      <c r="BE329" t="b">
        <v>0</v>
      </c>
      <c r="BF329" t="b">
        <v>0</v>
      </c>
      <c r="BG329" t="b">
        <v>0</v>
      </c>
      <c r="BH329" t="b">
        <v>0</v>
      </c>
      <c r="BI329" t="b">
        <v>0</v>
      </c>
      <c r="BJ329" t="b">
        <v>0</v>
      </c>
      <c r="BK329" t="b">
        <v>0</v>
      </c>
      <c r="BL329" t="b">
        <v>0</v>
      </c>
      <c r="BM329" t="b">
        <v>0</v>
      </c>
      <c r="BN329" t="b">
        <v>0</v>
      </c>
      <c r="BO329" t="b">
        <v>0</v>
      </c>
      <c r="BP329" t="b">
        <v>0</v>
      </c>
      <c r="BR329" t="b">
        <f>IFERROR(IF(M329="PASSED",VLOOKUP(J329,Current!$J$1:$N$500,1,FALSE)),N329)</f>
        <v>0</v>
      </c>
    </row>
    <row r="330" spans="1:70" ht="15" hidden="1" customHeight="1" x14ac:dyDescent="0.25">
      <c r="A330">
        <v>21156</v>
      </c>
      <c r="C330">
        <v>0</v>
      </c>
      <c r="D330" t="s">
        <v>83</v>
      </c>
      <c r="E330" t="s">
        <v>66</v>
      </c>
      <c r="F330" t="s">
        <v>84</v>
      </c>
      <c r="G330">
        <v>0</v>
      </c>
      <c r="H330" t="s">
        <v>85</v>
      </c>
      <c r="I330" t="s">
        <v>86</v>
      </c>
      <c r="J330" t="str">
        <f>MID($N330,FIND("1.",$N330),FIND("-",$N330)-FIND("1.",$N330)-1)</f>
        <v>1.0329</v>
      </c>
      <c r="K330" t="str">
        <f t="shared" si="15"/>
        <v>Ensure Deny log on locally to include Guests</v>
      </c>
      <c r="L330" t="str">
        <f t="shared" si="16"/>
        <v>1.0329 - MSWRK - Ensure Deny log on locally to include Guests</v>
      </c>
      <c r="M330" t="str">
        <f t="shared" si="17"/>
        <v>FAILED</v>
      </c>
      <c r="N330" s="1" t="s">
        <v>133</v>
      </c>
      <c r="O330" t="s">
        <v>67</v>
      </c>
      <c r="R330" t="s">
        <v>68</v>
      </c>
      <c r="T330" t="s">
        <v>69</v>
      </c>
      <c r="U330" t="s">
        <v>70</v>
      </c>
      <c r="W330" t="s">
        <v>71</v>
      </c>
      <c r="X330" s="1" t="s">
        <v>72</v>
      </c>
      <c r="Y330" t="s">
        <v>88</v>
      </c>
      <c r="Z330">
        <v>0</v>
      </c>
      <c r="AA330">
        <v>0</v>
      </c>
      <c r="AD330">
        <v>0</v>
      </c>
      <c r="AE330">
        <v>0</v>
      </c>
      <c r="AH330" t="s">
        <v>73</v>
      </c>
      <c r="AI330" t="s">
        <v>318</v>
      </c>
      <c r="AJ330" t="s">
        <v>319</v>
      </c>
      <c r="AK330" t="s">
        <v>76</v>
      </c>
      <c r="AN330" t="s">
        <v>77</v>
      </c>
      <c r="AO330" t="s">
        <v>320</v>
      </c>
      <c r="AP330" t="s">
        <v>532</v>
      </c>
      <c r="AQ330" t="s">
        <v>322</v>
      </c>
      <c r="AS330" t="b">
        <v>1</v>
      </c>
      <c r="AT330" t="s">
        <v>65</v>
      </c>
      <c r="AU330">
        <v>0</v>
      </c>
      <c r="AV330">
        <v>0</v>
      </c>
      <c r="AX330">
        <v>39</v>
      </c>
      <c r="AY330" t="s">
        <v>81</v>
      </c>
      <c r="AZ330" t="s">
        <v>90</v>
      </c>
      <c r="BB330" t="s">
        <v>91</v>
      </c>
      <c r="BC330" t="s">
        <v>92</v>
      </c>
      <c r="BD330" t="b">
        <v>0</v>
      </c>
      <c r="BE330" t="b">
        <v>0</v>
      </c>
      <c r="BF330" t="b">
        <v>0</v>
      </c>
      <c r="BG330" t="b">
        <v>0</v>
      </c>
      <c r="BH330" t="b">
        <v>0</v>
      </c>
      <c r="BI330" t="b">
        <v>0</v>
      </c>
      <c r="BJ330" t="b">
        <v>0</v>
      </c>
      <c r="BK330" t="b">
        <v>0</v>
      </c>
      <c r="BL330" t="b">
        <v>0</v>
      </c>
      <c r="BM330" t="b">
        <v>0</v>
      </c>
      <c r="BN330" t="b">
        <v>0</v>
      </c>
      <c r="BO330" t="b">
        <v>0</v>
      </c>
      <c r="BP330" t="b">
        <v>0</v>
      </c>
      <c r="BR330" t="b">
        <f>IFERROR(IF(M330="PASSED",VLOOKUP(J330,Current!$J$1:$N$500,1,FALSE)),N330)</f>
        <v>0</v>
      </c>
    </row>
    <row r="331" spans="1:70" ht="15" hidden="1" customHeight="1" x14ac:dyDescent="0.25">
      <c r="A331">
        <v>21156</v>
      </c>
      <c r="C331">
        <v>0</v>
      </c>
      <c r="D331" t="s">
        <v>83</v>
      </c>
      <c r="E331" t="s">
        <v>66</v>
      </c>
      <c r="F331" t="s">
        <v>84</v>
      </c>
      <c r="G331">
        <v>0</v>
      </c>
      <c r="H331" t="s">
        <v>85</v>
      </c>
      <c r="I331" t="s">
        <v>86</v>
      </c>
      <c r="J331" t="str">
        <f>MID($N331,FIND("1.",$N331),FIND("-",$N331)-FIND("1.",$N331)-1)</f>
        <v>1.0330</v>
      </c>
      <c r="K331" t="str">
        <f t="shared" si="15"/>
        <v>Ensure Deny log on through Remote Desktop Services to include Guests, Local account</v>
      </c>
      <c r="L331" t="str">
        <f t="shared" si="16"/>
        <v>1.0330 - MSWRK - Ensure Deny log on through Remote Desktop Services to include Guests, Local account</v>
      </c>
      <c r="M331" t="str">
        <f t="shared" si="17"/>
        <v>FAILED</v>
      </c>
      <c r="N331" s="1" t="s">
        <v>351</v>
      </c>
      <c r="O331" t="s">
        <v>67</v>
      </c>
      <c r="R331" t="s">
        <v>68</v>
      </c>
      <c r="T331" t="s">
        <v>69</v>
      </c>
      <c r="U331" t="s">
        <v>70</v>
      </c>
      <c r="W331" t="s">
        <v>71</v>
      </c>
      <c r="X331" s="1" t="s">
        <v>72</v>
      </c>
      <c r="Y331" t="s">
        <v>88</v>
      </c>
      <c r="Z331">
        <v>0</v>
      </c>
      <c r="AA331">
        <v>0</v>
      </c>
      <c r="AD331">
        <v>0</v>
      </c>
      <c r="AE331">
        <v>0</v>
      </c>
      <c r="AH331" t="s">
        <v>73</v>
      </c>
      <c r="AI331" t="s">
        <v>318</v>
      </c>
      <c r="AJ331" t="s">
        <v>319</v>
      </c>
      <c r="AK331" t="s">
        <v>76</v>
      </c>
      <c r="AN331" t="s">
        <v>77</v>
      </c>
      <c r="AO331" t="s">
        <v>320</v>
      </c>
      <c r="AP331" t="s">
        <v>349</v>
      </c>
      <c r="AQ331" t="s">
        <v>322</v>
      </c>
      <c r="AS331" t="b">
        <v>1</v>
      </c>
      <c r="AT331" t="s">
        <v>65</v>
      </c>
      <c r="AU331">
        <v>0</v>
      </c>
      <c r="AV331">
        <v>0</v>
      </c>
      <c r="AX331">
        <v>39</v>
      </c>
      <c r="AY331" t="s">
        <v>81</v>
      </c>
      <c r="AZ331" t="s">
        <v>90</v>
      </c>
      <c r="BB331" t="s">
        <v>91</v>
      </c>
      <c r="BC331" t="s">
        <v>92</v>
      </c>
      <c r="BD331" t="b">
        <v>0</v>
      </c>
      <c r="BE331" t="b">
        <v>0</v>
      </c>
      <c r="BF331" t="b">
        <v>0</v>
      </c>
      <c r="BG331" t="b">
        <v>0</v>
      </c>
      <c r="BH331" t="b">
        <v>0</v>
      </c>
      <c r="BI331" t="b">
        <v>0</v>
      </c>
      <c r="BJ331" t="b">
        <v>0</v>
      </c>
      <c r="BK331" t="b">
        <v>0</v>
      </c>
      <c r="BL331" t="b">
        <v>0</v>
      </c>
      <c r="BM331" t="b">
        <v>0</v>
      </c>
      <c r="BN331" t="b">
        <v>0</v>
      </c>
      <c r="BO331" t="b">
        <v>0</v>
      </c>
      <c r="BP331" t="b">
        <v>0</v>
      </c>
      <c r="BR331" t="b">
        <f>IFERROR(IF(M331="PASSED",VLOOKUP(J331,Current!$J$1:$N$500,1,FALSE)),N331)</f>
        <v>0</v>
      </c>
    </row>
    <row r="332" spans="1:70" ht="15" hidden="1" customHeight="1" x14ac:dyDescent="0.25">
      <c r="A332">
        <v>21156</v>
      </c>
      <c r="C332">
        <v>0</v>
      </c>
      <c r="D332" t="s">
        <v>83</v>
      </c>
      <c r="E332" t="s">
        <v>66</v>
      </c>
      <c r="F332" t="s">
        <v>84</v>
      </c>
      <c r="G332">
        <v>0</v>
      </c>
      <c r="H332" t="s">
        <v>85</v>
      </c>
      <c r="I332" t="s">
        <v>86</v>
      </c>
      <c r="J332" t="str">
        <f>MID($N332,FIND("1.",$N332),FIND("-",$N332)-FIND("1.",$N332)-1)</f>
        <v>1.0331</v>
      </c>
      <c r="K332" t="str">
        <f t="shared" si="15"/>
        <v>Ensure Access this computer from the network is set to Administrators, Remote Desktop Users</v>
      </c>
      <c r="L332" t="str">
        <f t="shared" si="16"/>
        <v>1.0331 - MSWRK - Ensure Access this computer from the network is set to Administrators, Remote Desktop Users</v>
      </c>
      <c r="M332" t="str">
        <f t="shared" si="17"/>
        <v>FAILED</v>
      </c>
      <c r="N332" s="1" t="s">
        <v>196</v>
      </c>
      <c r="O332" t="s">
        <v>67</v>
      </c>
      <c r="R332" t="s">
        <v>68</v>
      </c>
      <c r="T332" t="s">
        <v>69</v>
      </c>
      <c r="U332" t="s">
        <v>70</v>
      </c>
      <c r="W332" t="s">
        <v>71</v>
      </c>
      <c r="X332" s="1" t="s">
        <v>72</v>
      </c>
      <c r="Y332" t="s">
        <v>88</v>
      </c>
      <c r="Z332">
        <v>0</v>
      </c>
      <c r="AA332">
        <v>0</v>
      </c>
      <c r="AD332">
        <v>0</v>
      </c>
      <c r="AE332">
        <v>0</v>
      </c>
      <c r="AH332" t="s">
        <v>73</v>
      </c>
      <c r="AI332" t="s">
        <v>318</v>
      </c>
      <c r="AJ332" t="s">
        <v>319</v>
      </c>
      <c r="AK332" t="s">
        <v>76</v>
      </c>
      <c r="AN332" t="s">
        <v>77</v>
      </c>
      <c r="AO332" t="s">
        <v>320</v>
      </c>
      <c r="AP332" t="s">
        <v>604</v>
      </c>
      <c r="AQ332" t="s">
        <v>322</v>
      </c>
      <c r="AS332" t="b">
        <v>1</v>
      </c>
      <c r="AT332" t="s">
        <v>65</v>
      </c>
      <c r="AU332">
        <v>0</v>
      </c>
      <c r="AV332">
        <v>0</v>
      </c>
      <c r="AX332">
        <v>39</v>
      </c>
      <c r="AY332" t="s">
        <v>81</v>
      </c>
      <c r="AZ332" t="s">
        <v>90</v>
      </c>
      <c r="BB332" t="s">
        <v>91</v>
      </c>
      <c r="BC332" t="s">
        <v>92</v>
      </c>
      <c r="BD332" t="b">
        <v>0</v>
      </c>
      <c r="BE332" t="b">
        <v>0</v>
      </c>
      <c r="BF332" t="b">
        <v>0</v>
      </c>
      <c r="BG332" t="b">
        <v>0</v>
      </c>
      <c r="BH332" t="b">
        <v>0</v>
      </c>
      <c r="BI332" t="b">
        <v>0</v>
      </c>
      <c r="BJ332" t="b">
        <v>0</v>
      </c>
      <c r="BK332" t="b">
        <v>0</v>
      </c>
      <c r="BL332" t="b">
        <v>0</v>
      </c>
      <c r="BM332" t="b">
        <v>0</v>
      </c>
      <c r="BN332" t="b">
        <v>0</v>
      </c>
      <c r="BO332" t="b">
        <v>0</v>
      </c>
      <c r="BP332" t="b">
        <v>0</v>
      </c>
      <c r="BR332" t="b">
        <f>IFERROR(IF(M332="PASSED",VLOOKUP(J332,Current!$J$1:$N$500,1,FALSE)),N332)</f>
        <v>0</v>
      </c>
    </row>
    <row r="333" spans="1:70" ht="15" hidden="1" customHeight="1" x14ac:dyDescent="0.25">
      <c r="A333">
        <v>21156</v>
      </c>
      <c r="C333">
        <v>0</v>
      </c>
      <c r="D333" t="s">
        <v>65</v>
      </c>
      <c r="E333" t="s">
        <v>66</v>
      </c>
      <c r="F333" t="s">
        <v>84</v>
      </c>
      <c r="G333">
        <v>0</v>
      </c>
      <c r="H333" t="s">
        <v>85</v>
      </c>
      <c r="I333" t="s">
        <v>86</v>
      </c>
      <c r="J333" t="str">
        <f>MID($N333,FIND("1.",$N333),FIND("-",$N333)-FIND("1.",$N333)-1)</f>
        <v>1.0332</v>
      </c>
      <c r="K333" t="str">
        <f t="shared" si="15"/>
        <v>Ensure Enable computer and user accounts to be trusted for delegation is set to No One</v>
      </c>
      <c r="L333" t="str">
        <f t="shared" si="16"/>
        <v>1.0332 - MSWRK - Ensure Enable computer and user accounts to be trusted for delegation is set to No One</v>
      </c>
      <c r="M333" t="str">
        <f t="shared" si="17"/>
        <v>PASSED</v>
      </c>
      <c r="N333" s="1" t="s">
        <v>309</v>
      </c>
      <c r="O333" t="s">
        <v>67</v>
      </c>
      <c r="R333" t="s">
        <v>68</v>
      </c>
      <c r="T333" t="s">
        <v>69</v>
      </c>
      <c r="U333" t="s">
        <v>70</v>
      </c>
      <c r="W333" t="s">
        <v>71</v>
      </c>
      <c r="X333" s="1" t="s">
        <v>72</v>
      </c>
      <c r="Y333" t="s">
        <v>88</v>
      </c>
      <c r="Z333">
        <v>0</v>
      </c>
      <c r="AA333">
        <v>0</v>
      </c>
      <c r="AD333">
        <v>0</v>
      </c>
      <c r="AE333">
        <v>0</v>
      </c>
      <c r="AH333" t="s">
        <v>73</v>
      </c>
      <c r="AI333" t="s">
        <v>318</v>
      </c>
      <c r="AJ333" t="s">
        <v>319</v>
      </c>
      <c r="AK333" t="s">
        <v>76</v>
      </c>
      <c r="AN333" t="s">
        <v>77</v>
      </c>
      <c r="AO333" t="s">
        <v>320</v>
      </c>
      <c r="AP333" t="s">
        <v>601</v>
      </c>
      <c r="AQ333" t="s">
        <v>322</v>
      </c>
      <c r="AS333" t="b">
        <v>1</v>
      </c>
      <c r="AT333" t="s">
        <v>65</v>
      </c>
      <c r="AU333">
        <v>0</v>
      </c>
      <c r="AV333">
        <v>0</v>
      </c>
      <c r="AX333">
        <v>39</v>
      </c>
      <c r="AY333" t="s">
        <v>81</v>
      </c>
      <c r="AZ333" t="s">
        <v>90</v>
      </c>
      <c r="BB333" t="s">
        <v>91</v>
      </c>
      <c r="BC333" t="s">
        <v>92</v>
      </c>
      <c r="BD333" t="b">
        <v>0</v>
      </c>
      <c r="BE333" t="b">
        <v>0</v>
      </c>
      <c r="BF333" t="b">
        <v>0</v>
      </c>
      <c r="BG333" t="b">
        <v>0</v>
      </c>
      <c r="BH333" t="b">
        <v>0</v>
      </c>
      <c r="BI333" t="b">
        <v>0</v>
      </c>
      <c r="BJ333" t="b">
        <v>0</v>
      </c>
      <c r="BK333" t="b">
        <v>0</v>
      </c>
      <c r="BL333" t="b">
        <v>0</v>
      </c>
      <c r="BM333" t="b">
        <v>0</v>
      </c>
      <c r="BN333" t="b">
        <v>0</v>
      </c>
      <c r="BO333" t="b">
        <v>0</v>
      </c>
      <c r="BP333" t="b">
        <v>0</v>
      </c>
      <c r="BR333" t="str">
        <f>IFERROR(IF(M333="PASSED",VLOOKUP(J333,Current!$J$1:$N$500,1,FALSE)),N333)</f>
        <v>1.0332</v>
      </c>
    </row>
    <row r="334" spans="1:70" ht="15" hidden="1" customHeight="1" x14ac:dyDescent="0.25">
      <c r="A334">
        <v>21156</v>
      </c>
      <c r="C334">
        <v>0</v>
      </c>
      <c r="D334" t="s">
        <v>83</v>
      </c>
      <c r="E334" t="s">
        <v>66</v>
      </c>
      <c r="F334" t="s">
        <v>84</v>
      </c>
      <c r="G334">
        <v>0</v>
      </c>
      <c r="H334" t="s">
        <v>85</v>
      </c>
      <c r="I334" t="s">
        <v>86</v>
      </c>
      <c r="J334" t="str">
        <f>MID($N334,FIND("1.",$N334),FIND("-",$N334)-FIND("1.",$N334)-1)</f>
        <v>1.0333</v>
      </c>
      <c r="K334" t="str">
        <f t="shared" si="15"/>
        <v>Ensure Force shutdown from a remote system is set to Administrators</v>
      </c>
      <c r="L334" t="str">
        <f t="shared" si="16"/>
        <v>1.0333 - MSWRK - Ensure Force shutdown from a remote system is set to Administrators</v>
      </c>
      <c r="M334" t="str">
        <f t="shared" si="17"/>
        <v>FAILED</v>
      </c>
      <c r="N334" s="1" t="s">
        <v>269</v>
      </c>
      <c r="O334" t="s">
        <v>67</v>
      </c>
      <c r="R334" t="s">
        <v>68</v>
      </c>
      <c r="T334" t="s">
        <v>69</v>
      </c>
      <c r="U334" t="s">
        <v>70</v>
      </c>
      <c r="W334" t="s">
        <v>71</v>
      </c>
      <c r="X334" s="1" t="s">
        <v>72</v>
      </c>
      <c r="Y334" t="s">
        <v>88</v>
      </c>
      <c r="Z334">
        <v>0</v>
      </c>
      <c r="AA334">
        <v>0</v>
      </c>
      <c r="AD334">
        <v>0</v>
      </c>
      <c r="AE334">
        <v>0</v>
      </c>
      <c r="AH334" t="s">
        <v>73</v>
      </c>
      <c r="AI334" t="s">
        <v>318</v>
      </c>
      <c r="AJ334" t="s">
        <v>319</v>
      </c>
      <c r="AK334" t="s">
        <v>76</v>
      </c>
      <c r="AN334" t="s">
        <v>77</v>
      </c>
      <c r="AO334" t="s">
        <v>320</v>
      </c>
      <c r="AP334" t="s">
        <v>397</v>
      </c>
      <c r="AQ334" t="s">
        <v>322</v>
      </c>
      <c r="AS334" t="b">
        <v>1</v>
      </c>
      <c r="AT334" t="s">
        <v>65</v>
      </c>
      <c r="AU334">
        <v>0</v>
      </c>
      <c r="AV334">
        <v>0</v>
      </c>
      <c r="AX334">
        <v>39</v>
      </c>
      <c r="AY334" t="s">
        <v>81</v>
      </c>
      <c r="AZ334" t="s">
        <v>90</v>
      </c>
      <c r="BB334" t="s">
        <v>91</v>
      </c>
      <c r="BC334" t="s">
        <v>92</v>
      </c>
      <c r="BD334" t="b">
        <v>0</v>
      </c>
      <c r="BE334" t="b">
        <v>0</v>
      </c>
      <c r="BF334" t="b">
        <v>0</v>
      </c>
      <c r="BG334" t="b">
        <v>0</v>
      </c>
      <c r="BH334" t="b">
        <v>0</v>
      </c>
      <c r="BI334" t="b">
        <v>0</v>
      </c>
      <c r="BJ334" t="b">
        <v>0</v>
      </c>
      <c r="BK334" t="b">
        <v>0</v>
      </c>
      <c r="BL334" t="b">
        <v>0</v>
      </c>
      <c r="BM334" t="b">
        <v>0</v>
      </c>
      <c r="BN334" t="b">
        <v>0</v>
      </c>
      <c r="BO334" t="b">
        <v>0</v>
      </c>
      <c r="BP334" t="b">
        <v>0</v>
      </c>
      <c r="BR334" t="b">
        <f>IFERROR(IF(M334="PASSED",VLOOKUP(J334,Current!$J$1:$N$500,1,FALSE)),N334)</f>
        <v>0</v>
      </c>
    </row>
    <row r="335" spans="1:70" ht="15" hidden="1" customHeight="1" x14ac:dyDescent="0.25">
      <c r="A335">
        <v>21156</v>
      </c>
      <c r="C335">
        <v>0</v>
      </c>
      <c r="D335" t="s">
        <v>83</v>
      </c>
      <c r="E335" t="s">
        <v>66</v>
      </c>
      <c r="F335" t="s">
        <v>84</v>
      </c>
      <c r="G335">
        <v>0</v>
      </c>
      <c r="H335" t="s">
        <v>85</v>
      </c>
      <c r="I335" t="s">
        <v>86</v>
      </c>
      <c r="J335" t="str">
        <f>MID($N335,FIND("1.",$N335),FIND("-",$N335)-FIND("1.",$N335)-1)</f>
        <v>1.0334</v>
      </c>
      <c r="K335" t="str">
        <f t="shared" si="15"/>
        <v>Ensure Generate security audits is set to LOCAL SERVICE, NETWORK SERVICE, RESTRICTED SERVICES\PrintSpoolerService</v>
      </c>
      <c r="L335" t="str">
        <f t="shared" si="16"/>
        <v>1.0334 - MSWRK - Ensure Generate security audits is set to LOCAL SERVICE, NETWORK SERVICE, RESTRICTED SERVICES\PrintSpoolerService</v>
      </c>
      <c r="M335" t="str">
        <f t="shared" si="17"/>
        <v>FAILED</v>
      </c>
      <c r="N335" s="1" t="s">
        <v>158</v>
      </c>
      <c r="O335" t="s">
        <v>67</v>
      </c>
      <c r="R335" t="s">
        <v>68</v>
      </c>
      <c r="T335" t="s">
        <v>69</v>
      </c>
      <c r="U335" t="s">
        <v>70</v>
      </c>
      <c r="W335" t="s">
        <v>71</v>
      </c>
      <c r="X335" s="1" t="s">
        <v>72</v>
      </c>
      <c r="Y335" t="s">
        <v>88</v>
      </c>
      <c r="Z335">
        <v>0</v>
      </c>
      <c r="AA335">
        <v>0</v>
      </c>
      <c r="AD335">
        <v>0</v>
      </c>
      <c r="AE335">
        <v>0</v>
      </c>
      <c r="AH335" t="s">
        <v>73</v>
      </c>
      <c r="AI335" t="s">
        <v>318</v>
      </c>
      <c r="AJ335" t="s">
        <v>319</v>
      </c>
      <c r="AK335" t="s">
        <v>76</v>
      </c>
      <c r="AN335" t="s">
        <v>77</v>
      </c>
      <c r="AO335" t="s">
        <v>320</v>
      </c>
      <c r="AP335" t="s">
        <v>546</v>
      </c>
      <c r="AQ335" t="s">
        <v>322</v>
      </c>
      <c r="AS335" t="b">
        <v>1</v>
      </c>
      <c r="AT335" t="s">
        <v>65</v>
      </c>
      <c r="AU335">
        <v>0</v>
      </c>
      <c r="AV335">
        <v>0</v>
      </c>
      <c r="AX335">
        <v>39</v>
      </c>
      <c r="AY335" t="s">
        <v>81</v>
      </c>
      <c r="AZ335" t="s">
        <v>90</v>
      </c>
      <c r="BB335" t="s">
        <v>91</v>
      </c>
      <c r="BC335" t="s">
        <v>92</v>
      </c>
      <c r="BD335" t="b">
        <v>0</v>
      </c>
      <c r="BE335" t="b">
        <v>0</v>
      </c>
      <c r="BF335" t="b">
        <v>0</v>
      </c>
      <c r="BG335" t="b">
        <v>0</v>
      </c>
      <c r="BH335" t="b">
        <v>0</v>
      </c>
      <c r="BI335" t="b">
        <v>0</v>
      </c>
      <c r="BJ335" t="b">
        <v>0</v>
      </c>
      <c r="BK335" t="b">
        <v>0</v>
      </c>
      <c r="BL335" t="b">
        <v>0</v>
      </c>
      <c r="BM335" t="b">
        <v>0</v>
      </c>
      <c r="BN335" t="b">
        <v>0</v>
      </c>
      <c r="BO335" t="b">
        <v>0</v>
      </c>
      <c r="BP335" t="b">
        <v>0</v>
      </c>
      <c r="BR335" t="b">
        <f>IFERROR(IF(M335="PASSED",VLOOKUP(J335,Current!$J$1:$N$500,1,FALSE)),N335)</f>
        <v>0</v>
      </c>
    </row>
    <row r="336" spans="1:70" ht="15" hidden="1" customHeight="1" x14ac:dyDescent="0.25">
      <c r="A336">
        <v>21156</v>
      </c>
      <c r="C336">
        <v>0</v>
      </c>
      <c r="D336" t="s">
        <v>83</v>
      </c>
      <c r="E336" t="s">
        <v>66</v>
      </c>
      <c r="F336" t="s">
        <v>84</v>
      </c>
      <c r="G336">
        <v>0</v>
      </c>
      <c r="H336" t="s">
        <v>85</v>
      </c>
      <c r="I336" t="s">
        <v>86</v>
      </c>
      <c r="J336" t="str">
        <f>MID($N336,FIND("1.",$N336),FIND("-",$N336)-FIND("1.",$N336)-1)</f>
        <v>1.0335</v>
      </c>
      <c r="K336" t="str">
        <f t="shared" si="15"/>
        <v>Ensure Impersonate a client after authentication is set to Administrators, LOCAL SERVICE, NETWORK SERVICE, SERVICE, RESTRICTED SERVICES\PrintSpoolerService</v>
      </c>
      <c r="L336" t="str">
        <f t="shared" si="16"/>
        <v>1.0335 - MSWRK - Ensure Impersonate a client after authentication is set to Administrators, LOCAL SERVICE, NETWORK SERVICE, SERVICE, RESTRICTED SERVICES\PrintSpoolerService</v>
      </c>
      <c r="M336" t="str">
        <f t="shared" si="17"/>
        <v>FAILED</v>
      </c>
      <c r="N336" s="1" t="s">
        <v>303</v>
      </c>
      <c r="O336" t="s">
        <v>67</v>
      </c>
      <c r="R336" t="s">
        <v>68</v>
      </c>
      <c r="T336" t="s">
        <v>69</v>
      </c>
      <c r="U336" t="s">
        <v>70</v>
      </c>
      <c r="W336" t="s">
        <v>71</v>
      </c>
      <c r="X336" s="1" t="s">
        <v>72</v>
      </c>
      <c r="Y336" t="s">
        <v>88</v>
      </c>
      <c r="Z336">
        <v>0</v>
      </c>
      <c r="AA336">
        <v>0</v>
      </c>
      <c r="AD336">
        <v>0</v>
      </c>
      <c r="AE336">
        <v>0</v>
      </c>
      <c r="AH336" t="s">
        <v>73</v>
      </c>
      <c r="AI336" t="s">
        <v>318</v>
      </c>
      <c r="AJ336" t="s">
        <v>319</v>
      </c>
      <c r="AK336" t="s">
        <v>76</v>
      </c>
      <c r="AN336" t="s">
        <v>77</v>
      </c>
      <c r="AO336" t="s">
        <v>320</v>
      </c>
      <c r="AP336" t="s">
        <v>480</v>
      </c>
      <c r="AQ336" t="s">
        <v>322</v>
      </c>
      <c r="AS336" t="b">
        <v>1</v>
      </c>
      <c r="AT336" t="s">
        <v>65</v>
      </c>
      <c r="AU336">
        <v>0</v>
      </c>
      <c r="AV336">
        <v>0</v>
      </c>
      <c r="AX336">
        <v>39</v>
      </c>
      <c r="AY336" t="s">
        <v>81</v>
      </c>
      <c r="AZ336" t="s">
        <v>90</v>
      </c>
      <c r="BB336" t="s">
        <v>91</v>
      </c>
      <c r="BC336" t="s">
        <v>92</v>
      </c>
      <c r="BD336" t="b">
        <v>0</v>
      </c>
      <c r="BE336" t="b">
        <v>0</v>
      </c>
      <c r="BF336" t="b">
        <v>0</v>
      </c>
      <c r="BG336" t="b">
        <v>0</v>
      </c>
      <c r="BH336" t="b">
        <v>0</v>
      </c>
      <c r="BI336" t="b">
        <v>0</v>
      </c>
      <c r="BJ336" t="b">
        <v>0</v>
      </c>
      <c r="BK336" t="b">
        <v>0</v>
      </c>
      <c r="BL336" t="b">
        <v>0</v>
      </c>
      <c r="BM336" t="b">
        <v>0</v>
      </c>
      <c r="BN336" t="b">
        <v>0</v>
      </c>
      <c r="BO336" t="b">
        <v>0</v>
      </c>
      <c r="BP336" t="b">
        <v>0</v>
      </c>
      <c r="BR336" t="b">
        <f>IFERROR(IF(M336="PASSED",VLOOKUP(J336,Current!$J$1:$N$500,1,FALSE)),N336)</f>
        <v>0</v>
      </c>
    </row>
    <row r="337" spans="1:70" ht="15" hidden="1" customHeight="1" x14ac:dyDescent="0.25">
      <c r="A337">
        <v>21156</v>
      </c>
      <c r="C337">
        <v>0</v>
      </c>
      <c r="D337" t="s">
        <v>83</v>
      </c>
      <c r="E337" t="s">
        <v>66</v>
      </c>
      <c r="F337" t="s">
        <v>84</v>
      </c>
      <c r="G337">
        <v>0</v>
      </c>
      <c r="H337" t="s">
        <v>85</v>
      </c>
      <c r="I337" t="s">
        <v>86</v>
      </c>
      <c r="J337" t="str">
        <f>MID($N337,FIND("1.",$N337),FIND("-",$N337)-FIND("1.",$N337)-1)</f>
        <v>1.0336</v>
      </c>
      <c r="K337" t="str">
        <f t="shared" si="15"/>
        <v>Ensure Increase scheduling priority is set to Administrators, Window Manager\Window Manager Group</v>
      </c>
      <c r="L337" t="str">
        <f t="shared" si="16"/>
        <v>1.0336 - MSWRK - Ensure Increase scheduling priority is set to Administrators, Window Manager\Window Manager Group</v>
      </c>
      <c r="M337" t="str">
        <f t="shared" si="17"/>
        <v>FAILED</v>
      </c>
      <c r="N337" s="1" t="s">
        <v>243</v>
      </c>
      <c r="O337" t="s">
        <v>67</v>
      </c>
      <c r="R337" t="s">
        <v>68</v>
      </c>
      <c r="T337" t="s">
        <v>69</v>
      </c>
      <c r="U337" t="s">
        <v>70</v>
      </c>
      <c r="W337" t="s">
        <v>71</v>
      </c>
      <c r="X337" s="1" t="s">
        <v>72</v>
      </c>
      <c r="Y337" t="s">
        <v>88</v>
      </c>
      <c r="Z337">
        <v>0</v>
      </c>
      <c r="AA337">
        <v>0</v>
      </c>
      <c r="AD337">
        <v>0</v>
      </c>
      <c r="AE337">
        <v>0</v>
      </c>
      <c r="AH337" t="s">
        <v>73</v>
      </c>
      <c r="AI337" t="s">
        <v>318</v>
      </c>
      <c r="AJ337" t="s">
        <v>319</v>
      </c>
      <c r="AK337" t="s">
        <v>76</v>
      </c>
      <c r="AN337" t="s">
        <v>77</v>
      </c>
      <c r="AO337" t="s">
        <v>320</v>
      </c>
      <c r="AP337" t="s">
        <v>384</v>
      </c>
      <c r="AQ337" t="s">
        <v>322</v>
      </c>
      <c r="AS337" t="b">
        <v>1</v>
      </c>
      <c r="AT337" t="s">
        <v>65</v>
      </c>
      <c r="AU337">
        <v>0</v>
      </c>
      <c r="AV337">
        <v>0</v>
      </c>
      <c r="AX337">
        <v>39</v>
      </c>
      <c r="AY337" t="s">
        <v>81</v>
      </c>
      <c r="AZ337" t="s">
        <v>90</v>
      </c>
      <c r="BB337" t="s">
        <v>91</v>
      </c>
      <c r="BC337" t="s">
        <v>92</v>
      </c>
      <c r="BD337" t="b">
        <v>0</v>
      </c>
      <c r="BE337" t="b">
        <v>0</v>
      </c>
      <c r="BF337" t="b">
        <v>0</v>
      </c>
      <c r="BG337" t="b">
        <v>0</v>
      </c>
      <c r="BH337" t="b">
        <v>0</v>
      </c>
      <c r="BI337" t="b">
        <v>0</v>
      </c>
      <c r="BJ337" t="b">
        <v>0</v>
      </c>
      <c r="BK337" t="b">
        <v>0</v>
      </c>
      <c r="BL337" t="b">
        <v>0</v>
      </c>
      <c r="BM337" t="b">
        <v>0</v>
      </c>
      <c r="BN337" t="b">
        <v>0</v>
      </c>
      <c r="BO337" t="b">
        <v>0</v>
      </c>
      <c r="BP337" t="b">
        <v>0</v>
      </c>
      <c r="BR337" t="b">
        <f>IFERROR(IF(M337="PASSED",VLOOKUP(J337,Current!$J$1:$N$500,1,FALSE)),N337)</f>
        <v>0</v>
      </c>
    </row>
    <row r="338" spans="1:70" ht="15" hidden="1" customHeight="1" x14ac:dyDescent="0.25">
      <c r="A338">
        <v>21156</v>
      </c>
      <c r="C338">
        <v>0</v>
      </c>
      <c r="D338" t="s">
        <v>83</v>
      </c>
      <c r="E338" t="s">
        <v>66</v>
      </c>
      <c r="F338" t="s">
        <v>84</v>
      </c>
      <c r="G338">
        <v>0</v>
      </c>
      <c r="H338" t="s">
        <v>85</v>
      </c>
      <c r="I338" t="s">
        <v>86</v>
      </c>
      <c r="J338" t="str">
        <f>MID($N338,FIND("1.",$N338),FIND("-",$N338)-FIND("1.",$N338)-1)</f>
        <v>1.0337</v>
      </c>
      <c r="K338" t="str">
        <f t="shared" si="15"/>
        <v>Ensure Load and unload device drivers is set to Administrators</v>
      </c>
      <c r="L338" t="str">
        <f t="shared" si="16"/>
        <v>1.0337 - MSWRK - Ensure Load and unload device drivers is set to Administrators</v>
      </c>
      <c r="M338" t="str">
        <f t="shared" si="17"/>
        <v>FAILED</v>
      </c>
      <c r="N338" s="1" t="s">
        <v>312</v>
      </c>
      <c r="O338" t="s">
        <v>67</v>
      </c>
      <c r="R338" t="s">
        <v>68</v>
      </c>
      <c r="T338" t="s">
        <v>69</v>
      </c>
      <c r="U338" t="s">
        <v>70</v>
      </c>
      <c r="W338" t="s">
        <v>71</v>
      </c>
      <c r="X338" s="1" t="s">
        <v>72</v>
      </c>
      <c r="Y338" t="s">
        <v>88</v>
      </c>
      <c r="Z338">
        <v>0</v>
      </c>
      <c r="AA338">
        <v>0</v>
      </c>
      <c r="AD338">
        <v>0</v>
      </c>
      <c r="AE338">
        <v>0</v>
      </c>
      <c r="AH338" t="s">
        <v>73</v>
      </c>
      <c r="AI338" t="s">
        <v>318</v>
      </c>
      <c r="AJ338" t="s">
        <v>319</v>
      </c>
      <c r="AK338" t="s">
        <v>76</v>
      </c>
      <c r="AN338" t="s">
        <v>77</v>
      </c>
      <c r="AO338" t="s">
        <v>320</v>
      </c>
      <c r="AP338" t="s">
        <v>758</v>
      </c>
      <c r="AQ338" t="s">
        <v>322</v>
      </c>
      <c r="AS338" t="b">
        <v>1</v>
      </c>
      <c r="AT338" t="s">
        <v>65</v>
      </c>
      <c r="AU338">
        <v>0</v>
      </c>
      <c r="AV338">
        <v>0</v>
      </c>
      <c r="AX338">
        <v>39</v>
      </c>
      <c r="AY338" t="s">
        <v>81</v>
      </c>
      <c r="AZ338" t="s">
        <v>90</v>
      </c>
      <c r="BB338" t="s">
        <v>91</v>
      </c>
      <c r="BC338" t="s">
        <v>92</v>
      </c>
      <c r="BD338" t="b">
        <v>0</v>
      </c>
      <c r="BE338" t="b">
        <v>0</v>
      </c>
      <c r="BF338" t="b">
        <v>0</v>
      </c>
      <c r="BG338" t="b">
        <v>0</v>
      </c>
      <c r="BH338" t="b">
        <v>0</v>
      </c>
      <c r="BI338" t="b">
        <v>0</v>
      </c>
      <c r="BJ338" t="b">
        <v>0</v>
      </c>
      <c r="BK338" t="b">
        <v>0</v>
      </c>
      <c r="BL338" t="b">
        <v>0</v>
      </c>
      <c r="BM338" t="b">
        <v>0</v>
      </c>
      <c r="BN338" t="b">
        <v>0</v>
      </c>
      <c r="BO338" t="b">
        <v>0</v>
      </c>
      <c r="BP338" t="b">
        <v>0</v>
      </c>
      <c r="BR338" t="b">
        <f>IFERROR(IF(M338="PASSED",VLOOKUP(J338,Current!$J$1:$N$500,1,FALSE)),N338)</f>
        <v>0</v>
      </c>
    </row>
    <row r="339" spans="1:70" ht="15" hidden="1" customHeight="1" x14ac:dyDescent="0.25">
      <c r="A339">
        <v>21156</v>
      </c>
      <c r="C339">
        <v>0</v>
      </c>
      <c r="D339" t="s">
        <v>65</v>
      </c>
      <c r="E339" t="s">
        <v>66</v>
      </c>
      <c r="F339" t="s">
        <v>84</v>
      </c>
      <c r="G339">
        <v>0</v>
      </c>
      <c r="H339" t="s">
        <v>85</v>
      </c>
      <c r="I339" t="s">
        <v>86</v>
      </c>
      <c r="J339" t="str">
        <f>MID($N339,FIND("1.",$N339),FIND("-",$N339)-FIND("1.",$N339)-1)</f>
        <v>1.0338</v>
      </c>
      <c r="K339" t="str">
        <f t="shared" si="15"/>
        <v>Ensure Lock pages in memory is set to No One</v>
      </c>
      <c r="L339" t="str">
        <f t="shared" si="16"/>
        <v>1.0338 - MSWRK - Ensure Lock pages in memory is set to No One</v>
      </c>
      <c r="M339" t="str">
        <f t="shared" si="17"/>
        <v>PASSED</v>
      </c>
      <c r="N339" s="1" t="s">
        <v>302</v>
      </c>
      <c r="O339" t="s">
        <v>67</v>
      </c>
      <c r="R339" t="s">
        <v>68</v>
      </c>
      <c r="T339" t="s">
        <v>69</v>
      </c>
      <c r="U339" t="s">
        <v>70</v>
      </c>
      <c r="W339" t="s">
        <v>71</v>
      </c>
      <c r="X339" s="1" t="s">
        <v>72</v>
      </c>
      <c r="Y339" t="s">
        <v>88</v>
      </c>
      <c r="Z339">
        <v>0</v>
      </c>
      <c r="AA339">
        <v>0</v>
      </c>
      <c r="AD339">
        <v>0</v>
      </c>
      <c r="AE339">
        <v>0</v>
      </c>
      <c r="AH339" t="s">
        <v>73</v>
      </c>
      <c r="AI339" t="s">
        <v>318</v>
      </c>
      <c r="AJ339" t="s">
        <v>319</v>
      </c>
      <c r="AK339" t="s">
        <v>76</v>
      </c>
      <c r="AN339" t="s">
        <v>77</v>
      </c>
      <c r="AO339" t="s">
        <v>320</v>
      </c>
      <c r="AP339" t="s">
        <v>616</v>
      </c>
      <c r="AQ339" t="s">
        <v>322</v>
      </c>
      <c r="AS339" t="b">
        <v>1</v>
      </c>
      <c r="AT339" t="s">
        <v>65</v>
      </c>
      <c r="AU339">
        <v>0</v>
      </c>
      <c r="AV339">
        <v>0</v>
      </c>
      <c r="AX339">
        <v>39</v>
      </c>
      <c r="AY339" t="s">
        <v>81</v>
      </c>
      <c r="AZ339" t="s">
        <v>90</v>
      </c>
      <c r="BB339" t="s">
        <v>91</v>
      </c>
      <c r="BC339" t="s">
        <v>92</v>
      </c>
      <c r="BD339" t="b">
        <v>0</v>
      </c>
      <c r="BE339" t="b">
        <v>0</v>
      </c>
      <c r="BF339" t="b">
        <v>0</v>
      </c>
      <c r="BG339" t="b">
        <v>0</v>
      </c>
      <c r="BH339" t="b">
        <v>0</v>
      </c>
      <c r="BI339" t="b">
        <v>0</v>
      </c>
      <c r="BJ339" t="b">
        <v>0</v>
      </c>
      <c r="BK339" t="b">
        <v>0</v>
      </c>
      <c r="BL339" t="b">
        <v>0</v>
      </c>
      <c r="BM339" t="b">
        <v>0</v>
      </c>
      <c r="BN339" t="b">
        <v>0</v>
      </c>
      <c r="BO339" t="b">
        <v>0</v>
      </c>
      <c r="BP339" t="b">
        <v>0</v>
      </c>
      <c r="BR339" t="str">
        <f>IFERROR(IF(M339="PASSED",VLOOKUP(J339,Current!$J$1:$N$500,1,FALSE)),N339)</f>
        <v>1.0338</v>
      </c>
    </row>
    <row r="340" spans="1:70" ht="15" hidden="1" customHeight="1" x14ac:dyDescent="0.25">
      <c r="A340">
        <v>21156</v>
      </c>
      <c r="C340">
        <v>0</v>
      </c>
      <c r="D340" t="s">
        <v>83</v>
      </c>
      <c r="E340" t="s">
        <v>66</v>
      </c>
      <c r="F340" t="s">
        <v>84</v>
      </c>
      <c r="G340">
        <v>0</v>
      </c>
      <c r="H340" t="s">
        <v>85</v>
      </c>
      <c r="I340" t="s">
        <v>86</v>
      </c>
      <c r="J340" t="str">
        <f>MID($N340,FIND("1.",$N340),FIND("-",$N340)-FIND("1.",$N340)-1)</f>
        <v>1.0339</v>
      </c>
      <c r="K340" t="str">
        <f t="shared" si="15"/>
        <v>Ensure Manage auditing and security log is set to Administrators</v>
      </c>
      <c r="L340" t="str">
        <f t="shared" si="16"/>
        <v>1.0339 - MSWRK - Ensure Manage auditing and security log is set to Administrators</v>
      </c>
      <c r="M340" t="str">
        <f t="shared" si="17"/>
        <v>FAILED</v>
      </c>
      <c r="N340" s="1" t="s">
        <v>125</v>
      </c>
      <c r="O340" t="s">
        <v>67</v>
      </c>
      <c r="R340" t="s">
        <v>68</v>
      </c>
      <c r="T340" t="s">
        <v>69</v>
      </c>
      <c r="U340" t="s">
        <v>70</v>
      </c>
      <c r="W340" t="s">
        <v>71</v>
      </c>
      <c r="X340" s="1" t="s">
        <v>72</v>
      </c>
      <c r="Y340" t="s">
        <v>88</v>
      </c>
      <c r="Z340">
        <v>0</v>
      </c>
      <c r="AA340">
        <v>0</v>
      </c>
      <c r="AD340">
        <v>0</v>
      </c>
      <c r="AE340">
        <v>0</v>
      </c>
      <c r="AH340" t="s">
        <v>73</v>
      </c>
      <c r="AI340" t="s">
        <v>318</v>
      </c>
      <c r="AJ340" t="s">
        <v>319</v>
      </c>
      <c r="AK340" t="s">
        <v>76</v>
      </c>
      <c r="AN340" t="s">
        <v>77</v>
      </c>
      <c r="AO340" t="s">
        <v>320</v>
      </c>
      <c r="AP340" t="s">
        <v>677</v>
      </c>
      <c r="AQ340" t="s">
        <v>322</v>
      </c>
      <c r="AS340" t="b">
        <v>1</v>
      </c>
      <c r="AT340" t="s">
        <v>65</v>
      </c>
      <c r="AU340">
        <v>0</v>
      </c>
      <c r="AV340">
        <v>0</v>
      </c>
      <c r="AX340">
        <v>39</v>
      </c>
      <c r="AY340" t="s">
        <v>81</v>
      </c>
      <c r="AZ340" t="s">
        <v>90</v>
      </c>
      <c r="BB340" t="s">
        <v>91</v>
      </c>
      <c r="BC340" t="s">
        <v>92</v>
      </c>
      <c r="BD340" t="b">
        <v>0</v>
      </c>
      <c r="BE340" t="b">
        <v>0</v>
      </c>
      <c r="BF340" t="b">
        <v>0</v>
      </c>
      <c r="BG340" t="b">
        <v>0</v>
      </c>
      <c r="BH340" t="b">
        <v>0</v>
      </c>
      <c r="BI340" t="b">
        <v>0</v>
      </c>
      <c r="BJ340" t="b">
        <v>0</v>
      </c>
      <c r="BK340" t="b">
        <v>0</v>
      </c>
      <c r="BL340" t="b">
        <v>0</v>
      </c>
      <c r="BM340" t="b">
        <v>0</v>
      </c>
      <c r="BN340" t="b">
        <v>0</v>
      </c>
      <c r="BO340" t="b">
        <v>0</v>
      </c>
      <c r="BP340" t="b">
        <v>0</v>
      </c>
      <c r="BR340" t="b">
        <f>IFERROR(IF(M340="PASSED",VLOOKUP(J340,Current!$J$1:$N$500,1,FALSE)),N340)</f>
        <v>0</v>
      </c>
    </row>
    <row r="341" spans="1:70" ht="15" hidden="1" customHeight="1" x14ac:dyDescent="0.25">
      <c r="A341">
        <v>21156</v>
      </c>
      <c r="C341">
        <v>0</v>
      </c>
      <c r="D341" t="s">
        <v>65</v>
      </c>
      <c r="E341" t="s">
        <v>66</v>
      </c>
      <c r="F341" t="s">
        <v>84</v>
      </c>
      <c r="G341">
        <v>0</v>
      </c>
      <c r="H341" t="s">
        <v>85</v>
      </c>
      <c r="I341" t="s">
        <v>86</v>
      </c>
      <c r="J341" t="str">
        <f>MID($N341,FIND("1.",$N341),FIND("-",$N341)-FIND("1.",$N341)-1)</f>
        <v>1.0340</v>
      </c>
      <c r="K341" t="str">
        <f t="shared" si="15"/>
        <v>Ensure Act as part of the operating system is set to No One</v>
      </c>
      <c r="L341" t="str">
        <f t="shared" si="16"/>
        <v>1.0340 - MSWRK - Ensure Act as part of the operating system is set to No One</v>
      </c>
      <c r="M341" t="str">
        <f t="shared" si="17"/>
        <v>PASSED</v>
      </c>
      <c r="N341" s="1" t="s">
        <v>231</v>
      </c>
      <c r="O341" t="s">
        <v>67</v>
      </c>
      <c r="R341" t="s">
        <v>68</v>
      </c>
      <c r="T341" t="s">
        <v>69</v>
      </c>
      <c r="U341" t="s">
        <v>70</v>
      </c>
      <c r="W341" t="s">
        <v>71</v>
      </c>
      <c r="X341" s="1" t="s">
        <v>72</v>
      </c>
      <c r="Y341" t="s">
        <v>88</v>
      </c>
      <c r="Z341">
        <v>0</v>
      </c>
      <c r="AA341">
        <v>0</v>
      </c>
      <c r="AD341">
        <v>0</v>
      </c>
      <c r="AE341">
        <v>0</v>
      </c>
      <c r="AH341" t="s">
        <v>73</v>
      </c>
      <c r="AI341" t="s">
        <v>318</v>
      </c>
      <c r="AJ341" t="s">
        <v>319</v>
      </c>
      <c r="AK341" t="s">
        <v>76</v>
      </c>
      <c r="AN341" t="s">
        <v>77</v>
      </c>
      <c r="AO341" t="s">
        <v>320</v>
      </c>
      <c r="AP341" t="s">
        <v>393</v>
      </c>
      <c r="AQ341" t="s">
        <v>322</v>
      </c>
      <c r="AS341" t="b">
        <v>1</v>
      </c>
      <c r="AT341" t="s">
        <v>65</v>
      </c>
      <c r="AU341">
        <v>0</v>
      </c>
      <c r="AV341">
        <v>0</v>
      </c>
      <c r="AX341">
        <v>39</v>
      </c>
      <c r="AY341" t="s">
        <v>81</v>
      </c>
      <c r="AZ341" t="s">
        <v>90</v>
      </c>
      <c r="BB341" t="s">
        <v>91</v>
      </c>
      <c r="BC341" t="s">
        <v>92</v>
      </c>
      <c r="BD341" t="b">
        <v>0</v>
      </c>
      <c r="BE341" t="b">
        <v>0</v>
      </c>
      <c r="BF341" t="b">
        <v>0</v>
      </c>
      <c r="BG341" t="b">
        <v>0</v>
      </c>
      <c r="BH341" t="b">
        <v>0</v>
      </c>
      <c r="BI341" t="b">
        <v>0</v>
      </c>
      <c r="BJ341" t="b">
        <v>0</v>
      </c>
      <c r="BK341" t="b">
        <v>0</v>
      </c>
      <c r="BL341" t="b">
        <v>0</v>
      </c>
      <c r="BM341" t="b">
        <v>0</v>
      </c>
      <c r="BN341" t="b">
        <v>0</v>
      </c>
      <c r="BO341" t="b">
        <v>0</v>
      </c>
      <c r="BP341" t="b">
        <v>0</v>
      </c>
      <c r="BR341" t="str">
        <f>IFERROR(IF(M341="PASSED",VLOOKUP(J341,Current!$J$1:$N$500,1,FALSE)),N341)</f>
        <v>1.0340</v>
      </c>
    </row>
    <row r="342" spans="1:70" ht="15" hidden="1" customHeight="1" x14ac:dyDescent="0.25">
      <c r="A342">
        <v>21156</v>
      </c>
      <c r="C342">
        <v>0</v>
      </c>
      <c r="D342" t="s">
        <v>65</v>
      </c>
      <c r="E342" t="s">
        <v>66</v>
      </c>
      <c r="F342" t="s">
        <v>84</v>
      </c>
      <c r="G342">
        <v>0</v>
      </c>
      <c r="H342" t="s">
        <v>85</v>
      </c>
      <c r="I342" t="s">
        <v>86</v>
      </c>
      <c r="J342" t="str">
        <f>MID($N342,FIND("1.",$N342),FIND("-",$N342)-FIND("1.",$N342)-1)</f>
        <v>1.0341</v>
      </c>
      <c r="K342" t="str">
        <f t="shared" si="15"/>
        <v>Ensure Modify an object label is set to No One</v>
      </c>
      <c r="L342" t="str">
        <f t="shared" si="16"/>
        <v>1.0341 - MSWRK - Ensure Modify an object label is set to No One</v>
      </c>
      <c r="M342" t="str">
        <f t="shared" si="17"/>
        <v>PASSED</v>
      </c>
      <c r="N342" s="1" t="s">
        <v>113</v>
      </c>
      <c r="O342" t="s">
        <v>67</v>
      </c>
      <c r="R342" t="s">
        <v>68</v>
      </c>
      <c r="T342" t="s">
        <v>69</v>
      </c>
      <c r="U342" t="s">
        <v>70</v>
      </c>
      <c r="W342" t="s">
        <v>71</v>
      </c>
      <c r="X342" s="1" t="s">
        <v>72</v>
      </c>
      <c r="Y342" t="s">
        <v>88</v>
      </c>
      <c r="Z342">
        <v>0</v>
      </c>
      <c r="AA342">
        <v>0</v>
      </c>
      <c r="AD342">
        <v>0</v>
      </c>
      <c r="AE342">
        <v>0</v>
      </c>
      <c r="AH342" t="s">
        <v>73</v>
      </c>
      <c r="AI342" t="s">
        <v>318</v>
      </c>
      <c r="AJ342" t="s">
        <v>319</v>
      </c>
      <c r="AK342" t="s">
        <v>76</v>
      </c>
      <c r="AN342" t="s">
        <v>77</v>
      </c>
      <c r="AO342" t="s">
        <v>320</v>
      </c>
      <c r="AP342" t="s">
        <v>771</v>
      </c>
      <c r="AQ342" t="s">
        <v>322</v>
      </c>
      <c r="AS342" t="b">
        <v>1</v>
      </c>
      <c r="AT342" t="s">
        <v>65</v>
      </c>
      <c r="AU342">
        <v>0</v>
      </c>
      <c r="AV342">
        <v>0</v>
      </c>
      <c r="AX342">
        <v>39</v>
      </c>
      <c r="AY342" t="s">
        <v>81</v>
      </c>
      <c r="AZ342" t="s">
        <v>90</v>
      </c>
      <c r="BB342" t="s">
        <v>91</v>
      </c>
      <c r="BC342" t="s">
        <v>92</v>
      </c>
      <c r="BD342" t="b">
        <v>0</v>
      </c>
      <c r="BE342" t="b">
        <v>0</v>
      </c>
      <c r="BF342" t="b">
        <v>0</v>
      </c>
      <c r="BG342" t="b">
        <v>0</v>
      </c>
      <c r="BH342" t="b">
        <v>0</v>
      </c>
      <c r="BI342" t="b">
        <v>0</v>
      </c>
      <c r="BJ342" t="b">
        <v>0</v>
      </c>
      <c r="BK342" t="b">
        <v>0</v>
      </c>
      <c r="BL342" t="b">
        <v>0</v>
      </c>
      <c r="BM342" t="b">
        <v>0</v>
      </c>
      <c r="BN342" t="b">
        <v>0</v>
      </c>
      <c r="BO342" t="b">
        <v>0</v>
      </c>
      <c r="BP342" t="b">
        <v>0</v>
      </c>
      <c r="BR342" t="str">
        <f>IFERROR(IF(M342="PASSED",VLOOKUP(J342,Current!$J$1:$N$500,1,FALSE)),N342)</f>
        <v>1.0341</v>
      </c>
    </row>
    <row r="343" spans="1:70" ht="15" hidden="1" customHeight="1" x14ac:dyDescent="0.25">
      <c r="A343">
        <v>21156</v>
      </c>
      <c r="C343">
        <v>0</v>
      </c>
      <c r="D343" t="s">
        <v>83</v>
      </c>
      <c r="E343" t="s">
        <v>66</v>
      </c>
      <c r="F343" t="s">
        <v>84</v>
      </c>
      <c r="G343">
        <v>0</v>
      </c>
      <c r="H343" t="s">
        <v>85</v>
      </c>
      <c r="I343" t="s">
        <v>86</v>
      </c>
      <c r="J343" t="str">
        <f>MID($N343,FIND("1.",$N343),FIND("-",$N343)-FIND("1.",$N343)-1)</f>
        <v>1.0342</v>
      </c>
      <c r="K343" t="str">
        <f t="shared" si="15"/>
        <v>Ensure Modify firmware environment values is set to Administrators</v>
      </c>
      <c r="L343" t="str">
        <f t="shared" si="16"/>
        <v>1.0342 - MSWRK - Ensure Modify firmware environment values is set to Administrators</v>
      </c>
      <c r="M343" t="str">
        <f t="shared" si="17"/>
        <v>FAILED</v>
      </c>
      <c r="N343" s="1" t="s">
        <v>93</v>
      </c>
      <c r="O343" t="s">
        <v>67</v>
      </c>
      <c r="R343" t="s">
        <v>68</v>
      </c>
      <c r="T343" t="s">
        <v>69</v>
      </c>
      <c r="U343" t="s">
        <v>70</v>
      </c>
      <c r="W343" t="s">
        <v>71</v>
      </c>
      <c r="X343" s="1" t="s">
        <v>72</v>
      </c>
      <c r="Y343" t="s">
        <v>88</v>
      </c>
      <c r="Z343">
        <v>0</v>
      </c>
      <c r="AA343">
        <v>0</v>
      </c>
      <c r="AD343">
        <v>0</v>
      </c>
      <c r="AE343">
        <v>0</v>
      </c>
      <c r="AH343" t="s">
        <v>73</v>
      </c>
      <c r="AI343" t="s">
        <v>318</v>
      </c>
      <c r="AJ343" t="s">
        <v>319</v>
      </c>
      <c r="AK343" t="s">
        <v>76</v>
      </c>
      <c r="AN343" t="s">
        <v>77</v>
      </c>
      <c r="AO343" t="s">
        <v>320</v>
      </c>
      <c r="AP343" t="s">
        <v>659</v>
      </c>
      <c r="AQ343" t="s">
        <v>322</v>
      </c>
      <c r="AS343" t="b">
        <v>1</v>
      </c>
      <c r="AT343" t="s">
        <v>65</v>
      </c>
      <c r="AU343">
        <v>0</v>
      </c>
      <c r="AV343">
        <v>0</v>
      </c>
      <c r="AX343">
        <v>39</v>
      </c>
      <c r="AY343" t="s">
        <v>81</v>
      </c>
      <c r="AZ343" t="s">
        <v>90</v>
      </c>
      <c r="BB343" t="s">
        <v>91</v>
      </c>
      <c r="BC343" t="s">
        <v>92</v>
      </c>
      <c r="BD343" t="b">
        <v>0</v>
      </c>
      <c r="BE343" t="b">
        <v>0</v>
      </c>
      <c r="BF343" t="b">
        <v>0</v>
      </c>
      <c r="BG343" t="b">
        <v>0</v>
      </c>
      <c r="BH343" t="b">
        <v>0</v>
      </c>
      <c r="BI343" t="b">
        <v>0</v>
      </c>
      <c r="BJ343" t="b">
        <v>0</v>
      </c>
      <c r="BK343" t="b">
        <v>0</v>
      </c>
      <c r="BL343" t="b">
        <v>0</v>
      </c>
      <c r="BM343" t="b">
        <v>0</v>
      </c>
      <c r="BN343" t="b">
        <v>0</v>
      </c>
      <c r="BO343" t="b">
        <v>0</v>
      </c>
      <c r="BP343" t="b">
        <v>0</v>
      </c>
      <c r="BR343" t="b">
        <f>IFERROR(IF(M343="PASSED",VLOOKUP(J343,Current!$J$1:$N$500,1,FALSE)),N343)</f>
        <v>0</v>
      </c>
    </row>
    <row r="344" spans="1:70" ht="15" hidden="1" customHeight="1" x14ac:dyDescent="0.25">
      <c r="A344">
        <v>21156</v>
      </c>
      <c r="C344">
        <v>0</v>
      </c>
      <c r="D344" t="s">
        <v>83</v>
      </c>
      <c r="E344" t="s">
        <v>66</v>
      </c>
      <c r="F344" t="s">
        <v>84</v>
      </c>
      <c r="G344">
        <v>0</v>
      </c>
      <c r="H344" t="s">
        <v>85</v>
      </c>
      <c r="I344" t="s">
        <v>86</v>
      </c>
      <c r="J344" t="str">
        <f>MID($N344,FIND("1.",$N344),FIND("-",$N344)-FIND("1.",$N344)-1)</f>
        <v>1.0343</v>
      </c>
      <c r="K344" t="str">
        <f t="shared" si="15"/>
        <v>Ensure Perform volume maintenance tasks is set to Administrators</v>
      </c>
      <c r="L344" t="str">
        <f t="shared" si="16"/>
        <v>1.0343 - MSWRK - Ensure Perform volume maintenance tasks is set to Administrators</v>
      </c>
      <c r="M344" t="str">
        <f t="shared" si="17"/>
        <v>FAILED</v>
      </c>
      <c r="N344" s="1" t="s">
        <v>151</v>
      </c>
      <c r="O344" t="s">
        <v>67</v>
      </c>
      <c r="R344" t="s">
        <v>68</v>
      </c>
      <c r="T344" t="s">
        <v>69</v>
      </c>
      <c r="U344" t="s">
        <v>70</v>
      </c>
      <c r="W344" t="s">
        <v>71</v>
      </c>
      <c r="X344" s="1" t="s">
        <v>72</v>
      </c>
      <c r="Y344" t="s">
        <v>88</v>
      </c>
      <c r="Z344">
        <v>0</v>
      </c>
      <c r="AA344">
        <v>0</v>
      </c>
      <c r="AD344">
        <v>0</v>
      </c>
      <c r="AE344">
        <v>0</v>
      </c>
      <c r="AH344" t="s">
        <v>73</v>
      </c>
      <c r="AI344" t="s">
        <v>318</v>
      </c>
      <c r="AJ344" t="s">
        <v>319</v>
      </c>
      <c r="AK344" t="s">
        <v>76</v>
      </c>
      <c r="AN344" t="s">
        <v>77</v>
      </c>
      <c r="AO344" t="s">
        <v>320</v>
      </c>
      <c r="AP344" t="s">
        <v>557</v>
      </c>
      <c r="AQ344" t="s">
        <v>322</v>
      </c>
      <c r="AS344" t="b">
        <v>1</v>
      </c>
      <c r="AT344" t="s">
        <v>65</v>
      </c>
      <c r="AU344">
        <v>0</v>
      </c>
      <c r="AV344">
        <v>0</v>
      </c>
      <c r="AX344">
        <v>39</v>
      </c>
      <c r="AY344" t="s">
        <v>81</v>
      </c>
      <c r="AZ344" t="s">
        <v>90</v>
      </c>
      <c r="BB344" t="s">
        <v>91</v>
      </c>
      <c r="BC344" t="s">
        <v>92</v>
      </c>
      <c r="BD344" t="b">
        <v>0</v>
      </c>
      <c r="BE344" t="b">
        <v>0</v>
      </c>
      <c r="BF344" t="b">
        <v>0</v>
      </c>
      <c r="BG344" t="b">
        <v>0</v>
      </c>
      <c r="BH344" t="b">
        <v>0</v>
      </c>
      <c r="BI344" t="b">
        <v>0</v>
      </c>
      <c r="BJ344" t="b">
        <v>0</v>
      </c>
      <c r="BK344" t="b">
        <v>0</v>
      </c>
      <c r="BL344" t="b">
        <v>0</v>
      </c>
      <c r="BM344" t="b">
        <v>0</v>
      </c>
      <c r="BN344" t="b">
        <v>0</v>
      </c>
      <c r="BO344" t="b">
        <v>0</v>
      </c>
      <c r="BP344" t="b">
        <v>0</v>
      </c>
      <c r="BR344" t="b">
        <f>IFERROR(IF(M344="PASSED",VLOOKUP(J344,Current!$J$1:$N$500,1,FALSE)),N344)</f>
        <v>0</v>
      </c>
    </row>
    <row r="345" spans="1:70" ht="15" hidden="1" customHeight="1" x14ac:dyDescent="0.25">
      <c r="A345">
        <v>21156</v>
      </c>
      <c r="C345">
        <v>0</v>
      </c>
      <c r="D345" t="s">
        <v>83</v>
      </c>
      <c r="E345" t="s">
        <v>66</v>
      </c>
      <c r="F345" t="s">
        <v>84</v>
      </c>
      <c r="G345">
        <v>0</v>
      </c>
      <c r="H345" t="s">
        <v>85</v>
      </c>
      <c r="I345" t="s">
        <v>86</v>
      </c>
      <c r="J345" t="str">
        <f>MID($N345,FIND("1.",$N345),FIND("-",$N345)-FIND("1.",$N345)-1)</f>
        <v>1.0344</v>
      </c>
      <c r="K345" t="str">
        <f t="shared" si="15"/>
        <v>Ensure Profile single process is set to Administrators</v>
      </c>
      <c r="L345" t="str">
        <f t="shared" si="16"/>
        <v>1.0344 - MSWRK - Ensure Profile single process is set to Administrators</v>
      </c>
      <c r="M345" t="str">
        <f t="shared" si="17"/>
        <v>FAILED</v>
      </c>
      <c r="N345" s="1" t="s">
        <v>282</v>
      </c>
      <c r="O345" t="s">
        <v>67</v>
      </c>
      <c r="R345" t="s">
        <v>68</v>
      </c>
      <c r="T345" t="s">
        <v>69</v>
      </c>
      <c r="U345" t="s">
        <v>70</v>
      </c>
      <c r="W345" t="s">
        <v>71</v>
      </c>
      <c r="X345" s="1" t="s">
        <v>72</v>
      </c>
      <c r="Y345" t="s">
        <v>88</v>
      </c>
      <c r="Z345">
        <v>0</v>
      </c>
      <c r="AA345">
        <v>0</v>
      </c>
      <c r="AD345">
        <v>0</v>
      </c>
      <c r="AE345">
        <v>0</v>
      </c>
      <c r="AH345" t="s">
        <v>73</v>
      </c>
      <c r="AI345" t="s">
        <v>318</v>
      </c>
      <c r="AJ345" t="s">
        <v>319</v>
      </c>
      <c r="AK345" t="s">
        <v>76</v>
      </c>
      <c r="AN345" t="s">
        <v>77</v>
      </c>
      <c r="AO345" t="s">
        <v>320</v>
      </c>
      <c r="AP345" t="s">
        <v>548</v>
      </c>
      <c r="AQ345" t="s">
        <v>322</v>
      </c>
      <c r="AS345" t="b">
        <v>1</v>
      </c>
      <c r="AT345" t="s">
        <v>65</v>
      </c>
      <c r="AU345">
        <v>0</v>
      </c>
      <c r="AV345">
        <v>0</v>
      </c>
      <c r="AX345">
        <v>39</v>
      </c>
      <c r="AY345" t="s">
        <v>81</v>
      </c>
      <c r="AZ345" t="s">
        <v>90</v>
      </c>
      <c r="BB345" t="s">
        <v>91</v>
      </c>
      <c r="BC345" t="s">
        <v>92</v>
      </c>
      <c r="BD345" t="b">
        <v>0</v>
      </c>
      <c r="BE345" t="b">
        <v>0</v>
      </c>
      <c r="BF345" t="b">
        <v>0</v>
      </c>
      <c r="BG345" t="b">
        <v>0</v>
      </c>
      <c r="BH345" t="b">
        <v>0</v>
      </c>
      <c r="BI345" t="b">
        <v>0</v>
      </c>
      <c r="BJ345" t="b">
        <v>0</v>
      </c>
      <c r="BK345" t="b">
        <v>0</v>
      </c>
      <c r="BL345" t="b">
        <v>0</v>
      </c>
      <c r="BM345" t="b">
        <v>0</v>
      </c>
      <c r="BN345" t="b">
        <v>0</v>
      </c>
      <c r="BO345" t="b">
        <v>0</v>
      </c>
      <c r="BP345" t="b">
        <v>0</v>
      </c>
      <c r="BR345" t="b">
        <f>IFERROR(IF(M345="PASSED",VLOOKUP(J345,Current!$J$1:$N$500,1,FALSE)),N345)</f>
        <v>0</v>
      </c>
    </row>
    <row r="346" spans="1:70" ht="15" hidden="1" customHeight="1" x14ac:dyDescent="0.25">
      <c r="A346">
        <v>21156</v>
      </c>
      <c r="C346">
        <v>0</v>
      </c>
      <c r="D346" t="s">
        <v>83</v>
      </c>
      <c r="E346" t="s">
        <v>66</v>
      </c>
      <c r="F346" t="s">
        <v>84</v>
      </c>
      <c r="G346">
        <v>0</v>
      </c>
      <c r="H346" t="s">
        <v>85</v>
      </c>
      <c r="I346" t="s">
        <v>86</v>
      </c>
      <c r="J346" t="str">
        <f>MID($N346,FIND("1.",$N346),FIND("-",$N346)-FIND("1.",$N346)-1)</f>
        <v>1.0345</v>
      </c>
      <c r="K346" t="str">
        <f t="shared" si="15"/>
        <v>Ensure Profile system performance is set to Administrators, NT SERVICE\WdiServiceHost</v>
      </c>
      <c r="L346" t="str">
        <f t="shared" si="16"/>
        <v>1.0345 - MSWRK - Ensure Profile system performance is set to Administrators, NT SERVICE\WdiServiceHost</v>
      </c>
      <c r="M346" t="str">
        <f t="shared" si="17"/>
        <v>FAILED</v>
      </c>
      <c r="N346" s="1" t="s">
        <v>207</v>
      </c>
      <c r="O346" t="s">
        <v>67</v>
      </c>
      <c r="R346" t="s">
        <v>68</v>
      </c>
      <c r="T346" t="s">
        <v>69</v>
      </c>
      <c r="U346" t="s">
        <v>70</v>
      </c>
      <c r="W346" t="s">
        <v>71</v>
      </c>
      <c r="X346" s="1" t="s">
        <v>72</v>
      </c>
      <c r="Y346" t="s">
        <v>88</v>
      </c>
      <c r="Z346">
        <v>0</v>
      </c>
      <c r="AA346">
        <v>0</v>
      </c>
      <c r="AD346">
        <v>0</v>
      </c>
      <c r="AE346">
        <v>0</v>
      </c>
      <c r="AH346" t="s">
        <v>73</v>
      </c>
      <c r="AI346" t="s">
        <v>318</v>
      </c>
      <c r="AJ346" t="s">
        <v>319</v>
      </c>
      <c r="AK346" t="s">
        <v>76</v>
      </c>
      <c r="AN346" t="s">
        <v>77</v>
      </c>
      <c r="AO346" t="s">
        <v>320</v>
      </c>
      <c r="AP346" t="s">
        <v>817</v>
      </c>
      <c r="AQ346" t="s">
        <v>322</v>
      </c>
      <c r="AS346" t="b">
        <v>1</v>
      </c>
      <c r="AT346" t="s">
        <v>65</v>
      </c>
      <c r="AU346">
        <v>0</v>
      </c>
      <c r="AV346">
        <v>0</v>
      </c>
      <c r="AX346">
        <v>39</v>
      </c>
      <c r="AY346" t="s">
        <v>81</v>
      </c>
      <c r="AZ346" t="s">
        <v>90</v>
      </c>
      <c r="BB346" t="s">
        <v>91</v>
      </c>
      <c r="BC346" t="s">
        <v>92</v>
      </c>
      <c r="BD346" t="b">
        <v>0</v>
      </c>
      <c r="BE346" t="b">
        <v>0</v>
      </c>
      <c r="BF346" t="b">
        <v>0</v>
      </c>
      <c r="BG346" t="b">
        <v>0</v>
      </c>
      <c r="BH346" t="b">
        <v>0</v>
      </c>
      <c r="BI346" t="b">
        <v>0</v>
      </c>
      <c r="BJ346" t="b">
        <v>0</v>
      </c>
      <c r="BK346" t="b">
        <v>0</v>
      </c>
      <c r="BL346" t="b">
        <v>0</v>
      </c>
      <c r="BM346" t="b">
        <v>0</v>
      </c>
      <c r="BN346" t="b">
        <v>0</v>
      </c>
      <c r="BO346" t="b">
        <v>0</v>
      </c>
      <c r="BP346" t="b">
        <v>0</v>
      </c>
      <c r="BR346" t="b">
        <f>IFERROR(IF(M346="PASSED",VLOOKUP(J346,Current!$J$1:$N$500,1,FALSE)),N346)</f>
        <v>0</v>
      </c>
    </row>
    <row r="347" spans="1:70" ht="15" hidden="1" customHeight="1" x14ac:dyDescent="0.25">
      <c r="A347">
        <v>21156</v>
      </c>
      <c r="C347">
        <v>0</v>
      </c>
      <c r="D347" t="s">
        <v>83</v>
      </c>
      <c r="E347" t="s">
        <v>66</v>
      </c>
      <c r="F347" t="s">
        <v>84</v>
      </c>
      <c r="G347">
        <v>0</v>
      </c>
      <c r="H347" t="s">
        <v>85</v>
      </c>
      <c r="I347" t="s">
        <v>86</v>
      </c>
      <c r="J347" t="str">
        <f>MID($N347,FIND("1.",$N347),FIND("-",$N347)-FIND("1.",$N347)-1)</f>
        <v>1.0346</v>
      </c>
      <c r="K347" t="str">
        <f t="shared" si="15"/>
        <v>Ensure Replace a process level token is set to LOCAL SERVICE, NETWORK SERVICE</v>
      </c>
      <c r="L347" t="str">
        <f t="shared" si="16"/>
        <v>1.0346 - MSWRK - Ensure Replace a process level token is set to LOCAL SERVICE, NETWORK SERVICE</v>
      </c>
      <c r="M347" t="str">
        <f t="shared" si="17"/>
        <v>FAILED</v>
      </c>
      <c r="N347" s="1" t="s">
        <v>120</v>
      </c>
      <c r="O347" t="s">
        <v>67</v>
      </c>
      <c r="R347" t="s">
        <v>68</v>
      </c>
      <c r="T347" t="s">
        <v>69</v>
      </c>
      <c r="U347" t="s">
        <v>70</v>
      </c>
      <c r="W347" t="s">
        <v>71</v>
      </c>
      <c r="X347" s="1" t="s">
        <v>72</v>
      </c>
      <c r="Y347" t="s">
        <v>88</v>
      </c>
      <c r="Z347">
        <v>0</v>
      </c>
      <c r="AA347">
        <v>0</v>
      </c>
      <c r="AD347">
        <v>0</v>
      </c>
      <c r="AE347">
        <v>0</v>
      </c>
      <c r="AH347" t="s">
        <v>73</v>
      </c>
      <c r="AI347" t="s">
        <v>318</v>
      </c>
      <c r="AJ347" t="s">
        <v>319</v>
      </c>
      <c r="AK347" t="s">
        <v>76</v>
      </c>
      <c r="AN347" t="s">
        <v>77</v>
      </c>
      <c r="AO347" t="s">
        <v>320</v>
      </c>
      <c r="AP347" t="s">
        <v>517</v>
      </c>
      <c r="AQ347" t="s">
        <v>322</v>
      </c>
      <c r="AS347" t="b">
        <v>1</v>
      </c>
      <c r="AT347" t="s">
        <v>65</v>
      </c>
      <c r="AU347">
        <v>0</v>
      </c>
      <c r="AV347">
        <v>0</v>
      </c>
      <c r="AX347">
        <v>39</v>
      </c>
      <c r="AY347" t="s">
        <v>81</v>
      </c>
      <c r="AZ347" t="s">
        <v>90</v>
      </c>
      <c r="BB347" t="s">
        <v>91</v>
      </c>
      <c r="BC347" t="s">
        <v>92</v>
      </c>
      <c r="BD347" t="b">
        <v>0</v>
      </c>
      <c r="BE347" t="b">
        <v>0</v>
      </c>
      <c r="BF347" t="b">
        <v>0</v>
      </c>
      <c r="BG347" t="b">
        <v>0</v>
      </c>
      <c r="BH347" t="b">
        <v>0</v>
      </c>
      <c r="BI347" t="b">
        <v>0</v>
      </c>
      <c r="BJ347" t="b">
        <v>0</v>
      </c>
      <c r="BK347" t="b">
        <v>0</v>
      </c>
      <c r="BL347" t="b">
        <v>0</v>
      </c>
      <c r="BM347" t="b">
        <v>0</v>
      </c>
      <c r="BN347" t="b">
        <v>0</v>
      </c>
      <c r="BO347" t="b">
        <v>0</v>
      </c>
      <c r="BP347" t="b">
        <v>0</v>
      </c>
      <c r="BR347" t="b">
        <f>IFERROR(IF(M347="PASSED",VLOOKUP(J347,Current!$J$1:$N$500,1,FALSE)),N347)</f>
        <v>0</v>
      </c>
    </row>
    <row r="348" spans="1:70" ht="15" hidden="1" customHeight="1" x14ac:dyDescent="0.25">
      <c r="A348">
        <v>21156</v>
      </c>
      <c r="C348">
        <v>0</v>
      </c>
      <c r="D348" t="s">
        <v>83</v>
      </c>
      <c r="E348" t="s">
        <v>66</v>
      </c>
      <c r="F348" t="s">
        <v>84</v>
      </c>
      <c r="G348">
        <v>0</v>
      </c>
      <c r="H348" t="s">
        <v>85</v>
      </c>
      <c r="I348" t="s">
        <v>86</v>
      </c>
      <c r="J348" t="str">
        <f>MID($N348,FIND("1.",$N348),FIND("-",$N348)-FIND("1.",$N348)-1)</f>
        <v>1.0347</v>
      </c>
      <c r="K348" t="str">
        <f t="shared" si="15"/>
        <v>Ensure Restore files and directories is set to Administrators</v>
      </c>
      <c r="L348" t="str">
        <f t="shared" si="16"/>
        <v>1.0347 - MSWRK - Ensure Restore files and directories is set to Administrators</v>
      </c>
      <c r="M348" t="str">
        <f t="shared" si="17"/>
        <v>FAILED</v>
      </c>
      <c r="N348" s="1" t="s">
        <v>281</v>
      </c>
      <c r="O348" t="s">
        <v>67</v>
      </c>
      <c r="R348" t="s">
        <v>68</v>
      </c>
      <c r="T348" t="s">
        <v>69</v>
      </c>
      <c r="U348" t="s">
        <v>70</v>
      </c>
      <c r="W348" t="s">
        <v>71</v>
      </c>
      <c r="X348" s="1" t="s">
        <v>72</v>
      </c>
      <c r="Y348" t="s">
        <v>88</v>
      </c>
      <c r="Z348">
        <v>0</v>
      </c>
      <c r="AA348">
        <v>0</v>
      </c>
      <c r="AD348">
        <v>0</v>
      </c>
      <c r="AE348">
        <v>0</v>
      </c>
      <c r="AH348" t="s">
        <v>73</v>
      </c>
      <c r="AI348" t="s">
        <v>318</v>
      </c>
      <c r="AJ348" t="s">
        <v>319</v>
      </c>
      <c r="AK348" t="s">
        <v>76</v>
      </c>
      <c r="AN348" t="s">
        <v>77</v>
      </c>
      <c r="AO348" t="s">
        <v>320</v>
      </c>
      <c r="AP348" t="s">
        <v>551</v>
      </c>
      <c r="AQ348" t="s">
        <v>322</v>
      </c>
      <c r="AS348" t="b">
        <v>1</v>
      </c>
      <c r="AT348" t="s">
        <v>65</v>
      </c>
      <c r="AU348">
        <v>0</v>
      </c>
      <c r="AV348">
        <v>0</v>
      </c>
      <c r="AX348">
        <v>39</v>
      </c>
      <c r="AY348" t="s">
        <v>81</v>
      </c>
      <c r="AZ348" t="s">
        <v>90</v>
      </c>
      <c r="BB348" t="s">
        <v>91</v>
      </c>
      <c r="BC348" t="s">
        <v>92</v>
      </c>
      <c r="BD348" t="b">
        <v>0</v>
      </c>
      <c r="BE348" t="b">
        <v>0</v>
      </c>
      <c r="BF348" t="b">
        <v>0</v>
      </c>
      <c r="BG348" t="b">
        <v>0</v>
      </c>
      <c r="BH348" t="b">
        <v>0</v>
      </c>
      <c r="BI348" t="b">
        <v>0</v>
      </c>
      <c r="BJ348" t="b">
        <v>0</v>
      </c>
      <c r="BK348" t="b">
        <v>0</v>
      </c>
      <c r="BL348" t="b">
        <v>0</v>
      </c>
      <c r="BM348" t="b">
        <v>0</v>
      </c>
      <c r="BN348" t="b">
        <v>0</v>
      </c>
      <c r="BO348" t="b">
        <v>0</v>
      </c>
      <c r="BP348" t="b">
        <v>0</v>
      </c>
      <c r="BR348" t="b">
        <f>IFERROR(IF(M348="PASSED",VLOOKUP(J348,Current!$J$1:$N$500,1,FALSE)),N348)</f>
        <v>0</v>
      </c>
    </row>
    <row r="349" spans="1:70" ht="15" hidden="1" customHeight="1" x14ac:dyDescent="0.25">
      <c r="A349">
        <v>21156</v>
      </c>
      <c r="C349">
        <v>0</v>
      </c>
      <c r="D349" t="s">
        <v>83</v>
      </c>
      <c r="E349" t="s">
        <v>66</v>
      </c>
      <c r="F349" t="s">
        <v>84</v>
      </c>
      <c r="G349">
        <v>0</v>
      </c>
      <c r="H349" t="s">
        <v>85</v>
      </c>
      <c r="I349" t="s">
        <v>86</v>
      </c>
      <c r="J349" t="str">
        <f>MID($N349,FIND("1.",$N349),FIND("-",$N349)-FIND("1.",$N349)-1)</f>
        <v>1.0348</v>
      </c>
      <c r="K349" t="str">
        <f t="shared" si="15"/>
        <v>Ensure Shut down the system is set to Administrators, Users</v>
      </c>
      <c r="L349" t="str">
        <f t="shared" si="16"/>
        <v>1.0348 - MSWRK - Ensure Shut down the system is set to Administrators, Users</v>
      </c>
      <c r="M349" t="str">
        <f t="shared" si="17"/>
        <v>FAILED</v>
      </c>
      <c r="N349" s="1" t="s">
        <v>259</v>
      </c>
      <c r="O349" t="s">
        <v>67</v>
      </c>
      <c r="R349" t="s">
        <v>68</v>
      </c>
      <c r="T349" t="s">
        <v>69</v>
      </c>
      <c r="U349" t="s">
        <v>70</v>
      </c>
      <c r="W349" t="s">
        <v>71</v>
      </c>
      <c r="X349" s="1" t="s">
        <v>72</v>
      </c>
      <c r="Y349" t="s">
        <v>88</v>
      </c>
      <c r="Z349">
        <v>0</v>
      </c>
      <c r="AA349">
        <v>0</v>
      </c>
      <c r="AD349">
        <v>0</v>
      </c>
      <c r="AE349">
        <v>0</v>
      </c>
      <c r="AH349" t="s">
        <v>73</v>
      </c>
      <c r="AI349" t="s">
        <v>318</v>
      </c>
      <c r="AJ349" t="s">
        <v>319</v>
      </c>
      <c r="AK349" t="s">
        <v>76</v>
      </c>
      <c r="AN349" t="s">
        <v>77</v>
      </c>
      <c r="AO349" t="s">
        <v>320</v>
      </c>
      <c r="AP349" t="s">
        <v>495</v>
      </c>
      <c r="AQ349" t="s">
        <v>322</v>
      </c>
      <c r="AS349" t="b">
        <v>1</v>
      </c>
      <c r="AT349" t="s">
        <v>65</v>
      </c>
      <c r="AU349">
        <v>0</v>
      </c>
      <c r="AV349">
        <v>0</v>
      </c>
      <c r="AX349">
        <v>39</v>
      </c>
      <c r="AY349" t="s">
        <v>81</v>
      </c>
      <c r="AZ349" t="s">
        <v>90</v>
      </c>
      <c r="BB349" t="s">
        <v>91</v>
      </c>
      <c r="BC349" t="s">
        <v>92</v>
      </c>
      <c r="BD349" t="b">
        <v>0</v>
      </c>
      <c r="BE349" t="b">
        <v>0</v>
      </c>
      <c r="BF349" t="b">
        <v>0</v>
      </c>
      <c r="BG349" t="b">
        <v>0</v>
      </c>
      <c r="BH349" t="b">
        <v>0</v>
      </c>
      <c r="BI349" t="b">
        <v>0</v>
      </c>
      <c r="BJ349" t="b">
        <v>0</v>
      </c>
      <c r="BK349" t="b">
        <v>0</v>
      </c>
      <c r="BL349" t="b">
        <v>0</v>
      </c>
      <c r="BM349" t="b">
        <v>0</v>
      </c>
      <c r="BN349" t="b">
        <v>0</v>
      </c>
      <c r="BO349" t="b">
        <v>0</v>
      </c>
      <c r="BP349" t="b">
        <v>0</v>
      </c>
      <c r="BR349" t="b">
        <f>IFERROR(IF(M349="PASSED",VLOOKUP(J349,Current!$J$1:$N$500,1,FALSE)),N349)</f>
        <v>0</v>
      </c>
    </row>
    <row r="350" spans="1:70" ht="15" hidden="1" customHeight="1" x14ac:dyDescent="0.25">
      <c r="A350">
        <v>21156</v>
      </c>
      <c r="C350">
        <v>0</v>
      </c>
      <c r="D350" t="s">
        <v>83</v>
      </c>
      <c r="E350" t="s">
        <v>66</v>
      </c>
      <c r="F350" t="s">
        <v>84</v>
      </c>
      <c r="G350">
        <v>0</v>
      </c>
      <c r="H350" t="s">
        <v>85</v>
      </c>
      <c r="I350" t="s">
        <v>86</v>
      </c>
      <c r="J350" t="str">
        <f>MID($N350,FIND("1.",$N350),FIND("-",$N350)-FIND("1.",$N350)-1)</f>
        <v>1.0349</v>
      </c>
      <c r="K350" t="str">
        <f t="shared" si="15"/>
        <v>Ensure Take ownership of files or other objects is set to Administrators</v>
      </c>
      <c r="L350" t="str">
        <f t="shared" si="16"/>
        <v>1.0349 - MSWRK - Ensure Take ownership of files or other objects is set to Administrators</v>
      </c>
      <c r="M350" t="str">
        <f t="shared" si="17"/>
        <v>FAILED</v>
      </c>
      <c r="N350" s="1" t="s">
        <v>224</v>
      </c>
      <c r="O350" t="s">
        <v>67</v>
      </c>
      <c r="R350" t="s">
        <v>68</v>
      </c>
      <c r="T350" t="s">
        <v>69</v>
      </c>
      <c r="U350" t="s">
        <v>70</v>
      </c>
      <c r="W350" t="s">
        <v>71</v>
      </c>
      <c r="X350" s="1" t="s">
        <v>72</v>
      </c>
      <c r="Y350" t="s">
        <v>88</v>
      </c>
      <c r="Z350">
        <v>0</v>
      </c>
      <c r="AA350">
        <v>0</v>
      </c>
      <c r="AD350">
        <v>0</v>
      </c>
      <c r="AE350">
        <v>0</v>
      </c>
      <c r="AH350" t="s">
        <v>73</v>
      </c>
      <c r="AI350" t="s">
        <v>318</v>
      </c>
      <c r="AJ350" t="s">
        <v>319</v>
      </c>
      <c r="AK350" t="s">
        <v>76</v>
      </c>
      <c r="AN350" t="s">
        <v>77</v>
      </c>
      <c r="AO350" t="s">
        <v>320</v>
      </c>
      <c r="AP350" t="s">
        <v>781</v>
      </c>
      <c r="AQ350" t="s">
        <v>322</v>
      </c>
      <c r="AS350" t="b">
        <v>1</v>
      </c>
      <c r="AT350" t="s">
        <v>65</v>
      </c>
      <c r="AU350">
        <v>0</v>
      </c>
      <c r="AV350">
        <v>0</v>
      </c>
      <c r="AX350">
        <v>39</v>
      </c>
      <c r="AY350" t="s">
        <v>81</v>
      </c>
      <c r="AZ350" t="s">
        <v>90</v>
      </c>
      <c r="BB350" t="s">
        <v>91</v>
      </c>
      <c r="BC350" t="s">
        <v>92</v>
      </c>
      <c r="BD350" t="b">
        <v>0</v>
      </c>
      <c r="BE350" t="b">
        <v>0</v>
      </c>
      <c r="BF350" t="b">
        <v>0</v>
      </c>
      <c r="BG350" t="b">
        <v>0</v>
      </c>
      <c r="BH350" t="b">
        <v>0</v>
      </c>
      <c r="BI350" t="b">
        <v>0</v>
      </c>
      <c r="BJ350" t="b">
        <v>0</v>
      </c>
      <c r="BK350" t="b">
        <v>0</v>
      </c>
      <c r="BL350" t="b">
        <v>0</v>
      </c>
      <c r="BM350" t="b">
        <v>0</v>
      </c>
      <c r="BN350" t="b">
        <v>0</v>
      </c>
      <c r="BO350" t="b">
        <v>0</v>
      </c>
      <c r="BP350" t="b">
        <v>0</v>
      </c>
      <c r="BR350" t="b">
        <f>IFERROR(IF(M350="PASSED",VLOOKUP(J350,Current!$J$1:$N$500,1,FALSE)),N350)</f>
        <v>0</v>
      </c>
    </row>
    <row r="351" spans="1:70" ht="15" hidden="1" customHeight="1" x14ac:dyDescent="0.25">
      <c r="A351">
        <v>21156</v>
      </c>
      <c r="C351">
        <v>0</v>
      </c>
      <c r="D351" t="s">
        <v>83</v>
      </c>
      <c r="E351" t="s">
        <v>66</v>
      </c>
      <c r="F351" t="s">
        <v>84</v>
      </c>
      <c r="G351">
        <v>0</v>
      </c>
      <c r="H351" t="s">
        <v>85</v>
      </c>
      <c r="I351" t="s">
        <v>86</v>
      </c>
      <c r="J351" t="str">
        <f>MID($N351,FIND("1.",$N351),FIND("-",$N351)-FIND("1.",$N351)-1)</f>
        <v>1.0350</v>
      </c>
      <c r="K351" t="str">
        <f t="shared" si="15"/>
        <v>Ensure Adjust memory quotas for a process is set to Administrators, LOCAL SERVICE, NETWORK SERVICE</v>
      </c>
      <c r="L351" t="str">
        <f t="shared" si="16"/>
        <v>1.0350 - MSWRK - Ensure Adjust memory quotas for a process is set to Administrators, LOCAL SERVICE, NETWORK SERVICE</v>
      </c>
      <c r="M351" t="str">
        <f t="shared" si="17"/>
        <v>FAILED</v>
      </c>
      <c r="N351" s="1" t="s">
        <v>187</v>
      </c>
      <c r="O351" t="s">
        <v>67</v>
      </c>
      <c r="R351" t="s">
        <v>68</v>
      </c>
      <c r="T351" t="s">
        <v>69</v>
      </c>
      <c r="U351" t="s">
        <v>70</v>
      </c>
      <c r="W351" t="s">
        <v>71</v>
      </c>
      <c r="X351" s="1" t="s">
        <v>72</v>
      </c>
      <c r="Y351" t="s">
        <v>88</v>
      </c>
      <c r="Z351">
        <v>0</v>
      </c>
      <c r="AA351">
        <v>0</v>
      </c>
      <c r="AD351">
        <v>0</v>
      </c>
      <c r="AE351">
        <v>0</v>
      </c>
      <c r="AH351" t="s">
        <v>73</v>
      </c>
      <c r="AI351" t="s">
        <v>318</v>
      </c>
      <c r="AJ351" t="s">
        <v>319</v>
      </c>
      <c r="AK351" t="s">
        <v>76</v>
      </c>
      <c r="AN351" t="s">
        <v>77</v>
      </c>
      <c r="AO351" t="s">
        <v>320</v>
      </c>
      <c r="AP351" t="s">
        <v>752</v>
      </c>
      <c r="AQ351" t="s">
        <v>322</v>
      </c>
      <c r="AS351" t="b">
        <v>1</v>
      </c>
      <c r="AT351" t="s">
        <v>65</v>
      </c>
      <c r="AU351">
        <v>0</v>
      </c>
      <c r="AV351">
        <v>0</v>
      </c>
      <c r="AX351">
        <v>39</v>
      </c>
      <c r="AY351" t="s">
        <v>81</v>
      </c>
      <c r="AZ351" t="s">
        <v>90</v>
      </c>
      <c r="BB351" t="s">
        <v>91</v>
      </c>
      <c r="BC351" t="s">
        <v>92</v>
      </c>
      <c r="BD351" t="b">
        <v>0</v>
      </c>
      <c r="BE351" t="b">
        <v>0</v>
      </c>
      <c r="BF351" t="b">
        <v>0</v>
      </c>
      <c r="BG351" t="b">
        <v>0</v>
      </c>
      <c r="BH351" t="b">
        <v>0</v>
      </c>
      <c r="BI351" t="b">
        <v>0</v>
      </c>
      <c r="BJ351" t="b">
        <v>0</v>
      </c>
      <c r="BK351" t="b">
        <v>0</v>
      </c>
      <c r="BL351" t="b">
        <v>0</v>
      </c>
      <c r="BM351" t="b">
        <v>0</v>
      </c>
      <c r="BN351" t="b">
        <v>0</v>
      </c>
      <c r="BO351" t="b">
        <v>0</v>
      </c>
      <c r="BP351" t="b">
        <v>0</v>
      </c>
      <c r="BR351" t="b">
        <f>IFERROR(IF(M351="PASSED",VLOOKUP(J351,Current!$J$1:$N$500,1,FALSE)),N351)</f>
        <v>0</v>
      </c>
    </row>
    <row r="352" spans="1:70" ht="15" hidden="1" customHeight="1" x14ac:dyDescent="0.25">
      <c r="A352">
        <v>21156</v>
      </c>
      <c r="C352">
        <v>0</v>
      </c>
      <c r="D352" t="s">
        <v>83</v>
      </c>
      <c r="E352" t="s">
        <v>66</v>
      </c>
      <c r="F352" t="s">
        <v>84</v>
      </c>
      <c r="G352">
        <v>0</v>
      </c>
      <c r="H352" t="s">
        <v>85</v>
      </c>
      <c r="I352" t="s">
        <v>86</v>
      </c>
      <c r="J352" t="str">
        <f>MID($N352,FIND("1.",$N352),FIND("-",$N352)-FIND("1.",$N352)-1)</f>
        <v>1.0351</v>
      </c>
      <c r="K352" t="str">
        <f t="shared" si="15"/>
        <v>Ensure Allow log on locally is set to Administrators, Users</v>
      </c>
      <c r="L352" t="str">
        <f t="shared" si="16"/>
        <v>1.0351 - MSWRK - Ensure Allow log on locally is set to Administrators, Users</v>
      </c>
      <c r="M352" t="str">
        <f t="shared" si="17"/>
        <v>FAILED</v>
      </c>
      <c r="N352" s="1" t="s">
        <v>209</v>
      </c>
      <c r="O352" t="s">
        <v>67</v>
      </c>
      <c r="R352" t="s">
        <v>68</v>
      </c>
      <c r="T352" t="s">
        <v>69</v>
      </c>
      <c r="U352" t="s">
        <v>70</v>
      </c>
      <c r="W352" t="s">
        <v>71</v>
      </c>
      <c r="X352" s="1" t="s">
        <v>72</v>
      </c>
      <c r="Y352" t="s">
        <v>88</v>
      </c>
      <c r="Z352">
        <v>0</v>
      </c>
      <c r="AA352">
        <v>0</v>
      </c>
      <c r="AD352">
        <v>0</v>
      </c>
      <c r="AE352">
        <v>0</v>
      </c>
      <c r="AH352" t="s">
        <v>73</v>
      </c>
      <c r="AI352" t="s">
        <v>318</v>
      </c>
      <c r="AJ352" t="s">
        <v>319</v>
      </c>
      <c r="AK352" t="s">
        <v>76</v>
      </c>
      <c r="AN352" t="s">
        <v>77</v>
      </c>
      <c r="AO352" t="s">
        <v>320</v>
      </c>
      <c r="AP352" t="s">
        <v>448</v>
      </c>
      <c r="AQ352" t="s">
        <v>322</v>
      </c>
      <c r="AS352" t="b">
        <v>1</v>
      </c>
      <c r="AT352" t="s">
        <v>65</v>
      </c>
      <c r="AU352">
        <v>0</v>
      </c>
      <c r="AV352">
        <v>0</v>
      </c>
      <c r="AX352">
        <v>39</v>
      </c>
      <c r="AY352" t="s">
        <v>81</v>
      </c>
      <c r="AZ352" t="s">
        <v>90</v>
      </c>
      <c r="BB352" t="s">
        <v>91</v>
      </c>
      <c r="BC352" t="s">
        <v>92</v>
      </c>
      <c r="BD352" t="b">
        <v>0</v>
      </c>
      <c r="BE352" t="b">
        <v>0</v>
      </c>
      <c r="BF352" t="b">
        <v>0</v>
      </c>
      <c r="BG352" t="b">
        <v>0</v>
      </c>
      <c r="BH352" t="b">
        <v>0</v>
      </c>
      <c r="BI352" t="b">
        <v>0</v>
      </c>
      <c r="BJ352" t="b">
        <v>0</v>
      </c>
      <c r="BK352" t="b">
        <v>0</v>
      </c>
      <c r="BL352" t="b">
        <v>0</v>
      </c>
      <c r="BM352" t="b">
        <v>0</v>
      </c>
      <c r="BN352" t="b">
        <v>0</v>
      </c>
      <c r="BO352" t="b">
        <v>0</v>
      </c>
      <c r="BP352" t="b">
        <v>0</v>
      </c>
      <c r="BR352" t="b">
        <f>IFERROR(IF(M352="PASSED",VLOOKUP(J352,Current!$J$1:$N$500,1,FALSE)),N352)</f>
        <v>0</v>
      </c>
    </row>
    <row r="353" spans="1:70" ht="15" hidden="1" customHeight="1" x14ac:dyDescent="0.25">
      <c r="A353">
        <v>21156</v>
      </c>
      <c r="C353">
        <v>0</v>
      </c>
      <c r="D353" t="s">
        <v>83</v>
      </c>
      <c r="E353" t="s">
        <v>66</v>
      </c>
      <c r="F353" t="s">
        <v>84</v>
      </c>
      <c r="G353">
        <v>0</v>
      </c>
      <c r="H353" t="s">
        <v>85</v>
      </c>
      <c r="I353" t="s">
        <v>86</v>
      </c>
      <c r="J353" t="str">
        <f>MID($N353,FIND("1.",$N353),FIND("-",$N353)-FIND("1.",$N353)-1)</f>
        <v>1.0352</v>
      </c>
      <c r="K353" t="str">
        <f t="shared" si="15"/>
        <v>Ensure Allow log on through Remote Desktop Services is set to Administrators, Remote Desktop Users</v>
      </c>
      <c r="L353" t="str">
        <f t="shared" si="16"/>
        <v>1.0352 - MSWRK - Ensure Allow log on through Remote Desktop Services is set to Administrators, Remote Desktop Users</v>
      </c>
      <c r="M353" t="str">
        <f t="shared" si="17"/>
        <v>FAILED</v>
      </c>
      <c r="N353" s="1" t="s">
        <v>278</v>
      </c>
      <c r="O353" t="s">
        <v>67</v>
      </c>
      <c r="R353" t="s">
        <v>68</v>
      </c>
      <c r="T353" t="s">
        <v>69</v>
      </c>
      <c r="U353" t="s">
        <v>70</v>
      </c>
      <c r="W353" t="s">
        <v>71</v>
      </c>
      <c r="X353" s="1" t="s">
        <v>72</v>
      </c>
      <c r="Y353" t="s">
        <v>88</v>
      </c>
      <c r="Z353">
        <v>0</v>
      </c>
      <c r="AA353">
        <v>0</v>
      </c>
      <c r="AD353">
        <v>0</v>
      </c>
      <c r="AE353">
        <v>0</v>
      </c>
      <c r="AH353" t="s">
        <v>73</v>
      </c>
      <c r="AI353" t="s">
        <v>318</v>
      </c>
      <c r="AJ353" t="s">
        <v>319</v>
      </c>
      <c r="AK353" t="s">
        <v>76</v>
      </c>
      <c r="AN353" t="s">
        <v>77</v>
      </c>
      <c r="AO353" t="s">
        <v>320</v>
      </c>
      <c r="AP353" t="s">
        <v>535</v>
      </c>
      <c r="AQ353" t="s">
        <v>322</v>
      </c>
      <c r="AS353" t="b">
        <v>1</v>
      </c>
      <c r="AT353" t="s">
        <v>65</v>
      </c>
      <c r="AU353">
        <v>0</v>
      </c>
      <c r="AV353">
        <v>0</v>
      </c>
      <c r="AX353">
        <v>39</v>
      </c>
      <c r="AY353" t="s">
        <v>81</v>
      </c>
      <c r="AZ353" t="s">
        <v>90</v>
      </c>
      <c r="BB353" t="s">
        <v>91</v>
      </c>
      <c r="BC353" t="s">
        <v>92</v>
      </c>
      <c r="BD353" t="b">
        <v>0</v>
      </c>
      <c r="BE353" t="b">
        <v>0</v>
      </c>
      <c r="BF353" t="b">
        <v>0</v>
      </c>
      <c r="BG353" t="b">
        <v>0</v>
      </c>
      <c r="BH353" t="b">
        <v>0</v>
      </c>
      <c r="BI353" t="b">
        <v>0</v>
      </c>
      <c r="BJ353" t="b">
        <v>0</v>
      </c>
      <c r="BK353" t="b">
        <v>0</v>
      </c>
      <c r="BL353" t="b">
        <v>0</v>
      </c>
      <c r="BM353" t="b">
        <v>0</v>
      </c>
      <c r="BN353" t="b">
        <v>0</v>
      </c>
      <c r="BO353" t="b">
        <v>0</v>
      </c>
      <c r="BP353" t="b">
        <v>0</v>
      </c>
      <c r="BR353" t="b">
        <f>IFERROR(IF(M353="PASSED",VLOOKUP(J353,Current!$J$1:$N$500,1,FALSE)),N353)</f>
        <v>0</v>
      </c>
    </row>
    <row r="354" spans="1:70" ht="15" hidden="1" customHeight="1" x14ac:dyDescent="0.25">
      <c r="A354">
        <v>21156</v>
      </c>
      <c r="C354">
        <v>0</v>
      </c>
      <c r="D354" t="s">
        <v>83</v>
      </c>
      <c r="E354" t="s">
        <v>66</v>
      </c>
      <c r="F354" t="s">
        <v>84</v>
      </c>
      <c r="G354">
        <v>0</v>
      </c>
      <c r="H354" t="s">
        <v>85</v>
      </c>
      <c r="I354" t="s">
        <v>86</v>
      </c>
      <c r="J354" t="str">
        <f>MID($N354,FIND("1.",$N354),FIND("-",$N354)-FIND("1.",$N354)-1)</f>
        <v>1.0353</v>
      </c>
      <c r="K354" t="str">
        <f t="shared" si="15"/>
        <v>Ensure Back up files and directories is set to Administrators</v>
      </c>
      <c r="L354" t="str">
        <f t="shared" si="16"/>
        <v>1.0353 - MSWRK - Ensure Back up files and directories is set to Administrators</v>
      </c>
      <c r="M354" t="str">
        <f t="shared" si="17"/>
        <v>FAILED</v>
      </c>
      <c r="N354" s="1" t="s">
        <v>264</v>
      </c>
      <c r="O354" t="s">
        <v>67</v>
      </c>
      <c r="R354" t="s">
        <v>68</v>
      </c>
      <c r="T354" t="s">
        <v>69</v>
      </c>
      <c r="U354" t="s">
        <v>70</v>
      </c>
      <c r="W354" t="s">
        <v>71</v>
      </c>
      <c r="X354" s="1" t="s">
        <v>72</v>
      </c>
      <c r="Y354" t="s">
        <v>88</v>
      </c>
      <c r="Z354">
        <v>0</v>
      </c>
      <c r="AA354">
        <v>0</v>
      </c>
      <c r="AD354">
        <v>0</v>
      </c>
      <c r="AE354">
        <v>0</v>
      </c>
      <c r="AH354" t="s">
        <v>73</v>
      </c>
      <c r="AI354" t="s">
        <v>318</v>
      </c>
      <c r="AJ354" t="s">
        <v>319</v>
      </c>
      <c r="AK354" t="s">
        <v>76</v>
      </c>
      <c r="AN354" t="s">
        <v>77</v>
      </c>
      <c r="AO354" t="s">
        <v>320</v>
      </c>
      <c r="AP354" t="s">
        <v>514</v>
      </c>
      <c r="AQ354" t="s">
        <v>322</v>
      </c>
      <c r="AS354" t="b">
        <v>1</v>
      </c>
      <c r="AT354" t="s">
        <v>65</v>
      </c>
      <c r="AU354">
        <v>0</v>
      </c>
      <c r="AV354">
        <v>0</v>
      </c>
      <c r="AX354">
        <v>39</v>
      </c>
      <c r="AY354" t="s">
        <v>81</v>
      </c>
      <c r="AZ354" t="s">
        <v>90</v>
      </c>
      <c r="BB354" t="s">
        <v>91</v>
      </c>
      <c r="BC354" t="s">
        <v>92</v>
      </c>
      <c r="BD354" t="b">
        <v>0</v>
      </c>
      <c r="BE354" t="b">
        <v>0</v>
      </c>
      <c r="BF354" t="b">
        <v>0</v>
      </c>
      <c r="BG354" t="b">
        <v>0</v>
      </c>
      <c r="BH354" t="b">
        <v>0</v>
      </c>
      <c r="BI354" t="b">
        <v>0</v>
      </c>
      <c r="BJ354" t="b">
        <v>0</v>
      </c>
      <c r="BK354" t="b">
        <v>0</v>
      </c>
      <c r="BL354" t="b">
        <v>0</v>
      </c>
      <c r="BM354" t="b">
        <v>0</v>
      </c>
      <c r="BN354" t="b">
        <v>0</v>
      </c>
      <c r="BO354" t="b">
        <v>0</v>
      </c>
      <c r="BP354" t="b">
        <v>0</v>
      </c>
      <c r="BR354" t="b">
        <f>IFERROR(IF(M354="PASSED",VLOOKUP(J354,Current!$J$1:$N$500,1,FALSE)),N354)</f>
        <v>0</v>
      </c>
    </row>
    <row r="355" spans="1:70" ht="15" hidden="1" customHeight="1" x14ac:dyDescent="0.25">
      <c r="A355">
        <v>21156</v>
      </c>
      <c r="C355">
        <v>0</v>
      </c>
      <c r="D355" t="s">
        <v>83</v>
      </c>
      <c r="E355" t="s">
        <v>66</v>
      </c>
      <c r="F355" t="s">
        <v>84</v>
      </c>
      <c r="G355">
        <v>0</v>
      </c>
      <c r="H355" t="s">
        <v>85</v>
      </c>
      <c r="I355" t="s">
        <v>86</v>
      </c>
      <c r="J355" t="str">
        <f>MID($N355,FIND("1.",$N355),FIND("-",$N355)-FIND("1.",$N355)-1)</f>
        <v>1.0354</v>
      </c>
      <c r="K355" t="str">
        <f t="shared" si="15"/>
        <v>Ensure Change the system time is set to Administrators, LOCAL SERVICE</v>
      </c>
      <c r="L355" t="str">
        <f t="shared" si="16"/>
        <v>1.0354 - MSWRK - Ensure Change the system time is set to Administrators, LOCAL SERVICE</v>
      </c>
      <c r="M355" t="str">
        <f t="shared" si="17"/>
        <v>FAILED</v>
      </c>
      <c r="N355" s="1" t="s">
        <v>134</v>
      </c>
      <c r="O355" t="s">
        <v>67</v>
      </c>
      <c r="R355" t="s">
        <v>68</v>
      </c>
      <c r="T355" t="s">
        <v>69</v>
      </c>
      <c r="U355" t="s">
        <v>70</v>
      </c>
      <c r="W355" t="s">
        <v>71</v>
      </c>
      <c r="X355" s="1" t="s">
        <v>72</v>
      </c>
      <c r="Y355" t="s">
        <v>88</v>
      </c>
      <c r="Z355">
        <v>0</v>
      </c>
      <c r="AA355">
        <v>0</v>
      </c>
      <c r="AD355">
        <v>0</v>
      </c>
      <c r="AE355">
        <v>0</v>
      </c>
      <c r="AH355" t="s">
        <v>73</v>
      </c>
      <c r="AI355" t="s">
        <v>318</v>
      </c>
      <c r="AJ355" t="s">
        <v>319</v>
      </c>
      <c r="AK355" t="s">
        <v>76</v>
      </c>
      <c r="AN355" t="s">
        <v>77</v>
      </c>
      <c r="AO355" t="s">
        <v>320</v>
      </c>
      <c r="AP355" t="s">
        <v>681</v>
      </c>
      <c r="AQ355" t="s">
        <v>322</v>
      </c>
      <c r="AS355" t="b">
        <v>1</v>
      </c>
      <c r="AT355" t="s">
        <v>65</v>
      </c>
      <c r="AU355">
        <v>0</v>
      </c>
      <c r="AV355">
        <v>0</v>
      </c>
      <c r="AX355">
        <v>39</v>
      </c>
      <c r="AY355" t="s">
        <v>81</v>
      </c>
      <c r="AZ355" t="s">
        <v>90</v>
      </c>
      <c r="BB355" t="s">
        <v>91</v>
      </c>
      <c r="BC355" t="s">
        <v>92</v>
      </c>
      <c r="BD355" t="b">
        <v>0</v>
      </c>
      <c r="BE355" t="b">
        <v>0</v>
      </c>
      <c r="BF355" t="b">
        <v>0</v>
      </c>
      <c r="BG355" t="b">
        <v>0</v>
      </c>
      <c r="BH355" t="b">
        <v>0</v>
      </c>
      <c r="BI355" t="b">
        <v>0</v>
      </c>
      <c r="BJ355" t="b">
        <v>0</v>
      </c>
      <c r="BK355" t="b">
        <v>0</v>
      </c>
      <c r="BL355" t="b">
        <v>0</v>
      </c>
      <c r="BM355" t="b">
        <v>0</v>
      </c>
      <c r="BN355" t="b">
        <v>0</v>
      </c>
      <c r="BO355" t="b">
        <v>0</v>
      </c>
      <c r="BP355" t="b">
        <v>0</v>
      </c>
      <c r="BR355" t="b">
        <f>IFERROR(IF(M355="PASSED",VLOOKUP(J355,Current!$J$1:$N$500,1,FALSE)),N355)</f>
        <v>0</v>
      </c>
    </row>
    <row r="356" spans="1:70" ht="15" hidden="1" customHeight="1" x14ac:dyDescent="0.25">
      <c r="A356">
        <v>21156</v>
      </c>
      <c r="C356">
        <v>0</v>
      </c>
      <c r="D356" t="s">
        <v>83</v>
      </c>
      <c r="E356" t="s">
        <v>66</v>
      </c>
      <c r="F356" t="s">
        <v>84</v>
      </c>
      <c r="G356">
        <v>0</v>
      </c>
      <c r="H356" t="s">
        <v>85</v>
      </c>
      <c r="I356" t="s">
        <v>86</v>
      </c>
      <c r="J356" t="str">
        <f>MID($N356,FIND("1.",$N356),FIND("-",$N356)-FIND("1.",$N356)-1)</f>
        <v>1.0355</v>
      </c>
      <c r="K356" t="str">
        <f t="shared" si="15"/>
        <v>Ensure Create a pagefile is set to Administrators</v>
      </c>
      <c r="L356" t="str">
        <f t="shared" si="16"/>
        <v>1.0355 - MSWRK - Ensure Create a pagefile is set to Administrators</v>
      </c>
      <c r="M356" t="str">
        <f t="shared" si="17"/>
        <v>FAILED</v>
      </c>
      <c r="N356" s="1" t="s">
        <v>299</v>
      </c>
      <c r="O356" t="s">
        <v>67</v>
      </c>
      <c r="R356" t="s">
        <v>68</v>
      </c>
      <c r="T356" t="s">
        <v>69</v>
      </c>
      <c r="U356" t="s">
        <v>70</v>
      </c>
      <c r="W356" t="s">
        <v>71</v>
      </c>
      <c r="X356" s="1" t="s">
        <v>72</v>
      </c>
      <c r="Y356" t="s">
        <v>88</v>
      </c>
      <c r="Z356">
        <v>0</v>
      </c>
      <c r="AA356">
        <v>0</v>
      </c>
      <c r="AD356">
        <v>0</v>
      </c>
      <c r="AE356">
        <v>0</v>
      </c>
      <c r="AH356" t="s">
        <v>73</v>
      </c>
      <c r="AI356" t="s">
        <v>318</v>
      </c>
      <c r="AJ356" t="s">
        <v>319</v>
      </c>
      <c r="AK356" t="s">
        <v>76</v>
      </c>
      <c r="AN356" t="s">
        <v>77</v>
      </c>
      <c r="AO356" t="s">
        <v>320</v>
      </c>
      <c r="AP356" t="s">
        <v>705</v>
      </c>
      <c r="AQ356" t="s">
        <v>322</v>
      </c>
      <c r="AS356" t="b">
        <v>1</v>
      </c>
      <c r="AT356" t="s">
        <v>65</v>
      </c>
      <c r="AU356">
        <v>0</v>
      </c>
      <c r="AV356">
        <v>0</v>
      </c>
      <c r="AX356">
        <v>39</v>
      </c>
      <c r="AY356" t="s">
        <v>81</v>
      </c>
      <c r="AZ356" t="s">
        <v>90</v>
      </c>
      <c r="BB356" t="s">
        <v>91</v>
      </c>
      <c r="BC356" t="s">
        <v>92</v>
      </c>
      <c r="BD356" t="b">
        <v>0</v>
      </c>
      <c r="BE356" t="b">
        <v>0</v>
      </c>
      <c r="BF356" t="b">
        <v>0</v>
      </c>
      <c r="BG356" t="b">
        <v>0</v>
      </c>
      <c r="BH356" t="b">
        <v>0</v>
      </c>
      <c r="BI356" t="b">
        <v>0</v>
      </c>
      <c r="BJ356" t="b">
        <v>0</v>
      </c>
      <c r="BK356" t="b">
        <v>0</v>
      </c>
      <c r="BL356" t="b">
        <v>0</v>
      </c>
      <c r="BM356" t="b">
        <v>0</v>
      </c>
      <c r="BN356" t="b">
        <v>0</v>
      </c>
      <c r="BO356" t="b">
        <v>0</v>
      </c>
      <c r="BP356" t="b">
        <v>0</v>
      </c>
      <c r="BR356" t="b">
        <f>IFERROR(IF(M356="PASSED",VLOOKUP(J356,Current!$J$1:$N$500,1,FALSE)),N356)</f>
        <v>0</v>
      </c>
    </row>
    <row r="357" spans="1:70" ht="15" customHeight="1" x14ac:dyDescent="0.25">
      <c r="A357">
        <v>21156</v>
      </c>
      <c r="C357">
        <v>0</v>
      </c>
      <c r="D357" t="s">
        <v>65</v>
      </c>
      <c r="E357" t="s">
        <v>66</v>
      </c>
      <c r="F357" t="s">
        <v>84</v>
      </c>
      <c r="G357">
        <v>0</v>
      </c>
      <c r="H357" t="s">
        <v>85</v>
      </c>
      <c r="I357" t="s">
        <v>86</v>
      </c>
      <c r="J357" t="str">
        <f>MID($N357,FIND("1.",$N357),FIND("-",$N357)-FIND("1.",$N357)-1)</f>
        <v>1.0356</v>
      </c>
      <c r="K357" t="str">
        <f t="shared" si="15"/>
        <v>Ensure Network access</v>
      </c>
      <c r="L357" t="str">
        <f t="shared" si="16"/>
        <v>1.0356 - MSWRK - Ensure Network access: Allow anonymous SID/Name translation is set to Disabled</v>
      </c>
      <c r="M357" t="str">
        <f t="shared" si="17"/>
        <v>PASSED</v>
      </c>
      <c r="N357" s="1" t="s">
        <v>366</v>
      </c>
      <c r="O357" t="s">
        <v>67</v>
      </c>
      <c r="R357" t="s">
        <v>68</v>
      </c>
      <c r="T357" t="s">
        <v>69</v>
      </c>
      <c r="U357" t="s">
        <v>70</v>
      </c>
      <c r="W357" t="s">
        <v>71</v>
      </c>
      <c r="X357" s="1" t="s">
        <v>72</v>
      </c>
      <c r="Y357" t="s">
        <v>88</v>
      </c>
      <c r="Z357">
        <v>0</v>
      </c>
      <c r="AA357">
        <v>0</v>
      </c>
      <c r="AD357">
        <v>0</v>
      </c>
      <c r="AE357">
        <v>0</v>
      </c>
      <c r="AH357" t="s">
        <v>73</v>
      </c>
      <c r="AI357" t="s">
        <v>318</v>
      </c>
      <c r="AJ357" t="s">
        <v>319</v>
      </c>
      <c r="AK357" t="s">
        <v>76</v>
      </c>
      <c r="AN357" t="s">
        <v>77</v>
      </c>
      <c r="AO357" t="s">
        <v>320</v>
      </c>
      <c r="AP357" t="s">
        <v>365</v>
      </c>
      <c r="AQ357" t="s">
        <v>322</v>
      </c>
      <c r="AS357" t="b">
        <v>1</v>
      </c>
      <c r="AT357" t="s">
        <v>65</v>
      </c>
      <c r="AU357">
        <v>0</v>
      </c>
      <c r="AV357">
        <v>0</v>
      </c>
      <c r="AX357">
        <v>39</v>
      </c>
      <c r="AY357" t="s">
        <v>81</v>
      </c>
      <c r="AZ357" t="s">
        <v>90</v>
      </c>
      <c r="BB357" t="s">
        <v>91</v>
      </c>
      <c r="BC357" t="s">
        <v>92</v>
      </c>
      <c r="BD357" t="b">
        <v>0</v>
      </c>
      <c r="BE357" t="b">
        <v>0</v>
      </c>
      <c r="BF357" t="b">
        <v>0</v>
      </c>
      <c r="BG357" t="b">
        <v>0</v>
      </c>
      <c r="BH357" t="b">
        <v>0</v>
      </c>
      <c r="BI357" t="b">
        <v>0</v>
      </c>
      <c r="BJ357" t="b">
        <v>0</v>
      </c>
      <c r="BK357" t="b">
        <v>0</v>
      </c>
      <c r="BL357" t="b">
        <v>0</v>
      </c>
      <c r="BM357" t="b">
        <v>0</v>
      </c>
      <c r="BN357" t="b">
        <v>0</v>
      </c>
      <c r="BO357" t="b">
        <v>0</v>
      </c>
      <c r="BP357" t="b">
        <v>0</v>
      </c>
      <c r="BR357" t="str">
        <f>IFERROR(IF(M357="PASSED",VLOOKUP(J357,Current!$J$1:$N$500,1,FALSE)),N357)</f>
        <v>"1.0356 - MSWRK - Ensure Network access: Allow anonymous SID/Name translation is set to Disabled: [PASSED]"
This policy setting determines whether an anonymous user can request security identifier (SID) attributes for another user, or use a SID to obtain its corresponding user name.
See Also:
See HTH Policies and Standards
Reference:
NIST 800-53r5|AC-6(10) IA-2(2)
Policy Value:
'Disabled'
Actual Value:
'Disabled'</v>
      </c>
    </row>
    <row r="358" spans="1:70" ht="15" hidden="1" customHeight="1" x14ac:dyDescent="0.25">
      <c r="A358">
        <v>21156</v>
      </c>
      <c r="C358">
        <v>0</v>
      </c>
      <c r="D358" t="s">
        <v>83</v>
      </c>
      <c r="E358" t="s">
        <v>66</v>
      </c>
      <c r="F358" t="s">
        <v>84</v>
      </c>
      <c r="G358">
        <v>0</v>
      </c>
      <c r="H358" t="s">
        <v>85</v>
      </c>
      <c r="I358" t="s">
        <v>86</v>
      </c>
      <c r="J358" t="str">
        <f>MID($N358,FIND("1.",$N358),FIND("-",$N358)-FIND("1.",$N358)-1)</f>
        <v>1.0357</v>
      </c>
      <c r="K358" t="str">
        <f t="shared" si="15"/>
        <v>Ensure Network access</v>
      </c>
      <c r="L358" t="str">
        <f t="shared" si="16"/>
        <v>1.0357 - MSWRK - Ensure Network access: Restrict clients allowed to make remote calls to SAM is set to Administrators: Remote Access: Allow</v>
      </c>
      <c r="M358" t="str">
        <f t="shared" si="17"/>
        <v>FAILED</v>
      </c>
      <c r="N358" s="1" t="s">
        <v>450</v>
      </c>
      <c r="O358" t="s">
        <v>67</v>
      </c>
      <c r="R358" t="s">
        <v>68</v>
      </c>
      <c r="T358" t="s">
        <v>69</v>
      </c>
      <c r="U358" t="s">
        <v>70</v>
      </c>
      <c r="W358" t="s">
        <v>71</v>
      </c>
      <c r="X358" s="1" t="s">
        <v>72</v>
      </c>
      <c r="Y358" t="s">
        <v>88</v>
      </c>
      <c r="Z358">
        <v>0</v>
      </c>
      <c r="AA358">
        <v>0</v>
      </c>
      <c r="AD358">
        <v>0</v>
      </c>
      <c r="AE358">
        <v>0</v>
      </c>
      <c r="AH358" t="s">
        <v>73</v>
      </c>
      <c r="AI358" t="s">
        <v>318</v>
      </c>
      <c r="AJ358" t="s">
        <v>319</v>
      </c>
      <c r="AK358" t="s">
        <v>76</v>
      </c>
      <c r="AN358" t="s">
        <v>77</v>
      </c>
      <c r="AO358" t="s">
        <v>320</v>
      </c>
      <c r="AP358" t="s">
        <v>448</v>
      </c>
      <c r="AQ358" t="s">
        <v>322</v>
      </c>
      <c r="AS358" t="b">
        <v>1</v>
      </c>
      <c r="AT358" t="s">
        <v>65</v>
      </c>
      <c r="AU358">
        <v>0</v>
      </c>
      <c r="AV358">
        <v>0</v>
      </c>
      <c r="AX358">
        <v>39</v>
      </c>
      <c r="AY358" t="s">
        <v>81</v>
      </c>
      <c r="AZ358" t="s">
        <v>90</v>
      </c>
      <c r="BB358" t="s">
        <v>91</v>
      </c>
      <c r="BC358" t="s">
        <v>92</v>
      </c>
      <c r="BD358" t="b">
        <v>0</v>
      </c>
      <c r="BE358" t="b">
        <v>0</v>
      </c>
      <c r="BF358" t="b">
        <v>0</v>
      </c>
      <c r="BG358" t="b">
        <v>0</v>
      </c>
      <c r="BH358" t="b">
        <v>0</v>
      </c>
      <c r="BI358" t="b">
        <v>0</v>
      </c>
      <c r="BJ358" t="b">
        <v>0</v>
      </c>
      <c r="BK358" t="b">
        <v>0</v>
      </c>
      <c r="BL358" t="b">
        <v>0</v>
      </c>
      <c r="BM358" t="b">
        <v>0</v>
      </c>
      <c r="BN358" t="b">
        <v>0</v>
      </c>
      <c r="BO358" t="b">
        <v>0</v>
      </c>
      <c r="BP358" t="b">
        <v>0</v>
      </c>
      <c r="BR358" t="b">
        <f>IFERROR(IF(M358="PASSED",VLOOKUP(J358,Current!$J$1:$N$500,1,FALSE)),N358)</f>
        <v>0</v>
      </c>
    </row>
    <row r="359" spans="1:70" ht="15" hidden="1" customHeight="1" x14ac:dyDescent="0.25">
      <c r="A359">
        <v>21156</v>
      </c>
      <c r="C359">
        <v>0</v>
      </c>
      <c r="D359" t="s">
        <v>83</v>
      </c>
      <c r="E359" t="s">
        <v>66</v>
      </c>
      <c r="F359" t="s">
        <v>84</v>
      </c>
      <c r="G359">
        <v>0</v>
      </c>
      <c r="H359" t="s">
        <v>85</v>
      </c>
      <c r="I359" t="s">
        <v>86</v>
      </c>
      <c r="J359" t="str">
        <f>MID($N359,FIND("1.",$N359),FIND("-",$N359)-FIND("1.",$N359)-1)</f>
        <v>1.0358</v>
      </c>
      <c r="K359" t="str">
        <f t="shared" si="15"/>
        <v>Ensure Network access</v>
      </c>
      <c r="L359" t="str">
        <f t="shared" si="16"/>
        <v>1.0358 - MSWRK - Ensure Network access: Shares that can be accessed anonymously is set to None</v>
      </c>
      <c r="M359" t="str">
        <f t="shared" si="17"/>
        <v>FAILED</v>
      </c>
      <c r="N359" s="1" t="s">
        <v>559</v>
      </c>
      <c r="O359" t="s">
        <v>67</v>
      </c>
      <c r="R359" t="s">
        <v>68</v>
      </c>
      <c r="T359" t="s">
        <v>69</v>
      </c>
      <c r="U359" t="s">
        <v>70</v>
      </c>
      <c r="W359" t="s">
        <v>71</v>
      </c>
      <c r="X359" s="1" t="s">
        <v>72</v>
      </c>
      <c r="Y359" t="s">
        <v>88</v>
      </c>
      <c r="Z359">
        <v>0</v>
      </c>
      <c r="AA359">
        <v>0</v>
      </c>
      <c r="AD359">
        <v>0</v>
      </c>
      <c r="AE359">
        <v>0</v>
      </c>
      <c r="AH359" t="s">
        <v>73</v>
      </c>
      <c r="AI359" t="s">
        <v>318</v>
      </c>
      <c r="AJ359" t="s">
        <v>319</v>
      </c>
      <c r="AK359" t="s">
        <v>76</v>
      </c>
      <c r="AN359" t="s">
        <v>77</v>
      </c>
      <c r="AO359" t="s">
        <v>320</v>
      </c>
      <c r="AP359" t="s">
        <v>557</v>
      </c>
      <c r="AQ359" t="s">
        <v>322</v>
      </c>
      <c r="AS359" t="b">
        <v>1</v>
      </c>
      <c r="AT359" t="s">
        <v>65</v>
      </c>
      <c r="AU359">
        <v>0</v>
      </c>
      <c r="AV359">
        <v>0</v>
      </c>
      <c r="AX359">
        <v>39</v>
      </c>
      <c r="AY359" t="s">
        <v>81</v>
      </c>
      <c r="AZ359" t="s">
        <v>90</v>
      </c>
      <c r="BB359" t="s">
        <v>91</v>
      </c>
      <c r="BC359" t="s">
        <v>92</v>
      </c>
      <c r="BD359" t="b">
        <v>0</v>
      </c>
      <c r="BE359" t="b">
        <v>0</v>
      </c>
      <c r="BF359" t="b">
        <v>0</v>
      </c>
      <c r="BG359" t="b">
        <v>0</v>
      </c>
      <c r="BH359" t="b">
        <v>0</v>
      </c>
      <c r="BI359" t="b">
        <v>0</v>
      </c>
      <c r="BJ359" t="b">
        <v>0</v>
      </c>
      <c r="BK359" t="b">
        <v>0</v>
      </c>
      <c r="BL359" t="b">
        <v>0</v>
      </c>
      <c r="BM359" t="b">
        <v>0</v>
      </c>
      <c r="BN359" t="b">
        <v>0</v>
      </c>
      <c r="BO359" t="b">
        <v>0</v>
      </c>
      <c r="BP359" t="b">
        <v>0</v>
      </c>
      <c r="BR359" t="b">
        <f>IFERROR(IF(M359="PASSED",VLOOKUP(J359,Current!$J$1:$N$500,1,FALSE)),N359)</f>
        <v>0</v>
      </c>
    </row>
    <row r="360" spans="1:70" ht="15" hidden="1" customHeight="1" x14ac:dyDescent="0.25">
      <c r="A360">
        <v>21156</v>
      </c>
      <c r="C360">
        <v>0</v>
      </c>
      <c r="D360" t="s">
        <v>65</v>
      </c>
      <c r="E360" t="s">
        <v>66</v>
      </c>
      <c r="F360" t="s">
        <v>84</v>
      </c>
      <c r="G360">
        <v>0</v>
      </c>
      <c r="H360" t="s">
        <v>85</v>
      </c>
      <c r="I360" t="s">
        <v>86</v>
      </c>
      <c r="J360" t="str">
        <f>MID($N360,FIND("1.",$N360),FIND("-",$N360)-FIND("1.",$N360)-1)</f>
        <v>1.0359</v>
      </c>
      <c r="K360" t="str">
        <f t="shared" si="15"/>
        <v>Ensure Network access</v>
      </c>
      <c r="L360" t="str">
        <f t="shared" si="16"/>
        <v>1.0359 - MSWRK - Ensure Network access: Sharing and security model for local accounts is set to Classic - local users authenticate as themselves</v>
      </c>
      <c r="M360" t="str">
        <f t="shared" si="17"/>
        <v>PASSED</v>
      </c>
      <c r="N360" s="1" t="s">
        <v>219</v>
      </c>
      <c r="O360" t="s">
        <v>67</v>
      </c>
      <c r="R360" t="s">
        <v>68</v>
      </c>
      <c r="T360" t="s">
        <v>69</v>
      </c>
      <c r="U360" t="s">
        <v>70</v>
      </c>
      <c r="W360" t="s">
        <v>71</v>
      </c>
      <c r="X360" s="1" t="s">
        <v>72</v>
      </c>
      <c r="Y360" t="s">
        <v>88</v>
      </c>
      <c r="Z360">
        <v>0</v>
      </c>
      <c r="AA360">
        <v>0</v>
      </c>
      <c r="AD360">
        <v>0</v>
      </c>
      <c r="AE360">
        <v>0</v>
      </c>
      <c r="AH360" t="s">
        <v>73</v>
      </c>
      <c r="AI360" t="s">
        <v>318</v>
      </c>
      <c r="AJ360" t="s">
        <v>319</v>
      </c>
      <c r="AK360" t="s">
        <v>76</v>
      </c>
      <c r="AN360" t="s">
        <v>77</v>
      </c>
      <c r="AO360" t="s">
        <v>320</v>
      </c>
      <c r="AP360" t="s">
        <v>327</v>
      </c>
      <c r="AQ360" t="s">
        <v>322</v>
      </c>
      <c r="AS360" t="b">
        <v>1</v>
      </c>
      <c r="AT360" t="s">
        <v>65</v>
      </c>
      <c r="AU360">
        <v>0</v>
      </c>
      <c r="AV360">
        <v>0</v>
      </c>
      <c r="AX360">
        <v>39</v>
      </c>
      <c r="AY360" t="s">
        <v>81</v>
      </c>
      <c r="AZ360" t="s">
        <v>90</v>
      </c>
      <c r="BB360" t="s">
        <v>91</v>
      </c>
      <c r="BC360" t="s">
        <v>92</v>
      </c>
      <c r="BD360" t="b">
        <v>0</v>
      </c>
      <c r="BE360" t="b">
        <v>0</v>
      </c>
      <c r="BF360" t="b">
        <v>0</v>
      </c>
      <c r="BG360" t="b">
        <v>0</v>
      </c>
      <c r="BH360" t="b">
        <v>0</v>
      </c>
      <c r="BI360" t="b">
        <v>0</v>
      </c>
      <c r="BJ360" t="b">
        <v>0</v>
      </c>
      <c r="BK360" t="b">
        <v>0</v>
      </c>
      <c r="BL360" t="b">
        <v>0</v>
      </c>
      <c r="BM360" t="b">
        <v>0</v>
      </c>
      <c r="BN360" t="b">
        <v>0</v>
      </c>
      <c r="BO360" t="b">
        <v>0</v>
      </c>
      <c r="BP360" t="b">
        <v>0</v>
      </c>
      <c r="BR360" t="str">
        <f>IFERROR(IF(M360="PASSED",VLOOKUP(J360,Current!$J$1:$N$500,1,FALSE)),N360)</f>
        <v>1.0359</v>
      </c>
    </row>
    <row r="361" spans="1:70" ht="15" hidden="1" customHeight="1" x14ac:dyDescent="0.25">
      <c r="A361">
        <v>21156</v>
      </c>
      <c r="C361">
        <v>0</v>
      </c>
      <c r="D361" t="s">
        <v>65</v>
      </c>
      <c r="E361" t="s">
        <v>66</v>
      </c>
      <c r="F361" t="s">
        <v>84</v>
      </c>
      <c r="G361">
        <v>0</v>
      </c>
      <c r="H361" t="s">
        <v>85</v>
      </c>
      <c r="I361" t="s">
        <v>86</v>
      </c>
      <c r="J361" t="str">
        <f>MID($N361,FIND("1.",$N361),FIND("-",$N361)-FIND("1.",$N361)-1)</f>
        <v>1.0360</v>
      </c>
      <c r="K361" t="str">
        <f t="shared" si="15"/>
        <v>Ensure Network access</v>
      </c>
      <c r="L361" t="str">
        <f t="shared" si="16"/>
        <v>1.0360 - MSWRK - Ensure Network access: Do not allow anonymous enumeration of SAM accounts is set to Enabled</v>
      </c>
      <c r="M361" t="str">
        <f t="shared" si="17"/>
        <v>PASSED</v>
      </c>
      <c r="N361" s="1" t="s">
        <v>284</v>
      </c>
      <c r="O361" t="s">
        <v>67</v>
      </c>
      <c r="R361" t="s">
        <v>68</v>
      </c>
      <c r="T361" t="s">
        <v>69</v>
      </c>
      <c r="U361" t="s">
        <v>70</v>
      </c>
      <c r="W361" t="s">
        <v>71</v>
      </c>
      <c r="X361" s="1" t="s">
        <v>72</v>
      </c>
      <c r="Y361" t="s">
        <v>88</v>
      </c>
      <c r="Z361">
        <v>0</v>
      </c>
      <c r="AA361">
        <v>0</v>
      </c>
      <c r="AD361">
        <v>0</v>
      </c>
      <c r="AE361">
        <v>0</v>
      </c>
      <c r="AH361" t="s">
        <v>73</v>
      </c>
      <c r="AI361" t="s">
        <v>318</v>
      </c>
      <c r="AJ361" t="s">
        <v>319</v>
      </c>
      <c r="AK361" t="s">
        <v>76</v>
      </c>
      <c r="AN361" t="s">
        <v>77</v>
      </c>
      <c r="AO361" t="s">
        <v>320</v>
      </c>
      <c r="AP361" t="s">
        <v>651</v>
      </c>
      <c r="AQ361" t="s">
        <v>322</v>
      </c>
      <c r="AS361" t="b">
        <v>1</v>
      </c>
      <c r="AT361" t="s">
        <v>65</v>
      </c>
      <c r="AU361">
        <v>0</v>
      </c>
      <c r="AV361">
        <v>0</v>
      </c>
      <c r="AX361">
        <v>39</v>
      </c>
      <c r="AY361" t="s">
        <v>81</v>
      </c>
      <c r="AZ361" t="s">
        <v>90</v>
      </c>
      <c r="BB361" t="s">
        <v>91</v>
      </c>
      <c r="BC361" t="s">
        <v>92</v>
      </c>
      <c r="BD361" t="b">
        <v>0</v>
      </c>
      <c r="BE361" t="b">
        <v>0</v>
      </c>
      <c r="BF361" t="b">
        <v>0</v>
      </c>
      <c r="BG361" t="b">
        <v>0</v>
      </c>
      <c r="BH361" t="b">
        <v>0</v>
      </c>
      <c r="BI361" t="b">
        <v>0</v>
      </c>
      <c r="BJ361" t="b">
        <v>0</v>
      </c>
      <c r="BK361" t="b">
        <v>0</v>
      </c>
      <c r="BL361" t="b">
        <v>0</v>
      </c>
      <c r="BM361" t="b">
        <v>0</v>
      </c>
      <c r="BN361" t="b">
        <v>0</v>
      </c>
      <c r="BO361" t="b">
        <v>0</v>
      </c>
      <c r="BP361" t="b">
        <v>0</v>
      </c>
      <c r="BR361" t="str">
        <f>IFERROR(IF(M361="PASSED",VLOOKUP(J361,Current!$J$1:$N$500,1,FALSE)),N361)</f>
        <v>1.0360</v>
      </c>
    </row>
    <row r="362" spans="1:70" ht="15" customHeight="1" x14ac:dyDescent="0.25">
      <c r="A362">
        <v>21156</v>
      </c>
      <c r="C362">
        <v>0</v>
      </c>
      <c r="D362" t="s">
        <v>65</v>
      </c>
      <c r="E362" t="s">
        <v>66</v>
      </c>
      <c r="F362" t="s">
        <v>84</v>
      </c>
      <c r="G362">
        <v>0</v>
      </c>
      <c r="H362" t="s">
        <v>85</v>
      </c>
      <c r="I362" t="s">
        <v>86</v>
      </c>
      <c r="J362" t="str">
        <f>MID($N362,FIND("1.",$N362),FIND("-",$N362)-FIND("1.",$N362)-1)</f>
        <v>1.0361</v>
      </c>
      <c r="K362" t="str">
        <f t="shared" si="15"/>
        <v>Ensure Network access</v>
      </c>
      <c r="L362" t="str">
        <f t="shared" si="16"/>
        <v>1.0361 - MSWRK - Ensure Network access: Do not allow anonymous enumeration of SAM accounts and shares is set to Enabled</v>
      </c>
      <c r="M362" t="str">
        <f t="shared" si="17"/>
        <v>PASSED</v>
      </c>
      <c r="N362" s="1" t="s">
        <v>331</v>
      </c>
      <c r="O362" t="s">
        <v>67</v>
      </c>
      <c r="R362" t="s">
        <v>68</v>
      </c>
      <c r="T362" t="s">
        <v>69</v>
      </c>
      <c r="U362" t="s">
        <v>70</v>
      </c>
      <c r="W362" t="s">
        <v>71</v>
      </c>
      <c r="X362" s="1" t="s">
        <v>72</v>
      </c>
      <c r="Y362" t="s">
        <v>88</v>
      </c>
      <c r="Z362">
        <v>0</v>
      </c>
      <c r="AA362">
        <v>0</v>
      </c>
      <c r="AD362">
        <v>0</v>
      </c>
      <c r="AE362">
        <v>0</v>
      </c>
      <c r="AH362" t="s">
        <v>73</v>
      </c>
      <c r="AI362" t="s">
        <v>318</v>
      </c>
      <c r="AJ362" t="s">
        <v>319</v>
      </c>
      <c r="AK362" t="s">
        <v>76</v>
      </c>
      <c r="AN362" t="s">
        <v>77</v>
      </c>
      <c r="AO362" t="s">
        <v>320</v>
      </c>
      <c r="AP362" t="s">
        <v>332</v>
      </c>
      <c r="AQ362" t="s">
        <v>322</v>
      </c>
      <c r="AS362" t="b">
        <v>1</v>
      </c>
      <c r="AT362" t="s">
        <v>65</v>
      </c>
      <c r="AU362">
        <v>0</v>
      </c>
      <c r="AV362">
        <v>0</v>
      </c>
      <c r="AX362">
        <v>39</v>
      </c>
      <c r="AY362" t="s">
        <v>81</v>
      </c>
      <c r="AZ362" t="s">
        <v>90</v>
      </c>
      <c r="BB362" t="s">
        <v>91</v>
      </c>
      <c r="BC362" t="s">
        <v>92</v>
      </c>
      <c r="BD362" t="b">
        <v>0</v>
      </c>
      <c r="BE362" t="b">
        <v>0</v>
      </c>
      <c r="BF362" t="b">
        <v>0</v>
      </c>
      <c r="BG362" t="b">
        <v>0</v>
      </c>
      <c r="BH362" t="b">
        <v>0</v>
      </c>
      <c r="BI362" t="b">
        <v>0</v>
      </c>
      <c r="BJ362" t="b">
        <v>0</v>
      </c>
      <c r="BK362" t="b">
        <v>0</v>
      </c>
      <c r="BL362" t="b">
        <v>0</v>
      </c>
      <c r="BM362" t="b">
        <v>0</v>
      </c>
      <c r="BN362" t="b">
        <v>0</v>
      </c>
      <c r="BO362" t="b">
        <v>0</v>
      </c>
      <c r="BP362" t="b">
        <v>0</v>
      </c>
      <c r="BR362" t="str">
        <f>IFERROR(IF(M362="PASSED",VLOOKUP(J362,Current!$J$1:$N$500,1,FALSE)),N362)</f>
        <v>"1.0361 - MSWRK - Ensure Network access: Do not allow anonymous enumeration of SAM accounts and shares is set to Enabled: [PASSED]"
This policy setting controls the ability of anonymous users to enumerate SAM accounts as well as shares.
See Also:
See HTH Policies and Standards
Reference:
NIST 800-53r5|AC-6(10)
Policy Value:
'1'
Actual Value:
'1'</v>
      </c>
    </row>
    <row r="363" spans="1:70" ht="15" hidden="1" customHeight="1" x14ac:dyDescent="0.25">
      <c r="A363">
        <v>21156</v>
      </c>
      <c r="C363">
        <v>0</v>
      </c>
      <c r="D363" t="s">
        <v>83</v>
      </c>
      <c r="E363" t="s">
        <v>66</v>
      </c>
      <c r="F363" t="s">
        <v>84</v>
      </c>
      <c r="G363">
        <v>0</v>
      </c>
      <c r="H363" t="s">
        <v>85</v>
      </c>
      <c r="I363" t="s">
        <v>86</v>
      </c>
      <c r="J363" t="str">
        <f>MID($N363,FIND("1.",$N363),FIND("-",$N363)-FIND("1.",$N363)-1)</f>
        <v>1.0362</v>
      </c>
      <c r="K363" t="str">
        <f t="shared" si="15"/>
        <v>Ensure Network access</v>
      </c>
      <c r="L363" t="str">
        <f t="shared" si="16"/>
        <v>1.0362 - MSWRK - Ensure Network access: Do not allow storage of passwords and credentials for network authentication is set to Enabled</v>
      </c>
      <c r="M363" t="str">
        <f t="shared" si="17"/>
        <v>FAILED</v>
      </c>
      <c r="N363" s="1" t="s">
        <v>565</v>
      </c>
      <c r="O363" t="s">
        <v>67</v>
      </c>
      <c r="R363" t="s">
        <v>68</v>
      </c>
      <c r="T363" t="s">
        <v>69</v>
      </c>
      <c r="U363" t="s">
        <v>70</v>
      </c>
      <c r="W363" t="s">
        <v>71</v>
      </c>
      <c r="X363" s="1" t="s">
        <v>72</v>
      </c>
      <c r="Y363" t="s">
        <v>88</v>
      </c>
      <c r="Z363">
        <v>0</v>
      </c>
      <c r="AA363">
        <v>0</v>
      </c>
      <c r="AD363">
        <v>0</v>
      </c>
      <c r="AE363">
        <v>0</v>
      </c>
      <c r="AH363" t="s">
        <v>73</v>
      </c>
      <c r="AI363" t="s">
        <v>318</v>
      </c>
      <c r="AJ363" t="s">
        <v>319</v>
      </c>
      <c r="AK363" t="s">
        <v>76</v>
      </c>
      <c r="AN363" t="s">
        <v>77</v>
      </c>
      <c r="AO363" t="s">
        <v>320</v>
      </c>
      <c r="AP363" t="s">
        <v>563</v>
      </c>
      <c r="AQ363" t="s">
        <v>322</v>
      </c>
      <c r="AS363" t="b">
        <v>1</v>
      </c>
      <c r="AT363" t="s">
        <v>65</v>
      </c>
      <c r="AU363">
        <v>0</v>
      </c>
      <c r="AV363">
        <v>0</v>
      </c>
      <c r="AX363">
        <v>39</v>
      </c>
      <c r="AY363" t="s">
        <v>81</v>
      </c>
      <c r="AZ363" t="s">
        <v>90</v>
      </c>
      <c r="BB363" t="s">
        <v>91</v>
      </c>
      <c r="BC363" t="s">
        <v>92</v>
      </c>
      <c r="BD363" t="b">
        <v>0</v>
      </c>
      <c r="BE363" t="b">
        <v>0</v>
      </c>
      <c r="BF363" t="b">
        <v>0</v>
      </c>
      <c r="BG363" t="b">
        <v>0</v>
      </c>
      <c r="BH363" t="b">
        <v>0</v>
      </c>
      <c r="BI363" t="b">
        <v>0</v>
      </c>
      <c r="BJ363" t="b">
        <v>0</v>
      </c>
      <c r="BK363" t="b">
        <v>0</v>
      </c>
      <c r="BL363" t="b">
        <v>0</v>
      </c>
      <c r="BM363" t="b">
        <v>0</v>
      </c>
      <c r="BN363" t="b">
        <v>0</v>
      </c>
      <c r="BO363" t="b">
        <v>0</v>
      </c>
      <c r="BP363" t="b">
        <v>0</v>
      </c>
      <c r="BR363" t="b">
        <f>IFERROR(IF(M363="PASSED",VLOOKUP(J363,Current!$J$1:$N$500,1,FALSE)),N363)</f>
        <v>0</v>
      </c>
    </row>
    <row r="364" spans="1:70" ht="15" hidden="1" customHeight="1" x14ac:dyDescent="0.25">
      <c r="A364">
        <v>21156</v>
      </c>
      <c r="C364">
        <v>0</v>
      </c>
      <c r="D364" t="s">
        <v>65</v>
      </c>
      <c r="E364" t="s">
        <v>66</v>
      </c>
      <c r="F364" t="s">
        <v>84</v>
      </c>
      <c r="G364">
        <v>0</v>
      </c>
      <c r="H364" t="s">
        <v>85</v>
      </c>
      <c r="I364" t="s">
        <v>86</v>
      </c>
      <c r="J364" t="str">
        <f>MID($N364,FIND("1.",$N364),FIND("-",$N364)-FIND("1.",$N364)-1)</f>
        <v>1.0363</v>
      </c>
      <c r="K364" t="str">
        <f t="shared" si="15"/>
        <v>Ensure Network access</v>
      </c>
      <c r="L364" t="str">
        <f t="shared" si="16"/>
        <v>1.0363 - MSWRK - Ensure Network access: Let Everyone permissions apply to anonymous users is set to Disabled</v>
      </c>
      <c r="M364" t="str">
        <f t="shared" si="17"/>
        <v>PASSED</v>
      </c>
      <c r="N364" s="1" t="s">
        <v>270</v>
      </c>
      <c r="O364" t="s">
        <v>67</v>
      </c>
      <c r="R364" t="s">
        <v>68</v>
      </c>
      <c r="T364" t="s">
        <v>69</v>
      </c>
      <c r="U364" t="s">
        <v>70</v>
      </c>
      <c r="W364" t="s">
        <v>71</v>
      </c>
      <c r="X364" s="1" t="s">
        <v>72</v>
      </c>
      <c r="Y364" t="s">
        <v>88</v>
      </c>
      <c r="Z364">
        <v>0</v>
      </c>
      <c r="AA364">
        <v>0</v>
      </c>
      <c r="AD364">
        <v>0</v>
      </c>
      <c r="AE364">
        <v>0</v>
      </c>
      <c r="AH364" t="s">
        <v>73</v>
      </c>
      <c r="AI364" t="s">
        <v>318</v>
      </c>
      <c r="AJ364" t="s">
        <v>319</v>
      </c>
      <c r="AK364" t="s">
        <v>76</v>
      </c>
      <c r="AN364" t="s">
        <v>77</v>
      </c>
      <c r="AO364" t="s">
        <v>320</v>
      </c>
      <c r="AP364" t="s">
        <v>529</v>
      </c>
      <c r="AQ364" t="s">
        <v>322</v>
      </c>
      <c r="AS364" t="b">
        <v>1</v>
      </c>
      <c r="AT364" t="s">
        <v>65</v>
      </c>
      <c r="AU364">
        <v>0</v>
      </c>
      <c r="AV364">
        <v>0</v>
      </c>
      <c r="AX364">
        <v>39</v>
      </c>
      <c r="AY364" t="s">
        <v>81</v>
      </c>
      <c r="AZ364" t="s">
        <v>90</v>
      </c>
      <c r="BB364" t="s">
        <v>91</v>
      </c>
      <c r="BC364" t="s">
        <v>92</v>
      </c>
      <c r="BD364" t="b">
        <v>0</v>
      </c>
      <c r="BE364" t="b">
        <v>0</v>
      </c>
      <c r="BF364" t="b">
        <v>0</v>
      </c>
      <c r="BG364" t="b">
        <v>0</v>
      </c>
      <c r="BH364" t="b">
        <v>0</v>
      </c>
      <c r="BI364" t="b">
        <v>0</v>
      </c>
      <c r="BJ364" t="b">
        <v>0</v>
      </c>
      <c r="BK364" t="b">
        <v>0</v>
      </c>
      <c r="BL364" t="b">
        <v>0</v>
      </c>
      <c r="BM364" t="b">
        <v>0</v>
      </c>
      <c r="BN364" t="b">
        <v>0</v>
      </c>
      <c r="BO364" t="b">
        <v>0</v>
      </c>
      <c r="BP364" t="b">
        <v>0</v>
      </c>
      <c r="BR364" t="str">
        <f>IFERROR(IF(M364="PASSED",VLOOKUP(J364,Current!$J$1:$N$500,1,FALSE)),N364)</f>
        <v>1.0363</v>
      </c>
    </row>
    <row r="365" spans="1:70" ht="15" hidden="1" customHeight="1" x14ac:dyDescent="0.25">
      <c r="A365">
        <v>21156</v>
      </c>
      <c r="C365">
        <v>0</v>
      </c>
      <c r="D365" t="s">
        <v>83</v>
      </c>
      <c r="E365" t="s">
        <v>66</v>
      </c>
      <c r="F365" t="s">
        <v>84</v>
      </c>
      <c r="G365">
        <v>0</v>
      </c>
      <c r="H365" t="s">
        <v>85</v>
      </c>
      <c r="I365" t="s">
        <v>86</v>
      </c>
      <c r="J365" t="str">
        <f>MID($N365,FIND("1.",$N365),FIND("-",$N365)-FIND("1.",$N365)-1)</f>
        <v>1.0364</v>
      </c>
      <c r="K365" t="str">
        <f t="shared" si="15"/>
        <v>Ensure Network access</v>
      </c>
      <c r="L365" t="str">
        <f t="shared" si="16"/>
        <v>1.0364 - MSWRK - Ensure Network access: Named Pipes that can be accessed anonymously is set to None</v>
      </c>
      <c r="M365" t="str">
        <f t="shared" si="17"/>
        <v>FAILED</v>
      </c>
      <c r="N365" s="1" t="s">
        <v>606</v>
      </c>
      <c r="O365" t="s">
        <v>67</v>
      </c>
      <c r="R365" t="s">
        <v>68</v>
      </c>
      <c r="T365" t="s">
        <v>69</v>
      </c>
      <c r="U365" t="s">
        <v>70</v>
      </c>
      <c r="W365" t="s">
        <v>71</v>
      </c>
      <c r="X365" s="1" t="s">
        <v>72</v>
      </c>
      <c r="Y365" t="s">
        <v>88</v>
      </c>
      <c r="Z365">
        <v>0</v>
      </c>
      <c r="AA365">
        <v>0</v>
      </c>
      <c r="AD365">
        <v>0</v>
      </c>
      <c r="AE365">
        <v>0</v>
      </c>
      <c r="AH365" t="s">
        <v>73</v>
      </c>
      <c r="AI365" t="s">
        <v>318</v>
      </c>
      <c r="AJ365" t="s">
        <v>319</v>
      </c>
      <c r="AK365" t="s">
        <v>76</v>
      </c>
      <c r="AN365" t="s">
        <v>77</v>
      </c>
      <c r="AO365" t="s">
        <v>320</v>
      </c>
      <c r="AP365" t="s">
        <v>604</v>
      </c>
      <c r="AQ365" t="s">
        <v>322</v>
      </c>
      <c r="AS365" t="b">
        <v>1</v>
      </c>
      <c r="AT365" t="s">
        <v>65</v>
      </c>
      <c r="AU365">
        <v>0</v>
      </c>
      <c r="AV365">
        <v>0</v>
      </c>
      <c r="AX365">
        <v>39</v>
      </c>
      <c r="AY365" t="s">
        <v>81</v>
      </c>
      <c r="AZ365" t="s">
        <v>90</v>
      </c>
      <c r="BB365" t="s">
        <v>91</v>
      </c>
      <c r="BC365" t="s">
        <v>92</v>
      </c>
      <c r="BD365" t="b">
        <v>0</v>
      </c>
      <c r="BE365" t="b">
        <v>0</v>
      </c>
      <c r="BF365" t="b">
        <v>0</v>
      </c>
      <c r="BG365" t="b">
        <v>0</v>
      </c>
      <c r="BH365" t="b">
        <v>0</v>
      </c>
      <c r="BI365" t="b">
        <v>0</v>
      </c>
      <c r="BJ365" t="b">
        <v>0</v>
      </c>
      <c r="BK365" t="b">
        <v>0</v>
      </c>
      <c r="BL365" t="b">
        <v>0</v>
      </c>
      <c r="BM365" t="b">
        <v>0</v>
      </c>
      <c r="BN365" t="b">
        <v>0</v>
      </c>
      <c r="BO365" t="b">
        <v>0</v>
      </c>
      <c r="BP365" t="b">
        <v>0</v>
      </c>
      <c r="BR365" t="b">
        <f>IFERROR(IF(M365="PASSED",VLOOKUP(J365,Current!$J$1:$N$500,1,FALSE)),N365)</f>
        <v>0</v>
      </c>
    </row>
    <row r="366" spans="1:70" ht="15" hidden="1" customHeight="1" x14ac:dyDescent="0.25">
      <c r="A366">
        <v>21156</v>
      </c>
      <c r="C366">
        <v>0</v>
      </c>
      <c r="D366" t="s">
        <v>83</v>
      </c>
      <c r="E366" t="s">
        <v>66</v>
      </c>
      <c r="F366" t="s">
        <v>84</v>
      </c>
      <c r="G366">
        <v>0</v>
      </c>
      <c r="H366" t="s">
        <v>85</v>
      </c>
      <c r="I366" t="s">
        <v>86</v>
      </c>
      <c r="J366" t="str">
        <f>MID($N366,FIND("1.",$N366),FIND("-",$N366)-FIND("1.",$N366)-1)</f>
        <v>1.0365</v>
      </c>
      <c r="K366" t="str">
        <f t="shared" si="15"/>
        <v>Ensure Network access</v>
      </c>
      <c r="L366" t="str">
        <f t="shared" si="16"/>
        <v>1.0365 - MSWRK - Ensure Network access: Remotely accessible registry paths is configured</v>
      </c>
      <c r="M366" t="str">
        <f t="shared" si="17"/>
        <v>FAILED</v>
      </c>
      <c r="N366" s="1" t="s">
        <v>363</v>
      </c>
      <c r="O366" t="s">
        <v>67</v>
      </c>
      <c r="R366" t="s">
        <v>68</v>
      </c>
      <c r="T366" t="s">
        <v>69</v>
      </c>
      <c r="U366" t="s">
        <v>70</v>
      </c>
      <c r="W366" t="s">
        <v>71</v>
      </c>
      <c r="X366" s="1" t="s">
        <v>72</v>
      </c>
      <c r="Y366" t="s">
        <v>88</v>
      </c>
      <c r="Z366">
        <v>0</v>
      </c>
      <c r="AA366">
        <v>0</v>
      </c>
      <c r="AD366">
        <v>0</v>
      </c>
      <c r="AE366">
        <v>0</v>
      </c>
      <c r="AH366" t="s">
        <v>73</v>
      </c>
      <c r="AI366" t="s">
        <v>318</v>
      </c>
      <c r="AJ366" t="s">
        <v>319</v>
      </c>
      <c r="AK366" t="s">
        <v>76</v>
      </c>
      <c r="AN366" t="s">
        <v>77</v>
      </c>
      <c r="AO366" t="s">
        <v>320</v>
      </c>
      <c r="AP366" t="s">
        <v>361</v>
      </c>
      <c r="AQ366" t="s">
        <v>322</v>
      </c>
      <c r="AS366" t="b">
        <v>1</v>
      </c>
      <c r="AT366" t="s">
        <v>65</v>
      </c>
      <c r="AU366">
        <v>0</v>
      </c>
      <c r="AV366">
        <v>0</v>
      </c>
      <c r="AX366">
        <v>39</v>
      </c>
      <c r="AY366" t="s">
        <v>81</v>
      </c>
      <c r="AZ366" t="s">
        <v>90</v>
      </c>
      <c r="BB366" t="s">
        <v>91</v>
      </c>
      <c r="BC366" t="s">
        <v>92</v>
      </c>
      <c r="BD366" t="b">
        <v>0</v>
      </c>
      <c r="BE366" t="b">
        <v>0</v>
      </c>
      <c r="BF366" t="b">
        <v>0</v>
      </c>
      <c r="BG366" t="b">
        <v>0</v>
      </c>
      <c r="BH366" t="b">
        <v>0</v>
      </c>
      <c r="BI366" t="b">
        <v>0</v>
      </c>
      <c r="BJ366" t="b">
        <v>0</v>
      </c>
      <c r="BK366" t="b">
        <v>0</v>
      </c>
      <c r="BL366" t="b">
        <v>0</v>
      </c>
      <c r="BM366" t="b">
        <v>0</v>
      </c>
      <c r="BN366" t="b">
        <v>0</v>
      </c>
      <c r="BO366" t="b">
        <v>0</v>
      </c>
      <c r="BP366" t="b">
        <v>0</v>
      </c>
      <c r="BR366" t="b">
        <f>IFERROR(IF(M366="PASSED",VLOOKUP(J366,Current!$J$1:$N$500,1,FALSE)),N366)</f>
        <v>0</v>
      </c>
    </row>
    <row r="367" spans="1:70" ht="15" hidden="1" customHeight="1" x14ac:dyDescent="0.25">
      <c r="A367">
        <v>21156</v>
      </c>
      <c r="C367">
        <v>0</v>
      </c>
      <c r="D367" t="s">
        <v>83</v>
      </c>
      <c r="E367" t="s">
        <v>66</v>
      </c>
      <c r="F367" t="s">
        <v>84</v>
      </c>
      <c r="G367">
        <v>0</v>
      </c>
      <c r="H367" t="s">
        <v>85</v>
      </c>
      <c r="I367" t="s">
        <v>86</v>
      </c>
      <c r="J367" t="str">
        <f>MID($N367,FIND("1.",$N367),FIND("-",$N367)-FIND("1.",$N367)-1)</f>
        <v>1.0366</v>
      </c>
      <c r="K367" t="str">
        <f t="shared" si="15"/>
        <v>Ensure Network access</v>
      </c>
      <c r="L367" t="str">
        <f t="shared" si="16"/>
        <v>1.0366 - MSWRK - Ensure Network access: Remotely accessible registry paths and sub-paths is configured</v>
      </c>
      <c r="M367" t="str">
        <f t="shared" si="17"/>
        <v>FAILED</v>
      </c>
      <c r="N367" s="1" t="s">
        <v>657</v>
      </c>
      <c r="O367" t="s">
        <v>67</v>
      </c>
      <c r="R367" t="s">
        <v>68</v>
      </c>
      <c r="T367" t="s">
        <v>69</v>
      </c>
      <c r="U367" t="s">
        <v>70</v>
      </c>
      <c r="W367" t="s">
        <v>71</v>
      </c>
      <c r="X367" s="1" t="s">
        <v>72</v>
      </c>
      <c r="Y367" t="s">
        <v>88</v>
      </c>
      <c r="Z367">
        <v>0</v>
      </c>
      <c r="AA367">
        <v>0</v>
      </c>
      <c r="AD367">
        <v>0</v>
      </c>
      <c r="AE367">
        <v>0</v>
      </c>
      <c r="AH367" t="s">
        <v>73</v>
      </c>
      <c r="AI367" t="s">
        <v>318</v>
      </c>
      <c r="AJ367" t="s">
        <v>319</v>
      </c>
      <c r="AK367" t="s">
        <v>76</v>
      </c>
      <c r="AN367" t="s">
        <v>77</v>
      </c>
      <c r="AO367" t="s">
        <v>320</v>
      </c>
      <c r="AP367" t="s">
        <v>655</v>
      </c>
      <c r="AQ367" t="s">
        <v>322</v>
      </c>
      <c r="AS367" t="b">
        <v>1</v>
      </c>
      <c r="AT367" t="s">
        <v>65</v>
      </c>
      <c r="AU367">
        <v>0</v>
      </c>
      <c r="AV367">
        <v>0</v>
      </c>
      <c r="AX367">
        <v>39</v>
      </c>
      <c r="AY367" t="s">
        <v>81</v>
      </c>
      <c r="AZ367" t="s">
        <v>90</v>
      </c>
      <c r="BB367" t="s">
        <v>91</v>
      </c>
      <c r="BC367" t="s">
        <v>92</v>
      </c>
      <c r="BD367" t="b">
        <v>0</v>
      </c>
      <c r="BE367" t="b">
        <v>0</v>
      </c>
      <c r="BF367" t="b">
        <v>0</v>
      </c>
      <c r="BG367" t="b">
        <v>0</v>
      </c>
      <c r="BH367" t="b">
        <v>0</v>
      </c>
      <c r="BI367" t="b">
        <v>0</v>
      </c>
      <c r="BJ367" t="b">
        <v>0</v>
      </c>
      <c r="BK367" t="b">
        <v>0</v>
      </c>
      <c r="BL367" t="b">
        <v>0</v>
      </c>
      <c r="BM367" t="b">
        <v>0</v>
      </c>
      <c r="BN367" t="b">
        <v>0</v>
      </c>
      <c r="BO367" t="b">
        <v>0</v>
      </c>
      <c r="BP367" t="b">
        <v>0</v>
      </c>
      <c r="BR367" t="b">
        <f>IFERROR(IF(M367="PASSED",VLOOKUP(J367,Current!$J$1:$N$500,1,FALSE)),N367)</f>
        <v>0</v>
      </c>
    </row>
    <row r="368" spans="1:70" ht="15" hidden="1" customHeight="1" x14ac:dyDescent="0.25">
      <c r="A368">
        <v>21156</v>
      </c>
      <c r="C368">
        <v>0</v>
      </c>
      <c r="D368" t="s">
        <v>65</v>
      </c>
      <c r="E368" t="s">
        <v>66</v>
      </c>
      <c r="F368" t="s">
        <v>84</v>
      </c>
      <c r="G368">
        <v>0</v>
      </c>
      <c r="H368" t="s">
        <v>85</v>
      </c>
      <c r="I368" t="s">
        <v>86</v>
      </c>
      <c r="J368" t="str">
        <f>MID($N368,FIND("1.",$N368),FIND("-",$N368)-FIND("1.",$N368)-1)</f>
        <v>1.0367</v>
      </c>
      <c r="K368" t="str">
        <f t="shared" si="15"/>
        <v>Ensure Network access</v>
      </c>
      <c r="L368" t="str">
        <f t="shared" si="16"/>
        <v>1.0367 - MSWRK - Ensure Network access: Restrict anonymous access to Named Pipes and Shares is set to Enabled</v>
      </c>
      <c r="M368" t="str">
        <f t="shared" si="17"/>
        <v>PASSED</v>
      </c>
      <c r="N368" s="1" t="s">
        <v>247</v>
      </c>
      <c r="O368" t="s">
        <v>67</v>
      </c>
      <c r="R368" t="s">
        <v>68</v>
      </c>
      <c r="T368" t="s">
        <v>69</v>
      </c>
      <c r="U368" t="s">
        <v>70</v>
      </c>
      <c r="W368" t="s">
        <v>71</v>
      </c>
      <c r="X368" s="1" t="s">
        <v>72</v>
      </c>
      <c r="Y368" t="s">
        <v>88</v>
      </c>
      <c r="Z368">
        <v>0</v>
      </c>
      <c r="AA368">
        <v>0</v>
      </c>
      <c r="AD368">
        <v>0</v>
      </c>
      <c r="AE368">
        <v>0</v>
      </c>
      <c r="AH368" t="s">
        <v>73</v>
      </c>
      <c r="AI368" t="s">
        <v>318</v>
      </c>
      <c r="AJ368" t="s">
        <v>319</v>
      </c>
      <c r="AK368" t="s">
        <v>76</v>
      </c>
      <c r="AN368" t="s">
        <v>77</v>
      </c>
      <c r="AO368" t="s">
        <v>320</v>
      </c>
      <c r="AP368" t="s">
        <v>455</v>
      </c>
      <c r="AQ368" t="s">
        <v>322</v>
      </c>
      <c r="AS368" t="b">
        <v>1</v>
      </c>
      <c r="AT368" t="s">
        <v>65</v>
      </c>
      <c r="AU368">
        <v>0</v>
      </c>
      <c r="AV368">
        <v>0</v>
      </c>
      <c r="AX368">
        <v>39</v>
      </c>
      <c r="AY368" t="s">
        <v>81</v>
      </c>
      <c r="AZ368" t="s">
        <v>90</v>
      </c>
      <c r="BB368" t="s">
        <v>91</v>
      </c>
      <c r="BC368" t="s">
        <v>92</v>
      </c>
      <c r="BD368" t="b">
        <v>0</v>
      </c>
      <c r="BE368" t="b">
        <v>0</v>
      </c>
      <c r="BF368" t="b">
        <v>0</v>
      </c>
      <c r="BG368" t="b">
        <v>0</v>
      </c>
      <c r="BH368" t="b">
        <v>0</v>
      </c>
      <c r="BI368" t="b">
        <v>0</v>
      </c>
      <c r="BJ368" t="b">
        <v>0</v>
      </c>
      <c r="BK368" t="b">
        <v>0</v>
      </c>
      <c r="BL368" t="b">
        <v>0</v>
      </c>
      <c r="BM368" t="b">
        <v>0</v>
      </c>
      <c r="BN368" t="b">
        <v>0</v>
      </c>
      <c r="BO368" t="b">
        <v>0</v>
      </c>
      <c r="BP368" t="b">
        <v>0</v>
      </c>
      <c r="BR368" t="str">
        <f>IFERROR(IF(M368="PASSED",VLOOKUP(J368,Current!$J$1:$N$500,1,FALSE)),N368)</f>
        <v>1.0367</v>
      </c>
    </row>
    <row r="369" spans="1:70" ht="15" hidden="1" customHeight="1" x14ac:dyDescent="0.25">
      <c r="A369">
        <v>21156</v>
      </c>
      <c r="C369">
        <v>0</v>
      </c>
      <c r="D369" t="s">
        <v>83</v>
      </c>
      <c r="E369" t="s">
        <v>66</v>
      </c>
      <c r="F369" t="s">
        <v>84</v>
      </c>
      <c r="G369">
        <v>0</v>
      </c>
      <c r="H369" t="s">
        <v>85</v>
      </c>
      <c r="I369" t="s">
        <v>86</v>
      </c>
      <c r="J369" t="str">
        <f>MID($N369,FIND("1.",$N369),FIND("-",$N369)-FIND("1.",$N369)-1)</f>
        <v>1.0368</v>
      </c>
      <c r="K369" t="str">
        <f t="shared" si="15"/>
        <v>Ensure Accounts: Guest account status is set to Disabled</v>
      </c>
      <c r="L369" t="str">
        <f t="shared" si="16"/>
        <v>1.0368 - MSWRK - Ensure Accounts: Guest account status is set to Disabled</v>
      </c>
      <c r="M369" t="str">
        <f t="shared" si="17"/>
        <v>FAILED</v>
      </c>
      <c r="N369" s="1" t="s">
        <v>87</v>
      </c>
      <c r="O369" t="s">
        <v>67</v>
      </c>
      <c r="R369" t="s">
        <v>68</v>
      </c>
      <c r="T369" t="s">
        <v>69</v>
      </c>
      <c r="U369" t="s">
        <v>70</v>
      </c>
      <c r="W369" t="s">
        <v>71</v>
      </c>
      <c r="X369" s="1" t="s">
        <v>72</v>
      </c>
      <c r="Y369" t="s">
        <v>88</v>
      </c>
      <c r="Z369">
        <v>0</v>
      </c>
      <c r="AA369">
        <v>0</v>
      </c>
      <c r="AD369">
        <v>0</v>
      </c>
      <c r="AE369">
        <v>0</v>
      </c>
      <c r="AH369" t="s">
        <v>73</v>
      </c>
      <c r="AI369" t="s">
        <v>318</v>
      </c>
      <c r="AJ369" t="s">
        <v>319</v>
      </c>
      <c r="AK369" t="s">
        <v>76</v>
      </c>
      <c r="AN369" t="s">
        <v>77</v>
      </c>
      <c r="AO369" t="s">
        <v>320</v>
      </c>
      <c r="AP369" t="s">
        <v>390</v>
      </c>
      <c r="AQ369" t="s">
        <v>322</v>
      </c>
      <c r="AS369" t="b">
        <v>1</v>
      </c>
      <c r="AT369" t="s">
        <v>65</v>
      </c>
      <c r="AU369">
        <v>0</v>
      </c>
      <c r="AV369">
        <v>0</v>
      </c>
      <c r="AX369">
        <v>39</v>
      </c>
      <c r="AY369" t="s">
        <v>81</v>
      </c>
      <c r="AZ369" t="s">
        <v>90</v>
      </c>
      <c r="BB369" t="s">
        <v>91</v>
      </c>
      <c r="BC369" t="s">
        <v>92</v>
      </c>
      <c r="BD369" t="b">
        <v>0</v>
      </c>
      <c r="BE369" t="b">
        <v>0</v>
      </c>
      <c r="BF369" t="b">
        <v>0</v>
      </c>
      <c r="BG369" t="b">
        <v>0</v>
      </c>
      <c r="BH369" t="b">
        <v>0</v>
      </c>
      <c r="BI369" t="b">
        <v>0</v>
      </c>
      <c r="BJ369" t="b">
        <v>0</v>
      </c>
      <c r="BK369" t="b">
        <v>0</v>
      </c>
      <c r="BL369" t="b">
        <v>0</v>
      </c>
      <c r="BM369" t="b">
        <v>0</v>
      </c>
      <c r="BN369" t="b">
        <v>0</v>
      </c>
      <c r="BO369" t="b">
        <v>0</v>
      </c>
      <c r="BP369" t="b">
        <v>0</v>
      </c>
      <c r="BR369" t="b">
        <f>IFERROR(IF(M369="PASSED",VLOOKUP(J369,Current!$J$1:$N$500,1,FALSE)),N369)</f>
        <v>0</v>
      </c>
    </row>
    <row r="370" spans="1:70" ht="15" hidden="1" customHeight="1" x14ac:dyDescent="0.25">
      <c r="A370">
        <v>21156</v>
      </c>
      <c r="C370">
        <v>0</v>
      </c>
      <c r="D370" t="s">
        <v>83</v>
      </c>
      <c r="E370" t="s">
        <v>66</v>
      </c>
      <c r="F370" t="s">
        <v>84</v>
      </c>
      <c r="G370">
        <v>0</v>
      </c>
      <c r="H370" t="s">
        <v>85</v>
      </c>
      <c r="I370" t="s">
        <v>86</v>
      </c>
      <c r="J370" t="str">
        <f>MID($N370,FIND("1.",$N370),FIND("-",$N370)-FIND("1.",$N370)-1)</f>
        <v>1.0369</v>
      </c>
      <c r="K370" t="str">
        <f t="shared" si="15"/>
        <v>Ensure Network security</v>
      </c>
      <c r="L370" t="str">
        <f t="shared" si="16"/>
        <v>1.0369 - MSWRK - Ensure Network security: Allow Local System to use computer identity for NTLM is set to Enabled</v>
      </c>
      <c r="M370" t="str">
        <f t="shared" si="17"/>
        <v>FAILED</v>
      </c>
      <c r="N370" s="1" t="s">
        <v>454</v>
      </c>
      <c r="O370" t="s">
        <v>67</v>
      </c>
      <c r="R370" t="s">
        <v>68</v>
      </c>
      <c r="T370" t="s">
        <v>69</v>
      </c>
      <c r="U370" t="s">
        <v>70</v>
      </c>
      <c r="W370" t="s">
        <v>71</v>
      </c>
      <c r="X370" s="1" t="s">
        <v>72</v>
      </c>
      <c r="Y370" t="s">
        <v>88</v>
      </c>
      <c r="Z370">
        <v>0</v>
      </c>
      <c r="AA370">
        <v>0</v>
      </c>
      <c r="AD370">
        <v>0</v>
      </c>
      <c r="AE370">
        <v>0</v>
      </c>
      <c r="AH370" t="s">
        <v>73</v>
      </c>
      <c r="AI370" t="s">
        <v>318</v>
      </c>
      <c r="AJ370" t="s">
        <v>319</v>
      </c>
      <c r="AK370" t="s">
        <v>76</v>
      </c>
      <c r="AN370" t="s">
        <v>77</v>
      </c>
      <c r="AO370" t="s">
        <v>320</v>
      </c>
      <c r="AP370" t="s">
        <v>455</v>
      </c>
      <c r="AQ370" t="s">
        <v>322</v>
      </c>
      <c r="AS370" t="b">
        <v>1</v>
      </c>
      <c r="AT370" t="s">
        <v>65</v>
      </c>
      <c r="AU370">
        <v>0</v>
      </c>
      <c r="AV370">
        <v>0</v>
      </c>
      <c r="AX370">
        <v>39</v>
      </c>
      <c r="AY370" t="s">
        <v>81</v>
      </c>
      <c r="AZ370" t="s">
        <v>90</v>
      </c>
      <c r="BB370" t="s">
        <v>91</v>
      </c>
      <c r="BC370" t="s">
        <v>92</v>
      </c>
      <c r="BD370" t="b">
        <v>0</v>
      </c>
      <c r="BE370" t="b">
        <v>0</v>
      </c>
      <c r="BF370" t="b">
        <v>0</v>
      </c>
      <c r="BG370" t="b">
        <v>0</v>
      </c>
      <c r="BH370" t="b">
        <v>0</v>
      </c>
      <c r="BI370" t="b">
        <v>0</v>
      </c>
      <c r="BJ370" t="b">
        <v>0</v>
      </c>
      <c r="BK370" t="b">
        <v>0</v>
      </c>
      <c r="BL370" t="b">
        <v>0</v>
      </c>
      <c r="BM370" t="b">
        <v>0</v>
      </c>
      <c r="BN370" t="b">
        <v>0</v>
      </c>
      <c r="BO370" t="b">
        <v>0</v>
      </c>
      <c r="BP370" t="b">
        <v>0</v>
      </c>
      <c r="BR370" t="b">
        <f>IFERROR(IF(M370="PASSED",VLOOKUP(J370,Current!$J$1:$N$500,1,FALSE)),N370)</f>
        <v>0</v>
      </c>
    </row>
    <row r="371" spans="1:70" ht="15" hidden="1" customHeight="1" x14ac:dyDescent="0.25">
      <c r="A371">
        <v>21156</v>
      </c>
      <c r="C371">
        <v>0</v>
      </c>
      <c r="D371" t="s">
        <v>83</v>
      </c>
      <c r="E371" t="s">
        <v>66</v>
      </c>
      <c r="F371" t="s">
        <v>84</v>
      </c>
      <c r="G371">
        <v>0</v>
      </c>
      <c r="H371" t="s">
        <v>85</v>
      </c>
      <c r="I371" t="s">
        <v>86</v>
      </c>
      <c r="J371" t="str">
        <f>MID($N371,FIND("1.",$N371),FIND("-",$N371)-FIND("1.",$N371)-1)</f>
        <v>1.0370</v>
      </c>
      <c r="K371" t="str">
        <f t="shared" si="15"/>
        <v>Ensure Network security</v>
      </c>
      <c r="L371" t="str">
        <f t="shared" si="16"/>
        <v>1.0370 - MSWRK - Ensure Network security: Minimum session security for NTLM SSP based (including secure RPC) servers is set to Require NTLMv2 session security, Require 128-bit encryption</v>
      </c>
      <c r="M371" t="str">
        <f t="shared" si="17"/>
        <v>FAILED</v>
      </c>
      <c r="N371" s="1" t="s">
        <v>458</v>
      </c>
      <c r="O371" t="s">
        <v>67</v>
      </c>
      <c r="R371" t="s">
        <v>68</v>
      </c>
      <c r="T371" t="s">
        <v>69</v>
      </c>
      <c r="U371" t="s">
        <v>70</v>
      </c>
      <c r="W371" t="s">
        <v>71</v>
      </c>
      <c r="X371" s="1" t="s">
        <v>72</v>
      </c>
      <c r="Y371" t="s">
        <v>88</v>
      </c>
      <c r="Z371">
        <v>0</v>
      </c>
      <c r="AA371">
        <v>0</v>
      </c>
      <c r="AD371">
        <v>0</v>
      </c>
      <c r="AE371">
        <v>0</v>
      </c>
      <c r="AH371" t="s">
        <v>73</v>
      </c>
      <c r="AI371" t="s">
        <v>318</v>
      </c>
      <c r="AJ371" t="s">
        <v>319</v>
      </c>
      <c r="AK371" t="s">
        <v>76</v>
      </c>
      <c r="AN371" t="s">
        <v>77</v>
      </c>
      <c r="AO371" t="s">
        <v>320</v>
      </c>
      <c r="AP371" t="s">
        <v>457</v>
      </c>
      <c r="AQ371" t="s">
        <v>322</v>
      </c>
      <c r="AS371" t="b">
        <v>1</v>
      </c>
      <c r="AT371" t="s">
        <v>65</v>
      </c>
      <c r="AU371">
        <v>0</v>
      </c>
      <c r="AV371">
        <v>0</v>
      </c>
      <c r="AX371">
        <v>39</v>
      </c>
      <c r="AY371" t="s">
        <v>81</v>
      </c>
      <c r="AZ371" t="s">
        <v>90</v>
      </c>
      <c r="BB371" t="s">
        <v>91</v>
      </c>
      <c r="BC371" t="s">
        <v>92</v>
      </c>
      <c r="BD371" t="b">
        <v>0</v>
      </c>
      <c r="BE371" t="b">
        <v>0</v>
      </c>
      <c r="BF371" t="b">
        <v>0</v>
      </c>
      <c r="BG371" t="b">
        <v>0</v>
      </c>
      <c r="BH371" t="b">
        <v>0</v>
      </c>
      <c r="BI371" t="b">
        <v>0</v>
      </c>
      <c r="BJ371" t="b">
        <v>0</v>
      </c>
      <c r="BK371" t="b">
        <v>0</v>
      </c>
      <c r="BL371" t="b">
        <v>0</v>
      </c>
      <c r="BM371" t="b">
        <v>0</v>
      </c>
      <c r="BN371" t="b">
        <v>0</v>
      </c>
      <c r="BO371" t="b">
        <v>0</v>
      </c>
      <c r="BP371" t="b">
        <v>0</v>
      </c>
      <c r="BR371" t="b">
        <f>IFERROR(IF(M371="PASSED",VLOOKUP(J371,Current!$J$1:$N$500,1,FALSE)),N371)</f>
        <v>0</v>
      </c>
    </row>
    <row r="372" spans="1:70" ht="15" hidden="1" customHeight="1" x14ac:dyDescent="0.25">
      <c r="A372">
        <v>21156</v>
      </c>
      <c r="C372">
        <v>0</v>
      </c>
      <c r="D372" t="s">
        <v>83</v>
      </c>
      <c r="E372" t="s">
        <v>66</v>
      </c>
      <c r="F372" t="s">
        <v>84</v>
      </c>
      <c r="G372">
        <v>0</v>
      </c>
      <c r="H372" t="s">
        <v>85</v>
      </c>
      <c r="I372" t="s">
        <v>86</v>
      </c>
      <c r="J372" t="str">
        <f>MID($N372,FIND("1.",$N372),FIND("-",$N372)-FIND("1.",$N372)-1)</f>
        <v>1.0371</v>
      </c>
      <c r="K372" t="str">
        <f t="shared" si="15"/>
        <v>Ensure Network security</v>
      </c>
      <c r="L372" t="str">
        <f t="shared" si="16"/>
        <v>1.0371 - MSWRK - Ensure Network security: Restrict NTLM: Audit Incoming NTLM Traffic is set to Enable auditing for all accounts</v>
      </c>
      <c r="M372" t="str">
        <f t="shared" si="17"/>
        <v>FAILED</v>
      </c>
      <c r="N372" s="1" t="s">
        <v>534</v>
      </c>
      <c r="O372" t="s">
        <v>67</v>
      </c>
      <c r="R372" t="s">
        <v>68</v>
      </c>
      <c r="T372" t="s">
        <v>69</v>
      </c>
      <c r="U372" t="s">
        <v>70</v>
      </c>
      <c r="W372" t="s">
        <v>71</v>
      </c>
      <c r="X372" s="1" t="s">
        <v>72</v>
      </c>
      <c r="Y372" t="s">
        <v>88</v>
      </c>
      <c r="Z372">
        <v>0</v>
      </c>
      <c r="AA372">
        <v>0</v>
      </c>
      <c r="AD372">
        <v>0</v>
      </c>
      <c r="AE372">
        <v>0</v>
      </c>
      <c r="AH372" t="s">
        <v>73</v>
      </c>
      <c r="AI372" t="s">
        <v>318</v>
      </c>
      <c r="AJ372" t="s">
        <v>319</v>
      </c>
      <c r="AK372" t="s">
        <v>76</v>
      </c>
      <c r="AN372" t="s">
        <v>77</v>
      </c>
      <c r="AO372" t="s">
        <v>320</v>
      </c>
      <c r="AP372" t="s">
        <v>535</v>
      </c>
      <c r="AQ372" t="s">
        <v>322</v>
      </c>
      <c r="AS372" t="b">
        <v>1</v>
      </c>
      <c r="AT372" t="s">
        <v>65</v>
      </c>
      <c r="AU372">
        <v>0</v>
      </c>
      <c r="AV372">
        <v>0</v>
      </c>
      <c r="AX372">
        <v>39</v>
      </c>
      <c r="AY372" t="s">
        <v>81</v>
      </c>
      <c r="AZ372" t="s">
        <v>90</v>
      </c>
      <c r="BB372" t="s">
        <v>91</v>
      </c>
      <c r="BC372" t="s">
        <v>92</v>
      </c>
      <c r="BD372" t="b">
        <v>0</v>
      </c>
      <c r="BE372" t="b">
        <v>0</v>
      </c>
      <c r="BF372" t="b">
        <v>0</v>
      </c>
      <c r="BG372" t="b">
        <v>0</v>
      </c>
      <c r="BH372" t="b">
        <v>0</v>
      </c>
      <c r="BI372" t="b">
        <v>0</v>
      </c>
      <c r="BJ372" t="b">
        <v>0</v>
      </c>
      <c r="BK372" t="b">
        <v>0</v>
      </c>
      <c r="BL372" t="b">
        <v>0</v>
      </c>
      <c r="BM372" t="b">
        <v>0</v>
      </c>
      <c r="BN372" t="b">
        <v>0</v>
      </c>
      <c r="BO372" t="b">
        <v>0</v>
      </c>
      <c r="BP372" t="b">
        <v>0</v>
      </c>
      <c r="BR372" t="b">
        <f>IFERROR(IF(M372="PASSED",VLOOKUP(J372,Current!$J$1:$N$500,1,FALSE)),N372)</f>
        <v>0</v>
      </c>
    </row>
    <row r="373" spans="1:70" ht="15" hidden="1" customHeight="1" x14ac:dyDescent="0.25">
      <c r="A373">
        <v>21156</v>
      </c>
      <c r="C373">
        <v>0</v>
      </c>
      <c r="D373" t="s">
        <v>83</v>
      </c>
      <c r="E373" t="s">
        <v>66</v>
      </c>
      <c r="F373" t="s">
        <v>84</v>
      </c>
      <c r="G373">
        <v>0</v>
      </c>
      <c r="H373" t="s">
        <v>85</v>
      </c>
      <c r="I373" t="s">
        <v>86</v>
      </c>
      <c r="J373" t="str">
        <f>MID($N373,FIND("1.",$N373),FIND("-",$N373)-FIND("1.",$N373)-1)</f>
        <v>1.0372</v>
      </c>
      <c r="K373" t="str">
        <f t="shared" si="15"/>
        <v>Ensure Network security</v>
      </c>
      <c r="L373" t="str">
        <f t="shared" si="16"/>
        <v>1.0372 - MSWRK - Ensure Network security: Restrict NTLM: Outgoing NTLM traffic to remote servers is set to Audit all or higher</v>
      </c>
      <c r="M373" t="str">
        <f t="shared" si="17"/>
        <v>FAILED</v>
      </c>
      <c r="N373" s="1" t="s">
        <v>573</v>
      </c>
      <c r="O373" t="s">
        <v>67</v>
      </c>
      <c r="R373" t="s">
        <v>68</v>
      </c>
      <c r="T373" t="s">
        <v>69</v>
      </c>
      <c r="U373" t="s">
        <v>70</v>
      </c>
      <c r="W373" t="s">
        <v>71</v>
      </c>
      <c r="X373" s="1" t="s">
        <v>72</v>
      </c>
      <c r="Y373" t="s">
        <v>88</v>
      </c>
      <c r="Z373">
        <v>0</v>
      </c>
      <c r="AA373">
        <v>0</v>
      </c>
      <c r="AD373">
        <v>0</v>
      </c>
      <c r="AE373">
        <v>0</v>
      </c>
      <c r="AH373" t="s">
        <v>73</v>
      </c>
      <c r="AI373" t="s">
        <v>318</v>
      </c>
      <c r="AJ373" t="s">
        <v>319</v>
      </c>
      <c r="AK373" t="s">
        <v>76</v>
      </c>
      <c r="AN373" t="s">
        <v>77</v>
      </c>
      <c r="AO373" t="s">
        <v>320</v>
      </c>
      <c r="AP373" t="s">
        <v>574</v>
      </c>
      <c r="AQ373" t="s">
        <v>322</v>
      </c>
      <c r="AS373" t="b">
        <v>1</v>
      </c>
      <c r="AT373" t="s">
        <v>65</v>
      </c>
      <c r="AU373">
        <v>0</v>
      </c>
      <c r="AV373">
        <v>0</v>
      </c>
      <c r="AX373">
        <v>39</v>
      </c>
      <c r="AY373" t="s">
        <v>81</v>
      </c>
      <c r="AZ373" t="s">
        <v>90</v>
      </c>
      <c r="BB373" t="s">
        <v>91</v>
      </c>
      <c r="BC373" t="s">
        <v>92</v>
      </c>
      <c r="BD373" t="b">
        <v>0</v>
      </c>
      <c r="BE373" t="b">
        <v>0</v>
      </c>
      <c r="BF373" t="b">
        <v>0</v>
      </c>
      <c r="BG373" t="b">
        <v>0</v>
      </c>
      <c r="BH373" t="b">
        <v>0</v>
      </c>
      <c r="BI373" t="b">
        <v>0</v>
      </c>
      <c r="BJ373" t="b">
        <v>0</v>
      </c>
      <c r="BK373" t="b">
        <v>0</v>
      </c>
      <c r="BL373" t="b">
        <v>0</v>
      </c>
      <c r="BM373" t="b">
        <v>0</v>
      </c>
      <c r="BN373" t="b">
        <v>0</v>
      </c>
      <c r="BO373" t="b">
        <v>0</v>
      </c>
      <c r="BP373" t="b">
        <v>0</v>
      </c>
      <c r="BR373" t="b">
        <f>IFERROR(IF(M373="PASSED",VLOOKUP(J373,Current!$J$1:$N$500,1,FALSE)),N373)</f>
        <v>0</v>
      </c>
    </row>
    <row r="374" spans="1:70" ht="15" customHeight="1" x14ac:dyDescent="0.25">
      <c r="A374">
        <v>21156</v>
      </c>
      <c r="C374">
        <v>0</v>
      </c>
      <c r="D374" t="s">
        <v>65</v>
      </c>
      <c r="E374" t="s">
        <v>66</v>
      </c>
      <c r="F374" t="s">
        <v>84</v>
      </c>
      <c r="G374">
        <v>0</v>
      </c>
      <c r="H374" t="s">
        <v>85</v>
      </c>
      <c r="I374" t="s">
        <v>86</v>
      </c>
      <c r="J374" t="str">
        <f>MID($N374,FIND("1.",$N374),FIND("-",$N374)-FIND("1.",$N374)-1)</f>
        <v>1.0373</v>
      </c>
      <c r="K374" t="str">
        <f t="shared" si="15"/>
        <v>Ensure Network security</v>
      </c>
      <c r="L374" t="str">
        <f t="shared" si="16"/>
        <v>1.0373 - MSWRK - Ensure Network security: Allow LocalSystem NULL session fallback is set to Disabled</v>
      </c>
      <c r="M374" t="str">
        <f t="shared" si="17"/>
        <v>PASSED</v>
      </c>
      <c r="N374" s="1" t="s">
        <v>780</v>
      </c>
      <c r="O374" t="s">
        <v>67</v>
      </c>
      <c r="R374" t="s">
        <v>68</v>
      </c>
      <c r="T374" t="s">
        <v>69</v>
      </c>
      <c r="U374" t="s">
        <v>70</v>
      </c>
      <c r="W374" t="s">
        <v>71</v>
      </c>
      <c r="X374" s="1" t="s">
        <v>72</v>
      </c>
      <c r="Y374" t="s">
        <v>88</v>
      </c>
      <c r="Z374">
        <v>0</v>
      </c>
      <c r="AA374">
        <v>0</v>
      </c>
      <c r="AD374">
        <v>0</v>
      </c>
      <c r="AE374">
        <v>0</v>
      </c>
      <c r="AH374" t="s">
        <v>73</v>
      </c>
      <c r="AI374" t="s">
        <v>318</v>
      </c>
      <c r="AJ374" t="s">
        <v>319</v>
      </c>
      <c r="AK374" t="s">
        <v>76</v>
      </c>
      <c r="AN374" t="s">
        <v>77</v>
      </c>
      <c r="AO374" t="s">
        <v>320</v>
      </c>
      <c r="AP374" t="s">
        <v>781</v>
      </c>
      <c r="AQ374" t="s">
        <v>322</v>
      </c>
      <c r="AS374" t="b">
        <v>1</v>
      </c>
      <c r="AT374" t="s">
        <v>65</v>
      </c>
      <c r="AU374">
        <v>0</v>
      </c>
      <c r="AV374">
        <v>0</v>
      </c>
      <c r="AX374">
        <v>39</v>
      </c>
      <c r="AY374" t="s">
        <v>81</v>
      </c>
      <c r="AZ374" t="s">
        <v>90</v>
      </c>
      <c r="BB374" t="s">
        <v>91</v>
      </c>
      <c r="BC374" t="s">
        <v>92</v>
      </c>
      <c r="BD374" t="b">
        <v>0</v>
      </c>
      <c r="BE374" t="b">
        <v>0</v>
      </c>
      <c r="BF374" t="b">
        <v>0</v>
      </c>
      <c r="BG374" t="b">
        <v>0</v>
      </c>
      <c r="BH374" t="b">
        <v>0</v>
      </c>
      <c r="BI374" t="b">
        <v>0</v>
      </c>
      <c r="BJ374" t="b">
        <v>0</v>
      </c>
      <c r="BK374" t="b">
        <v>0</v>
      </c>
      <c r="BL374" t="b">
        <v>0</v>
      </c>
      <c r="BM374" t="b">
        <v>0</v>
      </c>
      <c r="BN374" t="b">
        <v>0</v>
      </c>
      <c r="BO374" t="b">
        <v>0</v>
      </c>
      <c r="BP374" t="b">
        <v>0</v>
      </c>
      <c r="BR374" t="str">
        <f>IFERROR(IF(M374="PASSED",VLOOKUP(J374,Current!$J$1:$N$500,1,FALSE)),N374)</f>
        <v>"1.0373 - MSWRK - Ensure Network security: Allow LocalSystem NULL session fallback is set to Disabled: [PASSED]"
This policy setting determines whether NTLM is allowed to fall back to a NULL session when used with LocalSystem.
See Also:
See HTH Policies and Standards
Reference:
NIST 800-53r5|AC-6(10)
Policy Value:
'0'
Actual Value:
'0'</v>
      </c>
    </row>
    <row r="375" spans="1:70" ht="15" customHeight="1" x14ac:dyDescent="0.25">
      <c r="A375">
        <v>21156</v>
      </c>
      <c r="C375">
        <v>0</v>
      </c>
      <c r="D375" t="s">
        <v>65</v>
      </c>
      <c r="E375" t="s">
        <v>66</v>
      </c>
      <c r="F375" t="s">
        <v>84</v>
      </c>
      <c r="G375">
        <v>0</v>
      </c>
      <c r="H375" t="s">
        <v>85</v>
      </c>
      <c r="I375" t="s">
        <v>86</v>
      </c>
      <c r="J375" t="str">
        <f>MID($N375,FIND("1.",$N375),FIND("-",$N375)-FIND("1.",$N375)-1)</f>
        <v>1.0374</v>
      </c>
      <c r="K375" t="str">
        <f t="shared" si="15"/>
        <v>Ensure Network Security</v>
      </c>
      <c r="L375" t="str">
        <f t="shared" si="16"/>
        <v>1.0374 - MSWRK - Ensure Network Security: Allow PKU2U authentication requests to this computer to use online identities is set to Disabled</v>
      </c>
      <c r="M375" t="str">
        <f t="shared" si="17"/>
        <v>PASSED</v>
      </c>
      <c r="N375" s="1" t="s">
        <v>620</v>
      </c>
      <c r="O375" t="s">
        <v>67</v>
      </c>
      <c r="R375" t="s">
        <v>68</v>
      </c>
      <c r="T375" t="s">
        <v>69</v>
      </c>
      <c r="U375" t="s">
        <v>70</v>
      </c>
      <c r="W375" t="s">
        <v>71</v>
      </c>
      <c r="X375" s="1" t="s">
        <v>72</v>
      </c>
      <c r="Y375" t="s">
        <v>88</v>
      </c>
      <c r="Z375">
        <v>0</v>
      </c>
      <c r="AA375">
        <v>0</v>
      </c>
      <c r="AD375">
        <v>0</v>
      </c>
      <c r="AE375">
        <v>0</v>
      </c>
      <c r="AH375" t="s">
        <v>73</v>
      </c>
      <c r="AI375" t="s">
        <v>318</v>
      </c>
      <c r="AJ375" t="s">
        <v>319</v>
      </c>
      <c r="AK375" t="s">
        <v>76</v>
      </c>
      <c r="AN375" t="s">
        <v>77</v>
      </c>
      <c r="AO375" t="s">
        <v>320</v>
      </c>
      <c r="AP375" t="s">
        <v>619</v>
      </c>
      <c r="AQ375" t="s">
        <v>322</v>
      </c>
      <c r="AS375" t="b">
        <v>1</v>
      </c>
      <c r="AT375" t="s">
        <v>65</v>
      </c>
      <c r="AU375">
        <v>0</v>
      </c>
      <c r="AV375">
        <v>0</v>
      </c>
      <c r="AX375">
        <v>39</v>
      </c>
      <c r="AY375" t="s">
        <v>81</v>
      </c>
      <c r="AZ375" t="s">
        <v>90</v>
      </c>
      <c r="BB375" t="s">
        <v>91</v>
      </c>
      <c r="BC375" t="s">
        <v>92</v>
      </c>
      <c r="BD375" t="b">
        <v>0</v>
      </c>
      <c r="BE375" t="b">
        <v>0</v>
      </c>
      <c r="BF375" t="b">
        <v>0</v>
      </c>
      <c r="BG375" t="b">
        <v>0</v>
      </c>
      <c r="BH375" t="b">
        <v>0</v>
      </c>
      <c r="BI375" t="b">
        <v>0</v>
      </c>
      <c r="BJ375" t="b">
        <v>0</v>
      </c>
      <c r="BK375" t="b">
        <v>0</v>
      </c>
      <c r="BL375" t="b">
        <v>0</v>
      </c>
      <c r="BM375" t="b">
        <v>0</v>
      </c>
      <c r="BN375" t="b">
        <v>0</v>
      </c>
      <c r="BO375" t="b">
        <v>0</v>
      </c>
      <c r="BP375" t="b">
        <v>0</v>
      </c>
      <c r="BR375" t="str">
        <f>IFERROR(IF(M375="PASSED",VLOOKUP(J375,Current!$J$1:$N$500,1,FALSE)),N375)</f>
        <v>"1.0374 - MSWRK - Ensure Network Security: Allow PKU2U authentication requests to this computer to use online identities is set to Disabled: [PASSED]"
This setting determines if online identities are able to authenticate to this computer.
See Also:
See HTH Policies and Standards
Reference:
NIST 800-53r5|CM-1 CM-2 CM-6 CM-7 CM-7(1) CM-9 SA-3 SA-8 SA-10
Policy Value:
'0'
Actual Value:
'0'</v>
      </c>
    </row>
    <row r="376" spans="1:70" ht="15" hidden="1" customHeight="1" x14ac:dyDescent="0.25">
      <c r="A376">
        <v>21156</v>
      </c>
      <c r="C376">
        <v>0</v>
      </c>
      <c r="D376" t="s">
        <v>83</v>
      </c>
      <c r="E376" t="s">
        <v>66</v>
      </c>
      <c r="F376" t="s">
        <v>84</v>
      </c>
      <c r="G376">
        <v>0</v>
      </c>
      <c r="H376" t="s">
        <v>85</v>
      </c>
      <c r="I376" t="s">
        <v>86</v>
      </c>
      <c r="J376" t="str">
        <f>MID($N376,FIND("1.",$N376),FIND("-",$N376)-FIND("1.",$N376)-1)</f>
        <v>1.0375</v>
      </c>
      <c r="K376" t="str">
        <f t="shared" si="15"/>
        <v>Ensure Network security</v>
      </c>
      <c r="L376" t="str">
        <f t="shared" si="16"/>
        <v>1.0375 - MSWRK - Ensure Network security: Configure encryption types allowed for Kerberos is set to AES128_HMAC_SHA1, AES256_HMAC_SHA1, Future encryption types</v>
      </c>
      <c r="M376" t="str">
        <f t="shared" si="17"/>
        <v>FAILED</v>
      </c>
      <c r="N376" s="1" t="s">
        <v>540</v>
      </c>
      <c r="O376" t="s">
        <v>67</v>
      </c>
      <c r="R376" t="s">
        <v>68</v>
      </c>
      <c r="T376" t="s">
        <v>69</v>
      </c>
      <c r="U376" t="s">
        <v>70</v>
      </c>
      <c r="W376" t="s">
        <v>71</v>
      </c>
      <c r="X376" s="1" t="s">
        <v>72</v>
      </c>
      <c r="Y376" t="s">
        <v>88</v>
      </c>
      <c r="Z376">
        <v>0</v>
      </c>
      <c r="AA376">
        <v>0</v>
      </c>
      <c r="AD376">
        <v>0</v>
      </c>
      <c r="AE376">
        <v>0</v>
      </c>
      <c r="AH376" t="s">
        <v>73</v>
      </c>
      <c r="AI376" t="s">
        <v>318</v>
      </c>
      <c r="AJ376" t="s">
        <v>319</v>
      </c>
      <c r="AK376" t="s">
        <v>76</v>
      </c>
      <c r="AN376" t="s">
        <v>77</v>
      </c>
      <c r="AO376" t="s">
        <v>320</v>
      </c>
      <c r="AP376" t="s">
        <v>538</v>
      </c>
      <c r="AQ376" t="s">
        <v>322</v>
      </c>
      <c r="AS376" t="b">
        <v>1</v>
      </c>
      <c r="AT376" t="s">
        <v>65</v>
      </c>
      <c r="AU376">
        <v>0</v>
      </c>
      <c r="AV376">
        <v>0</v>
      </c>
      <c r="AX376">
        <v>39</v>
      </c>
      <c r="AY376" t="s">
        <v>81</v>
      </c>
      <c r="AZ376" t="s">
        <v>90</v>
      </c>
      <c r="BB376" t="s">
        <v>91</v>
      </c>
      <c r="BC376" t="s">
        <v>92</v>
      </c>
      <c r="BD376" t="b">
        <v>0</v>
      </c>
      <c r="BE376" t="b">
        <v>0</v>
      </c>
      <c r="BF376" t="b">
        <v>0</v>
      </c>
      <c r="BG376" t="b">
        <v>0</v>
      </c>
      <c r="BH376" t="b">
        <v>0</v>
      </c>
      <c r="BI376" t="b">
        <v>0</v>
      </c>
      <c r="BJ376" t="b">
        <v>0</v>
      </c>
      <c r="BK376" t="b">
        <v>0</v>
      </c>
      <c r="BL376" t="b">
        <v>0</v>
      </c>
      <c r="BM376" t="b">
        <v>0</v>
      </c>
      <c r="BN376" t="b">
        <v>0</v>
      </c>
      <c r="BO376" t="b">
        <v>0</v>
      </c>
      <c r="BP376" t="b">
        <v>0</v>
      </c>
      <c r="BR376" t="b">
        <f>IFERROR(IF(M376="PASSED",VLOOKUP(J376,Current!$J$1:$N$500,1,FALSE)),N376)</f>
        <v>0</v>
      </c>
    </row>
    <row r="377" spans="1:70" ht="15" hidden="1" customHeight="1" x14ac:dyDescent="0.25">
      <c r="A377">
        <v>21156</v>
      </c>
      <c r="C377">
        <v>0</v>
      </c>
      <c r="D377" t="s">
        <v>83</v>
      </c>
      <c r="E377" t="s">
        <v>66</v>
      </c>
      <c r="F377" t="s">
        <v>84</v>
      </c>
      <c r="G377">
        <v>0</v>
      </c>
      <c r="H377" t="s">
        <v>85</v>
      </c>
      <c r="I377" t="s">
        <v>86</v>
      </c>
      <c r="J377" t="str">
        <f>MID($N377,FIND("1.",$N377),FIND("-",$N377)-FIND("1.",$N377)-1)</f>
        <v>1.0376</v>
      </c>
      <c r="K377" t="str">
        <f t="shared" si="15"/>
        <v>Ensure Network security</v>
      </c>
      <c r="L377" t="str">
        <f t="shared" si="16"/>
        <v>1.0376 - MSWRK - Ensure Network security: Force logoff when logon hours expire is set to Enabled</v>
      </c>
      <c r="M377" t="str">
        <f t="shared" si="17"/>
        <v>FAILED</v>
      </c>
      <c r="N377" s="1" t="s">
        <v>587</v>
      </c>
      <c r="O377" t="s">
        <v>67</v>
      </c>
      <c r="R377" t="s">
        <v>68</v>
      </c>
      <c r="T377" t="s">
        <v>69</v>
      </c>
      <c r="U377" t="s">
        <v>70</v>
      </c>
      <c r="W377" t="s">
        <v>71</v>
      </c>
      <c r="X377" s="1" t="s">
        <v>72</v>
      </c>
      <c r="Y377" t="s">
        <v>88</v>
      </c>
      <c r="Z377">
        <v>0</v>
      </c>
      <c r="AA377">
        <v>0</v>
      </c>
      <c r="AD377">
        <v>0</v>
      </c>
      <c r="AE377">
        <v>0</v>
      </c>
      <c r="AH377" t="s">
        <v>73</v>
      </c>
      <c r="AI377" t="s">
        <v>318</v>
      </c>
      <c r="AJ377" t="s">
        <v>319</v>
      </c>
      <c r="AK377" t="s">
        <v>76</v>
      </c>
      <c r="AN377" t="s">
        <v>77</v>
      </c>
      <c r="AO377" t="s">
        <v>320</v>
      </c>
      <c r="AP377" t="s">
        <v>586</v>
      </c>
      <c r="AQ377" t="s">
        <v>322</v>
      </c>
      <c r="AS377" t="b">
        <v>1</v>
      </c>
      <c r="AT377" t="s">
        <v>65</v>
      </c>
      <c r="AU377">
        <v>0</v>
      </c>
      <c r="AV377">
        <v>0</v>
      </c>
      <c r="AX377">
        <v>39</v>
      </c>
      <c r="AY377" t="s">
        <v>81</v>
      </c>
      <c r="AZ377" t="s">
        <v>90</v>
      </c>
      <c r="BB377" t="s">
        <v>91</v>
      </c>
      <c r="BC377" t="s">
        <v>92</v>
      </c>
      <c r="BD377" t="b">
        <v>0</v>
      </c>
      <c r="BE377" t="b">
        <v>0</v>
      </c>
      <c r="BF377" t="b">
        <v>0</v>
      </c>
      <c r="BG377" t="b">
        <v>0</v>
      </c>
      <c r="BH377" t="b">
        <v>0</v>
      </c>
      <c r="BI377" t="b">
        <v>0</v>
      </c>
      <c r="BJ377" t="b">
        <v>0</v>
      </c>
      <c r="BK377" t="b">
        <v>0</v>
      </c>
      <c r="BL377" t="b">
        <v>0</v>
      </c>
      <c r="BM377" t="b">
        <v>0</v>
      </c>
      <c r="BN377" t="b">
        <v>0</v>
      </c>
      <c r="BO377" t="b">
        <v>0</v>
      </c>
      <c r="BP377" t="b">
        <v>0</v>
      </c>
      <c r="BR377" t="b">
        <f>IFERROR(IF(M377="PASSED",VLOOKUP(J377,Current!$J$1:$N$500,1,FALSE)),N377)</f>
        <v>0</v>
      </c>
    </row>
    <row r="378" spans="1:70" ht="15" hidden="1" customHeight="1" x14ac:dyDescent="0.25">
      <c r="A378">
        <v>21156</v>
      </c>
      <c r="C378">
        <v>0</v>
      </c>
      <c r="D378" t="s">
        <v>65</v>
      </c>
      <c r="E378" t="s">
        <v>66</v>
      </c>
      <c r="F378" t="s">
        <v>84</v>
      </c>
      <c r="G378">
        <v>0</v>
      </c>
      <c r="H378" t="s">
        <v>85</v>
      </c>
      <c r="I378" t="s">
        <v>86</v>
      </c>
      <c r="J378" t="str">
        <f>MID($N378,FIND("1.",$N378),FIND("-",$N378)-FIND("1.",$N378)-1)</f>
        <v>1.0377</v>
      </c>
      <c r="K378" t="str">
        <f t="shared" si="15"/>
        <v>Ensure Network security</v>
      </c>
      <c r="L378" t="str">
        <f t="shared" si="16"/>
        <v>1.0377 - MSWRK - Ensure Network security: LAN Manager authentication level is set to Send NTLMv2 response only. Refuse LM &amp; NTLM</v>
      </c>
      <c r="M378" t="str">
        <f t="shared" si="17"/>
        <v>PASSED</v>
      </c>
      <c r="N378" s="1" t="s">
        <v>154</v>
      </c>
      <c r="O378" t="s">
        <v>67</v>
      </c>
      <c r="R378" t="s">
        <v>68</v>
      </c>
      <c r="T378" t="s">
        <v>69</v>
      </c>
      <c r="U378" t="s">
        <v>70</v>
      </c>
      <c r="W378" t="s">
        <v>71</v>
      </c>
      <c r="X378" s="1" t="s">
        <v>72</v>
      </c>
      <c r="Y378" t="s">
        <v>88</v>
      </c>
      <c r="Z378">
        <v>0</v>
      </c>
      <c r="AA378">
        <v>0</v>
      </c>
      <c r="AD378">
        <v>0</v>
      </c>
      <c r="AE378">
        <v>0</v>
      </c>
      <c r="AH378" t="s">
        <v>73</v>
      </c>
      <c r="AI378" t="s">
        <v>318</v>
      </c>
      <c r="AJ378" t="s">
        <v>319</v>
      </c>
      <c r="AK378" t="s">
        <v>76</v>
      </c>
      <c r="AN378" t="s">
        <v>77</v>
      </c>
      <c r="AO378" t="s">
        <v>320</v>
      </c>
      <c r="AP378" t="s">
        <v>372</v>
      </c>
      <c r="AQ378" t="s">
        <v>322</v>
      </c>
      <c r="AS378" t="b">
        <v>1</v>
      </c>
      <c r="AT378" t="s">
        <v>65</v>
      </c>
      <c r="AU378">
        <v>0</v>
      </c>
      <c r="AV378">
        <v>0</v>
      </c>
      <c r="AX378">
        <v>39</v>
      </c>
      <c r="AY378" t="s">
        <v>81</v>
      </c>
      <c r="AZ378" t="s">
        <v>90</v>
      </c>
      <c r="BB378" t="s">
        <v>91</v>
      </c>
      <c r="BC378" t="s">
        <v>92</v>
      </c>
      <c r="BD378" t="b">
        <v>0</v>
      </c>
      <c r="BE378" t="b">
        <v>0</v>
      </c>
      <c r="BF378" t="b">
        <v>0</v>
      </c>
      <c r="BG378" t="b">
        <v>0</v>
      </c>
      <c r="BH378" t="b">
        <v>0</v>
      </c>
      <c r="BI378" t="b">
        <v>0</v>
      </c>
      <c r="BJ378" t="b">
        <v>0</v>
      </c>
      <c r="BK378" t="b">
        <v>0</v>
      </c>
      <c r="BL378" t="b">
        <v>0</v>
      </c>
      <c r="BM378" t="b">
        <v>0</v>
      </c>
      <c r="BN378" t="b">
        <v>0</v>
      </c>
      <c r="BO378" t="b">
        <v>0</v>
      </c>
      <c r="BP378" t="b">
        <v>0</v>
      </c>
      <c r="BR378" t="str">
        <f>IFERROR(IF(M378="PASSED",VLOOKUP(J378,Current!$J$1:$N$500,1,FALSE)),N378)</f>
        <v>1.0377</v>
      </c>
    </row>
    <row r="379" spans="1:70" ht="15" hidden="1" customHeight="1" x14ac:dyDescent="0.25">
      <c r="A379">
        <v>21156</v>
      </c>
      <c r="C379">
        <v>0</v>
      </c>
      <c r="D379" t="s">
        <v>83</v>
      </c>
      <c r="E379" t="s">
        <v>66</v>
      </c>
      <c r="F379" t="s">
        <v>84</v>
      </c>
      <c r="G379">
        <v>0</v>
      </c>
      <c r="H379" t="s">
        <v>85</v>
      </c>
      <c r="I379" t="s">
        <v>86</v>
      </c>
      <c r="J379" t="str">
        <f>MID($N379,FIND("1.",$N379),FIND("-",$N379)-FIND("1.",$N379)-1)</f>
        <v>1.0378</v>
      </c>
      <c r="K379" t="str">
        <f t="shared" si="15"/>
        <v>Ensure Network security</v>
      </c>
      <c r="L379" t="str">
        <f t="shared" si="16"/>
        <v>1.0378 - MSWRK - Ensure Network security: LDAP client encryption requirements is set to Negotiate sealing or higher</v>
      </c>
      <c r="M379" t="str">
        <f t="shared" si="17"/>
        <v>FAILED</v>
      </c>
      <c r="N379" s="1" t="s">
        <v>467</v>
      </c>
      <c r="O379" t="s">
        <v>67</v>
      </c>
      <c r="R379" t="s">
        <v>68</v>
      </c>
      <c r="T379" t="s">
        <v>69</v>
      </c>
      <c r="U379" t="s">
        <v>70</v>
      </c>
      <c r="W379" t="s">
        <v>71</v>
      </c>
      <c r="X379" s="1" t="s">
        <v>72</v>
      </c>
      <c r="Y379" t="s">
        <v>88</v>
      </c>
      <c r="Z379">
        <v>0</v>
      </c>
      <c r="AA379">
        <v>0</v>
      </c>
      <c r="AD379">
        <v>0</v>
      </c>
      <c r="AE379">
        <v>0</v>
      </c>
      <c r="AH379" t="s">
        <v>73</v>
      </c>
      <c r="AI379" t="s">
        <v>318</v>
      </c>
      <c r="AJ379" t="s">
        <v>319</v>
      </c>
      <c r="AK379" t="s">
        <v>76</v>
      </c>
      <c r="AN379" t="s">
        <v>77</v>
      </c>
      <c r="AO379" t="s">
        <v>320</v>
      </c>
      <c r="AP379" t="s">
        <v>466</v>
      </c>
      <c r="AQ379" t="s">
        <v>322</v>
      </c>
      <c r="AS379" t="b">
        <v>1</v>
      </c>
      <c r="AT379" t="s">
        <v>65</v>
      </c>
      <c r="AU379">
        <v>0</v>
      </c>
      <c r="AV379">
        <v>0</v>
      </c>
      <c r="AX379">
        <v>39</v>
      </c>
      <c r="AY379" t="s">
        <v>81</v>
      </c>
      <c r="AZ379" t="s">
        <v>90</v>
      </c>
      <c r="BB379" t="s">
        <v>91</v>
      </c>
      <c r="BC379" t="s">
        <v>92</v>
      </c>
      <c r="BD379" t="b">
        <v>0</v>
      </c>
      <c r="BE379" t="b">
        <v>0</v>
      </c>
      <c r="BF379" t="b">
        <v>0</v>
      </c>
      <c r="BG379" t="b">
        <v>0</v>
      </c>
      <c r="BH379" t="b">
        <v>0</v>
      </c>
      <c r="BI379" t="b">
        <v>0</v>
      </c>
      <c r="BJ379" t="b">
        <v>0</v>
      </c>
      <c r="BK379" t="b">
        <v>0</v>
      </c>
      <c r="BL379" t="b">
        <v>0</v>
      </c>
      <c r="BM379" t="b">
        <v>0</v>
      </c>
      <c r="BN379" t="b">
        <v>0</v>
      </c>
      <c r="BO379" t="b">
        <v>0</v>
      </c>
      <c r="BP379" t="b">
        <v>0</v>
      </c>
      <c r="BR379" t="b">
        <f>IFERROR(IF(M379="PASSED",VLOOKUP(J379,Current!$J$1:$N$500,1,FALSE)),N379)</f>
        <v>0</v>
      </c>
    </row>
    <row r="380" spans="1:70" ht="15" hidden="1" customHeight="1" x14ac:dyDescent="0.25">
      <c r="A380">
        <v>21156</v>
      </c>
      <c r="C380">
        <v>0</v>
      </c>
      <c r="D380" t="s">
        <v>65</v>
      </c>
      <c r="E380" t="s">
        <v>66</v>
      </c>
      <c r="F380" t="s">
        <v>84</v>
      </c>
      <c r="G380">
        <v>0</v>
      </c>
      <c r="H380" t="s">
        <v>85</v>
      </c>
      <c r="I380" t="s">
        <v>86</v>
      </c>
      <c r="J380" t="str">
        <f>MID($N380,FIND("1.",$N380),FIND("-",$N380)-FIND("1.",$N380)-1)</f>
        <v>1.0379</v>
      </c>
      <c r="K380" t="str">
        <f t="shared" si="15"/>
        <v>Ensure Network security</v>
      </c>
      <c r="L380" t="str">
        <f t="shared" si="16"/>
        <v>1.0379 - MSWRK - Ensure Network security: LDAP client signing requirements is set to Negotiate signing or higher</v>
      </c>
      <c r="M380" t="str">
        <f t="shared" si="17"/>
        <v>PASSED</v>
      </c>
      <c r="N380" s="1" t="s">
        <v>156</v>
      </c>
      <c r="O380" t="s">
        <v>67</v>
      </c>
      <c r="R380" t="s">
        <v>68</v>
      </c>
      <c r="T380" t="s">
        <v>69</v>
      </c>
      <c r="U380" t="s">
        <v>70</v>
      </c>
      <c r="W380" t="s">
        <v>71</v>
      </c>
      <c r="X380" s="1" t="s">
        <v>72</v>
      </c>
      <c r="Y380" t="s">
        <v>88</v>
      </c>
      <c r="Z380">
        <v>0</v>
      </c>
      <c r="AA380">
        <v>0</v>
      </c>
      <c r="AD380">
        <v>0</v>
      </c>
      <c r="AE380">
        <v>0</v>
      </c>
      <c r="AH380" t="s">
        <v>73</v>
      </c>
      <c r="AI380" t="s">
        <v>318</v>
      </c>
      <c r="AJ380" t="s">
        <v>319</v>
      </c>
      <c r="AK380" t="s">
        <v>76</v>
      </c>
      <c r="AN380" t="s">
        <v>77</v>
      </c>
      <c r="AO380" t="s">
        <v>320</v>
      </c>
      <c r="AP380" t="s">
        <v>591</v>
      </c>
      <c r="AQ380" t="s">
        <v>322</v>
      </c>
      <c r="AS380" t="b">
        <v>1</v>
      </c>
      <c r="AT380" t="s">
        <v>65</v>
      </c>
      <c r="AU380">
        <v>0</v>
      </c>
      <c r="AV380">
        <v>0</v>
      </c>
      <c r="AX380">
        <v>39</v>
      </c>
      <c r="AY380" t="s">
        <v>81</v>
      </c>
      <c r="AZ380" t="s">
        <v>90</v>
      </c>
      <c r="BB380" t="s">
        <v>91</v>
      </c>
      <c r="BC380" t="s">
        <v>92</v>
      </c>
      <c r="BD380" t="b">
        <v>0</v>
      </c>
      <c r="BE380" t="b">
        <v>0</v>
      </c>
      <c r="BF380" t="b">
        <v>0</v>
      </c>
      <c r="BG380" t="b">
        <v>0</v>
      </c>
      <c r="BH380" t="b">
        <v>0</v>
      </c>
      <c r="BI380" t="b">
        <v>0</v>
      </c>
      <c r="BJ380" t="b">
        <v>0</v>
      </c>
      <c r="BK380" t="b">
        <v>0</v>
      </c>
      <c r="BL380" t="b">
        <v>0</v>
      </c>
      <c r="BM380" t="b">
        <v>0</v>
      </c>
      <c r="BN380" t="b">
        <v>0</v>
      </c>
      <c r="BO380" t="b">
        <v>0</v>
      </c>
      <c r="BP380" t="b">
        <v>0</v>
      </c>
      <c r="BR380" t="str">
        <f>IFERROR(IF(M380="PASSED",VLOOKUP(J380,Current!$J$1:$N$500,1,FALSE)),N380)</f>
        <v>1.0379</v>
      </c>
    </row>
    <row r="381" spans="1:70" ht="15" hidden="1" customHeight="1" x14ac:dyDescent="0.25">
      <c r="A381">
        <v>21156</v>
      </c>
      <c r="C381">
        <v>0</v>
      </c>
      <c r="D381" t="s">
        <v>83</v>
      </c>
      <c r="E381" t="s">
        <v>66</v>
      </c>
      <c r="F381" t="s">
        <v>84</v>
      </c>
      <c r="G381">
        <v>0</v>
      </c>
      <c r="H381" t="s">
        <v>85</v>
      </c>
      <c r="I381" t="s">
        <v>86</v>
      </c>
      <c r="J381" t="str">
        <f>MID($N381,FIND("1.",$N381),FIND("-",$N381)-FIND("1.",$N381)-1)</f>
        <v>1.0380</v>
      </c>
      <c r="K381" t="str">
        <f t="shared" si="15"/>
        <v>Ensure Network security</v>
      </c>
      <c r="L381" t="str">
        <f t="shared" si="16"/>
        <v>1.0380 - MSWRK - Ensure Network security: Minimum session security for NTLM SSP based (including secure RPC) clients is set to Require NTLMv2 session security, Require 128-bit encryption</v>
      </c>
      <c r="M381" t="str">
        <f t="shared" si="17"/>
        <v>FAILED</v>
      </c>
      <c r="N381" s="1" t="s">
        <v>539</v>
      </c>
      <c r="O381" t="s">
        <v>67</v>
      </c>
      <c r="R381" t="s">
        <v>68</v>
      </c>
      <c r="T381" t="s">
        <v>69</v>
      </c>
      <c r="U381" t="s">
        <v>70</v>
      </c>
      <c r="W381" t="s">
        <v>71</v>
      </c>
      <c r="X381" s="1" t="s">
        <v>72</v>
      </c>
      <c r="Y381" t="s">
        <v>88</v>
      </c>
      <c r="Z381">
        <v>0</v>
      </c>
      <c r="AA381">
        <v>0</v>
      </c>
      <c r="AD381">
        <v>0</v>
      </c>
      <c r="AE381">
        <v>0</v>
      </c>
      <c r="AH381" t="s">
        <v>73</v>
      </c>
      <c r="AI381" t="s">
        <v>318</v>
      </c>
      <c r="AJ381" t="s">
        <v>319</v>
      </c>
      <c r="AK381" t="s">
        <v>76</v>
      </c>
      <c r="AN381" t="s">
        <v>77</v>
      </c>
      <c r="AO381" t="s">
        <v>320</v>
      </c>
      <c r="AP381" t="s">
        <v>538</v>
      </c>
      <c r="AQ381" t="s">
        <v>322</v>
      </c>
      <c r="AS381" t="b">
        <v>1</v>
      </c>
      <c r="AT381" t="s">
        <v>65</v>
      </c>
      <c r="AU381">
        <v>0</v>
      </c>
      <c r="AV381">
        <v>0</v>
      </c>
      <c r="AX381">
        <v>39</v>
      </c>
      <c r="AY381" t="s">
        <v>81</v>
      </c>
      <c r="AZ381" t="s">
        <v>90</v>
      </c>
      <c r="BB381" t="s">
        <v>91</v>
      </c>
      <c r="BC381" t="s">
        <v>92</v>
      </c>
      <c r="BD381" t="b">
        <v>0</v>
      </c>
      <c r="BE381" t="b">
        <v>0</v>
      </c>
      <c r="BF381" t="b">
        <v>0</v>
      </c>
      <c r="BG381" t="b">
        <v>0</v>
      </c>
      <c r="BH381" t="b">
        <v>0</v>
      </c>
      <c r="BI381" t="b">
        <v>0</v>
      </c>
      <c r="BJ381" t="b">
        <v>0</v>
      </c>
      <c r="BK381" t="b">
        <v>0</v>
      </c>
      <c r="BL381" t="b">
        <v>0</v>
      </c>
      <c r="BM381" t="b">
        <v>0</v>
      </c>
      <c r="BN381" t="b">
        <v>0</v>
      </c>
      <c r="BO381" t="b">
        <v>0</v>
      </c>
      <c r="BP381" t="b">
        <v>0</v>
      </c>
      <c r="BR381" t="b">
        <f>IFERROR(IF(M381="PASSED",VLOOKUP(J381,Current!$J$1:$N$500,1,FALSE)),N381)</f>
        <v>0</v>
      </c>
    </row>
    <row r="382" spans="1:70" ht="15" hidden="1" customHeight="1" x14ac:dyDescent="0.25">
      <c r="A382">
        <v>21156</v>
      </c>
      <c r="C382">
        <v>0</v>
      </c>
      <c r="D382" t="s">
        <v>65</v>
      </c>
      <c r="E382" t="s">
        <v>66</v>
      </c>
      <c r="F382" t="s">
        <v>84</v>
      </c>
      <c r="G382">
        <v>0</v>
      </c>
      <c r="H382" t="s">
        <v>85</v>
      </c>
      <c r="I382" t="s">
        <v>86</v>
      </c>
      <c r="J382" t="str">
        <f>MID($N382,FIND("1.",$N382),FIND("-",$N382)-FIND("1.",$N382)-1)</f>
        <v>1.0381</v>
      </c>
      <c r="K382" t="str">
        <f t="shared" si="15"/>
        <v>Ensure Accounts: Limit local account use of blank passwords to console logon only is set to Enabled</v>
      </c>
      <c r="L382" t="str">
        <f t="shared" si="16"/>
        <v>1.0381 - MSWRK - Ensure Accounts: Limit local account use of blank passwords to console logon only is set to Enabled</v>
      </c>
      <c r="M382" t="str">
        <f t="shared" si="17"/>
        <v>PASSED</v>
      </c>
      <c r="N382" s="1" t="s">
        <v>268</v>
      </c>
      <c r="O382" t="s">
        <v>67</v>
      </c>
      <c r="R382" t="s">
        <v>68</v>
      </c>
      <c r="T382" t="s">
        <v>69</v>
      </c>
      <c r="U382" t="s">
        <v>70</v>
      </c>
      <c r="W382" t="s">
        <v>71</v>
      </c>
      <c r="X382" s="1" t="s">
        <v>72</v>
      </c>
      <c r="Y382" t="s">
        <v>88</v>
      </c>
      <c r="Z382">
        <v>0</v>
      </c>
      <c r="AA382">
        <v>0</v>
      </c>
      <c r="AD382">
        <v>0</v>
      </c>
      <c r="AE382">
        <v>0</v>
      </c>
      <c r="AH382" t="s">
        <v>73</v>
      </c>
      <c r="AI382" t="s">
        <v>318</v>
      </c>
      <c r="AJ382" t="s">
        <v>319</v>
      </c>
      <c r="AK382" t="s">
        <v>76</v>
      </c>
      <c r="AN382" t="s">
        <v>77</v>
      </c>
      <c r="AO382" t="s">
        <v>320</v>
      </c>
      <c r="AP382" t="s">
        <v>388</v>
      </c>
      <c r="AQ382" t="s">
        <v>322</v>
      </c>
      <c r="AS382" t="b">
        <v>1</v>
      </c>
      <c r="AT382" t="s">
        <v>65</v>
      </c>
      <c r="AU382">
        <v>0</v>
      </c>
      <c r="AV382">
        <v>0</v>
      </c>
      <c r="AX382">
        <v>39</v>
      </c>
      <c r="AY382" t="s">
        <v>81</v>
      </c>
      <c r="AZ382" t="s">
        <v>90</v>
      </c>
      <c r="BB382" t="s">
        <v>91</v>
      </c>
      <c r="BC382" t="s">
        <v>92</v>
      </c>
      <c r="BD382" t="b">
        <v>0</v>
      </c>
      <c r="BE382" t="b">
        <v>0</v>
      </c>
      <c r="BF382" t="b">
        <v>0</v>
      </c>
      <c r="BG382" t="b">
        <v>0</v>
      </c>
      <c r="BH382" t="b">
        <v>0</v>
      </c>
      <c r="BI382" t="b">
        <v>0</v>
      </c>
      <c r="BJ382" t="b">
        <v>0</v>
      </c>
      <c r="BK382" t="b">
        <v>0</v>
      </c>
      <c r="BL382" t="b">
        <v>0</v>
      </c>
      <c r="BM382" t="b">
        <v>0</v>
      </c>
      <c r="BN382" t="b">
        <v>0</v>
      </c>
      <c r="BO382" t="b">
        <v>0</v>
      </c>
      <c r="BP382" t="b">
        <v>0</v>
      </c>
      <c r="BR382" t="str">
        <f>IFERROR(IF(M382="PASSED",VLOOKUP(J382,Current!$J$1:$N$500,1,FALSE)),N382)</f>
        <v>1.0381</v>
      </c>
    </row>
    <row r="383" spans="1:70" ht="15" hidden="1" customHeight="1" x14ac:dyDescent="0.25">
      <c r="A383">
        <v>21156</v>
      </c>
      <c r="C383">
        <v>0</v>
      </c>
      <c r="D383" t="s">
        <v>65</v>
      </c>
      <c r="E383" t="s">
        <v>66</v>
      </c>
      <c r="F383" t="s">
        <v>84</v>
      </c>
      <c r="G383">
        <v>0</v>
      </c>
      <c r="H383" t="s">
        <v>85</v>
      </c>
      <c r="I383" t="s">
        <v>86</v>
      </c>
      <c r="J383" t="str">
        <f>MID($N383,FIND("1.",$N383),FIND("-",$N383)-FIND("1.",$N383)-1)</f>
        <v>1.0382</v>
      </c>
      <c r="K383" t="str">
        <f t="shared" si="15"/>
        <v>Configure Accounts: Rename administrator account</v>
      </c>
      <c r="L383" t="str">
        <f t="shared" si="16"/>
        <v>1.0382 - MSWRK - Configure Accounts: Rename administrator account</v>
      </c>
      <c r="M383" t="str">
        <f t="shared" si="17"/>
        <v>PASSED</v>
      </c>
      <c r="N383" s="1" t="s">
        <v>150</v>
      </c>
      <c r="O383" t="s">
        <v>67</v>
      </c>
      <c r="R383" t="s">
        <v>68</v>
      </c>
      <c r="T383" t="s">
        <v>69</v>
      </c>
      <c r="U383" t="s">
        <v>70</v>
      </c>
      <c r="W383" t="s">
        <v>71</v>
      </c>
      <c r="X383" s="1" t="s">
        <v>72</v>
      </c>
      <c r="Y383" t="s">
        <v>88</v>
      </c>
      <c r="Z383">
        <v>0</v>
      </c>
      <c r="AA383">
        <v>0</v>
      </c>
      <c r="AD383">
        <v>0</v>
      </c>
      <c r="AE383">
        <v>0</v>
      </c>
      <c r="AH383" t="s">
        <v>73</v>
      </c>
      <c r="AI383" t="s">
        <v>318</v>
      </c>
      <c r="AJ383" t="s">
        <v>319</v>
      </c>
      <c r="AK383" t="s">
        <v>76</v>
      </c>
      <c r="AN383" t="s">
        <v>77</v>
      </c>
      <c r="AO383" t="s">
        <v>320</v>
      </c>
      <c r="AP383" t="s">
        <v>435</v>
      </c>
      <c r="AQ383" t="s">
        <v>322</v>
      </c>
      <c r="AS383" t="b">
        <v>1</v>
      </c>
      <c r="AT383" t="s">
        <v>65</v>
      </c>
      <c r="AU383">
        <v>0</v>
      </c>
      <c r="AV383">
        <v>0</v>
      </c>
      <c r="AX383">
        <v>39</v>
      </c>
      <c r="AY383" t="s">
        <v>81</v>
      </c>
      <c r="AZ383" t="s">
        <v>90</v>
      </c>
      <c r="BB383" t="s">
        <v>91</v>
      </c>
      <c r="BC383" t="s">
        <v>92</v>
      </c>
      <c r="BD383" t="b">
        <v>0</v>
      </c>
      <c r="BE383" t="b">
        <v>0</v>
      </c>
      <c r="BF383" t="b">
        <v>0</v>
      </c>
      <c r="BG383" t="b">
        <v>0</v>
      </c>
      <c r="BH383" t="b">
        <v>0</v>
      </c>
      <c r="BI383" t="b">
        <v>0</v>
      </c>
      <c r="BJ383" t="b">
        <v>0</v>
      </c>
      <c r="BK383" t="b">
        <v>0</v>
      </c>
      <c r="BL383" t="b">
        <v>0</v>
      </c>
      <c r="BM383" t="b">
        <v>0</v>
      </c>
      <c r="BN383" t="b">
        <v>0</v>
      </c>
      <c r="BO383" t="b">
        <v>0</v>
      </c>
      <c r="BP383" t="b">
        <v>0</v>
      </c>
      <c r="BR383" t="str">
        <f>IFERROR(IF(M383="PASSED",VLOOKUP(J383,Current!$J$1:$N$500,1,FALSE)),N383)</f>
        <v>1.0382</v>
      </c>
    </row>
    <row r="384" spans="1:70" ht="15" hidden="1" customHeight="1" x14ac:dyDescent="0.25">
      <c r="A384">
        <v>21156</v>
      </c>
      <c r="C384">
        <v>0</v>
      </c>
      <c r="D384" t="s">
        <v>83</v>
      </c>
      <c r="E384" t="s">
        <v>66</v>
      </c>
      <c r="F384" t="s">
        <v>84</v>
      </c>
      <c r="G384">
        <v>0</v>
      </c>
      <c r="H384" t="s">
        <v>85</v>
      </c>
      <c r="I384" t="s">
        <v>86</v>
      </c>
      <c r="J384" t="str">
        <f>MID($N384,FIND("1.",$N384),FIND("-",$N384)-FIND("1.",$N384)-1)</f>
        <v>1.0383</v>
      </c>
      <c r="K384" t="str">
        <f t="shared" si="15"/>
        <v>Configure Accounts: Rename guest account</v>
      </c>
      <c r="L384" t="str">
        <f t="shared" si="16"/>
        <v>1.0383 - MSWRK - Configure Accounts: Rename guest account</v>
      </c>
      <c r="M384" t="str">
        <f t="shared" si="17"/>
        <v>FAILED</v>
      </c>
      <c r="N384" s="1" t="s">
        <v>155</v>
      </c>
      <c r="O384" t="s">
        <v>67</v>
      </c>
      <c r="R384" t="s">
        <v>68</v>
      </c>
      <c r="T384" t="s">
        <v>69</v>
      </c>
      <c r="U384" t="s">
        <v>70</v>
      </c>
      <c r="W384" t="s">
        <v>71</v>
      </c>
      <c r="X384" s="1" t="s">
        <v>72</v>
      </c>
      <c r="Y384" t="s">
        <v>88</v>
      </c>
      <c r="Z384">
        <v>0</v>
      </c>
      <c r="AA384">
        <v>0</v>
      </c>
      <c r="AD384">
        <v>0</v>
      </c>
      <c r="AE384">
        <v>0</v>
      </c>
      <c r="AH384" t="s">
        <v>73</v>
      </c>
      <c r="AI384" t="s">
        <v>318</v>
      </c>
      <c r="AJ384" t="s">
        <v>319</v>
      </c>
      <c r="AK384" t="s">
        <v>76</v>
      </c>
      <c r="AN384" t="s">
        <v>77</v>
      </c>
      <c r="AO384" t="s">
        <v>320</v>
      </c>
      <c r="AP384" t="s">
        <v>446</v>
      </c>
      <c r="AQ384" t="s">
        <v>322</v>
      </c>
      <c r="AS384" t="b">
        <v>1</v>
      </c>
      <c r="AT384" t="s">
        <v>65</v>
      </c>
      <c r="AU384">
        <v>0</v>
      </c>
      <c r="AV384">
        <v>0</v>
      </c>
      <c r="AX384">
        <v>39</v>
      </c>
      <c r="AY384" t="s">
        <v>81</v>
      </c>
      <c r="AZ384" t="s">
        <v>90</v>
      </c>
      <c r="BB384" t="s">
        <v>91</v>
      </c>
      <c r="BC384" t="s">
        <v>92</v>
      </c>
      <c r="BD384" t="b">
        <v>0</v>
      </c>
      <c r="BE384" t="b">
        <v>0</v>
      </c>
      <c r="BF384" t="b">
        <v>0</v>
      </c>
      <c r="BG384" t="b">
        <v>0</v>
      </c>
      <c r="BH384" t="b">
        <v>0</v>
      </c>
      <c r="BI384" t="b">
        <v>0</v>
      </c>
      <c r="BJ384" t="b">
        <v>0</v>
      </c>
      <c r="BK384" t="b">
        <v>0</v>
      </c>
      <c r="BL384" t="b">
        <v>0</v>
      </c>
      <c r="BM384" t="b">
        <v>0</v>
      </c>
      <c r="BN384" t="b">
        <v>0</v>
      </c>
      <c r="BO384" t="b">
        <v>0</v>
      </c>
      <c r="BP384" t="b">
        <v>0</v>
      </c>
      <c r="BR384" t="b">
        <f>IFERROR(IF(M384="PASSED",VLOOKUP(J384,Current!$J$1:$N$500,1,FALSE)),N384)</f>
        <v>0</v>
      </c>
    </row>
    <row r="385" spans="1:70" ht="15" hidden="1" customHeight="1" x14ac:dyDescent="0.25">
      <c r="A385">
        <v>21156</v>
      </c>
      <c r="C385">
        <v>0</v>
      </c>
      <c r="D385" t="s">
        <v>65</v>
      </c>
      <c r="E385" t="s">
        <v>66</v>
      </c>
      <c r="F385" t="s">
        <v>84</v>
      </c>
      <c r="G385">
        <v>0</v>
      </c>
      <c r="H385" t="s">
        <v>85</v>
      </c>
      <c r="I385" t="s">
        <v>86</v>
      </c>
      <c r="J385" t="str">
        <f>MID($N385,FIND("1.",$N385),FIND("-",$N385)-FIND("1.",$N385)-1)</f>
        <v>1.0384</v>
      </c>
      <c r="K385" t="str">
        <f t="shared" si="15"/>
        <v>Ensure System objects</v>
      </c>
      <c r="L385" t="str">
        <f t="shared" si="16"/>
        <v>1.0384 - MSWRK - Ensure System objects: Require case insensitivity for non-Windows subsystems is set to Enabled</v>
      </c>
      <c r="M385" t="str">
        <f t="shared" si="17"/>
        <v>PASSED</v>
      </c>
      <c r="N385" s="1" t="s">
        <v>265</v>
      </c>
      <c r="O385" t="s">
        <v>67</v>
      </c>
      <c r="R385" t="s">
        <v>68</v>
      </c>
      <c r="T385" t="s">
        <v>69</v>
      </c>
      <c r="U385" t="s">
        <v>70</v>
      </c>
      <c r="W385" t="s">
        <v>71</v>
      </c>
      <c r="X385" s="1" t="s">
        <v>72</v>
      </c>
      <c r="Y385" t="s">
        <v>88</v>
      </c>
      <c r="Z385">
        <v>0</v>
      </c>
      <c r="AA385">
        <v>0</v>
      </c>
      <c r="AD385">
        <v>0</v>
      </c>
      <c r="AE385">
        <v>0</v>
      </c>
      <c r="AH385" t="s">
        <v>73</v>
      </c>
      <c r="AI385" t="s">
        <v>318</v>
      </c>
      <c r="AJ385" t="s">
        <v>319</v>
      </c>
      <c r="AK385" t="s">
        <v>76</v>
      </c>
      <c r="AN385" t="s">
        <v>77</v>
      </c>
      <c r="AO385" t="s">
        <v>320</v>
      </c>
      <c r="AP385" t="s">
        <v>594</v>
      </c>
      <c r="AQ385" t="s">
        <v>322</v>
      </c>
      <c r="AS385" t="b">
        <v>1</v>
      </c>
      <c r="AT385" t="s">
        <v>65</v>
      </c>
      <c r="AU385">
        <v>0</v>
      </c>
      <c r="AV385">
        <v>0</v>
      </c>
      <c r="AX385">
        <v>39</v>
      </c>
      <c r="AY385" t="s">
        <v>81</v>
      </c>
      <c r="AZ385" t="s">
        <v>90</v>
      </c>
      <c r="BB385" t="s">
        <v>91</v>
      </c>
      <c r="BC385" t="s">
        <v>92</v>
      </c>
      <c r="BD385" t="b">
        <v>0</v>
      </c>
      <c r="BE385" t="b">
        <v>0</v>
      </c>
      <c r="BF385" t="b">
        <v>0</v>
      </c>
      <c r="BG385" t="b">
        <v>0</v>
      </c>
      <c r="BH385" t="b">
        <v>0</v>
      </c>
      <c r="BI385" t="b">
        <v>0</v>
      </c>
      <c r="BJ385" t="b">
        <v>0</v>
      </c>
      <c r="BK385" t="b">
        <v>0</v>
      </c>
      <c r="BL385" t="b">
        <v>0</v>
      </c>
      <c r="BM385" t="b">
        <v>0</v>
      </c>
      <c r="BN385" t="b">
        <v>0</v>
      </c>
      <c r="BO385" t="b">
        <v>0</v>
      </c>
      <c r="BP385" t="b">
        <v>0</v>
      </c>
      <c r="BR385" t="str">
        <f>IFERROR(IF(M385="PASSED",VLOOKUP(J385,Current!$J$1:$N$500,1,FALSE)),N385)</f>
        <v>1.0384</v>
      </c>
    </row>
    <row r="386" spans="1:70" ht="15" hidden="1" customHeight="1" x14ac:dyDescent="0.25">
      <c r="A386">
        <v>21156</v>
      </c>
      <c r="C386">
        <v>0</v>
      </c>
      <c r="D386" t="s">
        <v>65</v>
      </c>
      <c r="E386" t="s">
        <v>66</v>
      </c>
      <c r="F386" t="s">
        <v>84</v>
      </c>
      <c r="G386">
        <v>0</v>
      </c>
      <c r="H386" t="s">
        <v>85</v>
      </c>
      <c r="I386" t="s">
        <v>86</v>
      </c>
      <c r="J386" t="str">
        <f>MID($N386,FIND("1.",$N386),FIND("-",$N386)-FIND("1.",$N386)-1)</f>
        <v>1.0385</v>
      </c>
      <c r="K386" t="str">
        <f t="shared" si="15"/>
        <v>Ensure System objects</v>
      </c>
      <c r="L386" t="str">
        <f t="shared" si="16"/>
        <v>1.0385 - MSWRK - Ensure System objects: Strengthen default permissions of internal system objects (e.g. Symbolic Links) is set to Enabled</v>
      </c>
      <c r="M386" t="str">
        <f t="shared" si="17"/>
        <v>PASSED</v>
      </c>
      <c r="N386" s="1" t="s">
        <v>171</v>
      </c>
      <c r="O386" t="s">
        <v>67</v>
      </c>
      <c r="R386" t="s">
        <v>68</v>
      </c>
      <c r="T386" t="s">
        <v>69</v>
      </c>
      <c r="U386" t="s">
        <v>70</v>
      </c>
      <c r="W386" t="s">
        <v>71</v>
      </c>
      <c r="X386" s="1" t="s">
        <v>72</v>
      </c>
      <c r="Y386" t="s">
        <v>88</v>
      </c>
      <c r="Z386">
        <v>0</v>
      </c>
      <c r="AA386">
        <v>0</v>
      </c>
      <c r="AD386">
        <v>0</v>
      </c>
      <c r="AE386">
        <v>0</v>
      </c>
      <c r="AH386" t="s">
        <v>73</v>
      </c>
      <c r="AI386" t="s">
        <v>318</v>
      </c>
      <c r="AJ386" t="s">
        <v>319</v>
      </c>
      <c r="AK386" t="s">
        <v>76</v>
      </c>
      <c r="AN386" t="s">
        <v>77</v>
      </c>
      <c r="AO386" t="s">
        <v>320</v>
      </c>
      <c r="AP386" t="s">
        <v>705</v>
      </c>
      <c r="AQ386" t="s">
        <v>322</v>
      </c>
      <c r="AS386" t="b">
        <v>1</v>
      </c>
      <c r="AT386" t="s">
        <v>65</v>
      </c>
      <c r="AU386">
        <v>0</v>
      </c>
      <c r="AV386">
        <v>0</v>
      </c>
      <c r="AX386">
        <v>39</v>
      </c>
      <c r="AY386" t="s">
        <v>81</v>
      </c>
      <c r="AZ386" t="s">
        <v>90</v>
      </c>
      <c r="BB386" t="s">
        <v>91</v>
      </c>
      <c r="BC386" t="s">
        <v>92</v>
      </c>
      <c r="BD386" t="b">
        <v>0</v>
      </c>
      <c r="BE386" t="b">
        <v>0</v>
      </c>
      <c r="BF386" t="b">
        <v>0</v>
      </c>
      <c r="BG386" t="b">
        <v>0</v>
      </c>
      <c r="BH386" t="b">
        <v>0</v>
      </c>
      <c r="BI386" t="b">
        <v>0</v>
      </c>
      <c r="BJ386" t="b">
        <v>0</v>
      </c>
      <c r="BK386" t="b">
        <v>0</v>
      </c>
      <c r="BL386" t="b">
        <v>0</v>
      </c>
      <c r="BM386" t="b">
        <v>0</v>
      </c>
      <c r="BN386" t="b">
        <v>0</v>
      </c>
      <c r="BO386" t="b">
        <v>0</v>
      </c>
      <c r="BP386" t="b">
        <v>0</v>
      </c>
      <c r="BR386" t="str">
        <f>IFERROR(IF(M386="PASSED",VLOOKUP(J386,Current!$J$1:$N$500,1,FALSE)),N386)</f>
        <v>1.0385</v>
      </c>
    </row>
    <row r="387" spans="1:70" ht="15" customHeight="1" x14ac:dyDescent="0.25">
      <c r="A387">
        <v>21156</v>
      </c>
      <c r="C387">
        <v>0</v>
      </c>
      <c r="D387" t="s">
        <v>65</v>
      </c>
      <c r="E387" t="s">
        <v>66</v>
      </c>
      <c r="F387" t="s">
        <v>84</v>
      </c>
      <c r="G387">
        <v>0</v>
      </c>
      <c r="H387" t="s">
        <v>85</v>
      </c>
      <c r="I387" t="s">
        <v>86</v>
      </c>
      <c r="J387" t="str">
        <f>MID($N387,FIND("1.",$N387),FIND("-",$N387)-FIND("1.",$N387)-1)</f>
        <v>1.0386</v>
      </c>
      <c r="K387" t="str">
        <f t="shared" ref="K387:K450" si="18">MID($N387,FIND("MSWRK - ",$N387)+8,FIND(":",$N387,40)-FIND("MSWRK - ",$N387)-8)</f>
        <v>Ensure User Account Control</v>
      </c>
      <c r="L387" t="str">
        <f t="shared" ref="L387:L450" si="19">MID($N387,FIND("1.",$N387),FIND("[",$N387)-1-FIND("1.",$N387)-1)</f>
        <v>1.0386 - MSWRK - Ensure User Account Control: Admin Approval Mode for the Built-in Administrator account is set to Enabled</v>
      </c>
      <c r="M387" t="str">
        <f t="shared" ref="M387:M450" si="20">MID($N387,FIND("[",$N387)+1,FIND("]",$N387)-FIND("[",$N387)-1)</f>
        <v>PASSED</v>
      </c>
      <c r="N387" s="1" t="s">
        <v>702</v>
      </c>
      <c r="O387" t="s">
        <v>67</v>
      </c>
      <c r="R387" t="s">
        <v>68</v>
      </c>
      <c r="T387" t="s">
        <v>69</v>
      </c>
      <c r="U387" t="s">
        <v>70</v>
      </c>
      <c r="W387" t="s">
        <v>71</v>
      </c>
      <c r="X387" s="1" t="s">
        <v>72</v>
      </c>
      <c r="Y387" t="s">
        <v>88</v>
      </c>
      <c r="Z387">
        <v>0</v>
      </c>
      <c r="AA387">
        <v>0</v>
      </c>
      <c r="AD387">
        <v>0</v>
      </c>
      <c r="AE387">
        <v>0</v>
      </c>
      <c r="AH387" t="s">
        <v>73</v>
      </c>
      <c r="AI387" t="s">
        <v>318</v>
      </c>
      <c r="AJ387" t="s">
        <v>319</v>
      </c>
      <c r="AK387" t="s">
        <v>76</v>
      </c>
      <c r="AN387" t="s">
        <v>77</v>
      </c>
      <c r="AO387" t="s">
        <v>320</v>
      </c>
      <c r="AP387" t="s">
        <v>701</v>
      </c>
      <c r="AQ387" t="s">
        <v>322</v>
      </c>
      <c r="AS387" t="b">
        <v>1</v>
      </c>
      <c r="AT387" t="s">
        <v>65</v>
      </c>
      <c r="AU387">
        <v>0</v>
      </c>
      <c r="AV387">
        <v>0</v>
      </c>
      <c r="AX387">
        <v>39</v>
      </c>
      <c r="AY387" t="s">
        <v>81</v>
      </c>
      <c r="AZ387" t="s">
        <v>90</v>
      </c>
      <c r="BB387" t="s">
        <v>91</v>
      </c>
      <c r="BC387" t="s">
        <v>92</v>
      </c>
      <c r="BD387" t="b">
        <v>0</v>
      </c>
      <c r="BE387" t="b">
        <v>0</v>
      </c>
      <c r="BF387" t="b">
        <v>0</v>
      </c>
      <c r="BG387" t="b">
        <v>0</v>
      </c>
      <c r="BH387" t="b">
        <v>0</v>
      </c>
      <c r="BI387" t="b">
        <v>0</v>
      </c>
      <c r="BJ387" t="b">
        <v>0</v>
      </c>
      <c r="BK387" t="b">
        <v>0</v>
      </c>
      <c r="BL387" t="b">
        <v>0</v>
      </c>
      <c r="BM387" t="b">
        <v>0</v>
      </c>
      <c r="BN387" t="b">
        <v>0</v>
      </c>
      <c r="BO387" t="b">
        <v>0</v>
      </c>
      <c r="BP387" t="b">
        <v>0</v>
      </c>
      <c r="BR387" t="str">
        <f>IFERROR(IF(M387="PASSED",VLOOKUP(J387,Current!$J$1:$N$500,1,FALSE)),N387)</f>
        <v>"1.0386 - MSWRK - Ensure User Account Control: Admin Approval Mode for the Built-in Administrator account is set to Enabled: [PASSED]"
This policy setting controls the behavior of Admin Approval Mode for the built-in Administrator account.
See Also:
See HTH Policies and Standards
Reference:
NIST 800-53r5|IA-5(1)
Policy Value:
'1'
Actual Value:
'1'</v>
      </c>
    </row>
    <row r="388" spans="1:70" ht="15" hidden="1" customHeight="1" x14ac:dyDescent="0.25">
      <c r="A388">
        <v>21156</v>
      </c>
      <c r="C388">
        <v>0</v>
      </c>
      <c r="D388" t="s">
        <v>83</v>
      </c>
      <c r="E388" t="s">
        <v>66</v>
      </c>
      <c r="F388" t="s">
        <v>84</v>
      </c>
      <c r="G388">
        <v>0</v>
      </c>
      <c r="H388" t="s">
        <v>85</v>
      </c>
      <c r="I388" t="s">
        <v>86</v>
      </c>
      <c r="J388" t="str">
        <f>MID($N388,FIND("1.",$N388),FIND("-",$N388)-FIND("1.",$N388)-1)</f>
        <v>1.0387</v>
      </c>
      <c r="K388" t="str">
        <f t="shared" si="18"/>
        <v>Ensure User Account Control</v>
      </c>
      <c r="L388" t="str">
        <f t="shared" si="19"/>
        <v>1.0387 - MSWRK - Ensure User Account Control: Behavior of the elevation prompt for administrators in Admin Approval Mode is set to Prompt for consent on the secure desktop or higher</v>
      </c>
      <c r="M388" t="str">
        <f t="shared" si="20"/>
        <v>FAILED</v>
      </c>
      <c r="N388" s="1" t="s">
        <v>362</v>
      </c>
      <c r="O388" t="s">
        <v>67</v>
      </c>
      <c r="R388" t="s">
        <v>68</v>
      </c>
      <c r="T388" t="s">
        <v>69</v>
      </c>
      <c r="U388" t="s">
        <v>70</v>
      </c>
      <c r="W388" t="s">
        <v>71</v>
      </c>
      <c r="X388" s="1" t="s">
        <v>72</v>
      </c>
      <c r="Y388" t="s">
        <v>88</v>
      </c>
      <c r="Z388">
        <v>0</v>
      </c>
      <c r="AA388">
        <v>0</v>
      </c>
      <c r="AD388">
        <v>0</v>
      </c>
      <c r="AE388">
        <v>0</v>
      </c>
      <c r="AH388" t="s">
        <v>73</v>
      </c>
      <c r="AI388" t="s">
        <v>318</v>
      </c>
      <c r="AJ388" t="s">
        <v>319</v>
      </c>
      <c r="AK388" t="s">
        <v>76</v>
      </c>
      <c r="AN388" t="s">
        <v>77</v>
      </c>
      <c r="AO388" t="s">
        <v>320</v>
      </c>
      <c r="AP388" t="s">
        <v>361</v>
      </c>
      <c r="AQ388" t="s">
        <v>322</v>
      </c>
      <c r="AS388" t="b">
        <v>1</v>
      </c>
      <c r="AT388" t="s">
        <v>65</v>
      </c>
      <c r="AU388">
        <v>0</v>
      </c>
      <c r="AV388">
        <v>0</v>
      </c>
      <c r="AX388">
        <v>39</v>
      </c>
      <c r="AY388" t="s">
        <v>81</v>
      </c>
      <c r="AZ388" t="s">
        <v>90</v>
      </c>
      <c r="BB388" t="s">
        <v>91</v>
      </c>
      <c r="BC388" t="s">
        <v>92</v>
      </c>
      <c r="BD388" t="b">
        <v>0</v>
      </c>
      <c r="BE388" t="b">
        <v>0</v>
      </c>
      <c r="BF388" t="b">
        <v>0</v>
      </c>
      <c r="BG388" t="b">
        <v>0</v>
      </c>
      <c r="BH388" t="b">
        <v>0</v>
      </c>
      <c r="BI388" t="b">
        <v>0</v>
      </c>
      <c r="BJ388" t="b">
        <v>0</v>
      </c>
      <c r="BK388" t="b">
        <v>0</v>
      </c>
      <c r="BL388" t="b">
        <v>0</v>
      </c>
      <c r="BM388" t="b">
        <v>0</v>
      </c>
      <c r="BN388" t="b">
        <v>0</v>
      </c>
      <c r="BO388" t="b">
        <v>0</v>
      </c>
      <c r="BP388" t="b">
        <v>0</v>
      </c>
      <c r="BR388" t="b">
        <f>IFERROR(IF(M388="PASSED",VLOOKUP(J388,Current!$J$1:$N$500,1,FALSE)),N388)</f>
        <v>0</v>
      </c>
    </row>
    <row r="389" spans="1:70" ht="15" hidden="1" customHeight="1" x14ac:dyDescent="0.25">
      <c r="A389">
        <v>21156</v>
      </c>
      <c r="C389">
        <v>0</v>
      </c>
      <c r="D389" t="s">
        <v>83</v>
      </c>
      <c r="E389" t="s">
        <v>66</v>
      </c>
      <c r="F389" t="s">
        <v>84</v>
      </c>
      <c r="G389">
        <v>0</v>
      </c>
      <c r="H389" t="s">
        <v>85</v>
      </c>
      <c r="I389" t="s">
        <v>86</v>
      </c>
      <c r="J389" t="str">
        <f>MID($N389,FIND("1.",$N389),FIND("-",$N389)-FIND("1.",$N389)-1)</f>
        <v>1.0388</v>
      </c>
      <c r="K389" t="str">
        <f t="shared" si="18"/>
        <v>Ensure User Account Control</v>
      </c>
      <c r="L389" t="str">
        <f t="shared" si="19"/>
        <v>1.0388 - MSWRK - Ensure User Account Control: Behavior of the elevation prompt for standard users is set to Automatically deny elevation requests</v>
      </c>
      <c r="M389" t="str">
        <f t="shared" si="20"/>
        <v>FAILED</v>
      </c>
      <c r="N389" s="1" t="s">
        <v>416</v>
      </c>
      <c r="O389" t="s">
        <v>67</v>
      </c>
      <c r="R389" t="s">
        <v>68</v>
      </c>
      <c r="T389" t="s">
        <v>69</v>
      </c>
      <c r="U389" t="s">
        <v>70</v>
      </c>
      <c r="W389" t="s">
        <v>71</v>
      </c>
      <c r="X389" s="1" t="s">
        <v>72</v>
      </c>
      <c r="Y389" t="s">
        <v>88</v>
      </c>
      <c r="Z389">
        <v>0</v>
      </c>
      <c r="AA389">
        <v>0</v>
      </c>
      <c r="AD389">
        <v>0</v>
      </c>
      <c r="AE389">
        <v>0</v>
      </c>
      <c r="AH389" t="s">
        <v>73</v>
      </c>
      <c r="AI389" t="s">
        <v>318</v>
      </c>
      <c r="AJ389" t="s">
        <v>319</v>
      </c>
      <c r="AK389" t="s">
        <v>76</v>
      </c>
      <c r="AN389" t="s">
        <v>77</v>
      </c>
      <c r="AO389" t="s">
        <v>320</v>
      </c>
      <c r="AP389" t="s">
        <v>414</v>
      </c>
      <c r="AQ389" t="s">
        <v>322</v>
      </c>
      <c r="AS389" t="b">
        <v>1</v>
      </c>
      <c r="AT389" t="s">
        <v>65</v>
      </c>
      <c r="AU389">
        <v>0</v>
      </c>
      <c r="AV389">
        <v>0</v>
      </c>
      <c r="AX389">
        <v>39</v>
      </c>
      <c r="AY389" t="s">
        <v>81</v>
      </c>
      <c r="AZ389" t="s">
        <v>90</v>
      </c>
      <c r="BB389" t="s">
        <v>91</v>
      </c>
      <c r="BC389" t="s">
        <v>92</v>
      </c>
      <c r="BD389" t="b">
        <v>0</v>
      </c>
      <c r="BE389" t="b">
        <v>0</v>
      </c>
      <c r="BF389" t="b">
        <v>0</v>
      </c>
      <c r="BG389" t="b">
        <v>0</v>
      </c>
      <c r="BH389" t="b">
        <v>0</v>
      </c>
      <c r="BI389" t="b">
        <v>0</v>
      </c>
      <c r="BJ389" t="b">
        <v>0</v>
      </c>
      <c r="BK389" t="b">
        <v>0</v>
      </c>
      <c r="BL389" t="b">
        <v>0</v>
      </c>
      <c r="BM389" t="b">
        <v>0</v>
      </c>
      <c r="BN389" t="b">
        <v>0</v>
      </c>
      <c r="BO389" t="b">
        <v>0</v>
      </c>
      <c r="BP389" t="b">
        <v>0</v>
      </c>
      <c r="BR389" t="b">
        <f>IFERROR(IF(M389="PASSED",VLOOKUP(J389,Current!$J$1:$N$500,1,FALSE)),N389)</f>
        <v>0</v>
      </c>
    </row>
    <row r="390" spans="1:70" ht="15" customHeight="1" x14ac:dyDescent="0.25">
      <c r="A390">
        <v>21156</v>
      </c>
      <c r="C390">
        <v>0</v>
      </c>
      <c r="D390" t="s">
        <v>65</v>
      </c>
      <c r="E390" t="s">
        <v>66</v>
      </c>
      <c r="F390" t="s">
        <v>84</v>
      </c>
      <c r="G390">
        <v>0</v>
      </c>
      <c r="H390" t="s">
        <v>85</v>
      </c>
      <c r="I390" t="s">
        <v>86</v>
      </c>
      <c r="J390" t="str">
        <f>MID($N390,FIND("1.",$N390),FIND("-",$N390)-FIND("1.",$N390)-1)</f>
        <v>1.0389</v>
      </c>
      <c r="K390" t="str">
        <f t="shared" si="18"/>
        <v>Ensure User Account Control</v>
      </c>
      <c r="L390" t="str">
        <f t="shared" si="19"/>
        <v>1.0389 - MSWRK - Ensure User Account Control: Detect application installations and prompt for elevation is set to Enabled</v>
      </c>
      <c r="M390" t="str">
        <f t="shared" si="20"/>
        <v>PASSED</v>
      </c>
      <c r="N390" s="1" t="s">
        <v>715</v>
      </c>
      <c r="O390" t="s">
        <v>67</v>
      </c>
      <c r="R390" t="s">
        <v>68</v>
      </c>
      <c r="T390" t="s">
        <v>69</v>
      </c>
      <c r="U390" t="s">
        <v>70</v>
      </c>
      <c r="W390" t="s">
        <v>71</v>
      </c>
      <c r="X390" s="1" t="s">
        <v>72</v>
      </c>
      <c r="Y390" t="s">
        <v>88</v>
      </c>
      <c r="Z390">
        <v>0</v>
      </c>
      <c r="AA390">
        <v>0</v>
      </c>
      <c r="AD390">
        <v>0</v>
      </c>
      <c r="AE390">
        <v>0</v>
      </c>
      <c r="AH390" t="s">
        <v>73</v>
      </c>
      <c r="AI390" t="s">
        <v>318</v>
      </c>
      <c r="AJ390" t="s">
        <v>319</v>
      </c>
      <c r="AK390" t="s">
        <v>76</v>
      </c>
      <c r="AN390" t="s">
        <v>77</v>
      </c>
      <c r="AO390" t="s">
        <v>320</v>
      </c>
      <c r="AP390" t="s">
        <v>716</v>
      </c>
      <c r="AQ390" t="s">
        <v>322</v>
      </c>
      <c r="AS390" t="b">
        <v>1</v>
      </c>
      <c r="AT390" t="s">
        <v>65</v>
      </c>
      <c r="AU390">
        <v>0</v>
      </c>
      <c r="AV390">
        <v>0</v>
      </c>
      <c r="AX390">
        <v>39</v>
      </c>
      <c r="AY390" t="s">
        <v>81</v>
      </c>
      <c r="AZ390" t="s">
        <v>90</v>
      </c>
      <c r="BB390" t="s">
        <v>91</v>
      </c>
      <c r="BC390" t="s">
        <v>92</v>
      </c>
      <c r="BD390" t="b">
        <v>0</v>
      </c>
      <c r="BE390" t="b">
        <v>0</v>
      </c>
      <c r="BF390" t="b">
        <v>0</v>
      </c>
      <c r="BG390" t="b">
        <v>0</v>
      </c>
      <c r="BH390" t="b">
        <v>0</v>
      </c>
      <c r="BI390" t="b">
        <v>0</v>
      </c>
      <c r="BJ390" t="b">
        <v>0</v>
      </c>
      <c r="BK390" t="b">
        <v>0</v>
      </c>
      <c r="BL390" t="b">
        <v>0</v>
      </c>
      <c r="BM390" t="b">
        <v>0</v>
      </c>
      <c r="BN390" t="b">
        <v>0</v>
      </c>
      <c r="BO390" t="b">
        <v>0</v>
      </c>
      <c r="BP390" t="b">
        <v>0</v>
      </c>
      <c r="BR390" t="str">
        <f>IFERROR(IF(M390="PASSED",VLOOKUP(J390,Current!$J$1:$N$500,1,FALSE)),N390)</f>
        <v>"1.0389 - MSWRK - Ensure User Account Control: Detect application installations and prompt for elevation is set to Enabled: [PASSED]"
This policy setting controls the behavior of application installation detection for the computer.
See Also:
See HTH Policies and Standards
Reference:
NIST 800-53r5|AC-6(8)
Policy Value:
'1'
Actual Value:
'1'</v>
      </c>
    </row>
    <row r="391" spans="1:70" ht="15" hidden="1" customHeight="1" x14ac:dyDescent="0.25">
      <c r="A391">
        <v>21156</v>
      </c>
      <c r="C391">
        <v>0</v>
      </c>
      <c r="D391" t="s">
        <v>65</v>
      </c>
      <c r="E391" t="s">
        <v>66</v>
      </c>
      <c r="F391" t="s">
        <v>84</v>
      </c>
      <c r="G391">
        <v>0</v>
      </c>
      <c r="H391" t="s">
        <v>85</v>
      </c>
      <c r="I391" t="s">
        <v>86</v>
      </c>
      <c r="J391" t="str">
        <f>MID($N391,FIND("1.",$N391),FIND("-",$N391)-FIND("1.",$N391)-1)</f>
        <v>1.0390</v>
      </c>
      <c r="K391" t="str">
        <f t="shared" si="18"/>
        <v>Ensure User Account Control</v>
      </c>
      <c r="L391" t="str">
        <f t="shared" si="19"/>
        <v>1.0390 - MSWRK - Ensure User Account Control: Only elevate UIAccess applications that are installed in secure locations is set to Enabled</v>
      </c>
      <c r="M391" t="str">
        <f t="shared" si="20"/>
        <v>PASSED</v>
      </c>
      <c r="N391" s="1" t="s">
        <v>173</v>
      </c>
      <c r="O391" t="s">
        <v>67</v>
      </c>
      <c r="R391" t="s">
        <v>68</v>
      </c>
      <c r="T391" t="s">
        <v>69</v>
      </c>
      <c r="U391" t="s">
        <v>70</v>
      </c>
      <c r="W391" t="s">
        <v>71</v>
      </c>
      <c r="X391" s="1" t="s">
        <v>72</v>
      </c>
      <c r="Y391" t="s">
        <v>88</v>
      </c>
      <c r="Z391">
        <v>0</v>
      </c>
      <c r="AA391">
        <v>0</v>
      </c>
      <c r="AD391">
        <v>0</v>
      </c>
      <c r="AE391">
        <v>0</v>
      </c>
      <c r="AH391" t="s">
        <v>73</v>
      </c>
      <c r="AI391" t="s">
        <v>318</v>
      </c>
      <c r="AJ391" t="s">
        <v>319</v>
      </c>
      <c r="AK391" t="s">
        <v>76</v>
      </c>
      <c r="AN391" t="s">
        <v>77</v>
      </c>
      <c r="AO391" t="s">
        <v>320</v>
      </c>
      <c r="AP391" t="s">
        <v>738</v>
      </c>
      <c r="AQ391" t="s">
        <v>322</v>
      </c>
      <c r="AS391" t="b">
        <v>1</v>
      </c>
      <c r="AT391" t="s">
        <v>65</v>
      </c>
      <c r="AU391">
        <v>0</v>
      </c>
      <c r="AV391">
        <v>0</v>
      </c>
      <c r="AX391">
        <v>39</v>
      </c>
      <c r="AY391" t="s">
        <v>81</v>
      </c>
      <c r="AZ391" t="s">
        <v>90</v>
      </c>
      <c r="BB391" t="s">
        <v>91</v>
      </c>
      <c r="BC391" t="s">
        <v>92</v>
      </c>
      <c r="BD391" t="b">
        <v>0</v>
      </c>
      <c r="BE391" t="b">
        <v>0</v>
      </c>
      <c r="BF391" t="b">
        <v>0</v>
      </c>
      <c r="BG391" t="b">
        <v>0</v>
      </c>
      <c r="BH391" t="b">
        <v>0</v>
      </c>
      <c r="BI391" t="b">
        <v>0</v>
      </c>
      <c r="BJ391" t="b">
        <v>0</v>
      </c>
      <c r="BK391" t="b">
        <v>0</v>
      </c>
      <c r="BL391" t="b">
        <v>0</v>
      </c>
      <c r="BM391" t="b">
        <v>0</v>
      </c>
      <c r="BN391" t="b">
        <v>0</v>
      </c>
      <c r="BO391" t="b">
        <v>0</v>
      </c>
      <c r="BP391" t="b">
        <v>0</v>
      </c>
      <c r="BR391" t="str">
        <f>IFERROR(IF(M391="PASSED",VLOOKUP(J391,Current!$J$1:$N$500,1,FALSE)),N391)</f>
        <v>1.0390</v>
      </c>
    </row>
    <row r="392" spans="1:70" ht="15" hidden="1" customHeight="1" x14ac:dyDescent="0.25">
      <c r="A392">
        <v>21156</v>
      </c>
      <c r="C392">
        <v>0</v>
      </c>
      <c r="D392" t="s">
        <v>65</v>
      </c>
      <c r="E392" t="s">
        <v>66</v>
      </c>
      <c r="F392" t="s">
        <v>84</v>
      </c>
      <c r="G392">
        <v>0</v>
      </c>
      <c r="H392" t="s">
        <v>85</v>
      </c>
      <c r="I392" t="s">
        <v>86</v>
      </c>
      <c r="J392" t="str">
        <f>MID($N392,FIND("1.",$N392),FIND("-",$N392)-FIND("1.",$N392)-1)</f>
        <v>1.0391</v>
      </c>
      <c r="K392" t="str">
        <f t="shared" si="18"/>
        <v>Ensure User Account Control</v>
      </c>
      <c r="L392" t="str">
        <f t="shared" si="19"/>
        <v>1.0391 - MSWRK - Ensure User Account Control: Run all administrators in Admin Approval Mode is set to Enabled</v>
      </c>
      <c r="M392" t="str">
        <f t="shared" si="20"/>
        <v>PASSED</v>
      </c>
      <c r="N392" s="1" t="s">
        <v>317</v>
      </c>
      <c r="O392" t="s">
        <v>67</v>
      </c>
      <c r="R392" t="s">
        <v>68</v>
      </c>
      <c r="T392" t="s">
        <v>69</v>
      </c>
      <c r="U392" t="s">
        <v>70</v>
      </c>
      <c r="W392" t="s">
        <v>71</v>
      </c>
      <c r="X392" s="1" t="s">
        <v>72</v>
      </c>
      <c r="Y392" t="s">
        <v>88</v>
      </c>
      <c r="Z392">
        <v>0</v>
      </c>
      <c r="AA392">
        <v>0</v>
      </c>
      <c r="AD392">
        <v>0</v>
      </c>
      <c r="AE392">
        <v>0</v>
      </c>
      <c r="AH392" t="s">
        <v>73</v>
      </c>
      <c r="AI392" t="s">
        <v>318</v>
      </c>
      <c r="AJ392" t="s">
        <v>319</v>
      </c>
      <c r="AK392" t="s">
        <v>76</v>
      </c>
      <c r="AN392" t="s">
        <v>77</v>
      </c>
      <c r="AO392" t="s">
        <v>320</v>
      </c>
      <c r="AP392" t="s">
        <v>611</v>
      </c>
      <c r="AQ392" t="s">
        <v>322</v>
      </c>
      <c r="AS392" t="b">
        <v>1</v>
      </c>
      <c r="AT392" t="s">
        <v>65</v>
      </c>
      <c r="AU392">
        <v>0</v>
      </c>
      <c r="AV392">
        <v>0</v>
      </c>
      <c r="AX392">
        <v>39</v>
      </c>
      <c r="AY392" t="s">
        <v>81</v>
      </c>
      <c r="AZ392" t="s">
        <v>90</v>
      </c>
      <c r="BB392" t="s">
        <v>91</v>
      </c>
      <c r="BC392" t="s">
        <v>92</v>
      </c>
      <c r="BD392" t="b">
        <v>0</v>
      </c>
      <c r="BE392" t="b">
        <v>0</v>
      </c>
      <c r="BF392" t="b">
        <v>0</v>
      </c>
      <c r="BG392" t="b">
        <v>0</v>
      </c>
      <c r="BH392" t="b">
        <v>0</v>
      </c>
      <c r="BI392" t="b">
        <v>0</v>
      </c>
      <c r="BJ392" t="b">
        <v>0</v>
      </c>
      <c r="BK392" t="b">
        <v>0</v>
      </c>
      <c r="BL392" t="b">
        <v>0</v>
      </c>
      <c r="BM392" t="b">
        <v>0</v>
      </c>
      <c r="BN392" t="b">
        <v>0</v>
      </c>
      <c r="BO392" t="b">
        <v>0</v>
      </c>
      <c r="BP392" t="b">
        <v>0</v>
      </c>
      <c r="BR392" t="str">
        <f>IFERROR(IF(M392="PASSED",VLOOKUP(J392,Current!$J$1:$N$500,1,FALSE)),N392)</f>
        <v>1.0391</v>
      </c>
    </row>
    <row r="393" spans="1:70" ht="15" hidden="1" customHeight="1" x14ac:dyDescent="0.25">
      <c r="A393">
        <v>21156</v>
      </c>
      <c r="C393">
        <v>0</v>
      </c>
      <c r="D393" t="s">
        <v>83</v>
      </c>
      <c r="E393" t="s">
        <v>66</v>
      </c>
      <c r="F393" t="s">
        <v>84</v>
      </c>
      <c r="G393">
        <v>0</v>
      </c>
      <c r="H393" t="s">
        <v>85</v>
      </c>
      <c r="I393" t="s">
        <v>86</v>
      </c>
      <c r="J393" t="str">
        <f>MID($N393,FIND("1.",$N393),FIND("-",$N393)-FIND("1.",$N393)-1)</f>
        <v>1.0392</v>
      </c>
      <c r="K393" t="str">
        <f t="shared" si="18"/>
        <v>Ensure User Account Control</v>
      </c>
      <c r="L393" t="str">
        <f t="shared" si="19"/>
        <v>1.0392 - MSWRK - Ensure User Account Control: Switch to the secure desktop when prompting for elevation is set to Enabled</v>
      </c>
      <c r="M393" t="str">
        <f t="shared" si="20"/>
        <v>FAILED</v>
      </c>
      <c r="N393" s="1" t="s">
        <v>486</v>
      </c>
      <c r="O393" t="s">
        <v>67</v>
      </c>
      <c r="R393" t="s">
        <v>68</v>
      </c>
      <c r="T393" t="s">
        <v>69</v>
      </c>
      <c r="U393" t="s">
        <v>70</v>
      </c>
      <c r="W393" t="s">
        <v>71</v>
      </c>
      <c r="X393" s="1" t="s">
        <v>72</v>
      </c>
      <c r="Y393" t="s">
        <v>88</v>
      </c>
      <c r="Z393">
        <v>0</v>
      </c>
      <c r="AA393">
        <v>0</v>
      </c>
      <c r="AD393">
        <v>0</v>
      </c>
      <c r="AE393">
        <v>0</v>
      </c>
      <c r="AH393" t="s">
        <v>73</v>
      </c>
      <c r="AI393" t="s">
        <v>318</v>
      </c>
      <c r="AJ393" t="s">
        <v>319</v>
      </c>
      <c r="AK393" t="s">
        <v>76</v>
      </c>
      <c r="AN393" t="s">
        <v>77</v>
      </c>
      <c r="AO393" t="s">
        <v>320</v>
      </c>
      <c r="AP393" t="s">
        <v>487</v>
      </c>
      <c r="AQ393" t="s">
        <v>322</v>
      </c>
      <c r="AS393" t="b">
        <v>1</v>
      </c>
      <c r="AT393" t="s">
        <v>65</v>
      </c>
      <c r="AU393">
        <v>0</v>
      </c>
      <c r="AV393">
        <v>0</v>
      </c>
      <c r="AX393">
        <v>39</v>
      </c>
      <c r="AY393" t="s">
        <v>81</v>
      </c>
      <c r="AZ393" t="s">
        <v>90</v>
      </c>
      <c r="BB393" t="s">
        <v>91</v>
      </c>
      <c r="BC393" t="s">
        <v>92</v>
      </c>
      <c r="BD393" t="b">
        <v>0</v>
      </c>
      <c r="BE393" t="b">
        <v>0</v>
      </c>
      <c r="BF393" t="b">
        <v>0</v>
      </c>
      <c r="BG393" t="b">
        <v>0</v>
      </c>
      <c r="BH393" t="b">
        <v>0</v>
      </c>
      <c r="BI393" t="b">
        <v>0</v>
      </c>
      <c r="BJ393" t="b">
        <v>0</v>
      </c>
      <c r="BK393" t="b">
        <v>0</v>
      </c>
      <c r="BL393" t="b">
        <v>0</v>
      </c>
      <c r="BM393" t="b">
        <v>0</v>
      </c>
      <c r="BN393" t="b">
        <v>0</v>
      </c>
      <c r="BO393" t="b">
        <v>0</v>
      </c>
      <c r="BP393" t="b">
        <v>0</v>
      </c>
      <c r="BR393" t="b">
        <f>IFERROR(IF(M393="PASSED",VLOOKUP(J393,Current!$J$1:$N$500,1,FALSE)),N393)</f>
        <v>0</v>
      </c>
    </row>
    <row r="394" spans="1:70" ht="15" hidden="1" customHeight="1" x14ac:dyDescent="0.25">
      <c r="A394">
        <v>21156</v>
      </c>
      <c r="C394">
        <v>0</v>
      </c>
      <c r="D394" t="s">
        <v>65</v>
      </c>
      <c r="E394" t="s">
        <v>66</v>
      </c>
      <c r="F394" t="s">
        <v>84</v>
      </c>
      <c r="G394">
        <v>0</v>
      </c>
      <c r="H394" t="s">
        <v>85</v>
      </c>
      <c r="I394" t="s">
        <v>86</v>
      </c>
      <c r="J394" t="str">
        <f>MID($N394,FIND("1.",$N394),FIND("-",$N394)-FIND("1.",$N394)-1)</f>
        <v>1.0393</v>
      </c>
      <c r="K394" t="str">
        <f t="shared" si="18"/>
        <v>Ensure User Account Control</v>
      </c>
      <c r="L394" t="str">
        <f t="shared" si="19"/>
        <v>1.0393 - MSWRK - Ensure User Account Control: Virtualize file and registry write failures to per-user locations is set to Enabled</v>
      </c>
      <c r="M394" t="str">
        <f t="shared" si="20"/>
        <v>PASSED</v>
      </c>
      <c r="N394" s="1" t="s">
        <v>244</v>
      </c>
      <c r="O394" t="s">
        <v>67</v>
      </c>
      <c r="R394" t="s">
        <v>68</v>
      </c>
      <c r="T394" t="s">
        <v>69</v>
      </c>
      <c r="U394" t="s">
        <v>70</v>
      </c>
      <c r="W394" t="s">
        <v>71</v>
      </c>
      <c r="X394" s="1" t="s">
        <v>72</v>
      </c>
      <c r="Y394" t="s">
        <v>88</v>
      </c>
      <c r="Z394">
        <v>0</v>
      </c>
      <c r="AA394">
        <v>0</v>
      </c>
      <c r="AD394">
        <v>0</v>
      </c>
      <c r="AE394">
        <v>0</v>
      </c>
      <c r="AH394" t="s">
        <v>73</v>
      </c>
      <c r="AI394" t="s">
        <v>318</v>
      </c>
      <c r="AJ394" t="s">
        <v>319</v>
      </c>
      <c r="AK394" t="s">
        <v>76</v>
      </c>
      <c r="AN394" t="s">
        <v>77</v>
      </c>
      <c r="AO394" t="s">
        <v>320</v>
      </c>
      <c r="AP394" t="s">
        <v>455</v>
      </c>
      <c r="AQ394" t="s">
        <v>322</v>
      </c>
      <c r="AS394" t="b">
        <v>1</v>
      </c>
      <c r="AT394" t="s">
        <v>65</v>
      </c>
      <c r="AU394">
        <v>0</v>
      </c>
      <c r="AV394">
        <v>0</v>
      </c>
      <c r="AX394">
        <v>39</v>
      </c>
      <c r="AY394" t="s">
        <v>81</v>
      </c>
      <c r="AZ394" t="s">
        <v>90</v>
      </c>
      <c r="BB394" t="s">
        <v>91</v>
      </c>
      <c r="BC394" t="s">
        <v>92</v>
      </c>
      <c r="BD394" t="b">
        <v>0</v>
      </c>
      <c r="BE394" t="b">
        <v>0</v>
      </c>
      <c r="BF394" t="b">
        <v>0</v>
      </c>
      <c r="BG394" t="b">
        <v>0</v>
      </c>
      <c r="BH394" t="b">
        <v>0</v>
      </c>
      <c r="BI394" t="b">
        <v>0</v>
      </c>
      <c r="BJ394" t="b">
        <v>0</v>
      </c>
      <c r="BK394" t="b">
        <v>0</v>
      </c>
      <c r="BL394" t="b">
        <v>0</v>
      </c>
      <c r="BM394" t="b">
        <v>0</v>
      </c>
      <c r="BN394" t="b">
        <v>0</v>
      </c>
      <c r="BO394" t="b">
        <v>0</v>
      </c>
      <c r="BP394" t="b">
        <v>0</v>
      </c>
      <c r="BR394" t="str">
        <f>IFERROR(IF(M394="PASSED",VLOOKUP(J394,Current!$J$1:$N$500,1,FALSE)),N394)</f>
        <v>1.0393</v>
      </c>
    </row>
    <row r="395" spans="1:70" ht="15" customHeight="1" x14ac:dyDescent="0.25">
      <c r="A395">
        <v>21156</v>
      </c>
      <c r="C395">
        <v>0</v>
      </c>
      <c r="D395" t="s">
        <v>65</v>
      </c>
      <c r="E395" t="s">
        <v>66</v>
      </c>
      <c r="F395" t="s">
        <v>84</v>
      </c>
      <c r="G395">
        <v>0</v>
      </c>
      <c r="H395" t="s">
        <v>85</v>
      </c>
      <c r="I395" t="s">
        <v>86</v>
      </c>
      <c r="J395" t="str">
        <f>MID($N395,FIND("1.",$N395),FIND("-",$N395)-FIND("1.",$N395)-1)</f>
        <v>1.0394</v>
      </c>
      <c r="K395" t="str">
        <f t="shared" si="18"/>
        <v>Ensure Audit: Force audit policy subcategory settings (Windows Vista or later) to override audit policy category settings is set to Enabled</v>
      </c>
      <c r="L395" t="str">
        <f t="shared" si="19"/>
        <v>1.0394 - MSWRK - Ensure Audit: Force audit policy subcategory settings (Windows Vista or later) to override audit policy category settings is set to Enabled</v>
      </c>
      <c r="M395" t="str">
        <f t="shared" si="20"/>
        <v>PASSED</v>
      </c>
      <c r="N395" s="1" t="s">
        <v>751</v>
      </c>
      <c r="O395" t="s">
        <v>67</v>
      </c>
      <c r="R395" t="s">
        <v>68</v>
      </c>
      <c r="T395" t="s">
        <v>69</v>
      </c>
      <c r="U395" t="s">
        <v>70</v>
      </c>
      <c r="W395" t="s">
        <v>71</v>
      </c>
      <c r="X395" s="1" t="s">
        <v>72</v>
      </c>
      <c r="Y395" t="s">
        <v>88</v>
      </c>
      <c r="Z395">
        <v>0</v>
      </c>
      <c r="AA395">
        <v>0</v>
      </c>
      <c r="AD395">
        <v>0</v>
      </c>
      <c r="AE395">
        <v>0</v>
      </c>
      <c r="AH395" t="s">
        <v>73</v>
      </c>
      <c r="AI395" t="s">
        <v>318</v>
      </c>
      <c r="AJ395" t="s">
        <v>319</v>
      </c>
      <c r="AK395" t="s">
        <v>76</v>
      </c>
      <c r="AN395" t="s">
        <v>77</v>
      </c>
      <c r="AO395" t="s">
        <v>320</v>
      </c>
      <c r="AP395" t="s">
        <v>752</v>
      </c>
      <c r="AQ395" t="s">
        <v>322</v>
      </c>
      <c r="AS395" t="b">
        <v>1</v>
      </c>
      <c r="AT395" t="s">
        <v>65</v>
      </c>
      <c r="AU395">
        <v>0</v>
      </c>
      <c r="AV395">
        <v>0</v>
      </c>
      <c r="AX395">
        <v>39</v>
      </c>
      <c r="AY395" t="s">
        <v>81</v>
      </c>
      <c r="AZ395" t="s">
        <v>90</v>
      </c>
      <c r="BB395" t="s">
        <v>91</v>
      </c>
      <c r="BC395" t="s">
        <v>92</v>
      </c>
      <c r="BD395" t="b">
        <v>0</v>
      </c>
      <c r="BE395" t="b">
        <v>0</v>
      </c>
      <c r="BF395" t="b">
        <v>0</v>
      </c>
      <c r="BG395" t="b">
        <v>0</v>
      </c>
      <c r="BH395" t="b">
        <v>0</v>
      </c>
      <c r="BI395" t="b">
        <v>0</v>
      </c>
      <c r="BJ395" t="b">
        <v>0</v>
      </c>
      <c r="BK395" t="b">
        <v>0</v>
      </c>
      <c r="BL395" t="b">
        <v>0</v>
      </c>
      <c r="BM395" t="b">
        <v>0</v>
      </c>
      <c r="BN395" t="b">
        <v>0</v>
      </c>
      <c r="BO395" t="b">
        <v>0</v>
      </c>
      <c r="BP395" t="b">
        <v>0</v>
      </c>
      <c r="BR395" t="str">
        <f>IFERROR(IF(M395="PASSED",VLOOKUP(J395,Current!$J$1:$N$500,1,FALSE)),N395)</f>
        <v>"1.0394 - MSWRK - Ensure Audit: Force audit policy subcategory settings (Windows Vista or later) to override audit policy category settings is set to Enabled: [PASSED]"
This policy setting allows administrators to enable the more precise auditing capabilities present in Windows Vista.
See Also:
See HTH Policies and Standards
Reference:
NIST 800-53r5|AU-3 AU-3(1) AU-7 AU-12
Policy Value:
'1'
Actual Value:
'1'</v>
      </c>
    </row>
    <row r="396" spans="1:70" ht="15" hidden="1" customHeight="1" x14ac:dyDescent="0.25">
      <c r="A396">
        <v>21156</v>
      </c>
      <c r="C396">
        <v>0</v>
      </c>
      <c r="D396" t="s">
        <v>65</v>
      </c>
      <c r="E396" t="s">
        <v>66</v>
      </c>
      <c r="F396" t="s">
        <v>84</v>
      </c>
      <c r="G396">
        <v>0</v>
      </c>
      <c r="H396" t="s">
        <v>85</v>
      </c>
      <c r="I396" t="s">
        <v>86</v>
      </c>
      <c r="J396" t="str">
        <f>MID($N396,FIND("1.",$N396),FIND("-",$N396)-FIND("1.",$N396)-1)</f>
        <v>1.0395</v>
      </c>
      <c r="K396" t="str">
        <f t="shared" si="18"/>
        <v>Ensure Audit: Shut down system immediately if unable to log security audits is set to Disabled</v>
      </c>
      <c r="L396" t="str">
        <f t="shared" si="19"/>
        <v>1.0395 - MSWRK - Ensure Audit: Shut down system immediately if unable to log security audits is set to Disabled</v>
      </c>
      <c r="M396" t="str">
        <f t="shared" si="20"/>
        <v>PASSED</v>
      </c>
      <c r="N396" s="1" t="s">
        <v>211</v>
      </c>
      <c r="O396" t="s">
        <v>67</v>
      </c>
      <c r="R396" t="s">
        <v>68</v>
      </c>
      <c r="T396" t="s">
        <v>69</v>
      </c>
      <c r="U396" t="s">
        <v>70</v>
      </c>
      <c r="W396" t="s">
        <v>71</v>
      </c>
      <c r="X396" s="1" t="s">
        <v>72</v>
      </c>
      <c r="Y396" t="s">
        <v>88</v>
      </c>
      <c r="Z396">
        <v>0</v>
      </c>
      <c r="AA396">
        <v>0</v>
      </c>
      <c r="AD396">
        <v>0</v>
      </c>
      <c r="AE396">
        <v>0</v>
      </c>
      <c r="AH396" t="s">
        <v>73</v>
      </c>
      <c r="AI396" t="s">
        <v>318</v>
      </c>
      <c r="AJ396" t="s">
        <v>319</v>
      </c>
      <c r="AK396" t="s">
        <v>76</v>
      </c>
      <c r="AN396" t="s">
        <v>77</v>
      </c>
      <c r="AO396" t="s">
        <v>320</v>
      </c>
      <c r="AP396" t="s">
        <v>765</v>
      </c>
      <c r="AQ396" t="s">
        <v>322</v>
      </c>
      <c r="AS396" t="b">
        <v>1</v>
      </c>
      <c r="AT396" t="s">
        <v>65</v>
      </c>
      <c r="AU396">
        <v>0</v>
      </c>
      <c r="AV396">
        <v>0</v>
      </c>
      <c r="AX396">
        <v>39</v>
      </c>
      <c r="AY396" t="s">
        <v>81</v>
      </c>
      <c r="AZ396" t="s">
        <v>90</v>
      </c>
      <c r="BB396" t="s">
        <v>91</v>
      </c>
      <c r="BC396" t="s">
        <v>92</v>
      </c>
      <c r="BD396" t="b">
        <v>0</v>
      </c>
      <c r="BE396" t="b">
        <v>0</v>
      </c>
      <c r="BF396" t="b">
        <v>0</v>
      </c>
      <c r="BG396" t="b">
        <v>0</v>
      </c>
      <c r="BH396" t="b">
        <v>0</v>
      </c>
      <c r="BI396" t="b">
        <v>0</v>
      </c>
      <c r="BJ396" t="b">
        <v>0</v>
      </c>
      <c r="BK396" t="b">
        <v>0</v>
      </c>
      <c r="BL396" t="b">
        <v>0</v>
      </c>
      <c r="BM396" t="b">
        <v>0</v>
      </c>
      <c r="BN396" t="b">
        <v>0</v>
      </c>
      <c r="BO396" t="b">
        <v>0</v>
      </c>
      <c r="BP396" t="b">
        <v>0</v>
      </c>
      <c r="BR396" t="str">
        <f>IFERROR(IF(M396="PASSED",VLOOKUP(J396,Current!$J$1:$N$500,1,FALSE)),N396)</f>
        <v>1.0395</v>
      </c>
    </row>
    <row r="397" spans="1:70" ht="15" hidden="1" customHeight="1" x14ac:dyDescent="0.25">
      <c r="A397">
        <v>21156</v>
      </c>
      <c r="C397">
        <v>0</v>
      </c>
      <c r="D397" t="s">
        <v>65</v>
      </c>
      <c r="E397" t="s">
        <v>66</v>
      </c>
      <c r="F397" t="s">
        <v>84</v>
      </c>
      <c r="G397">
        <v>0</v>
      </c>
      <c r="H397" t="s">
        <v>85</v>
      </c>
      <c r="I397" t="s">
        <v>86</v>
      </c>
      <c r="J397" t="str">
        <f>MID($N397,FIND("1.",$N397),FIND("-",$N397)-FIND("1.",$N397)-1)</f>
        <v>1.0396</v>
      </c>
      <c r="K397" t="str">
        <f t="shared" si="18"/>
        <v>Ensure Domain member: Digitally encrypt or sign secure channel data (always) is set to Enabled</v>
      </c>
      <c r="L397" t="str">
        <f t="shared" si="19"/>
        <v>1.0396 - MSWRK - Ensure Domain member: Digitally encrypt or sign secure channel data (always) is set to Enabled</v>
      </c>
      <c r="M397" t="str">
        <f t="shared" si="20"/>
        <v>PASSED</v>
      </c>
      <c r="N397" s="1" t="s">
        <v>251</v>
      </c>
      <c r="O397" t="s">
        <v>67</v>
      </c>
      <c r="R397" t="s">
        <v>68</v>
      </c>
      <c r="T397" t="s">
        <v>69</v>
      </c>
      <c r="U397" t="s">
        <v>70</v>
      </c>
      <c r="W397" t="s">
        <v>71</v>
      </c>
      <c r="X397" s="1" t="s">
        <v>72</v>
      </c>
      <c r="Y397" t="s">
        <v>88</v>
      </c>
      <c r="Z397">
        <v>0</v>
      </c>
      <c r="AA397">
        <v>0</v>
      </c>
      <c r="AD397">
        <v>0</v>
      </c>
      <c r="AE397">
        <v>0</v>
      </c>
      <c r="AH397" t="s">
        <v>73</v>
      </c>
      <c r="AI397" t="s">
        <v>318</v>
      </c>
      <c r="AJ397" t="s">
        <v>319</v>
      </c>
      <c r="AK397" t="s">
        <v>76</v>
      </c>
      <c r="AN397" t="s">
        <v>77</v>
      </c>
      <c r="AO397" t="s">
        <v>320</v>
      </c>
      <c r="AP397" t="s">
        <v>345</v>
      </c>
      <c r="AQ397" t="s">
        <v>322</v>
      </c>
      <c r="AS397" t="b">
        <v>1</v>
      </c>
      <c r="AT397" t="s">
        <v>65</v>
      </c>
      <c r="AU397">
        <v>0</v>
      </c>
      <c r="AV397">
        <v>0</v>
      </c>
      <c r="AX397">
        <v>39</v>
      </c>
      <c r="AY397" t="s">
        <v>81</v>
      </c>
      <c r="AZ397" t="s">
        <v>90</v>
      </c>
      <c r="BB397" t="s">
        <v>91</v>
      </c>
      <c r="BC397" t="s">
        <v>92</v>
      </c>
      <c r="BD397" t="b">
        <v>0</v>
      </c>
      <c r="BE397" t="b">
        <v>0</v>
      </c>
      <c r="BF397" t="b">
        <v>0</v>
      </c>
      <c r="BG397" t="b">
        <v>0</v>
      </c>
      <c r="BH397" t="b">
        <v>0</v>
      </c>
      <c r="BI397" t="b">
        <v>0</v>
      </c>
      <c r="BJ397" t="b">
        <v>0</v>
      </c>
      <c r="BK397" t="b">
        <v>0</v>
      </c>
      <c r="BL397" t="b">
        <v>0</v>
      </c>
      <c r="BM397" t="b">
        <v>0</v>
      </c>
      <c r="BN397" t="b">
        <v>0</v>
      </c>
      <c r="BO397" t="b">
        <v>0</v>
      </c>
      <c r="BP397" t="b">
        <v>0</v>
      </c>
      <c r="BR397" t="str">
        <f>IFERROR(IF(M397="PASSED",VLOOKUP(J397,Current!$J$1:$N$500,1,FALSE)),N397)</f>
        <v>1.0396</v>
      </c>
    </row>
    <row r="398" spans="1:70" ht="15" hidden="1" customHeight="1" x14ac:dyDescent="0.25">
      <c r="A398">
        <v>21156</v>
      </c>
      <c r="C398">
        <v>0</v>
      </c>
      <c r="D398" t="s">
        <v>65</v>
      </c>
      <c r="E398" t="s">
        <v>66</v>
      </c>
      <c r="F398" t="s">
        <v>84</v>
      </c>
      <c r="G398">
        <v>0</v>
      </c>
      <c r="H398" t="s">
        <v>85</v>
      </c>
      <c r="I398" t="s">
        <v>86</v>
      </c>
      <c r="J398" t="str">
        <f>MID($N398,FIND("1.",$N398),FIND("-",$N398)-FIND("1.",$N398)-1)</f>
        <v>1.0397</v>
      </c>
      <c r="K398" t="str">
        <f t="shared" si="18"/>
        <v>Ensure Domain member: Digitally encrypt secure channel data (when possible) is set to Enabled</v>
      </c>
      <c r="L398" t="str">
        <f t="shared" si="19"/>
        <v>1.0397 - MSWRK - Ensure Domain member: Digitally encrypt secure channel data (when possible) is set to Enabled</v>
      </c>
      <c r="M398" t="str">
        <f t="shared" si="20"/>
        <v>PASSED</v>
      </c>
      <c r="N398" s="1" t="s">
        <v>136</v>
      </c>
      <c r="O398" t="s">
        <v>67</v>
      </c>
      <c r="R398" t="s">
        <v>68</v>
      </c>
      <c r="T398" t="s">
        <v>69</v>
      </c>
      <c r="U398" t="s">
        <v>70</v>
      </c>
      <c r="W398" t="s">
        <v>71</v>
      </c>
      <c r="X398" s="1" t="s">
        <v>72</v>
      </c>
      <c r="Y398" t="s">
        <v>88</v>
      </c>
      <c r="Z398">
        <v>0</v>
      </c>
      <c r="AA398">
        <v>0</v>
      </c>
      <c r="AD398">
        <v>0</v>
      </c>
      <c r="AE398">
        <v>0</v>
      </c>
      <c r="AH398" t="s">
        <v>73</v>
      </c>
      <c r="AI398" t="s">
        <v>318</v>
      </c>
      <c r="AJ398" t="s">
        <v>319</v>
      </c>
      <c r="AK398" t="s">
        <v>76</v>
      </c>
      <c r="AN398" t="s">
        <v>77</v>
      </c>
      <c r="AO398" t="s">
        <v>320</v>
      </c>
      <c r="AP398" t="s">
        <v>397</v>
      </c>
      <c r="AQ398" t="s">
        <v>322</v>
      </c>
      <c r="AS398" t="b">
        <v>1</v>
      </c>
      <c r="AT398" t="s">
        <v>65</v>
      </c>
      <c r="AU398">
        <v>0</v>
      </c>
      <c r="AV398">
        <v>0</v>
      </c>
      <c r="AX398">
        <v>39</v>
      </c>
      <c r="AY398" t="s">
        <v>81</v>
      </c>
      <c r="AZ398" t="s">
        <v>90</v>
      </c>
      <c r="BB398" t="s">
        <v>91</v>
      </c>
      <c r="BC398" t="s">
        <v>92</v>
      </c>
      <c r="BD398" t="b">
        <v>0</v>
      </c>
      <c r="BE398" t="b">
        <v>0</v>
      </c>
      <c r="BF398" t="b">
        <v>0</v>
      </c>
      <c r="BG398" t="b">
        <v>0</v>
      </c>
      <c r="BH398" t="b">
        <v>0</v>
      </c>
      <c r="BI398" t="b">
        <v>0</v>
      </c>
      <c r="BJ398" t="b">
        <v>0</v>
      </c>
      <c r="BK398" t="b">
        <v>0</v>
      </c>
      <c r="BL398" t="b">
        <v>0</v>
      </c>
      <c r="BM398" t="b">
        <v>0</v>
      </c>
      <c r="BN398" t="b">
        <v>0</v>
      </c>
      <c r="BO398" t="b">
        <v>0</v>
      </c>
      <c r="BP398" t="b">
        <v>0</v>
      </c>
      <c r="BR398" t="str">
        <f>IFERROR(IF(M398="PASSED",VLOOKUP(J398,Current!$J$1:$N$500,1,FALSE)),N398)</f>
        <v>1.0397</v>
      </c>
    </row>
    <row r="399" spans="1:70" ht="15" hidden="1" customHeight="1" x14ac:dyDescent="0.25">
      <c r="A399">
        <v>21156</v>
      </c>
      <c r="C399">
        <v>0</v>
      </c>
      <c r="D399" t="s">
        <v>65</v>
      </c>
      <c r="E399" t="s">
        <v>66</v>
      </c>
      <c r="F399" t="s">
        <v>84</v>
      </c>
      <c r="G399">
        <v>0</v>
      </c>
      <c r="H399" t="s">
        <v>85</v>
      </c>
      <c r="I399" t="s">
        <v>86</v>
      </c>
      <c r="J399" t="str">
        <f>MID($N399,FIND("1.",$N399),FIND("-",$N399)-FIND("1.",$N399)-1)</f>
        <v>1.0398</v>
      </c>
      <c r="K399" t="str">
        <f t="shared" si="18"/>
        <v>Ensure Domain member: Digitally sign secure channel data (when possible) is set to Enabled</v>
      </c>
      <c r="L399" t="str">
        <f t="shared" si="19"/>
        <v>1.0398 - MSWRK - Ensure Domain member: Digitally sign secure channel data (when possible) is set to Enabled</v>
      </c>
      <c r="M399" t="str">
        <f t="shared" si="20"/>
        <v>PASSED</v>
      </c>
      <c r="N399" s="1" t="s">
        <v>286</v>
      </c>
      <c r="O399" t="s">
        <v>67</v>
      </c>
      <c r="R399" t="s">
        <v>68</v>
      </c>
      <c r="T399" t="s">
        <v>69</v>
      </c>
      <c r="U399" t="s">
        <v>70</v>
      </c>
      <c r="W399" t="s">
        <v>71</v>
      </c>
      <c r="X399" s="1" t="s">
        <v>72</v>
      </c>
      <c r="Y399" t="s">
        <v>88</v>
      </c>
      <c r="Z399">
        <v>0</v>
      </c>
      <c r="AA399">
        <v>0</v>
      </c>
      <c r="AD399">
        <v>0</v>
      </c>
      <c r="AE399">
        <v>0</v>
      </c>
      <c r="AH399" t="s">
        <v>73</v>
      </c>
      <c r="AI399" t="s">
        <v>318</v>
      </c>
      <c r="AJ399" t="s">
        <v>319</v>
      </c>
      <c r="AK399" t="s">
        <v>76</v>
      </c>
      <c r="AN399" t="s">
        <v>77</v>
      </c>
      <c r="AO399" t="s">
        <v>320</v>
      </c>
      <c r="AP399" t="s">
        <v>719</v>
      </c>
      <c r="AQ399" t="s">
        <v>322</v>
      </c>
      <c r="AS399" t="b">
        <v>1</v>
      </c>
      <c r="AT399" t="s">
        <v>65</v>
      </c>
      <c r="AU399">
        <v>0</v>
      </c>
      <c r="AV399">
        <v>0</v>
      </c>
      <c r="AX399">
        <v>39</v>
      </c>
      <c r="AY399" t="s">
        <v>81</v>
      </c>
      <c r="AZ399" t="s">
        <v>90</v>
      </c>
      <c r="BB399" t="s">
        <v>91</v>
      </c>
      <c r="BC399" t="s">
        <v>92</v>
      </c>
      <c r="BD399" t="b">
        <v>0</v>
      </c>
      <c r="BE399" t="b">
        <v>0</v>
      </c>
      <c r="BF399" t="b">
        <v>0</v>
      </c>
      <c r="BG399" t="b">
        <v>0</v>
      </c>
      <c r="BH399" t="b">
        <v>0</v>
      </c>
      <c r="BI399" t="b">
        <v>0</v>
      </c>
      <c r="BJ399" t="b">
        <v>0</v>
      </c>
      <c r="BK399" t="b">
        <v>0</v>
      </c>
      <c r="BL399" t="b">
        <v>0</v>
      </c>
      <c r="BM399" t="b">
        <v>0</v>
      </c>
      <c r="BN399" t="b">
        <v>0</v>
      </c>
      <c r="BO399" t="b">
        <v>0</v>
      </c>
      <c r="BP399" t="b">
        <v>0</v>
      </c>
      <c r="BR399" t="str">
        <f>IFERROR(IF(M399="PASSED",VLOOKUP(J399,Current!$J$1:$N$500,1,FALSE)),N399)</f>
        <v>1.0398</v>
      </c>
    </row>
    <row r="400" spans="1:70" ht="15" hidden="1" customHeight="1" x14ac:dyDescent="0.25">
      <c r="A400">
        <v>21156</v>
      </c>
      <c r="C400">
        <v>0</v>
      </c>
      <c r="D400" t="s">
        <v>65</v>
      </c>
      <c r="E400" t="s">
        <v>66</v>
      </c>
      <c r="F400" t="s">
        <v>84</v>
      </c>
      <c r="G400">
        <v>0</v>
      </c>
      <c r="H400" t="s">
        <v>85</v>
      </c>
      <c r="I400" t="s">
        <v>86</v>
      </c>
      <c r="J400" t="str">
        <f>MID($N400,FIND("1.",$N400),FIND("-",$N400)-FIND("1.",$N400)-1)</f>
        <v>1.0399</v>
      </c>
      <c r="K400" t="str">
        <f t="shared" si="18"/>
        <v>Ensure Domain member: Disable machine account password changes is set to Disabled</v>
      </c>
      <c r="L400" t="str">
        <f t="shared" si="19"/>
        <v>1.0399 - MSWRK - Ensure Domain member: Disable machine account password changes is set to Disabled</v>
      </c>
      <c r="M400" t="str">
        <f t="shared" si="20"/>
        <v>PASSED</v>
      </c>
      <c r="N400" s="1" t="s">
        <v>298</v>
      </c>
      <c r="O400" t="s">
        <v>67</v>
      </c>
      <c r="R400" t="s">
        <v>68</v>
      </c>
      <c r="T400" t="s">
        <v>69</v>
      </c>
      <c r="U400" t="s">
        <v>70</v>
      </c>
      <c r="W400" t="s">
        <v>71</v>
      </c>
      <c r="X400" s="1" t="s">
        <v>72</v>
      </c>
      <c r="Y400" t="s">
        <v>88</v>
      </c>
      <c r="Z400">
        <v>0</v>
      </c>
      <c r="AA400">
        <v>0</v>
      </c>
      <c r="AD400">
        <v>0</v>
      </c>
      <c r="AE400">
        <v>0</v>
      </c>
      <c r="AH400" t="s">
        <v>73</v>
      </c>
      <c r="AI400" t="s">
        <v>318</v>
      </c>
      <c r="AJ400" t="s">
        <v>319</v>
      </c>
      <c r="AK400" t="s">
        <v>76</v>
      </c>
      <c r="AN400" t="s">
        <v>77</v>
      </c>
      <c r="AO400" t="s">
        <v>320</v>
      </c>
      <c r="AP400" t="s">
        <v>633</v>
      </c>
      <c r="AQ400" t="s">
        <v>322</v>
      </c>
      <c r="AS400" t="b">
        <v>1</v>
      </c>
      <c r="AT400" t="s">
        <v>65</v>
      </c>
      <c r="AU400">
        <v>0</v>
      </c>
      <c r="AV400">
        <v>0</v>
      </c>
      <c r="AX400">
        <v>39</v>
      </c>
      <c r="AY400" t="s">
        <v>81</v>
      </c>
      <c r="AZ400" t="s">
        <v>90</v>
      </c>
      <c r="BB400" t="s">
        <v>91</v>
      </c>
      <c r="BC400" t="s">
        <v>92</v>
      </c>
      <c r="BD400" t="b">
        <v>0</v>
      </c>
      <c r="BE400" t="b">
        <v>0</v>
      </c>
      <c r="BF400" t="b">
        <v>0</v>
      </c>
      <c r="BG400" t="b">
        <v>0</v>
      </c>
      <c r="BH400" t="b">
        <v>0</v>
      </c>
      <c r="BI400" t="b">
        <v>0</v>
      </c>
      <c r="BJ400" t="b">
        <v>0</v>
      </c>
      <c r="BK400" t="b">
        <v>0</v>
      </c>
      <c r="BL400" t="b">
        <v>0</v>
      </c>
      <c r="BM400" t="b">
        <v>0</v>
      </c>
      <c r="BN400" t="b">
        <v>0</v>
      </c>
      <c r="BO400" t="b">
        <v>0</v>
      </c>
      <c r="BP400" t="b">
        <v>0</v>
      </c>
      <c r="BR400" t="str">
        <f>IFERROR(IF(M400="PASSED",VLOOKUP(J400,Current!$J$1:$N$500,1,FALSE)),N400)</f>
        <v>1.0399</v>
      </c>
    </row>
    <row r="401" spans="1:70" ht="15" hidden="1" customHeight="1" x14ac:dyDescent="0.25">
      <c r="A401">
        <v>21156</v>
      </c>
      <c r="C401">
        <v>0</v>
      </c>
      <c r="D401" t="s">
        <v>65</v>
      </c>
      <c r="E401" t="s">
        <v>66</v>
      </c>
      <c r="F401" t="s">
        <v>84</v>
      </c>
      <c r="G401">
        <v>0</v>
      </c>
      <c r="H401" t="s">
        <v>85</v>
      </c>
      <c r="I401" t="s">
        <v>86</v>
      </c>
      <c r="J401" t="str">
        <f>MID($N401,FIND("1.",$N401),FIND("-",$N401)-FIND("1.",$N401)-1)</f>
        <v>1.0400</v>
      </c>
      <c r="K401" t="str">
        <f t="shared" si="18"/>
        <v>Ensure Domain member: Maximum machine account password age is set to 30 or fewer days, but not 0</v>
      </c>
      <c r="L401" t="str">
        <f t="shared" si="19"/>
        <v>1.0400 - MSWRK - Ensure Domain member: Maximum machine account password age is set to 30 or fewer days, but not 0</v>
      </c>
      <c r="M401" t="str">
        <f t="shared" si="20"/>
        <v>PASSED</v>
      </c>
      <c r="N401" s="1" t="s">
        <v>201</v>
      </c>
      <c r="O401" t="s">
        <v>67</v>
      </c>
      <c r="R401" t="s">
        <v>68</v>
      </c>
      <c r="T401" t="s">
        <v>69</v>
      </c>
      <c r="U401" t="s">
        <v>70</v>
      </c>
      <c r="W401" t="s">
        <v>71</v>
      </c>
      <c r="X401" s="1" t="s">
        <v>72</v>
      </c>
      <c r="Y401" t="s">
        <v>88</v>
      </c>
      <c r="Z401">
        <v>0</v>
      </c>
      <c r="AA401">
        <v>0</v>
      </c>
      <c r="AD401">
        <v>0</v>
      </c>
      <c r="AE401">
        <v>0</v>
      </c>
      <c r="AH401" t="s">
        <v>73</v>
      </c>
      <c r="AI401" t="s">
        <v>318</v>
      </c>
      <c r="AJ401" t="s">
        <v>319</v>
      </c>
      <c r="AK401" t="s">
        <v>76</v>
      </c>
      <c r="AN401" t="s">
        <v>77</v>
      </c>
      <c r="AO401" t="s">
        <v>320</v>
      </c>
      <c r="AP401" t="s">
        <v>561</v>
      </c>
      <c r="AQ401" t="s">
        <v>322</v>
      </c>
      <c r="AS401" t="b">
        <v>1</v>
      </c>
      <c r="AT401" t="s">
        <v>65</v>
      </c>
      <c r="AU401">
        <v>0</v>
      </c>
      <c r="AV401">
        <v>0</v>
      </c>
      <c r="AX401">
        <v>39</v>
      </c>
      <c r="AY401" t="s">
        <v>81</v>
      </c>
      <c r="AZ401" t="s">
        <v>90</v>
      </c>
      <c r="BB401" t="s">
        <v>91</v>
      </c>
      <c r="BC401" t="s">
        <v>92</v>
      </c>
      <c r="BD401" t="b">
        <v>0</v>
      </c>
      <c r="BE401" t="b">
        <v>0</v>
      </c>
      <c r="BF401" t="b">
        <v>0</v>
      </c>
      <c r="BG401" t="b">
        <v>0</v>
      </c>
      <c r="BH401" t="b">
        <v>0</v>
      </c>
      <c r="BI401" t="b">
        <v>0</v>
      </c>
      <c r="BJ401" t="b">
        <v>0</v>
      </c>
      <c r="BK401" t="b">
        <v>0</v>
      </c>
      <c r="BL401" t="b">
        <v>0</v>
      </c>
      <c r="BM401" t="b">
        <v>0</v>
      </c>
      <c r="BN401" t="b">
        <v>0</v>
      </c>
      <c r="BO401" t="b">
        <v>0</v>
      </c>
      <c r="BP401" t="b">
        <v>0</v>
      </c>
      <c r="BR401" t="str">
        <f>IFERROR(IF(M401="PASSED",VLOOKUP(J401,Current!$J$1:$N$500,1,FALSE)),N401)</f>
        <v>1.0400</v>
      </c>
    </row>
    <row r="402" spans="1:70" ht="15" hidden="1" customHeight="1" x14ac:dyDescent="0.25">
      <c r="A402">
        <v>21156</v>
      </c>
      <c r="C402">
        <v>0</v>
      </c>
      <c r="D402" t="s">
        <v>65</v>
      </c>
      <c r="E402" t="s">
        <v>66</v>
      </c>
      <c r="F402" t="s">
        <v>84</v>
      </c>
      <c r="G402">
        <v>0</v>
      </c>
      <c r="H402" t="s">
        <v>85</v>
      </c>
      <c r="I402" t="s">
        <v>86</v>
      </c>
      <c r="J402" t="str">
        <f>MID($N402,FIND("1.",$N402),FIND("-",$N402)-FIND("1.",$N402)-1)</f>
        <v>1.0401</v>
      </c>
      <c r="K402" t="str">
        <f t="shared" si="18"/>
        <v>Ensure Domain member: Require strong (Windows 2000 or later) session key is set to Enabled</v>
      </c>
      <c r="L402" t="str">
        <f t="shared" si="19"/>
        <v>1.0401 - MSWRK - Ensure Domain member: Require strong (Windows 2000 or later) session key is set to Enabled</v>
      </c>
      <c r="M402" t="str">
        <f t="shared" si="20"/>
        <v>PASSED</v>
      </c>
      <c r="N402" s="1" t="s">
        <v>218</v>
      </c>
      <c r="O402" t="s">
        <v>67</v>
      </c>
      <c r="R402" t="s">
        <v>68</v>
      </c>
      <c r="T402" t="s">
        <v>69</v>
      </c>
      <c r="U402" t="s">
        <v>70</v>
      </c>
      <c r="W402" t="s">
        <v>71</v>
      </c>
      <c r="X402" s="1" t="s">
        <v>72</v>
      </c>
      <c r="Y402" t="s">
        <v>88</v>
      </c>
      <c r="Z402">
        <v>0</v>
      </c>
      <c r="AA402">
        <v>0</v>
      </c>
      <c r="AD402">
        <v>0</v>
      </c>
      <c r="AE402">
        <v>0</v>
      </c>
      <c r="AH402" t="s">
        <v>73</v>
      </c>
      <c r="AI402" t="s">
        <v>318</v>
      </c>
      <c r="AJ402" t="s">
        <v>319</v>
      </c>
      <c r="AK402" t="s">
        <v>76</v>
      </c>
      <c r="AN402" t="s">
        <v>77</v>
      </c>
      <c r="AO402" t="s">
        <v>320</v>
      </c>
      <c r="AP402" t="s">
        <v>523</v>
      </c>
      <c r="AQ402" t="s">
        <v>322</v>
      </c>
      <c r="AS402" t="b">
        <v>1</v>
      </c>
      <c r="AT402" t="s">
        <v>65</v>
      </c>
      <c r="AU402">
        <v>0</v>
      </c>
      <c r="AV402">
        <v>0</v>
      </c>
      <c r="AX402">
        <v>39</v>
      </c>
      <c r="AY402" t="s">
        <v>81</v>
      </c>
      <c r="AZ402" t="s">
        <v>90</v>
      </c>
      <c r="BB402" t="s">
        <v>91</v>
      </c>
      <c r="BC402" t="s">
        <v>92</v>
      </c>
      <c r="BD402" t="b">
        <v>0</v>
      </c>
      <c r="BE402" t="b">
        <v>0</v>
      </c>
      <c r="BF402" t="b">
        <v>0</v>
      </c>
      <c r="BG402" t="b">
        <v>0</v>
      </c>
      <c r="BH402" t="b">
        <v>0</v>
      </c>
      <c r="BI402" t="b">
        <v>0</v>
      </c>
      <c r="BJ402" t="b">
        <v>0</v>
      </c>
      <c r="BK402" t="b">
        <v>0</v>
      </c>
      <c r="BL402" t="b">
        <v>0</v>
      </c>
      <c r="BM402" t="b">
        <v>0</v>
      </c>
      <c r="BN402" t="b">
        <v>0</v>
      </c>
      <c r="BO402" t="b">
        <v>0</v>
      </c>
      <c r="BP402" t="b">
        <v>0</v>
      </c>
      <c r="BR402" t="str">
        <f>IFERROR(IF(M402="PASSED",VLOOKUP(J402,Current!$J$1:$N$500,1,FALSE)),N402)</f>
        <v>1.0401</v>
      </c>
    </row>
    <row r="403" spans="1:70" ht="15" hidden="1" customHeight="1" x14ac:dyDescent="0.25">
      <c r="A403">
        <v>21156</v>
      </c>
      <c r="C403">
        <v>0</v>
      </c>
      <c r="D403" t="s">
        <v>83</v>
      </c>
      <c r="E403" t="s">
        <v>66</v>
      </c>
      <c r="F403" t="s">
        <v>84</v>
      </c>
      <c r="G403">
        <v>0</v>
      </c>
      <c r="H403" t="s">
        <v>85</v>
      </c>
      <c r="I403" t="s">
        <v>86</v>
      </c>
      <c r="J403" t="str">
        <f>MID($N403,FIND("1.",$N403),FIND("-",$N403)-FIND("1.",$N403)-1)</f>
        <v>1.0402</v>
      </c>
      <c r="K403" t="str">
        <f t="shared" si="18"/>
        <v>Ensure Interactive logon</v>
      </c>
      <c r="L403" t="str">
        <f t="shared" si="19"/>
        <v>1.0402 - MSWRK - Ensure Interactive logon: Dont display last signed-in is set to Enabled</v>
      </c>
      <c r="M403" t="str">
        <f t="shared" si="20"/>
        <v>FAILED</v>
      </c>
      <c r="N403" s="1" t="s">
        <v>689</v>
      </c>
      <c r="O403" t="s">
        <v>67</v>
      </c>
      <c r="R403" t="s">
        <v>68</v>
      </c>
      <c r="T403" t="s">
        <v>69</v>
      </c>
      <c r="U403" t="s">
        <v>70</v>
      </c>
      <c r="W403" t="s">
        <v>71</v>
      </c>
      <c r="X403" s="1" t="s">
        <v>72</v>
      </c>
      <c r="Y403" t="s">
        <v>88</v>
      </c>
      <c r="Z403">
        <v>0</v>
      </c>
      <c r="AA403">
        <v>0</v>
      </c>
      <c r="AD403">
        <v>0</v>
      </c>
      <c r="AE403">
        <v>0</v>
      </c>
      <c r="AH403" t="s">
        <v>73</v>
      </c>
      <c r="AI403" t="s">
        <v>318</v>
      </c>
      <c r="AJ403" t="s">
        <v>319</v>
      </c>
      <c r="AK403" t="s">
        <v>76</v>
      </c>
      <c r="AN403" t="s">
        <v>77</v>
      </c>
      <c r="AO403" t="s">
        <v>320</v>
      </c>
      <c r="AP403" t="s">
        <v>690</v>
      </c>
      <c r="AQ403" t="s">
        <v>322</v>
      </c>
      <c r="AS403" t="b">
        <v>1</v>
      </c>
      <c r="AT403" t="s">
        <v>65</v>
      </c>
      <c r="AU403">
        <v>0</v>
      </c>
      <c r="AV403">
        <v>0</v>
      </c>
      <c r="AX403">
        <v>39</v>
      </c>
      <c r="AY403" t="s">
        <v>81</v>
      </c>
      <c r="AZ403" t="s">
        <v>90</v>
      </c>
      <c r="BB403" t="s">
        <v>91</v>
      </c>
      <c r="BC403" t="s">
        <v>92</v>
      </c>
      <c r="BD403" t="b">
        <v>0</v>
      </c>
      <c r="BE403" t="b">
        <v>0</v>
      </c>
      <c r="BF403" t="b">
        <v>0</v>
      </c>
      <c r="BG403" t="b">
        <v>0</v>
      </c>
      <c r="BH403" t="b">
        <v>0</v>
      </c>
      <c r="BI403" t="b">
        <v>0</v>
      </c>
      <c r="BJ403" t="b">
        <v>0</v>
      </c>
      <c r="BK403" t="b">
        <v>0</v>
      </c>
      <c r="BL403" t="b">
        <v>0</v>
      </c>
      <c r="BM403" t="b">
        <v>0</v>
      </c>
      <c r="BN403" t="b">
        <v>0</v>
      </c>
      <c r="BO403" t="b">
        <v>0</v>
      </c>
      <c r="BP403" t="b">
        <v>0</v>
      </c>
      <c r="BR403" t="b">
        <f>IFERROR(IF(M403="PASSED",VLOOKUP(J403,Current!$J$1:$N$500,1,FALSE)),N403)</f>
        <v>0</v>
      </c>
    </row>
    <row r="404" spans="1:70" ht="15" customHeight="1" x14ac:dyDescent="0.25">
      <c r="A404">
        <v>21156</v>
      </c>
      <c r="C404">
        <v>0</v>
      </c>
      <c r="D404" t="s">
        <v>65</v>
      </c>
      <c r="E404" t="s">
        <v>66</v>
      </c>
      <c r="F404" t="s">
        <v>84</v>
      </c>
      <c r="G404">
        <v>0</v>
      </c>
      <c r="H404" t="s">
        <v>85</v>
      </c>
      <c r="I404" t="s">
        <v>86</v>
      </c>
      <c r="J404" t="str">
        <f>MID($N404,FIND("1.",$N404),FIND("-",$N404)-FIND("1.",$N404)-1)</f>
        <v>1.0403</v>
      </c>
      <c r="K404" t="str">
        <f t="shared" si="18"/>
        <v>Ensure Interactive logon</v>
      </c>
      <c r="L404" t="str">
        <f t="shared" si="19"/>
        <v>1.0403 - MSWRK - Ensure Interactive logon: Machine inactivity limit is set to 900 or fewer second(s), but not 0</v>
      </c>
      <c r="M404" t="str">
        <f t="shared" si="20"/>
        <v>PASSED</v>
      </c>
      <c r="N404" s="1" t="s">
        <v>630</v>
      </c>
      <c r="O404" t="s">
        <v>67</v>
      </c>
      <c r="R404" t="s">
        <v>68</v>
      </c>
      <c r="T404" t="s">
        <v>69</v>
      </c>
      <c r="U404" t="s">
        <v>70</v>
      </c>
      <c r="W404" t="s">
        <v>71</v>
      </c>
      <c r="X404" s="1" t="s">
        <v>72</v>
      </c>
      <c r="Y404" t="s">
        <v>88</v>
      </c>
      <c r="Z404">
        <v>0</v>
      </c>
      <c r="AA404">
        <v>0</v>
      </c>
      <c r="AD404">
        <v>0</v>
      </c>
      <c r="AE404">
        <v>0</v>
      </c>
      <c r="AH404" t="s">
        <v>73</v>
      </c>
      <c r="AI404" t="s">
        <v>318</v>
      </c>
      <c r="AJ404" t="s">
        <v>319</v>
      </c>
      <c r="AK404" t="s">
        <v>76</v>
      </c>
      <c r="AN404" t="s">
        <v>77</v>
      </c>
      <c r="AO404" t="s">
        <v>320</v>
      </c>
      <c r="AP404" t="s">
        <v>629</v>
      </c>
      <c r="AQ404" t="s">
        <v>322</v>
      </c>
      <c r="AS404" t="b">
        <v>1</v>
      </c>
      <c r="AT404" t="s">
        <v>65</v>
      </c>
      <c r="AU404">
        <v>0</v>
      </c>
      <c r="AV404">
        <v>0</v>
      </c>
      <c r="AX404">
        <v>39</v>
      </c>
      <c r="AY404" t="s">
        <v>81</v>
      </c>
      <c r="AZ404" t="s">
        <v>90</v>
      </c>
      <c r="BB404" t="s">
        <v>91</v>
      </c>
      <c r="BC404" t="s">
        <v>92</v>
      </c>
      <c r="BD404" t="b">
        <v>0</v>
      </c>
      <c r="BE404" t="b">
        <v>0</v>
      </c>
      <c r="BF404" t="b">
        <v>0</v>
      </c>
      <c r="BG404" t="b">
        <v>0</v>
      </c>
      <c r="BH404" t="b">
        <v>0</v>
      </c>
      <c r="BI404" t="b">
        <v>0</v>
      </c>
      <c r="BJ404" t="b">
        <v>0</v>
      </c>
      <c r="BK404" t="b">
        <v>0</v>
      </c>
      <c r="BL404" t="b">
        <v>0</v>
      </c>
      <c r="BM404" t="b">
        <v>0</v>
      </c>
      <c r="BN404" t="b">
        <v>0</v>
      </c>
      <c r="BO404" t="b">
        <v>0</v>
      </c>
      <c r="BP404" t="b">
        <v>0</v>
      </c>
      <c r="BR404" t="str">
        <f>IFERROR(IF(M404="PASSED",VLOOKUP(J404,Current!$J$1:$N$500,1,FALSE)),N404)</f>
        <v>"1.0403 - MSWRK - Ensure Interactive logon: Machine inactivity limit is set to 900 or fewer second(s), but not 0: [PASSED]"
Windows notices inactivity of a logon session, and if the amount of inactive time exceeds the inactivity limit, then the screen saver will run, locking the session.
See Also:
See HTH Policies and Standards
Reference:
NIST 800-53r5|AC-2(5) AC-11 AC-11(1) AC-12
Policy Value:
'^(1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
Actual Value:
'900'</v>
      </c>
    </row>
    <row r="405" spans="1:70" ht="15" hidden="1" customHeight="1" x14ac:dyDescent="0.25">
      <c r="A405">
        <v>21156</v>
      </c>
      <c r="C405">
        <v>0</v>
      </c>
      <c r="D405" t="s">
        <v>83</v>
      </c>
      <c r="E405" t="s">
        <v>66</v>
      </c>
      <c r="F405" t="s">
        <v>84</v>
      </c>
      <c r="G405">
        <v>0</v>
      </c>
      <c r="H405" t="s">
        <v>85</v>
      </c>
      <c r="I405" t="s">
        <v>86</v>
      </c>
      <c r="J405" t="str">
        <f>MID($N405,FIND("1.",$N405),FIND("-",$N405)-FIND("1.",$N405)-1)</f>
        <v>1.0404</v>
      </c>
      <c r="K405" t="str">
        <f t="shared" si="18"/>
        <v>Configure Interactive logon</v>
      </c>
      <c r="L405" t="str">
        <f t="shared" si="19"/>
        <v>1.0404 - MSWRK - Configure Interactive logon: Message text for users attempting to log on</v>
      </c>
      <c r="M405" t="str">
        <f t="shared" si="20"/>
        <v>FAILED</v>
      </c>
      <c r="N405" s="1" t="s">
        <v>691</v>
      </c>
      <c r="O405" t="s">
        <v>67</v>
      </c>
      <c r="R405" t="s">
        <v>68</v>
      </c>
      <c r="T405" t="s">
        <v>69</v>
      </c>
      <c r="U405" t="s">
        <v>70</v>
      </c>
      <c r="W405" t="s">
        <v>71</v>
      </c>
      <c r="X405" s="1" t="s">
        <v>72</v>
      </c>
      <c r="Y405" t="s">
        <v>88</v>
      </c>
      <c r="Z405">
        <v>0</v>
      </c>
      <c r="AA405">
        <v>0</v>
      </c>
      <c r="AD405">
        <v>0</v>
      </c>
      <c r="AE405">
        <v>0</v>
      </c>
      <c r="AH405" t="s">
        <v>73</v>
      </c>
      <c r="AI405" t="s">
        <v>318</v>
      </c>
      <c r="AJ405" t="s">
        <v>319</v>
      </c>
      <c r="AK405" t="s">
        <v>76</v>
      </c>
      <c r="AN405" t="s">
        <v>77</v>
      </c>
      <c r="AO405" t="s">
        <v>320</v>
      </c>
      <c r="AP405" t="s">
        <v>690</v>
      </c>
      <c r="AQ405" t="s">
        <v>322</v>
      </c>
      <c r="AS405" t="b">
        <v>1</v>
      </c>
      <c r="AT405" t="s">
        <v>65</v>
      </c>
      <c r="AU405">
        <v>0</v>
      </c>
      <c r="AV405">
        <v>0</v>
      </c>
      <c r="AX405">
        <v>39</v>
      </c>
      <c r="AY405" t="s">
        <v>81</v>
      </c>
      <c r="AZ405" t="s">
        <v>90</v>
      </c>
      <c r="BB405" t="s">
        <v>91</v>
      </c>
      <c r="BC405" t="s">
        <v>92</v>
      </c>
      <c r="BD405" t="b">
        <v>0</v>
      </c>
      <c r="BE405" t="b">
        <v>0</v>
      </c>
      <c r="BF405" t="b">
        <v>0</v>
      </c>
      <c r="BG405" t="b">
        <v>0</v>
      </c>
      <c r="BH405" t="b">
        <v>0</v>
      </c>
      <c r="BI405" t="b">
        <v>0</v>
      </c>
      <c r="BJ405" t="b">
        <v>0</v>
      </c>
      <c r="BK405" t="b">
        <v>0</v>
      </c>
      <c r="BL405" t="b">
        <v>0</v>
      </c>
      <c r="BM405" t="b">
        <v>0</v>
      </c>
      <c r="BN405" t="b">
        <v>0</v>
      </c>
      <c r="BO405" t="b">
        <v>0</v>
      </c>
      <c r="BP405" t="b">
        <v>0</v>
      </c>
      <c r="BR405" t="b">
        <f>IFERROR(IF(M405="PASSED",VLOOKUP(J405,Current!$J$1:$N$500,1,FALSE)),N405)</f>
        <v>0</v>
      </c>
    </row>
    <row r="406" spans="1:70" ht="15" hidden="1" customHeight="1" x14ac:dyDescent="0.25">
      <c r="A406">
        <v>21156</v>
      </c>
      <c r="C406">
        <v>0</v>
      </c>
      <c r="D406" t="s">
        <v>83</v>
      </c>
      <c r="E406" t="s">
        <v>66</v>
      </c>
      <c r="F406" t="s">
        <v>84</v>
      </c>
      <c r="G406">
        <v>0</v>
      </c>
      <c r="H406" t="s">
        <v>85</v>
      </c>
      <c r="I406" t="s">
        <v>86</v>
      </c>
      <c r="J406" t="str">
        <f>MID($N406,FIND("1.",$N406),FIND("-",$N406)-FIND("1.",$N406)-1)</f>
        <v>1.0405</v>
      </c>
      <c r="K406" t="str">
        <f t="shared" si="18"/>
        <v>Configure Interactive logon</v>
      </c>
      <c r="L406" t="str">
        <f t="shared" si="19"/>
        <v>1.0405 - MSWRK - Configure Interactive logon: Message title for users attempting to log on</v>
      </c>
      <c r="M406" t="str">
        <f t="shared" si="20"/>
        <v>FAILED</v>
      </c>
      <c r="N406" s="1" t="s">
        <v>650</v>
      </c>
      <c r="O406" t="s">
        <v>67</v>
      </c>
      <c r="R406" t="s">
        <v>68</v>
      </c>
      <c r="T406" t="s">
        <v>69</v>
      </c>
      <c r="U406" t="s">
        <v>70</v>
      </c>
      <c r="W406" t="s">
        <v>71</v>
      </c>
      <c r="X406" s="1" t="s">
        <v>72</v>
      </c>
      <c r="Y406" t="s">
        <v>88</v>
      </c>
      <c r="Z406">
        <v>0</v>
      </c>
      <c r="AA406">
        <v>0</v>
      </c>
      <c r="AD406">
        <v>0</v>
      </c>
      <c r="AE406">
        <v>0</v>
      </c>
      <c r="AH406" t="s">
        <v>73</v>
      </c>
      <c r="AI406" t="s">
        <v>318</v>
      </c>
      <c r="AJ406" t="s">
        <v>319</v>
      </c>
      <c r="AK406" t="s">
        <v>76</v>
      </c>
      <c r="AN406" t="s">
        <v>77</v>
      </c>
      <c r="AO406" t="s">
        <v>320</v>
      </c>
      <c r="AP406" t="s">
        <v>648</v>
      </c>
      <c r="AQ406" t="s">
        <v>322</v>
      </c>
      <c r="AS406" t="b">
        <v>1</v>
      </c>
      <c r="AT406" t="s">
        <v>65</v>
      </c>
      <c r="AU406">
        <v>0</v>
      </c>
      <c r="AV406">
        <v>0</v>
      </c>
      <c r="AX406">
        <v>39</v>
      </c>
      <c r="AY406" t="s">
        <v>81</v>
      </c>
      <c r="AZ406" t="s">
        <v>90</v>
      </c>
      <c r="BB406" t="s">
        <v>91</v>
      </c>
      <c r="BC406" t="s">
        <v>92</v>
      </c>
      <c r="BD406" t="b">
        <v>0</v>
      </c>
      <c r="BE406" t="b">
        <v>0</v>
      </c>
      <c r="BF406" t="b">
        <v>0</v>
      </c>
      <c r="BG406" t="b">
        <v>0</v>
      </c>
      <c r="BH406" t="b">
        <v>0</v>
      </c>
      <c r="BI406" t="b">
        <v>0</v>
      </c>
      <c r="BJ406" t="b">
        <v>0</v>
      </c>
      <c r="BK406" t="b">
        <v>0</v>
      </c>
      <c r="BL406" t="b">
        <v>0</v>
      </c>
      <c r="BM406" t="b">
        <v>0</v>
      </c>
      <c r="BN406" t="b">
        <v>0</v>
      </c>
      <c r="BO406" t="b">
        <v>0</v>
      </c>
      <c r="BP406" t="b">
        <v>0</v>
      </c>
      <c r="BR406" t="b">
        <f>IFERROR(IF(M406="PASSED",VLOOKUP(J406,Current!$J$1:$N$500,1,FALSE)),N406)</f>
        <v>0</v>
      </c>
    </row>
    <row r="407" spans="1:70" ht="15" hidden="1" customHeight="1" x14ac:dyDescent="0.25">
      <c r="A407">
        <v>21156</v>
      </c>
      <c r="C407">
        <v>0</v>
      </c>
      <c r="D407" t="s">
        <v>83</v>
      </c>
      <c r="E407" t="s">
        <v>66</v>
      </c>
      <c r="F407" t="s">
        <v>84</v>
      </c>
      <c r="G407">
        <v>0</v>
      </c>
      <c r="H407" t="s">
        <v>85</v>
      </c>
      <c r="I407" t="s">
        <v>86</v>
      </c>
      <c r="J407" t="str">
        <f>MID($N407,FIND("1.",$N407),FIND("-",$N407)-FIND("1.",$N407)-1)</f>
        <v>1.0406</v>
      </c>
      <c r="K407" t="str">
        <f t="shared" si="18"/>
        <v>Ensure Interactive logon</v>
      </c>
      <c r="L407" t="str">
        <f t="shared" si="19"/>
        <v>1.0406 - MSWRK - Ensure Interactive logon: Prompt user to change password before expiration is set to between 5 and 14 days</v>
      </c>
      <c r="M407" t="str">
        <f t="shared" si="20"/>
        <v>FAILED</v>
      </c>
      <c r="N407" s="1" t="s">
        <v>241</v>
      </c>
      <c r="O407" t="s">
        <v>67</v>
      </c>
      <c r="R407" t="s">
        <v>68</v>
      </c>
      <c r="T407" t="s">
        <v>69</v>
      </c>
      <c r="U407" t="s">
        <v>70</v>
      </c>
      <c r="W407" t="s">
        <v>71</v>
      </c>
      <c r="X407" s="1" t="s">
        <v>72</v>
      </c>
      <c r="Y407" t="s">
        <v>88</v>
      </c>
      <c r="Z407">
        <v>0</v>
      </c>
      <c r="AA407">
        <v>0</v>
      </c>
      <c r="AD407">
        <v>0</v>
      </c>
      <c r="AE407">
        <v>0</v>
      </c>
      <c r="AH407" t="s">
        <v>73</v>
      </c>
      <c r="AI407" t="s">
        <v>318</v>
      </c>
      <c r="AJ407" t="s">
        <v>319</v>
      </c>
      <c r="AK407" t="s">
        <v>76</v>
      </c>
      <c r="AN407" t="s">
        <v>77</v>
      </c>
      <c r="AO407" t="s">
        <v>320</v>
      </c>
      <c r="AP407" t="s">
        <v>327</v>
      </c>
      <c r="AQ407" t="s">
        <v>322</v>
      </c>
      <c r="AS407" t="b">
        <v>1</v>
      </c>
      <c r="AT407" t="s">
        <v>65</v>
      </c>
      <c r="AU407">
        <v>0</v>
      </c>
      <c r="AV407">
        <v>0</v>
      </c>
      <c r="AX407">
        <v>39</v>
      </c>
      <c r="AY407" t="s">
        <v>81</v>
      </c>
      <c r="AZ407" t="s">
        <v>90</v>
      </c>
      <c r="BB407" t="s">
        <v>91</v>
      </c>
      <c r="BC407" t="s">
        <v>92</v>
      </c>
      <c r="BD407" t="b">
        <v>0</v>
      </c>
      <c r="BE407" t="b">
        <v>0</v>
      </c>
      <c r="BF407" t="b">
        <v>0</v>
      </c>
      <c r="BG407" t="b">
        <v>0</v>
      </c>
      <c r="BH407" t="b">
        <v>0</v>
      </c>
      <c r="BI407" t="b">
        <v>0</v>
      </c>
      <c r="BJ407" t="b">
        <v>0</v>
      </c>
      <c r="BK407" t="b">
        <v>0</v>
      </c>
      <c r="BL407" t="b">
        <v>0</v>
      </c>
      <c r="BM407" t="b">
        <v>0</v>
      </c>
      <c r="BN407" t="b">
        <v>0</v>
      </c>
      <c r="BO407" t="b">
        <v>0</v>
      </c>
      <c r="BP407" t="b">
        <v>0</v>
      </c>
      <c r="BR407" t="b">
        <f>IFERROR(IF(M407="PASSED",VLOOKUP(J407,Current!$J$1:$N$500,1,FALSE)),N407)</f>
        <v>0</v>
      </c>
    </row>
    <row r="408" spans="1:70" ht="15" hidden="1" customHeight="1" x14ac:dyDescent="0.25">
      <c r="A408">
        <v>21156</v>
      </c>
      <c r="C408">
        <v>0</v>
      </c>
      <c r="D408" t="s">
        <v>83</v>
      </c>
      <c r="E408" t="s">
        <v>66</v>
      </c>
      <c r="F408" t="s">
        <v>84</v>
      </c>
      <c r="G408">
        <v>0</v>
      </c>
      <c r="H408" t="s">
        <v>85</v>
      </c>
      <c r="I408" t="s">
        <v>86</v>
      </c>
      <c r="J408" t="str">
        <f>MID($N408,FIND("1.",$N408),FIND("-",$N408)-FIND("1.",$N408)-1)</f>
        <v>1.0407</v>
      </c>
      <c r="K408" t="str">
        <f t="shared" si="18"/>
        <v>Ensure Interactive logon</v>
      </c>
      <c r="L408" t="str">
        <f t="shared" si="19"/>
        <v>1.0407 - MSWRK - Ensure Interactive logon: Smart card removal behavior is set to Lock Workstation or higher</v>
      </c>
      <c r="M408" t="str">
        <f t="shared" si="20"/>
        <v>FAILED</v>
      </c>
      <c r="N408" s="1" t="s">
        <v>658</v>
      </c>
      <c r="O408" t="s">
        <v>67</v>
      </c>
      <c r="R408" t="s">
        <v>68</v>
      </c>
      <c r="T408" t="s">
        <v>69</v>
      </c>
      <c r="U408" t="s">
        <v>70</v>
      </c>
      <c r="W408" t="s">
        <v>71</v>
      </c>
      <c r="X408" s="1" t="s">
        <v>72</v>
      </c>
      <c r="Y408" t="s">
        <v>88</v>
      </c>
      <c r="Z408">
        <v>0</v>
      </c>
      <c r="AA408">
        <v>0</v>
      </c>
      <c r="AD408">
        <v>0</v>
      </c>
      <c r="AE408">
        <v>0</v>
      </c>
      <c r="AH408" t="s">
        <v>73</v>
      </c>
      <c r="AI408" t="s">
        <v>318</v>
      </c>
      <c r="AJ408" t="s">
        <v>319</v>
      </c>
      <c r="AK408" t="s">
        <v>76</v>
      </c>
      <c r="AN408" t="s">
        <v>77</v>
      </c>
      <c r="AO408" t="s">
        <v>320</v>
      </c>
      <c r="AP408" t="s">
        <v>659</v>
      </c>
      <c r="AQ408" t="s">
        <v>322</v>
      </c>
      <c r="AS408" t="b">
        <v>1</v>
      </c>
      <c r="AT408" t="s">
        <v>65</v>
      </c>
      <c r="AU408">
        <v>0</v>
      </c>
      <c r="AV408">
        <v>0</v>
      </c>
      <c r="AX408">
        <v>39</v>
      </c>
      <c r="AY408" t="s">
        <v>81</v>
      </c>
      <c r="AZ408" t="s">
        <v>90</v>
      </c>
      <c r="BB408" t="s">
        <v>91</v>
      </c>
      <c r="BC408" t="s">
        <v>92</v>
      </c>
      <c r="BD408" t="b">
        <v>0</v>
      </c>
      <c r="BE408" t="b">
        <v>0</v>
      </c>
      <c r="BF408" t="b">
        <v>0</v>
      </c>
      <c r="BG408" t="b">
        <v>0</v>
      </c>
      <c r="BH408" t="b">
        <v>0</v>
      </c>
      <c r="BI408" t="b">
        <v>0</v>
      </c>
      <c r="BJ408" t="b">
        <v>0</v>
      </c>
      <c r="BK408" t="b">
        <v>0</v>
      </c>
      <c r="BL408" t="b">
        <v>0</v>
      </c>
      <c r="BM408" t="b">
        <v>0</v>
      </c>
      <c r="BN408" t="b">
        <v>0</v>
      </c>
      <c r="BO408" t="b">
        <v>0</v>
      </c>
      <c r="BP408" t="b">
        <v>0</v>
      </c>
      <c r="BR408" t="b">
        <f>IFERROR(IF(M408="PASSED",VLOOKUP(J408,Current!$J$1:$N$500,1,FALSE)),N408)</f>
        <v>0</v>
      </c>
    </row>
    <row r="409" spans="1:70" ht="15" hidden="1" customHeight="1" x14ac:dyDescent="0.25">
      <c r="A409">
        <v>21156</v>
      </c>
      <c r="C409">
        <v>0</v>
      </c>
      <c r="D409" t="s">
        <v>65</v>
      </c>
      <c r="E409" t="s">
        <v>66</v>
      </c>
      <c r="F409" t="s">
        <v>84</v>
      </c>
      <c r="G409">
        <v>0</v>
      </c>
      <c r="H409" t="s">
        <v>85</v>
      </c>
      <c r="I409" t="s">
        <v>86</v>
      </c>
      <c r="J409" t="str">
        <f>MID($N409,FIND("1.",$N409),FIND("-",$N409)-FIND("1.",$N409)-1)</f>
        <v>1.0408</v>
      </c>
      <c r="K409" t="str">
        <f t="shared" si="18"/>
        <v>Ensure Microsoft network client</v>
      </c>
      <c r="L409" t="str">
        <f t="shared" si="19"/>
        <v>1.0408 - MSWRK - Ensure Microsoft network client: Digitally sign communications (always) is set to Enabled - Parameters</v>
      </c>
      <c r="M409" t="str">
        <f t="shared" si="20"/>
        <v>PASSED</v>
      </c>
      <c r="N409" s="1" t="s">
        <v>272</v>
      </c>
      <c r="O409" t="s">
        <v>67</v>
      </c>
      <c r="R409" t="s">
        <v>68</v>
      </c>
      <c r="T409" t="s">
        <v>69</v>
      </c>
      <c r="U409" t="s">
        <v>70</v>
      </c>
      <c r="W409" t="s">
        <v>71</v>
      </c>
      <c r="X409" s="1" t="s">
        <v>72</v>
      </c>
      <c r="Y409" t="s">
        <v>88</v>
      </c>
      <c r="Z409">
        <v>0</v>
      </c>
      <c r="AA409">
        <v>0</v>
      </c>
      <c r="AD409">
        <v>0</v>
      </c>
      <c r="AE409">
        <v>0</v>
      </c>
      <c r="AH409" t="s">
        <v>73</v>
      </c>
      <c r="AI409" t="s">
        <v>318</v>
      </c>
      <c r="AJ409" t="s">
        <v>319</v>
      </c>
      <c r="AK409" t="s">
        <v>76</v>
      </c>
      <c r="AN409" t="s">
        <v>77</v>
      </c>
      <c r="AO409" t="s">
        <v>320</v>
      </c>
      <c r="AP409" t="s">
        <v>457</v>
      </c>
      <c r="AQ409" t="s">
        <v>322</v>
      </c>
      <c r="AS409" t="b">
        <v>1</v>
      </c>
      <c r="AT409" t="s">
        <v>65</v>
      </c>
      <c r="AU409">
        <v>0</v>
      </c>
      <c r="AV409">
        <v>0</v>
      </c>
      <c r="AX409">
        <v>39</v>
      </c>
      <c r="AY409" t="s">
        <v>81</v>
      </c>
      <c r="AZ409" t="s">
        <v>90</v>
      </c>
      <c r="BB409" t="s">
        <v>91</v>
      </c>
      <c r="BC409" t="s">
        <v>92</v>
      </c>
      <c r="BD409" t="b">
        <v>0</v>
      </c>
      <c r="BE409" t="b">
        <v>0</v>
      </c>
      <c r="BF409" t="b">
        <v>0</v>
      </c>
      <c r="BG409" t="b">
        <v>0</v>
      </c>
      <c r="BH409" t="b">
        <v>0</v>
      </c>
      <c r="BI409" t="b">
        <v>0</v>
      </c>
      <c r="BJ409" t="b">
        <v>0</v>
      </c>
      <c r="BK409" t="b">
        <v>0</v>
      </c>
      <c r="BL409" t="b">
        <v>0</v>
      </c>
      <c r="BM409" t="b">
        <v>0</v>
      </c>
      <c r="BN409" t="b">
        <v>0</v>
      </c>
      <c r="BO409" t="b">
        <v>0</v>
      </c>
      <c r="BP409" t="b">
        <v>0</v>
      </c>
      <c r="BR409" t="str">
        <f>IFERROR(IF(M409="PASSED",VLOOKUP(J409,Current!$J$1:$N$500,1,FALSE)),N409)</f>
        <v>1.0408</v>
      </c>
    </row>
    <row r="410" spans="1:70" ht="15" hidden="1" customHeight="1" x14ac:dyDescent="0.25">
      <c r="A410">
        <v>21156</v>
      </c>
      <c r="C410">
        <v>0</v>
      </c>
      <c r="D410" t="s">
        <v>65</v>
      </c>
      <c r="E410" t="s">
        <v>66</v>
      </c>
      <c r="F410" t="s">
        <v>84</v>
      </c>
      <c r="G410">
        <v>0</v>
      </c>
      <c r="H410" t="s">
        <v>85</v>
      </c>
      <c r="I410" t="s">
        <v>86</v>
      </c>
      <c r="J410" t="str">
        <f>MID($N410,FIND("1.",$N410),FIND("-",$N410)-FIND("1.",$N410)-1)</f>
        <v>1.0409</v>
      </c>
      <c r="K410" t="str">
        <f t="shared" si="18"/>
        <v>Ensure Microsoft network client</v>
      </c>
      <c r="L410" t="str">
        <f t="shared" si="19"/>
        <v>1.0409 - MSWRK - Ensure Microsoft network client: Send unencrypted password to third-party SMB servers is set to Disabled</v>
      </c>
      <c r="M410" t="str">
        <f t="shared" si="20"/>
        <v>PASSED</v>
      </c>
      <c r="N410" s="1" t="s">
        <v>316</v>
      </c>
      <c r="O410" t="s">
        <v>67</v>
      </c>
      <c r="R410" t="s">
        <v>68</v>
      </c>
      <c r="T410" t="s">
        <v>69</v>
      </c>
      <c r="U410" t="s">
        <v>70</v>
      </c>
      <c r="W410" t="s">
        <v>71</v>
      </c>
      <c r="X410" s="1" t="s">
        <v>72</v>
      </c>
      <c r="Y410" t="s">
        <v>88</v>
      </c>
      <c r="Z410">
        <v>0</v>
      </c>
      <c r="AA410">
        <v>0</v>
      </c>
      <c r="AD410">
        <v>0</v>
      </c>
      <c r="AE410">
        <v>0</v>
      </c>
      <c r="AH410" t="s">
        <v>73</v>
      </c>
      <c r="AI410" t="s">
        <v>318</v>
      </c>
      <c r="AJ410" t="s">
        <v>319</v>
      </c>
      <c r="AK410" t="s">
        <v>76</v>
      </c>
      <c r="AN410" t="s">
        <v>77</v>
      </c>
      <c r="AO410" t="s">
        <v>320</v>
      </c>
      <c r="AP410" t="s">
        <v>765</v>
      </c>
      <c r="AQ410" t="s">
        <v>322</v>
      </c>
      <c r="AS410" t="b">
        <v>1</v>
      </c>
      <c r="AT410" t="s">
        <v>65</v>
      </c>
      <c r="AU410">
        <v>0</v>
      </c>
      <c r="AV410">
        <v>0</v>
      </c>
      <c r="AX410">
        <v>39</v>
      </c>
      <c r="AY410" t="s">
        <v>81</v>
      </c>
      <c r="AZ410" t="s">
        <v>90</v>
      </c>
      <c r="BB410" t="s">
        <v>91</v>
      </c>
      <c r="BC410" t="s">
        <v>92</v>
      </c>
      <c r="BD410" t="b">
        <v>0</v>
      </c>
      <c r="BE410" t="b">
        <v>0</v>
      </c>
      <c r="BF410" t="b">
        <v>0</v>
      </c>
      <c r="BG410" t="b">
        <v>0</v>
      </c>
      <c r="BH410" t="b">
        <v>0</v>
      </c>
      <c r="BI410" t="b">
        <v>0</v>
      </c>
      <c r="BJ410" t="b">
        <v>0</v>
      </c>
      <c r="BK410" t="b">
        <v>0</v>
      </c>
      <c r="BL410" t="b">
        <v>0</v>
      </c>
      <c r="BM410" t="b">
        <v>0</v>
      </c>
      <c r="BN410" t="b">
        <v>0</v>
      </c>
      <c r="BO410" t="b">
        <v>0</v>
      </c>
      <c r="BP410" t="b">
        <v>0</v>
      </c>
      <c r="BR410" t="str">
        <f>IFERROR(IF(M410="PASSED",VLOOKUP(J410,Current!$J$1:$N$500,1,FALSE)),N410)</f>
        <v>1.0409</v>
      </c>
    </row>
    <row r="411" spans="1:70" ht="15" customHeight="1" x14ac:dyDescent="0.25">
      <c r="A411">
        <v>21156</v>
      </c>
      <c r="C411">
        <v>0</v>
      </c>
      <c r="D411" t="s">
        <v>65</v>
      </c>
      <c r="E411" t="s">
        <v>66</v>
      </c>
      <c r="F411" t="s">
        <v>84</v>
      </c>
      <c r="G411">
        <v>0</v>
      </c>
      <c r="H411" t="s">
        <v>85</v>
      </c>
      <c r="I411" t="s">
        <v>86</v>
      </c>
      <c r="J411" t="str">
        <f>MID($N411,FIND("1.",$N411),FIND("-",$N411)-FIND("1.",$N411)-1)</f>
        <v>1.0410</v>
      </c>
      <c r="K411" t="str">
        <f t="shared" si="18"/>
        <v>Ensure Microsoft network server</v>
      </c>
      <c r="L411" t="str">
        <f t="shared" si="19"/>
        <v>1.0410 - MSWRK - Ensure Microsoft network server: Amount of idle time required before suspending session is set to 15 or fewer minute(s)</v>
      </c>
      <c r="M411" t="str">
        <f t="shared" si="20"/>
        <v>PASSED</v>
      </c>
      <c r="N411" s="1" t="s">
        <v>662</v>
      </c>
      <c r="O411" t="s">
        <v>67</v>
      </c>
      <c r="R411" t="s">
        <v>68</v>
      </c>
      <c r="T411" t="s">
        <v>69</v>
      </c>
      <c r="U411" t="s">
        <v>70</v>
      </c>
      <c r="W411" t="s">
        <v>71</v>
      </c>
      <c r="X411" s="1" t="s">
        <v>72</v>
      </c>
      <c r="Y411" t="s">
        <v>88</v>
      </c>
      <c r="Z411">
        <v>0</v>
      </c>
      <c r="AA411">
        <v>0</v>
      </c>
      <c r="AD411">
        <v>0</v>
      </c>
      <c r="AE411">
        <v>0</v>
      </c>
      <c r="AH411" t="s">
        <v>73</v>
      </c>
      <c r="AI411" t="s">
        <v>318</v>
      </c>
      <c r="AJ411" t="s">
        <v>319</v>
      </c>
      <c r="AK411" t="s">
        <v>76</v>
      </c>
      <c r="AN411" t="s">
        <v>77</v>
      </c>
      <c r="AO411" t="s">
        <v>320</v>
      </c>
      <c r="AP411" t="s">
        <v>661</v>
      </c>
      <c r="AQ411" t="s">
        <v>322</v>
      </c>
      <c r="AS411" t="b">
        <v>1</v>
      </c>
      <c r="AT411" t="s">
        <v>65</v>
      </c>
      <c r="AU411">
        <v>0</v>
      </c>
      <c r="AV411">
        <v>0</v>
      </c>
      <c r="AX411">
        <v>39</v>
      </c>
      <c r="AY411" t="s">
        <v>81</v>
      </c>
      <c r="AZ411" t="s">
        <v>90</v>
      </c>
      <c r="BB411" t="s">
        <v>91</v>
      </c>
      <c r="BC411" t="s">
        <v>92</v>
      </c>
      <c r="BD411" t="b">
        <v>0</v>
      </c>
      <c r="BE411" t="b">
        <v>0</v>
      </c>
      <c r="BF411" t="b">
        <v>0</v>
      </c>
      <c r="BG411" t="b">
        <v>0</v>
      </c>
      <c r="BH411" t="b">
        <v>0</v>
      </c>
      <c r="BI411" t="b">
        <v>0</v>
      </c>
      <c r="BJ411" t="b">
        <v>0</v>
      </c>
      <c r="BK411" t="b">
        <v>0</v>
      </c>
      <c r="BL411" t="b">
        <v>0</v>
      </c>
      <c r="BM411" t="b">
        <v>0</v>
      </c>
      <c r="BN411" t="b">
        <v>0</v>
      </c>
      <c r="BO411" t="b">
        <v>0</v>
      </c>
      <c r="BP411" t="b">
        <v>0</v>
      </c>
      <c r="BR411" t="str">
        <f>IFERROR(IF(M411="PASSED",VLOOKUP(J411,Current!$J$1:$N$500,1,FALSE)),N411)</f>
        <v>"1.0410 - MSWRK - Ensure Microsoft network server: Amount of idle time required before suspending session is set to 15 or fewer minute(s): [PASSED]"
This policy setting allows you to specify the amount of continuous idle time that must pass in an SMB session before the session is suspended because of inactivity.
See Also:
See HTH Policies and Standards
Reference:
NIST 800-53r5|AC-11
Policy Value:
'^(1|2|3|4|5|6|7|8|9|10|11|12|13|14|15)$'
Actual Value:
'15'</v>
      </c>
    </row>
    <row r="412" spans="1:70" ht="15" hidden="1" customHeight="1" x14ac:dyDescent="0.25">
      <c r="A412">
        <v>21156</v>
      </c>
      <c r="C412">
        <v>0</v>
      </c>
      <c r="D412" t="s">
        <v>65</v>
      </c>
      <c r="E412" t="s">
        <v>66</v>
      </c>
      <c r="F412" t="s">
        <v>84</v>
      </c>
      <c r="G412">
        <v>0</v>
      </c>
      <c r="H412" t="s">
        <v>85</v>
      </c>
      <c r="I412" t="s">
        <v>86</v>
      </c>
      <c r="J412" t="str">
        <f>MID($N412,FIND("1.",$N412),FIND("-",$N412)-FIND("1.",$N412)-1)</f>
        <v>1.0411</v>
      </c>
      <c r="K412" t="str">
        <f t="shared" si="18"/>
        <v>Ensure Microsoft network server</v>
      </c>
      <c r="L412" t="str">
        <f t="shared" si="19"/>
        <v>1.0411 - MSWRK - Ensure Microsoft network server: Digitally sign communications (always) is set to Enabled - Parameters</v>
      </c>
      <c r="M412" t="str">
        <f t="shared" si="20"/>
        <v>PASSED</v>
      </c>
      <c r="N412" s="1" t="s">
        <v>96</v>
      </c>
      <c r="O412" t="s">
        <v>67</v>
      </c>
      <c r="R412" t="s">
        <v>68</v>
      </c>
      <c r="T412" t="s">
        <v>69</v>
      </c>
      <c r="U412" t="s">
        <v>70</v>
      </c>
      <c r="W412" t="s">
        <v>71</v>
      </c>
      <c r="X412" s="1" t="s">
        <v>72</v>
      </c>
      <c r="Y412" t="s">
        <v>88</v>
      </c>
      <c r="Z412">
        <v>0</v>
      </c>
      <c r="AA412">
        <v>0</v>
      </c>
      <c r="AD412">
        <v>0</v>
      </c>
      <c r="AE412">
        <v>0</v>
      </c>
      <c r="AH412" t="s">
        <v>73</v>
      </c>
      <c r="AI412" t="s">
        <v>318</v>
      </c>
      <c r="AJ412" t="s">
        <v>319</v>
      </c>
      <c r="AK412" t="s">
        <v>76</v>
      </c>
      <c r="AN412" t="s">
        <v>77</v>
      </c>
      <c r="AO412" t="s">
        <v>320</v>
      </c>
      <c r="AP412" t="s">
        <v>452</v>
      </c>
      <c r="AQ412" t="s">
        <v>322</v>
      </c>
      <c r="AS412" t="b">
        <v>1</v>
      </c>
      <c r="AT412" t="s">
        <v>65</v>
      </c>
      <c r="AU412">
        <v>0</v>
      </c>
      <c r="AV412">
        <v>0</v>
      </c>
      <c r="AX412">
        <v>39</v>
      </c>
      <c r="AY412" t="s">
        <v>81</v>
      </c>
      <c r="AZ412" t="s">
        <v>90</v>
      </c>
      <c r="BB412" t="s">
        <v>91</v>
      </c>
      <c r="BC412" t="s">
        <v>92</v>
      </c>
      <c r="BD412" t="b">
        <v>0</v>
      </c>
      <c r="BE412" t="b">
        <v>0</v>
      </c>
      <c r="BF412" t="b">
        <v>0</v>
      </c>
      <c r="BG412" t="b">
        <v>0</v>
      </c>
      <c r="BH412" t="b">
        <v>0</v>
      </c>
      <c r="BI412" t="b">
        <v>0</v>
      </c>
      <c r="BJ412" t="b">
        <v>0</v>
      </c>
      <c r="BK412" t="b">
        <v>0</v>
      </c>
      <c r="BL412" t="b">
        <v>0</v>
      </c>
      <c r="BM412" t="b">
        <v>0</v>
      </c>
      <c r="BN412" t="b">
        <v>0</v>
      </c>
      <c r="BO412" t="b">
        <v>0</v>
      </c>
      <c r="BP412" t="b">
        <v>0</v>
      </c>
      <c r="BR412" t="str">
        <f>IFERROR(IF(M412="PASSED",VLOOKUP(J412,Current!$J$1:$N$500,1,FALSE)),N412)</f>
        <v>1.0411</v>
      </c>
    </row>
    <row r="413" spans="1:70" ht="15" hidden="1" customHeight="1" x14ac:dyDescent="0.25">
      <c r="A413">
        <v>21156</v>
      </c>
      <c r="C413">
        <v>0</v>
      </c>
      <c r="D413" t="s">
        <v>65</v>
      </c>
      <c r="E413" t="s">
        <v>66</v>
      </c>
      <c r="F413" t="s">
        <v>84</v>
      </c>
      <c r="G413">
        <v>0</v>
      </c>
      <c r="H413" t="s">
        <v>85</v>
      </c>
      <c r="I413" t="s">
        <v>86</v>
      </c>
      <c r="J413" t="str">
        <f>MID($N413,FIND("1.",$N413),FIND("-",$N413)-FIND("1.",$N413)-1)</f>
        <v>1.0412</v>
      </c>
      <c r="K413" t="str">
        <f t="shared" si="18"/>
        <v>Ensure Microsoft network server</v>
      </c>
      <c r="L413" t="str">
        <f t="shared" si="19"/>
        <v>1.0412 - MSWRK - Ensure Microsoft network server: Disconnect clients when logon hours expire is set to Enabled</v>
      </c>
      <c r="M413" t="str">
        <f t="shared" si="20"/>
        <v>PASSED</v>
      </c>
      <c r="N413" s="1" t="s">
        <v>138</v>
      </c>
      <c r="O413" t="s">
        <v>67</v>
      </c>
      <c r="R413" t="s">
        <v>68</v>
      </c>
      <c r="T413" t="s">
        <v>69</v>
      </c>
      <c r="U413" t="s">
        <v>70</v>
      </c>
      <c r="W413" t="s">
        <v>71</v>
      </c>
      <c r="X413" s="1" t="s">
        <v>72</v>
      </c>
      <c r="Y413" t="s">
        <v>88</v>
      </c>
      <c r="Z413">
        <v>0</v>
      </c>
      <c r="AA413">
        <v>0</v>
      </c>
      <c r="AD413">
        <v>0</v>
      </c>
      <c r="AE413">
        <v>0</v>
      </c>
      <c r="AH413" t="s">
        <v>73</v>
      </c>
      <c r="AI413" t="s">
        <v>318</v>
      </c>
      <c r="AJ413" t="s">
        <v>319</v>
      </c>
      <c r="AK413" t="s">
        <v>76</v>
      </c>
      <c r="AN413" t="s">
        <v>77</v>
      </c>
      <c r="AO413" t="s">
        <v>320</v>
      </c>
      <c r="AP413" t="s">
        <v>673</v>
      </c>
      <c r="AQ413" t="s">
        <v>322</v>
      </c>
      <c r="AS413" t="b">
        <v>1</v>
      </c>
      <c r="AT413" t="s">
        <v>65</v>
      </c>
      <c r="AU413">
        <v>0</v>
      </c>
      <c r="AV413">
        <v>0</v>
      </c>
      <c r="AX413">
        <v>39</v>
      </c>
      <c r="AY413" t="s">
        <v>81</v>
      </c>
      <c r="AZ413" t="s">
        <v>90</v>
      </c>
      <c r="BB413" t="s">
        <v>91</v>
      </c>
      <c r="BC413" t="s">
        <v>92</v>
      </c>
      <c r="BD413" t="b">
        <v>0</v>
      </c>
      <c r="BE413" t="b">
        <v>0</v>
      </c>
      <c r="BF413" t="b">
        <v>0</v>
      </c>
      <c r="BG413" t="b">
        <v>0</v>
      </c>
      <c r="BH413" t="b">
        <v>0</v>
      </c>
      <c r="BI413" t="b">
        <v>0</v>
      </c>
      <c r="BJ413" t="b">
        <v>0</v>
      </c>
      <c r="BK413" t="b">
        <v>0</v>
      </c>
      <c r="BL413" t="b">
        <v>0</v>
      </c>
      <c r="BM413" t="b">
        <v>0</v>
      </c>
      <c r="BN413" t="b">
        <v>0</v>
      </c>
      <c r="BO413" t="b">
        <v>0</v>
      </c>
      <c r="BP413" t="b">
        <v>0</v>
      </c>
      <c r="BR413" t="str">
        <f>IFERROR(IF(M413="PASSED",VLOOKUP(J413,Current!$J$1:$N$500,1,FALSE)),N413)</f>
        <v>1.0412</v>
      </c>
    </row>
    <row r="414" spans="1:70" ht="15" hidden="1" customHeight="1" x14ac:dyDescent="0.25">
      <c r="A414">
        <v>21156</v>
      </c>
      <c r="C414">
        <v>0</v>
      </c>
      <c r="D414" t="s">
        <v>83</v>
      </c>
      <c r="E414" t="s">
        <v>66</v>
      </c>
      <c r="F414" t="s">
        <v>84</v>
      </c>
      <c r="G414">
        <v>0</v>
      </c>
      <c r="H414" t="s">
        <v>85</v>
      </c>
      <c r="I414" t="s">
        <v>86</v>
      </c>
      <c r="J414" t="str">
        <f>MID($N414,FIND("1.",$N414),FIND("-",$N414)-FIND("1.",$N414)-1)</f>
        <v>1.0413</v>
      </c>
      <c r="K414" t="str">
        <f t="shared" si="18"/>
        <v>Ensure Microsoft network server</v>
      </c>
      <c r="L414" t="str">
        <f t="shared" si="19"/>
        <v>1.0413 - MSWRK - Ensure Microsoft network server: Server SPN target name validation level is set to Accept if provided by client or higher</v>
      </c>
      <c r="M414" t="str">
        <f t="shared" si="20"/>
        <v>FAILED</v>
      </c>
      <c r="N414" s="1" t="s">
        <v>334</v>
      </c>
      <c r="O414" t="s">
        <v>67</v>
      </c>
      <c r="R414" t="s">
        <v>68</v>
      </c>
      <c r="T414" t="s">
        <v>69</v>
      </c>
      <c r="U414" t="s">
        <v>70</v>
      </c>
      <c r="W414" t="s">
        <v>71</v>
      </c>
      <c r="X414" s="1" t="s">
        <v>72</v>
      </c>
      <c r="Y414" t="s">
        <v>88</v>
      </c>
      <c r="Z414">
        <v>0</v>
      </c>
      <c r="AA414">
        <v>0</v>
      </c>
      <c r="AD414">
        <v>0</v>
      </c>
      <c r="AE414">
        <v>0</v>
      </c>
      <c r="AH414" t="s">
        <v>73</v>
      </c>
      <c r="AI414" t="s">
        <v>318</v>
      </c>
      <c r="AJ414" t="s">
        <v>319</v>
      </c>
      <c r="AK414" t="s">
        <v>76</v>
      </c>
      <c r="AN414" t="s">
        <v>77</v>
      </c>
      <c r="AO414" t="s">
        <v>320</v>
      </c>
      <c r="AP414" t="s">
        <v>332</v>
      </c>
      <c r="AQ414" t="s">
        <v>322</v>
      </c>
      <c r="AS414" t="b">
        <v>1</v>
      </c>
      <c r="AT414" t="s">
        <v>65</v>
      </c>
      <c r="AU414">
        <v>0</v>
      </c>
      <c r="AV414">
        <v>0</v>
      </c>
      <c r="AX414">
        <v>39</v>
      </c>
      <c r="AY414" t="s">
        <v>81</v>
      </c>
      <c r="AZ414" t="s">
        <v>90</v>
      </c>
      <c r="BB414" t="s">
        <v>91</v>
      </c>
      <c r="BC414" t="s">
        <v>92</v>
      </c>
      <c r="BD414" t="b">
        <v>0</v>
      </c>
      <c r="BE414" t="b">
        <v>0</v>
      </c>
      <c r="BF414" t="b">
        <v>0</v>
      </c>
      <c r="BG414" t="b">
        <v>0</v>
      </c>
      <c r="BH414" t="b">
        <v>0</v>
      </c>
      <c r="BI414" t="b">
        <v>0</v>
      </c>
      <c r="BJ414" t="b">
        <v>0</v>
      </c>
      <c r="BK414" t="b">
        <v>0</v>
      </c>
      <c r="BL414" t="b">
        <v>0</v>
      </c>
      <c r="BM414" t="b">
        <v>0</v>
      </c>
      <c r="BN414" t="b">
        <v>0</v>
      </c>
      <c r="BO414" t="b">
        <v>0</v>
      </c>
      <c r="BP414" t="b">
        <v>0</v>
      </c>
      <c r="BR414" t="b">
        <f>IFERROR(IF(M414="PASSED",VLOOKUP(J414,Current!$J$1:$N$500,1,FALSE)),N414)</f>
        <v>0</v>
      </c>
    </row>
    <row r="415" spans="1:70" ht="15" hidden="1" customHeight="1" x14ac:dyDescent="0.25">
      <c r="A415">
        <v>21156</v>
      </c>
      <c r="C415">
        <v>0</v>
      </c>
      <c r="D415" t="s">
        <v>83</v>
      </c>
      <c r="E415" t="s">
        <v>66</v>
      </c>
      <c r="F415" t="s">
        <v>84</v>
      </c>
      <c r="G415">
        <v>0</v>
      </c>
      <c r="H415" t="s">
        <v>85</v>
      </c>
      <c r="I415" t="s">
        <v>86</v>
      </c>
      <c r="J415" t="str">
        <f>MID($N415,FIND("1.",$N415),FIND("-",$N415)-FIND("1.",$N415)-1)</f>
        <v>1.0414</v>
      </c>
      <c r="K415" t="str">
        <f t="shared" si="18"/>
        <v>Ensure Microsoft FTP Service (FTPSVC) is set to Disabled or Not Installed - Ftpsvc</v>
      </c>
      <c r="L415" t="str">
        <f t="shared" si="19"/>
        <v>1.0414 - MSWRK - Ensure Microsoft FTP Service (FTPSVC) is set to Disabled or Not Installed - Ftpsvc</v>
      </c>
      <c r="M415" t="str">
        <f t="shared" si="20"/>
        <v>FAILED</v>
      </c>
      <c r="N415" s="1" t="s">
        <v>443</v>
      </c>
      <c r="O415" t="s">
        <v>67</v>
      </c>
      <c r="R415" t="s">
        <v>68</v>
      </c>
      <c r="T415" t="s">
        <v>69</v>
      </c>
      <c r="U415" t="s">
        <v>70</v>
      </c>
      <c r="W415" t="s">
        <v>71</v>
      </c>
      <c r="X415" s="1" t="s">
        <v>72</v>
      </c>
      <c r="Y415" t="s">
        <v>88</v>
      </c>
      <c r="Z415">
        <v>0</v>
      </c>
      <c r="AA415">
        <v>0</v>
      </c>
      <c r="AD415">
        <v>0</v>
      </c>
      <c r="AE415">
        <v>0</v>
      </c>
      <c r="AH415" t="s">
        <v>73</v>
      </c>
      <c r="AI415" t="s">
        <v>318</v>
      </c>
      <c r="AJ415" t="s">
        <v>319</v>
      </c>
      <c r="AK415" t="s">
        <v>76</v>
      </c>
      <c r="AN415" t="s">
        <v>77</v>
      </c>
      <c r="AO415" t="s">
        <v>320</v>
      </c>
      <c r="AP415" t="s">
        <v>442</v>
      </c>
      <c r="AQ415" t="s">
        <v>322</v>
      </c>
      <c r="AS415" t="b">
        <v>1</v>
      </c>
      <c r="AT415" t="s">
        <v>65</v>
      </c>
      <c r="AU415">
        <v>0</v>
      </c>
      <c r="AV415">
        <v>0</v>
      </c>
      <c r="AX415">
        <v>39</v>
      </c>
      <c r="AY415" t="s">
        <v>81</v>
      </c>
      <c r="AZ415" t="s">
        <v>90</v>
      </c>
      <c r="BB415" t="s">
        <v>91</v>
      </c>
      <c r="BC415" t="s">
        <v>92</v>
      </c>
      <c r="BD415" t="b">
        <v>0</v>
      </c>
      <c r="BE415" t="b">
        <v>0</v>
      </c>
      <c r="BF415" t="b">
        <v>0</v>
      </c>
      <c r="BG415" t="b">
        <v>0</v>
      </c>
      <c r="BH415" t="b">
        <v>0</v>
      </c>
      <c r="BI415" t="b">
        <v>0</v>
      </c>
      <c r="BJ415" t="b">
        <v>0</v>
      </c>
      <c r="BK415" t="b">
        <v>0</v>
      </c>
      <c r="BL415" t="b">
        <v>0</v>
      </c>
      <c r="BM415" t="b">
        <v>0</v>
      </c>
      <c r="BN415" t="b">
        <v>0</v>
      </c>
      <c r="BO415" t="b">
        <v>0</v>
      </c>
      <c r="BP415" t="b">
        <v>0</v>
      </c>
      <c r="BR415" t="b">
        <f>IFERROR(IF(M415="PASSED",VLOOKUP(J415,Current!$J$1:$N$500,1,FALSE)),N415)</f>
        <v>0</v>
      </c>
    </row>
    <row r="416" spans="1:70" ht="15" hidden="1" customHeight="1" x14ac:dyDescent="0.25">
      <c r="A416">
        <v>21156</v>
      </c>
      <c r="C416">
        <v>0</v>
      </c>
      <c r="D416" t="s">
        <v>83</v>
      </c>
      <c r="E416" t="s">
        <v>66</v>
      </c>
      <c r="F416" t="s">
        <v>84</v>
      </c>
      <c r="G416">
        <v>0</v>
      </c>
      <c r="H416" t="s">
        <v>85</v>
      </c>
      <c r="I416" t="s">
        <v>86</v>
      </c>
      <c r="J416" t="str">
        <f>MID($N416,FIND("1.",$N416),FIND("-",$N416)-FIND("1.",$N416)-1)</f>
        <v>1.0415</v>
      </c>
      <c r="K416" t="str">
        <f t="shared" si="18"/>
        <v>Ensure OpenSSH SSH Server (sshd) is set to Disabled or Not Installed - Sshd</v>
      </c>
      <c r="L416" t="str">
        <f t="shared" si="19"/>
        <v>1.0415 - MSWRK - Ensure OpenSSH SSH Server (sshd) is set to Disabled or Not Installed - Sshd</v>
      </c>
      <c r="M416" t="str">
        <f t="shared" si="20"/>
        <v>FAILED</v>
      </c>
      <c r="N416" s="1" t="s">
        <v>509</v>
      </c>
      <c r="O416" t="s">
        <v>67</v>
      </c>
      <c r="R416" t="s">
        <v>68</v>
      </c>
      <c r="T416" t="s">
        <v>69</v>
      </c>
      <c r="U416" t="s">
        <v>70</v>
      </c>
      <c r="W416" t="s">
        <v>71</v>
      </c>
      <c r="X416" s="1" t="s">
        <v>72</v>
      </c>
      <c r="Y416" t="s">
        <v>88</v>
      </c>
      <c r="Z416">
        <v>0</v>
      </c>
      <c r="AA416">
        <v>0</v>
      </c>
      <c r="AD416">
        <v>0</v>
      </c>
      <c r="AE416">
        <v>0</v>
      </c>
      <c r="AH416" t="s">
        <v>73</v>
      </c>
      <c r="AI416" t="s">
        <v>318</v>
      </c>
      <c r="AJ416" t="s">
        <v>319</v>
      </c>
      <c r="AK416" t="s">
        <v>76</v>
      </c>
      <c r="AN416" t="s">
        <v>77</v>
      </c>
      <c r="AO416" t="s">
        <v>320</v>
      </c>
      <c r="AP416" t="s">
        <v>510</v>
      </c>
      <c r="AQ416" t="s">
        <v>322</v>
      </c>
      <c r="AS416" t="b">
        <v>1</v>
      </c>
      <c r="AT416" t="s">
        <v>65</v>
      </c>
      <c r="AU416">
        <v>0</v>
      </c>
      <c r="AV416">
        <v>0</v>
      </c>
      <c r="AX416">
        <v>39</v>
      </c>
      <c r="AY416" t="s">
        <v>81</v>
      </c>
      <c r="AZ416" t="s">
        <v>90</v>
      </c>
      <c r="BB416" t="s">
        <v>91</v>
      </c>
      <c r="BC416" t="s">
        <v>92</v>
      </c>
      <c r="BD416" t="b">
        <v>0</v>
      </c>
      <c r="BE416" t="b">
        <v>0</v>
      </c>
      <c r="BF416" t="b">
        <v>0</v>
      </c>
      <c r="BG416" t="b">
        <v>0</v>
      </c>
      <c r="BH416" t="b">
        <v>0</v>
      </c>
      <c r="BI416" t="b">
        <v>0</v>
      </c>
      <c r="BJ416" t="b">
        <v>0</v>
      </c>
      <c r="BK416" t="b">
        <v>0</v>
      </c>
      <c r="BL416" t="b">
        <v>0</v>
      </c>
      <c r="BM416" t="b">
        <v>0</v>
      </c>
      <c r="BN416" t="b">
        <v>0</v>
      </c>
      <c r="BO416" t="b">
        <v>0</v>
      </c>
      <c r="BP416" t="b">
        <v>0</v>
      </c>
      <c r="BR416" t="b">
        <f>IFERROR(IF(M416="PASSED",VLOOKUP(J416,Current!$J$1:$N$500,1,FALSE)),N416)</f>
        <v>0</v>
      </c>
    </row>
    <row r="417" spans="1:70" ht="15" hidden="1" customHeight="1" x14ac:dyDescent="0.25">
      <c r="A417">
        <v>21156</v>
      </c>
      <c r="C417">
        <v>0</v>
      </c>
      <c r="D417" t="s">
        <v>83</v>
      </c>
      <c r="E417" t="s">
        <v>66</v>
      </c>
      <c r="F417" t="s">
        <v>84</v>
      </c>
      <c r="G417">
        <v>0</v>
      </c>
      <c r="H417" t="s">
        <v>85</v>
      </c>
      <c r="I417" t="s">
        <v>86</v>
      </c>
      <c r="J417" t="str">
        <f>MID($N417,FIND("1.",$N417),FIND("-",$N417)-FIND("1.",$N417)-1)</f>
        <v>1.0416</v>
      </c>
      <c r="K417" t="str">
        <f t="shared" si="18"/>
        <v>Ensure Remote Procedure Call (RPC) Locator (RpcLocator) is set to Disabled - Rpclocator</v>
      </c>
      <c r="L417" t="str">
        <f t="shared" si="19"/>
        <v>1.0416 - MSWRK - Ensure Remote Procedure Call (RPC) Locator (RpcLocator) is set to Disabled - Rpclocator</v>
      </c>
      <c r="M417" t="str">
        <f t="shared" si="20"/>
        <v>FAILED</v>
      </c>
      <c r="N417" s="1" t="s">
        <v>656</v>
      </c>
      <c r="O417" t="s">
        <v>67</v>
      </c>
      <c r="R417" t="s">
        <v>68</v>
      </c>
      <c r="T417" t="s">
        <v>69</v>
      </c>
      <c r="U417" t="s">
        <v>70</v>
      </c>
      <c r="W417" t="s">
        <v>71</v>
      </c>
      <c r="X417" s="1" t="s">
        <v>72</v>
      </c>
      <c r="Y417" t="s">
        <v>88</v>
      </c>
      <c r="Z417">
        <v>0</v>
      </c>
      <c r="AA417">
        <v>0</v>
      </c>
      <c r="AD417">
        <v>0</v>
      </c>
      <c r="AE417">
        <v>0</v>
      </c>
      <c r="AH417" t="s">
        <v>73</v>
      </c>
      <c r="AI417" t="s">
        <v>318</v>
      </c>
      <c r="AJ417" t="s">
        <v>319</v>
      </c>
      <c r="AK417" t="s">
        <v>76</v>
      </c>
      <c r="AN417" t="s">
        <v>77</v>
      </c>
      <c r="AO417" t="s">
        <v>320</v>
      </c>
      <c r="AP417" t="s">
        <v>655</v>
      </c>
      <c r="AQ417" t="s">
        <v>322</v>
      </c>
      <c r="AS417" t="b">
        <v>1</v>
      </c>
      <c r="AT417" t="s">
        <v>65</v>
      </c>
      <c r="AU417">
        <v>0</v>
      </c>
      <c r="AV417">
        <v>0</v>
      </c>
      <c r="AX417">
        <v>39</v>
      </c>
      <c r="AY417" t="s">
        <v>81</v>
      </c>
      <c r="AZ417" t="s">
        <v>90</v>
      </c>
      <c r="BB417" t="s">
        <v>91</v>
      </c>
      <c r="BC417" t="s">
        <v>92</v>
      </c>
      <c r="BD417" t="b">
        <v>0</v>
      </c>
      <c r="BE417" t="b">
        <v>0</v>
      </c>
      <c r="BF417" t="b">
        <v>0</v>
      </c>
      <c r="BG417" t="b">
        <v>0</v>
      </c>
      <c r="BH417" t="b">
        <v>0</v>
      </c>
      <c r="BI417" t="b">
        <v>0</v>
      </c>
      <c r="BJ417" t="b">
        <v>0</v>
      </c>
      <c r="BK417" t="b">
        <v>0</v>
      </c>
      <c r="BL417" t="b">
        <v>0</v>
      </c>
      <c r="BM417" t="b">
        <v>0</v>
      </c>
      <c r="BN417" t="b">
        <v>0</v>
      </c>
      <c r="BO417" t="b">
        <v>0</v>
      </c>
      <c r="BP417" t="b">
        <v>0</v>
      </c>
      <c r="BR417" t="b">
        <f>IFERROR(IF(M417="PASSED",VLOOKUP(J417,Current!$J$1:$N$500,1,FALSE)),N417)</f>
        <v>0</v>
      </c>
    </row>
    <row r="418" spans="1:70" ht="15" hidden="1" customHeight="1" x14ac:dyDescent="0.25">
      <c r="A418">
        <v>21156</v>
      </c>
      <c r="C418">
        <v>0</v>
      </c>
      <c r="D418" t="s">
        <v>65</v>
      </c>
      <c r="E418" t="s">
        <v>66</v>
      </c>
      <c r="F418" t="s">
        <v>84</v>
      </c>
      <c r="G418">
        <v>0</v>
      </c>
      <c r="H418" t="s">
        <v>85</v>
      </c>
      <c r="I418" t="s">
        <v>86</v>
      </c>
      <c r="J418" t="str">
        <f>MID($N418,FIND("1.",$N418),FIND("-",$N418)-FIND("1.",$N418)-1)</f>
        <v>1.0417</v>
      </c>
      <c r="K418" t="str">
        <f t="shared" si="18"/>
        <v>Ensure Routing and Remote Access (RemoteAccess) is set to Disabled - Remoteaccess</v>
      </c>
      <c r="L418" t="str">
        <f t="shared" si="19"/>
        <v>1.0417 - MSWRK - Ensure Routing and Remote Access (RemoteAccess) is set to Disabled - Remoteaccess</v>
      </c>
      <c r="M418" t="str">
        <f t="shared" si="20"/>
        <v>PASSED</v>
      </c>
      <c r="N418" s="1" t="s">
        <v>104</v>
      </c>
      <c r="O418" t="s">
        <v>67</v>
      </c>
      <c r="R418" t="s">
        <v>68</v>
      </c>
      <c r="T418" t="s">
        <v>69</v>
      </c>
      <c r="U418" t="s">
        <v>70</v>
      </c>
      <c r="W418" t="s">
        <v>71</v>
      </c>
      <c r="X418" s="1" t="s">
        <v>72</v>
      </c>
      <c r="Y418" t="s">
        <v>88</v>
      </c>
      <c r="Z418">
        <v>0</v>
      </c>
      <c r="AA418">
        <v>0</v>
      </c>
      <c r="AD418">
        <v>0</v>
      </c>
      <c r="AE418">
        <v>0</v>
      </c>
      <c r="AH418" t="s">
        <v>73</v>
      </c>
      <c r="AI418" t="s">
        <v>318</v>
      </c>
      <c r="AJ418" t="s">
        <v>319</v>
      </c>
      <c r="AK418" t="s">
        <v>76</v>
      </c>
      <c r="AN418" t="s">
        <v>77</v>
      </c>
      <c r="AO418" t="s">
        <v>320</v>
      </c>
      <c r="AP418" t="s">
        <v>787</v>
      </c>
      <c r="AQ418" t="s">
        <v>322</v>
      </c>
      <c r="AS418" t="b">
        <v>1</v>
      </c>
      <c r="AT418" t="s">
        <v>65</v>
      </c>
      <c r="AU418">
        <v>0</v>
      </c>
      <c r="AV418">
        <v>0</v>
      </c>
      <c r="AX418">
        <v>39</v>
      </c>
      <c r="AY418" t="s">
        <v>81</v>
      </c>
      <c r="AZ418" t="s">
        <v>90</v>
      </c>
      <c r="BB418" t="s">
        <v>91</v>
      </c>
      <c r="BC418" t="s">
        <v>92</v>
      </c>
      <c r="BD418" t="b">
        <v>0</v>
      </c>
      <c r="BE418" t="b">
        <v>0</v>
      </c>
      <c r="BF418" t="b">
        <v>0</v>
      </c>
      <c r="BG418" t="b">
        <v>0</v>
      </c>
      <c r="BH418" t="b">
        <v>0</v>
      </c>
      <c r="BI418" t="b">
        <v>0</v>
      </c>
      <c r="BJ418" t="b">
        <v>0</v>
      </c>
      <c r="BK418" t="b">
        <v>0</v>
      </c>
      <c r="BL418" t="b">
        <v>0</v>
      </c>
      <c r="BM418" t="b">
        <v>0</v>
      </c>
      <c r="BN418" t="b">
        <v>0</v>
      </c>
      <c r="BO418" t="b">
        <v>0</v>
      </c>
      <c r="BP418" t="b">
        <v>0</v>
      </c>
      <c r="BR418" t="str">
        <f>IFERROR(IF(M418="PASSED",VLOOKUP(J418,Current!$J$1:$N$500,1,FALSE)),N418)</f>
        <v>1.0417</v>
      </c>
    </row>
    <row r="419" spans="1:70" ht="15" hidden="1" customHeight="1" x14ac:dyDescent="0.25">
      <c r="A419">
        <v>21156</v>
      </c>
      <c r="C419">
        <v>0</v>
      </c>
      <c r="D419" t="s">
        <v>83</v>
      </c>
      <c r="E419" t="s">
        <v>66</v>
      </c>
      <c r="F419" t="s">
        <v>84</v>
      </c>
      <c r="G419">
        <v>0</v>
      </c>
      <c r="H419" t="s">
        <v>85</v>
      </c>
      <c r="I419" t="s">
        <v>86</v>
      </c>
      <c r="J419" t="str">
        <f>MID($N419,FIND("1.",$N419),FIND("-",$N419)-FIND("1.",$N419)-1)</f>
        <v>1.0418</v>
      </c>
      <c r="K419" t="str">
        <f t="shared" si="18"/>
        <v>Ensure Simple TCP/IP Services (simptcp) is set to Disabled or Not Installed - Simptcp</v>
      </c>
      <c r="L419" t="str">
        <f t="shared" si="19"/>
        <v>1.0418 - MSWRK - Ensure Simple TCP/IP Services (simptcp) is set to Disabled or Not Installed - Simptcp</v>
      </c>
      <c r="M419" t="str">
        <f t="shared" si="20"/>
        <v>FAILED</v>
      </c>
      <c r="N419" s="1" t="s">
        <v>524</v>
      </c>
      <c r="O419" t="s">
        <v>67</v>
      </c>
      <c r="R419" t="s">
        <v>68</v>
      </c>
      <c r="T419" t="s">
        <v>69</v>
      </c>
      <c r="U419" t="s">
        <v>70</v>
      </c>
      <c r="W419" t="s">
        <v>71</v>
      </c>
      <c r="X419" s="1" t="s">
        <v>72</v>
      </c>
      <c r="Y419" t="s">
        <v>88</v>
      </c>
      <c r="Z419">
        <v>0</v>
      </c>
      <c r="AA419">
        <v>0</v>
      </c>
      <c r="AD419">
        <v>0</v>
      </c>
      <c r="AE419">
        <v>0</v>
      </c>
      <c r="AH419" t="s">
        <v>73</v>
      </c>
      <c r="AI419" t="s">
        <v>318</v>
      </c>
      <c r="AJ419" t="s">
        <v>319</v>
      </c>
      <c r="AK419" t="s">
        <v>76</v>
      </c>
      <c r="AN419" t="s">
        <v>77</v>
      </c>
      <c r="AO419" t="s">
        <v>320</v>
      </c>
      <c r="AP419" t="s">
        <v>523</v>
      </c>
      <c r="AQ419" t="s">
        <v>322</v>
      </c>
      <c r="AS419" t="b">
        <v>1</v>
      </c>
      <c r="AT419" t="s">
        <v>65</v>
      </c>
      <c r="AU419">
        <v>0</v>
      </c>
      <c r="AV419">
        <v>0</v>
      </c>
      <c r="AX419">
        <v>39</v>
      </c>
      <c r="AY419" t="s">
        <v>81</v>
      </c>
      <c r="AZ419" t="s">
        <v>90</v>
      </c>
      <c r="BB419" t="s">
        <v>91</v>
      </c>
      <c r="BC419" t="s">
        <v>92</v>
      </c>
      <c r="BD419" t="b">
        <v>0</v>
      </c>
      <c r="BE419" t="b">
        <v>0</v>
      </c>
      <c r="BF419" t="b">
        <v>0</v>
      </c>
      <c r="BG419" t="b">
        <v>0</v>
      </c>
      <c r="BH419" t="b">
        <v>0</v>
      </c>
      <c r="BI419" t="b">
        <v>0</v>
      </c>
      <c r="BJ419" t="b">
        <v>0</v>
      </c>
      <c r="BK419" t="b">
        <v>0</v>
      </c>
      <c r="BL419" t="b">
        <v>0</v>
      </c>
      <c r="BM419" t="b">
        <v>0</v>
      </c>
      <c r="BN419" t="b">
        <v>0</v>
      </c>
      <c r="BO419" t="b">
        <v>0</v>
      </c>
      <c r="BP419" t="b">
        <v>0</v>
      </c>
      <c r="BR419" t="b">
        <f>IFERROR(IF(M419="PASSED",VLOOKUP(J419,Current!$J$1:$N$500,1,FALSE)),N419)</f>
        <v>0</v>
      </c>
    </row>
    <row r="420" spans="1:70" ht="15" hidden="1" customHeight="1" x14ac:dyDescent="0.25">
      <c r="A420">
        <v>21156</v>
      </c>
      <c r="C420">
        <v>0</v>
      </c>
      <c r="D420" t="s">
        <v>83</v>
      </c>
      <c r="E420" t="s">
        <v>66</v>
      </c>
      <c r="F420" t="s">
        <v>84</v>
      </c>
      <c r="G420">
        <v>0</v>
      </c>
      <c r="H420" t="s">
        <v>85</v>
      </c>
      <c r="I420" t="s">
        <v>86</v>
      </c>
      <c r="J420" t="str">
        <f>MID($N420,FIND("1.",$N420),FIND("-",$N420)-FIND("1.",$N420)-1)</f>
        <v>1.0419</v>
      </c>
      <c r="K420" t="str">
        <f t="shared" si="18"/>
        <v>Ensure Special Administration Console Helper (sacsvr) is set to Disabled or Not Installed - Sacsvr</v>
      </c>
      <c r="L420" t="str">
        <f t="shared" si="19"/>
        <v>1.0419 - MSWRK - Ensure Special Administration Console Helper (sacsvr) is set to Disabled or Not Installed - Sacsvr</v>
      </c>
      <c r="M420" t="str">
        <f t="shared" si="20"/>
        <v>FAILED</v>
      </c>
      <c r="N420" s="1" t="s">
        <v>547</v>
      </c>
      <c r="O420" t="s">
        <v>67</v>
      </c>
      <c r="R420" t="s">
        <v>68</v>
      </c>
      <c r="T420" t="s">
        <v>69</v>
      </c>
      <c r="U420" t="s">
        <v>70</v>
      </c>
      <c r="W420" t="s">
        <v>71</v>
      </c>
      <c r="X420" s="1" t="s">
        <v>72</v>
      </c>
      <c r="Y420" t="s">
        <v>88</v>
      </c>
      <c r="Z420">
        <v>0</v>
      </c>
      <c r="AA420">
        <v>0</v>
      </c>
      <c r="AD420">
        <v>0</v>
      </c>
      <c r="AE420">
        <v>0</v>
      </c>
      <c r="AH420" t="s">
        <v>73</v>
      </c>
      <c r="AI420" t="s">
        <v>318</v>
      </c>
      <c r="AJ420" t="s">
        <v>319</v>
      </c>
      <c r="AK420" t="s">
        <v>76</v>
      </c>
      <c r="AN420" t="s">
        <v>77</v>
      </c>
      <c r="AO420" t="s">
        <v>320</v>
      </c>
      <c r="AP420" t="s">
        <v>548</v>
      </c>
      <c r="AQ420" t="s">
        <v>322</v>
      </c>
      <c r="AS420" t="b">
        <v>1</v>
      </c>
      <c r="AT420" t="s">
        <v>65</v>
      </c>
      <c r="AU420">
        <v>0</v>
      </c>
      <c r="AV420">
        <v>0</v>
      </c>
      <c r="AX420">
        <v>39</v>
      </c>
      <c r="AY420" t="s">
        <v>81</v>
      </c>
      <c r="AZ420" t="s">
        <v>90</v>
      </c>
      <c r="BB420" t="s">
        <v>91</v>
      </c>
      <c r="BC420" t="s">
        <v>92</v>
      </c>
      <c r="BD420" t="b">
        <v>0</v>
      </c>
      <c r="BE420" t="b">
        <v>0</v>
      </c>
      <c r="BF420" t="b">
        <v>0</v>
      </c>
      <c r="BG420" t="b">
        <v>0</v>
      </c>
      <c r="BH420" t="b">
        <v>0</v>
      </c>
      <c r="BI420" t="b">
        <v>0</v>
      </c>
      <c r="BJ420" t="b">
        <v>0</v>
      </c>
      <c r="BK420" t="b">
        <v>0</v>
      </c>
      <c r="BL420" t="b">
        <v>0</v>
      </c>
      <c r="BM420" t="b">
        <v>0</v>
      </c>
      <c r="BN420" t="b">
        <v>0</v>
      </c>
      <c r="BO420" t="b">
        <v>0</v>
      </c>
      <c r="BP420" t="b">
        <v>0</v>
      </c>
      <c r="BR420" t="b">
        <f>IFERROR(IF(M420="PASSED",VLOOKUP(J420,Current!$J$1:$N$500,1,FALSE)),N420)</f>
        <v>0</v>
      </c>
    </row>
    <row r="421" spans="1:70" ht="15" hidden="1" customHeight="1" x14ac:dyDescent="0.25">
      <c r="A421">
        <v>21156</v>
      </c>
      <c r="C421">
        <v>0</v>
      </c>
      <c r="D421" t="s">
        <v>83</v>
      </c>
      <c r="E421" t="s">
        <v>66</v>
      </c>
      <c r="F421" t="s">
        <v>84</v>
      </c>
      <c r="G421">
        <v>0</v>
      </c>
      <c r="H421" t="s">
        <v>85</v>
      </c>
      <c r="I421" t="s">
        <v>86</v>
      </c>
      <c r="J421" t="str">
        <f>MID($N421,FIND("1.",$N421),FIND("-",$N421)-FIND("1.",$N421)-1)</f>
        <v>1.0420</v>
      </c>
      <c r="K421" t="str">
        <f t="shared" si="18"/>
        <v>Ensure Computer Browser (Browser) is set to Disabled or Not Installed</v>
      </c>
      <c r="L421" t="str">
        <f t="shared" si="19"/>
        <v>1.0420 - MSWRK - Ensure Computer Browser (Browser) is set to Disabled or Not Installed</v>
      </c>
      <c r="M421" t="str">
        <f t="shared" si="20"/>
        <v>FAILED</v>
      </c>
      <c r="N421" s="1" t="s">
        <v>603</v>
      </c>
      <c r="O421" t="s">
        <v>67</v>
      </c>
      <c r="R421" t="s">
        <v>68</v>
      </c>
      <c r="T421" t="s">
        <v>69</v>
      </c>
      <c r="U421" t="s">
        <v>70</v>
      </c>
      <c r="W421" t="s">
        <v>71</v>
      </c>
      <c r="X421" s="1" t="s">
        <v>72</v>
      </c>
      <c r="Y421" t="s">
        <v>88</v>
      </c>
      <c r="Z421">
        <v>0</v>
      </c>
      <c r="AA421">
        <v>0</v>
      </c>
      <c r="AD421">
        <v>0</v>
      </c>
      <c r="AE421">
        <v>0</v>
      </c>
      <c r="AH421" t="s">
        <v>73</v>
      </c>
      <c r="AI421" t="s">
        <v>318</v>
      </c>
      <c r="AJ421" t="s">
        <v>319</v>
      </c>
      <c r="AK421" t="s">
        <v>76</v>
      </c>
      <c r="AN421" t="s">
        <v>77</v>
      </c>
      <c r="AO421" t="s">
        <v>320</v>
      </c>
      <c r="AP421" t="s">
        <v>601</v>
      </c>
      <c r="AQ421" t="s">
        <v>322</v>
      </c>
      <c r="AS421" t="b">
        <v>1</v>
      </c>
      <c r="AT421" t="s">
        <v>65</v>
      </c>
      <c r="AU421">
        <v>0</v>
      </c>
      <c r="AV421">
        <v>0</v>
      </c>
      <c r="AX421">
        <v>39</v>
      </c>
      <c r="AY421" t="s">
        <v>81</v>
      </c>
      <c r="AZ421" t="s">
        <v>90</v>
      </c>
      <c r="BB421" t="s">
        <v>91</v>
      </c>
      <c r="BC421" t="s">
        <v>92</v>
      </c>
      <c r="BD421" t="b">
        <v>0</v>
      </c>
      <c r="BE421" t="b">
        <v>0</v>
      </c>
      <c r="BF421" t="b">
        <v>0</v>
      </c>
      <c r="BG421" t="b">
        <v>0</v>
      </c>
      <c r="BH421" t="b">
        <v>0</v>
      </c>
      <c r="BI421" t="b">
        <v>0</v>
      </c>
      <c r="BJ421" t="b">
        <v>0</v>
      </c>
      <c r="BK421" t="b">
        <v>0</v>
      </c>
      <c r="BL421" t="b">
        <v>0</v>
      </c>
      <c r="BM421" t="b">
        <v>0</v>
      </c>
      <c r="BN421" t="b">
        <v>0</v>
      </c>
      <c r="BO421" t="b">
        <v>0</v>
      </c>
      <c r="BP421" t="b">
        <v>0</v>
      </c>
      <c r="BR421" t="b">
        <f>IFERROR(IF(M421="PASSED",VLOOKUP(J421,Current!$J$1:$N$500,1,FALSE)),N421)</f>
        <v>0</v>
      </c>
    </row>
    <row r="422" spans="1:70" ht="15" hidden="1" customHeight="1" x14ac:dyDescent="0.25">
      <c r="A422">
        <v>21156</v>
      </c>
      <c r="C422">
        <v>0</v>
      </c>
      <c r="D422" t="s">
        <v>65</v>
      </c>
      <c r="E422" t="s">
        <v>66</v>
      </c>
      <c r="F422" t="s">
        <v>84</v>
      </c>
      <c r="G422">
        <v>0</v>
      </c>
      <c r="H422" t="s">
        <v>85</v>
      </c>
      <c r="I422" t="s">
        <v>86</v>
      </c>
      <c r="J422" t="str">
        <f>MID($N422,FIND("1.",$N422),FIND("-",$N422)-FIND("1.",$N422)-1)</f>
        <v>1.0421</v>
      </c>
      <c r="K422" t="str">
        <f t="shared" si="18"/>
        <v>Ensure SSDP Discovery (SSDPSRV) is set to Disabled - Ssdpsrv</v>
      </c>
      <c r="L422" t="str">
        <f t="shared" si="19"/>
        <v>1.0421 - MSWRK - Ensure SSDP Discovery (SSDPSRV) is set to Disabled - Ssdpsrv</v>
      </c>
      <c r="M422" t="str">
        <f t="shared" si="20"/>
        <v>PASSED</v>
      </c>
      <c r="N422" s="1" t="s">
        <v>99</v>
      </c>
      <c r="O422" t="s">
        <v>67</v>
      </c>
      <c r="R422" t="s">
        <v>68</v>
      </c>
      <c r="T422" t="s">
        <v>69</v>
      </c>
      <c r="U422" t="s">
        <v>70</v>
      </c>
      <c r="W422" t="s">
        <v>71</v>
      </c>
      <c r="X422" s="1" t="s">
        <v>72</v>
      </c>
      <c r="Y422" t="s">
        <v>88</v>
      </c>
      <c r="Z422">
        <v>0</v>
      </c>
      <c r="AA422">
        <v>0</v>
      </c>
      <c r="AD422">
        <v>0</v>
      </c>
      <c r="AE422">
        <v>0</v>
      </c>
      <c r="AH422" t="s">
        <v>73</v>
      </c>
      <c r="AI422" t="s">
        <v>318</v>
      </c>
      <c r="AJ422" t="s">
        <v>319</v>
      </c>
      <c r="AK422" t="s">
        <v>76</v>
      </c>
      <c r="AN422" t="s">
        <v>77</v>
      </c>
      <c r="AO422" t="s">
        <v>320</v>
      </c>
      <c r="AP422" t="s">
        <v>514</v>
      </c>
      <c r="AQ422" t="s">
        <v>322</v>
      </c>
      <c r="AS422" t="b">
        <v>1</v>
      </c>
      <c r="AT422" t="s">
        <v>65</v>
      </c>
      <c r="AU422">
        <v>0</v>
      </c>
      <c r="AV422">
        <v>0</v>
      </c>
      <c r="AX422">
        <v>39</v>
      </c>
      <c r="AY422" t="s">
        <v>81</v>
      </c>
      <c r="AZ422" t="s">
        <v>90</v>
      </c>
      <c r="BB422" t="s">
        <v>91</v>
      </c>
      <c r="BC422" t="s">
        <v>92</v>
      </c>
      <c r="BD422" t="b">
        <v>0</v>
      </c>
      <c r="BE422" t="b">
        <v>0</v>
      </c>
      <c r="BF422" t="b">
        <v>0</v>
      </c>
      <c r="BG422" t="b">
        <v>0</v>
      </c>
      <c r="BH422" t="b">
        <v>0</v>
      </c>
      <c r="BI422" t="b">
        <v>0</v>
      </c>
      <c r="BJ422" t="b">
        <v>0</v>
      </c>
      <c r="BK422" t="b">
        <v>0</v>
      </c>
      <c r="BL422" t="b">
        <v>0</v>
      </c>
      <c r="BM422" t="b">
        <v>0</v>
      </c>
      <c r="BN422" t="b">
        <v>0</v>
      </c>
      <c r="BO422" t="b">
        <v>0</v>
      </c>
      <c r="BP422" t="b">
        <v>0</v>
      </c>
      <c r="BR422" t="str">
        <f>IFERROR(IF(M422="PASSED",VLOOKUP(J422,Current!$J$1:$N$500,1,FALSE)),N422)</f>
        <v>1.0421</v>
      </c>
    </row>
    <row r="423" spans="1:70" ht="15" hidden="1" customHeight="1" x14ac:dyDescent="0.25">
      <c r="A423">
        <v>21156</v>
      </c>
      <c r="C423">
        <v>0</v>
      </c>
      <c r="D423" t="s">
        <v>65</v>
      </c>
      <c r="E423" t="s">
        <v>66</v>
      </c>
      <c r="F423" t="s">
        <v>84</v>
      </c>
      <c r="G423">
        <v>0</v>
      </c>
      <c r="H423" t="s">
        <v>85</v>
      </c>
      <c r="I423" t="s">
        <v>86</v>
      </c>
      <c r="J423" t="str">
        <f>MID($N423,FIND("1.",$N423),FIND("-",$N423)-FIND("1.",$N423)-1)</f>
        <v>1.0422</v>
      </c>
      <c r="K423" t="str">
        <f t="shared" si="18"/>
        <v>Ensure UPnP Device Host (upnphost) is set to Disabled - Upnphost</v>
      </c>
      <c r="L423" t="str">
        <f t="shared" si="19"/>
        <v>1.0422 - MSWRK - Ensure UPnP Device Host (upnphost) is set to Disabled - Upnphost</v>
      </c>
      <c r="M423" t="str">
        <f t="shared" si="20"/>
        <v>PASSED</v>
      </c>
      <c r="N423" s="1" t="s">
        <v>190</v>
      </c>
      <c r="O423" t="s">
        <v>67</v>
      </c>
      <c r="R423" t="s">
        <v>68</v>
      </c>
      <c r="T423" t="s">
        <v>69</v>
      </c>
      <c r="U423" t="s">
        <v>70</v>
      </c>
      <c r="W423" t="s">
        <v>71</v>
      </c>
      <c r="X423" s="1" t="s">
        <v>72</v>
      </c>
      <c r="Y423" t="s">
        <v>88</v>
      </c>
      <c r="Z423">
        <v>0</v>
      </c>
      <c r="AA423">
        <v>0</v>
      </c>
      <c r="AD423">
        <v>0</v>
      </c>
      <c r="AE423">
        <v>0</v>
      </c>
      <c r="AH423" t="s">
        <v>73</v>
      </c>
      <c r="AI423" t="s">
        <v>318</v>
      </c>
      <c r="AJ423" t="s">
        <v>319</v>
      </c>
      <c r="AK423" t="s">
        <v>76</v>
      </c>
      <c r="AN423" t="s">
        <v>77</v>
      </c>
      <c r="AO423" t="s">
        <v>320</v>
      </c>
      <c r="AP423" t="s">
        <v>431</v>
      </c>
      <c r="AQ423" t="s">
        <v>322</v>
      </c>
      <c r="AS423" t="b">
        <v>1</v>
      </c>
      <c r="AT423" t="s">
        <v>65</v>
      </c>
      <c r="AU423">
        <v>0</v>
      </c>
      <c r="AV423">
        <v>0</v>
      </c>
      <c r="AX423">
        <v>39</v>
      </c>
      <c r="AY423" t="s">
        <v>81</v>
      </c>
      <c r="AZ423" t="s">
        <v>90</v>
      </c>
      <c r="BB423" t="s">
        <v>91</v>
      </c>
      <c r="BC423" t="s">
        <v>92</v>
      </c>
      <c r="BD423" t="b">
        <v>0</v>
      </c>
      <c r="BE423" t="b">
        <v>0</v>
      </c>
      <c r="BF423" t="b">
        <v>0</v>
      </c>
      <c r="BG423" t="b">
        <v>0</v>
      </c>
      <c r="BH423" t="b">
        <v>0</v>
      </c>
      <c r="BI423" t="b">
        <v>0</v>
      </c>
      <c r="BJ423" t="b">
        <v>0</v>
      </c>
      <c r="BK423" t="b">
        <v>0</v>
      </c>
      <c r="BL423" t="b">
        <v>0</v>
      </c>
      <c r="BM423" t="b">
        <v>0</v>
      </c>
      <c r="BN423" t="b">
        <v>0</v>
      </c>
      <c r="BO423" t="b">
        <v>0</v>
      </c>
      <c r="BP423" t="b">
        <v>0</v>
      </c>
      <c r="BR423" t="str">
        <f>IFERROR(IF(M423="PASSED",VLOOKUP(J423,Current!$J$1:$N$500,1,FALSE)),N423)</f>
        <v>1.0422</v>
      </c>
    </row>
    <row r="424" spans="1:70" ht="15" hidden="1" customHeight="1" x14ac:dyDescent="0.25">
      <c r="A424">
        <v>21156</v>
      </c>
      <c r="C424">
        <v>0</v>
      </c>
      <c r="D424" t="s">
        <v>83</v>
      </c>
      <c r="E424" t="s">
        <v>66</v>
      </c>
      <c r="F424" t="s">
        <v>84</v>
      </c>
      <c r="G424">
        <v>0</v>
      </c>
      <c r="H424" t="s">
        <v>85</v>
      </c>
      <c r="I424" t="s">
        <v>86</v>
      </c>
      <c r="J424" t="str">
        <f>MID($N424,FIND("1.",$N424),FIND("-",$N424)-FIND("1.",$N424)-1)</f>
        <v>1.0423</v>
      </c>
      <c r="K424" t="str">
        <f t="shared" si="18"/>
        <v>Ensure Web Management Service (WMSvc) is set to Disabled or Not Installed - Wmsvc</v>
      </c>
      <c r="L424" t="str">
        <f t="shared" si="19"/>
        <v>1.0423 - MSWRK - Ensure Web Management Service (WMSvc) is set to Disabled or Not Installed - Wmsvc</v>
      </c>
      <c r="M424" t="str">
        <f t="shared" si="20"/>
        <v>FAILED</v>
      </c>
      <c r="N424" s="1" t="s">
        <v>415</v>
      </c>
      <c r="O424" t="s">
        <v>67</v>
      </c>
      <c r="R424" t="s">
        <v>68</v>
      </c>
      <c r="T424" t="s">
        <v>69</v>
      </c>
      <c r="U424" t="s">
        <v>70</v>
      </c>
      <c r="W424" t="s">
        <v>71</v>
      </c>
      <c r="X424" s="1" t="s">
        <v>72</v>
      </c>
      <c r="Y424" t="s">
        <v>88</v>
      </c>
      <c r="Z424">
        <v>0</v>
      </c>
      <c r="AA424">
        <v>0</v>
      </c>
      <c r="AD424">
        <v>0</v>
      </c>
      <c r="AE424">
        <v>0</v>
      </c>
      <c r="AH424" t="s">
        <v>73</v>
      </c>
      <c r="AI424" t="s">
        <v>318</v>
      </c>
      <c r="AJ424" t="s">
        <v>319</v>
      </c>
      <c r="AK424" t="s">
        <v>76</v>
      </c>
      <c r="AN424" t="s">
        <v>77</v>
      </c>
      <c r="AO424" t="s">
        <v>320</v>
      </c>
      <c r="AP424" t="s">
        <v>414</v>
      </c>
      <c r="AQ424" t="s">
        <v>322</v>
      </c>
      <c r="AS424" t="b">
        <v>1</v>
      </c>
      <c r="AT424" t="s">
        <v>65</v>
      </c>
      <c r="AU424">
        <v>0</v>
      </c>
      <c r="AV424">
        <v>0</v>
      </c>
      <c r="AX424">
        <v>39</v>
      </c>
      <c r="AY424" t="s">
        <v>81</v>
      </c>
      <c r="AZ424" t="s">
        <v>90</v>
      </c>
      <c r="BB424" t="s">
        <v>91</v>
      </c>
      <c r="BC424" t="s">
        <v>92</v>
      </c>
      <c r="BD424" t="b">
        <v>0</v>
      </c>
      <c r="BE424" t="b">
        <v>0</v>
      </c>
      <c r="BF424" t="b">
        <v>0</v>
      </c>
      <c r="BG424" t="b">
        <v>0</v>
      </c>
      <c r="BH424" t="b">
        <v>0</v>
      </c>
      <c r="BI424" t="b">
        <v>0</v>
      </c>
      <c r="BJ424" t="b">
        <v>0</v>
      </c>
      <c r="BK424" t="b">
        <v>0</v>
      </c>
      <c r="BL424" t="b">
        <v>0</v>
      </c>
      <c r="BM424" t="b">
        <v>0</v>
      </c>
      <c r="BN424" t="b">
        <v>0</v>
      </c>
      <c r="BO424" t="b">
        <v>0</v>
      </c>
      <c r="BP424" t="b">
        <v>0</v>
      </c>
      <c r="BR424" t="b">
        <f>IFERROR(IF(M424="PASSED",VLOOKUP(J424,Current!$J$1:$N$500,1,FALSE)),N424)</f>
        <v>0</v>
      </c>
    </row>
    <row r="425" spans="1:70" ht="15" hidden="1" customHeight="1" x14ac:dyDescent="0.25">
      <c r="A425">
        <v>21156</v>
      </c>
      <c r="C425">
        <v>0</v>
      </c>
      <c r="D425" t="s">
        <v>65</v>
      </c>
      <c r="E425" t="s">
        <v>66</v>
      </c>
      <c r="F425" t="s">
        <v>84</v>
      </c>
      <c r="G425">
        <v>0</v>
      </c>
      <c r="H425" t="s">
        <v>85</v>
      </c>
      <c r="I425" t="s">
        <v>86</v>
      </c>
      <c r="J425" t="str">
        <f>MID($N425,FIND("1.",$N425),FIND("-",$N425)-FIND("1.",$N425)-1)</f>
        <v>1.0424</v>
      </c>
      <c r="K425" t="str">
        <f t="shared" si="18"/>
        <v>Ensure Windows Media Player Network Sharing Service (WMPNetworkSvc) is set to Disabled or Not Installed - Wmpnetworksvc</v>
      </c>
      <c r="L425" t="str">
        <f t="shared" si="19"/>
        <v>1.0424 - MSWRK - Ensure Windows Media Player Network Sharing Service (WMPNetworkSvc) is set to Disabled or Not Installed - Wmpnetworksvc</v>
      </c>
      <c r="M425" t="str">
        <f t="shared" si="20"/>
        <v>PASSED</v>
      </c>
      <c r="N425" s="1" t="s">
        <v>105</v>
      </c>
      <c r="O425" t="s">
        <v>67</v>
      </c>
      <c r="R425" t="s">
        <v>68</v>
      </c>
      <c r="T425" t="s">
        <v>69</v>
      </c>
      <c r="U425" t="s">
        <v>70</v>
      </c>
      <c r="W425" t="s">
        <v>71</v>
      </c>
      <c r="X425" s="1" t="s">
        <v>72</v>
      </c>
      <c r="Y425" t="s">
        <v>88</v>
      </c>
      <c r="Z425">
        <v>0</v>
      </c>
      <c r="AA425">
        <v>0</v>
      </c>
      <c r="AD425">
        <v>0</v>
      </c>
      <c r="AE425">
        <v>0</v>
      </c>
      <c r="AH425" t="s">
        <v>73</v>
      </c>
      <c r="AI425" t="s">
        <v>318</v>
      </c>
      <c r="AJ425" t="s">
        <v>319</v>
      </c>
      <c r="AK425" t="s">
        <v>76</v>
      </c>
      <c r="AN425" t="s">
        <v>77</v>
      </c>
      <c r="AO425" t="s">
        <v>320</v>
      </c>
      <c r="AP425" t="s">
        <v>406</v>
      </c>
      <c r="AQ425" t="s">
        <v>322</v>
      </c>
      <c r="AS425" t="b">
        <v>1</v>
      </c>
      <c r="AT425" t="s">
        <v>65</v>
      </c>
      <c r="AU425">
        <v>0</v>
      </c>
      <c r="AV425">
        <v>0</v>
      </c>
      <c r="AX425">
        <v>39</v>
      </c>
      <c r="AY425" t="s">
        <v>81</v>
      </c>
      <c r="AZ425" t="s">
        <v>90</v>
      </c>
      <c r="BB425" t="s">
        <v>91</v>
      </c>
      <c r="BC425" t="s">
        <v>92</v>
      </c>
      <c r="BD425" t="b">
        <v>0</v>
      </c>
      <c r="BE425" t="b">
        <v>0</v>
      </c>
      <c r="BF425" t="b">
        <v>0</v>
      </c>
      <c r="BG425" t="b">
        <v>0</v>
      </c>
      <c r="BH425" t="b">
        <v>0</v>
      </c>
      <c r="BI425" t="b">
        <v>0</v>
      </c>
      <c r="BJ425" t="b">
        <v>0</v>
      </c>
      <c r="BK425" t="b">
        <v>0</v>
      </c>
      <c r="BL425" t="b">
        <v>0</v>
      </c>
      <c r="BM425" t="b">
        <v>0</v>
      </c>
      <c r="BN425" t="b">
        <v>0</v>
      </c>
      <c r="BO425" t="b">
        <v>0</v>
      </c>
      <c r="BP425" t="b">
        <v>0</v>
      </c>
      <c r="BR425" t="str">
        <f>IFERROR(IF(M425="PASSED",VLOOKUP(J425,Current!$J$1:$N$500,1,FALSE)),N425)</f>
        <v>1.0424</v>
      </c>
    </row>
    <row r="426" spans="1:70" ht="15" hidden="1" customHeight="1" x14ac:dyDescent="0.25">
      <c r="A426">
        <v>21156</v>
      </c>
      <c r="C426">
        <v>0</v>
      </c>
      <c r="D426" t="s">
        <v>65</v>
      </c>
      <c r="E426" t="s">
        <v>66</v>
      </c>
      <c r="F426" t="s">
        <v>84</v>
      </c>
      <c r="G426">
        <v>0</v>
      </c>
      <c r="H426" t="s">
        <v>85</v>
      </c>
      <c r="I426" t="s">
        <v>86</v>
      </c>
      <c r="J426" t="str">
        <f>MID($N426,FIND("1.",$N426),FIND("-",$N426)-FIND("1.",$N426)-1)</f>
        <v>1.0425</v>
      </c>
      <c r="K426" t="str">
        <f t="shared" si="18"/>
        <v>Ensure Windows Mobile Hotspot Service (icssvc) is set to Disabled - Icssvc</v>
      </c>
      <c r="L426" t="str">
        <f t="shared" si="19"/>
        <v>1.0425 - MSWRK - Ensure Windows Mobile Hotspot Service (icssvc) is set to Disabled - Icssvc</v>
      </c>
      <c r="M426" t="str">
        <f t="shared" si="20"/>
        <v>PASSED</v>
      </c>
      <c r="N426" s="1" t="s">
        <v>255</v>
      </c>
      <c r="O426" t="s">
        <v>67</v>
      </c>
      <c r="R426" t="s">
        <v>68</v>
      </c>
      <c r="T426" t="s">
        <v>69</v>
      </c>
      <c r="U426" t="s">
        <v>70</v>
      </c>
      <c r="W426" t="s">
        <v>71</v>
      </c>
      <c r="X426" s="1" t="s">
        <v>72</v>
      </c>
      <c r="Y426" t="s">
        <v>88</v>
      </c>
      <c r="Z426">
        <v>0</v>
      </c>
      <c r="AA426">
        <v>0</v>
      </c>
      <c r="AD426">
        <v>0</v>
      </c>
      <c r="AE426">
        <v>0</v>
      </c>
      <c r="AH426" t="s">
        <v>73</v>
      </c>
      <c r="AI426" t="s">
        <v>318</v>
      </c>
      <c r="AJ426" t="s">
        <v>319</v>
      </c>
      <c r="AK426" t="s">
        <v>76</v>
      </c>
      <c r="AN426" t="s">
        <v>77</v>
      </c>
      <c r="AO426" t="s">
        <v>320</v>
      </c>
      <c r="AP426" t="s">
        <v>758</v>
      </c>
      <c r="AQ426" t="s">
        <v>322</v>
      </c>
      <c r="AS426" t="b">
        <v>1</v>
      </c>
      <c r="AT426" t="s">
        <v>65</v>
      </c>
      <c r="AU426">
        <v>0</v>
      </c>
      <c r="AV426">
        <v>0</v>
      </c>
      <c r="AX426">
        <v>39</v>
      </c>
      <c r="AY426" t="s">
        <v>81</v>
      </c>
      <c r="AZ426" t="s">
        <v>90</v>
      </c>
      <c r="BB426" t="s">
        <v>91</v>
      </c>
      <c r="BC426" t="s">
        <v>92</v>
      </c>
      <c r="BD426" t="b">
        <v>0</v>
      </c>
      <c r="BE426" t="b">
        <v>0</v>
      </c>
      <c r="BF426" t="b">
        <v>0</v>
      </c>
      <c r="BG426" t="b">
        <v>0</v>
      </c>
      <c r="BH426" t="b">
        <v>0</v>
      </c>
      <c r="BI426" t="b">
        <v>0</v>
      </c>
      <c r="BJ426" t="b">
        <v>0</v>
      </c>
      <c r="BK426" t="b">
        <v>0</v>
      </c>
      <c r="BL426" t="b">
        <v>0</v>
      </c>
      <c r="BM426" t="b">
        <v>0</v>
      </c>
      <c r="BN426" t="b">
        <v>0</v>
      </c>
      <c r="BO426" t="b">
        <v>0</v>
      </c>
      <c r="BP426" t="b">
        <v>0</v>
      </c>
      <c r="BR426" t="str">
        <f>IFERROR(IF(M426="PASSED",VLOOKUP(J426,Current!$J$1:$N$500,1,FALSE)),N426)</f>
        <v>1.0425</v>
      </c>
    </row>
    <row r="427" spans="1:70" ht="15" hidden="1" customHeight="1" x14ac:dyDescent="0.25">
      <c r="A427">
        <v>21156</v>
      </c>
      <c r="C427">
        <v>0</v>
      </c>
      <c r="D427" t="s">
        <v>83</v>
      </c>
      <c r="E427" t="s">
        <v>66</v>
      </c>
      <c r="F427" t="s">
        <v>84</v>
      </c>
      <c r="G427">
        <v>0</v>
      </c>
      <c r="H427" t="s">
        <v>85</v>
      </c>
      <c r="I427" t="s">
        <v>86</v>
      </c>
      <c r="J427" t="str">
        <f>MID($N427,FIND("1.",$N427),FIND("-",$N427)-FIND("1.",$N427)-1)</f>
        <v>1.0426</v>
      </c>
      <c r="K427" t="str">
        <f t="shared" si="18"/>
        <v>Ensure World Wide Web Publishing Service (W3SVC) is set to Disabled or Not Installed - W3svc</v>
      </c>
      <c r="L427" t="str">
        <f t="shared" si="19"/>
        <v>1.0426 - MSWRK - Ensure World Wide Web Publishing Service (W3SVC) is set to Disabled or Not Installed - W3svc</v>
      </c>
      <c r="M427" t="str">
        <f t="shared" si="20"/>
        <v>FAILED</v>
      </c>
      <c r="N427" s="1" t="s">
        <v>804</v>
      </c>
      <c r="O427" t="s">
        <v>67</v>
      </c>
      <c r="R427" t="s">
        <v>68</v>
      </c>
      <c r="T427" t="s">
        <v>69</v>
      </c>
      <c r="U427" t="s">
        <v>70</v>
      </c>
      <c r="W427" t="s">
        <v>71</v>
      </c>
      <c r="X427" s="1" t="s">
        <v>72</v>
      </c>
      <c r="Y427" t="s">
        <v>88</v>
      </c>
      <c r="Z427">
        <v>0</v>
      </c>
      <c r="AA427">
        <v>0</v>
      </c>
      <c r="AD427">
        <v>0</v>
      </c>
      <c r="AE427">
        <v>0</v>
      </c>
      <c r="AH427" t="s">
        <v>73</v>
      </c>
      <c r="AI427" t="s">
        <v>318</v>
      </c>
      <c r="AJ427" t="s">
        <v>319</v>
      </c>
      <c r="AK427" t="s">
        <v>76</v>
      </c>
      <c r="AN427" t="s">
        <v>77</v>
      </c>
      <c r="AO427" t="s">
        <v>320</v>
      </c>
      <c r="AP427" t="s">
        <v>802</v>
      </c>
      <c r="AQ427" t="s">
        <v>322</v>
      </c>
      <c r="AS427" t="b">
        <v>1</v>
      </c>
      <c r="AT427" t="s">
        <v>65</v>
      </c>
      <c r="AU427">
        <v>0</v>
      </c>
      <c r="AV427">
        <v>0</v>
      </c>
      <c r="AX427">
        <v>39</v>
      </c>
      <c r="AY427" t="s">
        <v>81</v>
      </c>
      <c r="AZ427" t="s">
        <v>90</v>
      </c>
      <c r="BB427" t="s">
        <v>91</v>
      </c>
      <c r="BC427" t="s">
        <v>92</v>
      </c>
      <c r="BD427" t="b">
        <v>0</v>
      </c>
      <c r="BE427" t="b">
        <v>0</v>
      </c>
      <c r="BF427" t="b">
        <v>0</v>
      </c>
      <c r="BG427" t="b">
        <v>0</v>
      </c>
      <c r="BH427" t="b">
        <v>0</v>
      </c>
      <c r="BI427" t="b">
        <v>0</v>
      </c>
      <c r="BJ427" t="b">
        <v>0</v>
      </c>
      <c r="BK427" t="b">
        <v>0</v>
      </c>
      <c r="BL427" t="b">
        <v>0</v>
      </c>
      <c r="BM427" t="b">
        <v>0</v>
      </c>
      <c r="BN427" t="b">
        <v>0</v>
      </c>
      <c r="BO427" t="b">
        <v>0</v>
      </c>
      <c r="BP427" t="b">
        <v>0</v>
      </c>
      <c r="BR427" t="b">
        <f>IFERROR(IF(M427="PASSED",VLOOKUP(J427,Current!$J$1:$N$500,1,FALSE)),N427)</f>
        <v>0</v>
      </c>
    </row>
    <row r="428" spans="1:70" ht="15" hidden="1" customHeight="1" x14ac:dyDescent="0.25">
      <c r="A428">
        <v>21156</v>
      </c>
      <c r="C428">
        <v>0</v>
      </c>
      <c r="D428" t="s">
        <v>65</v>
      </c>
      <c r="E428" t="s">
        <v>66</v>
      </c>
      <c r="F428" t="s">
        <v>84</v>
      </c>
      <c r="G428">
        <v>0</v>
      </c>
      <c r="H428" t="s">
        <v>85</v>
      </c>
      <c r="I428" t="s">
        <v>86</v>
      </c>
      <c r="J428" t="str">
        <f>MID($N428,FIND("1.",$N428),FIND("-",$N428)-FIND("1.",$N428)-1)</f>
        <v>1.0427</v>
      </c>
      <c r="K428" t="str">
        <f t="shared" si="18"/>
        <v>Ensure Xbox Accessory Management Service (XboxGipSvc) is set to Disabled - Xboxgipsvc</v>
      </c>
      <c r="L428" t="str">
        <f t="shared" si="19"/>
        <v>1.0427 - MSWRK - Ensure Xbox Accessory Management Service (XboxGipSvc) is set to Disabled - Xboxgipsvc</v>
      </c>
      <c r="M428" t="str">
        <f t="shared" si="20"/>
        <v>PASSED</v>
      </c>
      <c r="N428" s="1" t="s">
        <v>183</v>
      </c>
      <c r="O428" t="s">
        <v>67</v>
      </c>
      <c r="R428" t="s">
        <v>68</v>
      </c>
      <c r="T428" t="s">
        <v>69</v>
      </c>
      <c r="U428" t="s">
        <v>70</v>
      </c>
      <c r="W428" t="s">
        <v>71</v>
      </c>
      <c r="X428" s="1" t="s">
        <v>72</v>
      </c>
      <c r="Y428" t="s">
        <v>88</v>
      </c>
      <c r="Z428">
        <v>0</v>
      </c>
      <c r="AA428">
        <v>0</v>
      </c>
      <c r="AD428">
        <v>0</v>
      </c>
      <c r="AE428">
        <v>0</v>
      </c>
      <c r="AH428" t="s">
        <v>73</v>
      </c>
      <c r="AI428" t="s">
        <v>318</v>
      </c>
      <c r="AJ428" t="s">
        <v>319</v>
      </c>
      <c r="AK428" t="s">
        <v>76</v>
      </c>
      <c r="AN428" t="s">
        <v>77</v>
      </c>
      <c r="AO428" t="s">
        <v>320</v>
      </c>
      <c r="AP428" t="s">
        <v>794</v>
      </c>
      <c r="AQ428" t="s">
        <v>322</v>
      </c>
      <c r="AS428" t="b">
        <v>1</v>
      </c>
      <c r="AT428" t="s">
        <v>65</v>
      </c>
      <c r="AU428">
        <v>0</v>
      </c>
      <c r="AV428">
        <v>0</v>
      </c>
      <c r="AX428">
        <v>39</v>
      </c>
      <c r="AY428" t="s">
        <v>81</v>
      </c>
      <c r="AZ428" t="s">
        <v>90</v>
      </c>
      <c r="BB428" t="s">
        <v>91</v>
      </c>
      <c r="BC428" t="s">
        <v>92</v>
      </c>
      <c r="BD428" t="b">
        <v>0</v>
      </c>
      <c r="BE428" t="b">
        <v>0</v>
      </c>
      <c r="BF428" t="b">
        <v>0</v>
      </c>
      <c r="BG428" t="b">
        <v>0</v>
      </c>
      <c r="BH428" t="b">
        <v>0</v>
      </c>
      <c r="BI428" t="b">
        <v>0</v>
      </c>
      <c r="BJ428" t="b">
        <v>0</v>
      </c>
      <c r="BK428" t="b">
        <v>0</v>
      </c>
      <c r="BL428" t="b">
        <v>0</v>
      </c>
      <c r="BM428" t="b">
        <v>0</v>
      </c>
      <c r="BN428" t="b">
        <v>0</v>
      </c>
      <c r="BO428" t="b">
        <v>0</v>
      </c>
      <c r="BP428" t="b">
        <v>0</v>
      </c>
      <c r="BR428" t="str">
        <f>IFERROR(IF(M428="PASSED",VLOOKUP(J428,Current!$J$1:$N$500,1,FALSE)),N428)</f>
        <v>1.0427</v>
      </c>
    </row>
    <row r="429" spans="1:70" ht="15" hidden="1" customHeight="1" x14ac:dyDescent="0.25">
      <c r="A429">
        <v>21156</v>
      </c>
      <c r="C429">
        <v>0</v>
      </c>
      <c r="D429" t="s">
        <v>65</v>
      </c>
      <c r="E429" t="s">
        <v>66</v>
      </c>
      <c r="F429" t="s">
        <v>84</v>
      </c>
      <c r="G429">
        <v>0</v>
      </c>
      <c r="H429" t="s">
        <v>85</v>
      </c>
      <c r="I429" t="s">
        <v>86</v>
      </c>
      <c r="J429" t="str">
        <f>MID($N429,FIND("1.",$N429),FIND("-",$N429)-FIND("1.",$N429)-1)</f>
        <v>1.0428</v>
      </c>
      <c r="K429" t="str">
        <f t="shared" si="18"/>
        <v>Ensure Xbox Live Auth Manager (XblAuthManager) is set to Disabled - Xblauthmanager</v>
      </c>
      <c r="L429" t="str">
        <f t="shared" si="19"/>
        <v>1.0428 - MSWRK - Ensure Xbox Live Auth Manager (XblAuthManager) is set to Disabled - Xblauthmanager</v>
      </c>
      <c r="M429" t="str">
        <f t="shared" si="20"/>
        <v>PASSED</v>
      </c>
      <c r="N429" s="1" t="s">
        <v>230</v>
      </c>
      <c r="O429" t="s">
        <v>67</v>
      </c>
      <c r="R429" t="s">
        <v>68</v>
      </c>
      <c r="T429" t="s">
        <v>69</v>
      </c>
      <c r="U429" t="s">
        <v>70</v>
      </c>
      <c r="W429" t="s">
        <v>71</v>
      </c>
      <c r="X429" s="1" t="s">
        <v>72</v>
      </c>
      <c r="Y429" t="s">
        <v>88</v>
      </c>
      <c r="Z429">
        <v>0</v>
      </c>
      <c r="AA429">
        <v>0</v>
      </c>
      <c r="AD429">
        <v>0</v>
      </c>
      <c r="AE429">
        <v>0</v>
      </c>
      <c r="AH429" t="s">
        <v>73</v>
      </c>
      <c r="AI429" t="s">
        <v>318</v>
      </c>
      <c r="AJ429" t="s">
        <v>319</v>
      </c>
      <c r="AK429" t="s">
        <v>76</v>
      </c>
      <c r="AN429" t="s">
        <v>77</v>
      </c>
      <c r="AO429" t="s">
        <v>320</v>
      </c>
      <c r="AP429" t="s">
        <v>375</v>
      </c>
      <c r="AQ429" t="s">
        <v>322</v>
      </c>
      <c r="AS429" t="b">
        <v>1</v>
      </c>
      <c r="AT429" t="s">
        <v>65</v>
      </c>
      <c r="AU429">
        <v>0</v>
      </c>
      <c r="AV429">
        <v>0</v>
      </c>
      <c r="AX429">
        <v>39</v>
      </c>
      <c r="AY429" t="s">
        <v>81</v>
      </c>
      <c r="AZ429" t="s">
        <v>90</v>
      </c>
      <c r="BB429" t="s">
        <v>91</v>
      </c>
      <c r="BC429" t="s">
        <v>92</v>
      </c>
      <c r="BD429" t="b">
        <v>0</v>
      </c>
      <c r="BE429" t="b">
        <v>0</v>
      </c>
      <c r="BF429" t="b">
        <v>0</v>
      </c>
      <c r="BG429" t="b">
        <v>0</v>
      </c>
      <c r="BH429" t="b">
        <v>0</v>
      </c>
      <c r="BI429" t="b">
        <v>0</v>
      </c>
      <c r="BJ429" t="b">
        <v>0</v>
      </c>
      <c r="BK429" t="b">
        <v>0</v>
      </c>
      <c r="BL429" t="b">
        <v>0</v>
      </c>
      <c r="BM429" t="b">
        <v>0</v>
      </c>
      <c r="BN429" t="b">
        <v>0</v>
      </c>
      <c r="BO429" t="b">
        <v>0</v>
      </c>
      <c r="BP429" t="b">
        <v>0</v>
      </c>
      <c r="BR429" t="str">
        <f>IFERROR(IF(M429="PASSED",VLOOKUP(J429,Current!$J$1:$N$500,1,FALSE)),N429)</f>
        <v>1.0428</v>
      </c>
    </row>
    <row r="430" spans="1:70" ht="15" hidden="1" customHeight="1" x14ac:dyDescent="0.25">
      <c r="A430">
        <v>21156</v>
      </c>
      <c r="C430">
        <v>0</v>
      </c>
      <c r="D430" t="s">
        <v>65</v>
      </c>
      <c r="E430" t="s">
        <v>66</v>
      </c>
      <c r="F430" t="s">
        <v>84</v>
      </c>
      <c r="G430">
        <v>0</v>
      </c>
      <c r="H430" t="s">
        <v>85</v>
      </c>
      <c r="I430" t="s">
        <v>86</v>
      </c>
      <c r="J430" t="str">
        <f>MID($N430,FIND("1.",$N430),FIND("-",$N430)-FIND("1.",$N430)-1)</f>
        <v>1.0429</v>
      </c>
      <c r="K430" t="str">
        <f t="shared" si="18"/>
        <v>Ensure Xbox Live Game Save (XblGameSave) is set to Disabled - Xblgamesave</v>
      </c>
      <c r="L430" t="str">
        <f t="shared" si="19"/>
        <v>1.0429 - MSWRK - Ensure Xbox Live Game Save (XblGameSave) is set to Disabled - Xblgamesave</v>
      </c>
      <c r="M430" t="str">
        <f t="shared" si="20"/>
        <v>PASSED</v>
      </c>
      <c r="N430" s="1" t="s">
        <v>168</v>
      </c>
      <c r="O430" t="s">
        <v>67</v>
      </c>
      <c r="R430" t="s">
        <v>68</v>
      </c>
      <c r="T430" t="s">
        <v>69</v>
      </c>
      <c r="U430" t="s">
        <v>70</v>
      </c>
      <c r="W430" t="s">
        <v>71</v>
      </c>
      <c r="X430" s="1" t="s">
        <v>72</v>
      </c>
      <c r="Y430" t="s">
        <v>88</v>
      </c>
      <c r="Z430">
        <v>0</v>
      </c>
      <c r="AA430">
        <v>0</v>
      </c>
      <c r="AD430">
        <v>0</v>
      </c>
      <c r="AE430">
        <v>0</v>
      </c>
      <c r="AH430" t="s">
        <v>73</v>
      </c>
      <c r="AI430" t="s">
        <v>318</v>
      </c>
      <c r="AJ430" t="s">
        <v>319</v>
      </c>
      <c r="AK430" t="s">
        <v>76</v>
      </c>
      <c r="AN430" t="s">
        <v>77</v>
      </c>
      <c r="AO430" t="s">
        <v>320</v>
      </c>
      <c r="AP430" t="s">
        <v>801</v>
      </c>
      <c r="AQ430" t="s">
        <v>322</v>
      </c>
      <c r="AS430" t="b">
        <v>1</v>
      </c>
      <c r="AT430" t="s">
        <v>65</v>
      </c>
      <c r="AU430">
        <v>0</v>
      </c>
      <c r="AV430">
        <v>0</v>
      </c>
      <c r="AX430">
        <v>39</v>
      </c>
      <c r="AY430" t="s">
        <v>81</v>
      </c>
      <c r="AZ430" t="s">
        <v>90</v>
      </c>
      <c r="BB430" t="s">
        <v>91</v>
      </c>
      <c r="BC430" t="s">
        <v>92</v>
      </c>
      <c r="BD430" t="b">
        <v>0</v>
      </c>
      <c r="BE430" t="b">
        <v>0</v>
      </c>
      <c r="BF430" t="b">
        <v>0</v>
      </c>
      <c r="BG430" t="b">
        <v>0</v>
      </c>
      <c r="BH430" t="b">
        <v>0</v>
      </c>
      <c r="BI430" t="b">
        <v>0</v>
      </c>
      <c r="BJ430" t="b">
        <v>0</v>
      </c>
      <c r="BK430" t="b">
        <v>0</v>
      </c>
      <c r="BL430" t="b">
        <v>0</v>
      </c>
      <c r="BM430" t="b">
        <v>0</v>
      </c>
      <c r="BN430" t="b">
        <v>0</v>
      </c>
      <c r="BO430" t="b">
        <v>0</v>
      </c>
      <c r="BP430" t="b">
        <v>0</v>
      </c>
      <c r="BR430" t="str">
        <f>IFERROR(IF(M430="PASSED",VLOOKUP(J430,Current!$J$1:$N$500,1,FALSE)),N430)</f>
        <v>1.0429</v>
      </c>
    </row>
    <row r="431" spans="1:70" ht="15" hidden="1" customHeight="1" x14ac:dyDescent="0.25">
      <c r="A431">
        <v>21156</v>
      </c>
      <c r="C431">
        <v>0</v>
      </c>
      <c r="D431" t="s">
        <v>65</v>
      </c>
      <c r="E431" t="s">
        <v>66</v>
      </c>
      <c r="F431" t="s">
        <v>84</v>
      </c>
      <c r="G431">
        <v>0</v>
      </c>
      <c r="H431" t="s">
        <v>85</v>
      </c>
      <c r="I431" t="s">
        <v>86</v>
      </c>
      <c r="J431" t="str">
        <f>MID($N431,FIND("1.",$N431),FIND("-",$N431)-FIND("1.",$N431)-1)</f>
        <v>1.0430</v>
      </c>
      <c r="K431" t="str">
        <f t="shared" si="18"/>
        <v>Ensure Xbox Live Networking Service (XboxNetApiSvc) is set to Disabled - Xboxnetapisvc</v>
      </c>
      <c r="L431" t="str">
        <f t="shared" si="19"/>
        <v>1.0430 - MSWRK - Ensure Xbox Live Networking Service (XboxNetApiSvc) is set to Disabled - Xboxnetapisvc</v>
      </c>
      <c r="M431" t="str">
        <f t="shared" si="20"/>
        <v>PASSED</v>
      </c>
      <c r="N431" s="1" t="s">
        <v>124</v>
      </c>
      <c r="O431" t="s">
        <v>67</v>
      </c>
      <c r="R431" t="s">
        <v>68</v>
      </c>
      <c r="T431" t="s">
        <v>69</v>
      </c>
      <c r="U431" t="s">
        <v>70</v>
      </c>
      <c r="W431" t="s">
        <v>71</v>
      </c>
      <c r="X431" s="1" t="s">
        <v>72</v>
      </c>
      <c r="Y431" t="s">
        <v>88</v>
      </c>
      <c r="Z431">
        <v>0</v>
      </c>
      <c r="AA431">
        <v>0</v>
      </c>
      <c r="AD431">
        <v>0</v>
      </c>
      <c r="AE431">
        <v>0</v>
      </c>
      <c r="AH431" t="s">
        <v>73</v>
      </c>
      <c r="AI431" t="s">
        <v>318</v>
      </c>
      <c r="AJ431" t="s">
        <v>319</v>
      </c>
      <c r="AK431" t="s">
        <v>76</v>
      </c>
      <c r="AN431" t="s">
        <v>77</v>
      </c>
      <c r="AO431" t="s">
        <v>320</v>
      </c>
      <c r="AP431" t="s">
        <v>326</v>
      </c>
      <c r="AQ431" t="s">
        <v>322</v>
      </c>
      <c r="AS431" t="b">
        <v>1</v>
      </c>
      <c r="AT431" t="s">
        <v>65</v>
      </c>
      <c r="AU431">
        <v>0</v>
      </c>
      <c r="AV431">
        <v>0</v>
      </c>
      <c r="AX431">
        <v>39</v>
      </c>
      <c r="AY431" t="s">
        <v>81</v>
      </c>
      <c r="AZ431" t="s">
        <v>90</v>
      </c>
      <c r="BB431" t="s">
        <v>91</v>
      </c>
      <c r="BC431" t="s">
        <v>92</v>
      </c>
      <c r="BD431" t="b">
        <v>0</v>
      </c>
      <c r="BE431" t="b">
        <v>0</v>
      </c>
      <c r="BF431" t="b">
        <v>0</v>
      </c>
      <c r="BG431" t="b">
        <v>0</v>
      </c>
      <c r="BH431" t="b">
        <v>0</v>
      </c>
      <c r="BI431" t="b">
        <v>0</v>
      </c>
      <c r="BJ431" t="b">
        <v>0</v>
      </c>
      <c r="BK431" t="b">
        <v>0</v>
      </c>
      <c r="BL431" t="b">
        <v>0</v>
      </c>
      <c r="BM431" t="b">
        <v>0</v>
      </c>
      <c r="BN431" t="b">
        <v>0</v>
      </c>
      <c r="BO431" t="b">
        <v>0</v>
      </c>
      <c r="BP431" t="b">
        <v>0</v>
      </c>
      <c r="BR431" t="str">
        <f>IFERROR(IF(M431="PASSED",VLOOKUP(J431,Current!$J$1:$N$500,1,FALSE)),N431)</f>
        <v>1.0430</v>
      </c>
    </row>
    <row r="432" spans="1:70" ht="15" hidden="1" customHeight="1" x14ac:dyDescent="0.25">
      <c r="A432">
        <v>21156</v>
      </c>
      <c r="C432">
        <v>0</v>
      </c>
      <c r="D432" t="s">
        <v>83</v>
      </c>
      <c r="E432" t="s">
        <v>66</v>
      </c>
      <c r="F432" t="s">
        <v>84</v>
      </c>
      <c r="G432">
        <v>0</v>
      </c>
      <c r="H432" t="s">
        <v>85</v>
      </c>
      <c r="I432" t="s">
        <v>86</v>
      </c>
      <c r="J432" t="str">
        <f>MID($N432,FIND("1.",$N432),FIND("-",$N432)-FIND("1.",$N432)-1)</f>
        <v>1.0431</v>
      </c>
      <c r="K432" t="str">
        <f t="shared" si="18"/>
        <v>Ensure IIS Admin Service (IISADMIN) is set to Disabled or Not Installed - Iisadmin</v>
      </c>
      <c r="L432" t="str">
        <f t="shared" si="19"/>
        <v>1.0431 - MSWRK - Ensure IIS Admin Service (IISADMIN) is set to Disabled or Not Installed - Iisadmin</v>
      </c>
      <c r="M432" t="str">
        <f t="shared" si="20"/>
        <v>FAILED</v>
      </c>
      <c r="N432" s="1" t="s">
        <v>747</v>
      </c>
      <c r="O432" t="s">
        <v>67</v>
      </c>
      <c r="R432" t="s">
        <v>68</v>
      </c>
      <c r="T432" t="s">
        <v>69</v>
      </c>
      <c r="U432" t="s">
        <v>70</v>
      </c>
      <c r="W432" t="s">
        <v>71</v>
      </c>
      <c r="X432" s="1" t="s">
        <v>72</v>
      </c>
      <c r="Y432" t="s">
        <v>88</v>
      </c>
      <c r="Z432">
        <v>0</v>
      </c>
      <c r="AA432">
        <v>0</v>
      </c>
      <c r="AD432">
        <v>0</v>
      </c>
      <c r="AE432">
        <v>0</v>
      </c>
      <c r="AH432" t="s">
        <v>73</v>
      </c>
      <c r="AI432" t="s">
        <v>318</v>
      </c>
      <c r="AJ432" t="s">
        <v>319</v>
      </c>
      <c r="AK432" t="s">
        <v>76</v>
      </c>
      <c r="AN432" t="s">
        <v>77</v>
      </c>
      <c r="AO432" t="s">
        <v>320</v>
      </c>
      <c r="AP432" t="s">
        <v>745</v>
      </c>
      <c r="AQ432" t="s">
        <v>322</v>
      </c>
      <c r="AS432" t="b">
        <v>1</v>
      </c>
      <c r="AT432" t="s">
        <v>65</v>
      </c>
      <c r="AU432">
        <v>0</v>
      </c>
      <c r="AV432">
        <v>0</v>
      </c>
      <c r="AX432">
        <v>39</v>
      </c>
      <c r="AY432" t="s">
        <v>81</v>
      </c>
      <c r="AZ432" t="s">
        <v>90</v>
      </c>
      <c r="BB432" t="s">
        <v>91</v>
      </c>
      <c r="BC432" t="s">
        <v>92</v>
      </c>
      <c r="BD432" t="b">
        <v>0</v>
      </c>
      <c r="BE432" t="b">
        <v>0</v>
      </c>
      <c r="BF432" t="b">
        <v>0</v>
      </c>
      <c r="BG432" t="b">
        <v>0</v>
      </c>
      <c r="BH432" t="b">
        <v>0</v>
      </c>
      <c r="BI432" t="b">
        <v>0</v>
      </c>
      <c r="BJ432" t="b">
        <v>0</v>
      </c>
      <c r="BK432" t="b">
        <v>0</v>
      </c>
      <c r="BL432" t="b">
        <v>0</v>
      </c>
      <c r="BM432" t="b">
        <v>0</v>
      </c>
      <c r="BN432" t="b">
        <v>0</v>
      </c>
      <c r="BO432" t="b">
        <v>0</v>
      </c>
      <c r="BP432" t="b">
        <v>0</v>
      </c>
      <c r="BR432" t="b">
        <f>IFERROR(IF(M432="PASSED",VLOOKUP(J432,Current!$J$1:$N$500,1,FALSE)),N432)</f>
        <v>0</v>
      </c>
    </row>
    <row r="433" spans="1:70" ht="15" hidden="1" customHeight="1" x14ac:dyDescent="0.25">
      <c r="A433">
        <v>21156</v>
      </c>
      <c r="C433">
        <v>0</v>
      </c>
      <c r="D433" t="s">
        <v>83</v>
      </c>
      <c r="E433" t="s">
        <v>66</v>
      </c>
      <c r="F433" t="s">
        <v>84</v>
      </c>
      <c r="G433">
        <v>0</v>
      </c>
      <c r="H433" t="s">
        <v>85</v>
      </c>
      <c r="I433" t="s">
        <v>86</v>
      </c>
      <c r="J433" t="str">
        <f>MID($N433,FIND("1.",$N433),FIND("-",$N433)-FIND("1.",$N433)-1)</f>
        <v>1.0432</v>
      </c>
      <c r="K433" t="str">
        <f t="shared" si="18"/>
        <v>Ensure Infrared monitor service (irmon) is set to Disabled or Not Installed - Irmon</v>
      </c>
      <c r="L433" t="str">
        <f t="shared" si="19"/>
        <v>1.0432 - MSWRK - Ensure Infrared monitor service (irmon) is set to Disabled or Not Installed - Irmon</v>
      </c>
      <c r="M433" t="str">
        <f t="shared" si="20"/>
        <v>FAILED</v>
      </c>
      <c r="N433" s="1" t="s">
        <v>579</v>
      </c>
      <c r="O433" t="s">
        <v>67</v>
      </c>
      <c r="R433" t="s">
        <v>68</v>
      </c>
      <c r="T433" t="s">
        <v>69</v>
      </c>
      <c r="U433" t="s">
        <v>70</v>
      </c>
      <c r="W433" t="s">
        <v>71</v>
      </c>
      <c r="X433" s="1" t="s">
        <v>72</v>
      </c>
      <c r="Y433" t="s">
        <v>88</v>
      </c>
      <c r="Z433">
        <v>0</v>
      </c>
      <c r="AA433">
        <v>0</v>
      </c>
      <c r="AD433">
        <v>0</v>
      </c>
      <c r="AE433">
        <v>0</v>
      </c>
      <c r="AH433" t="s">
        <v>73</v>
      </c>
      <c r="AI433" t="s">
        <v>318</v>
      </c>
      <c r="AJ433" t="s">
        <v>319</v>
      </c>
      <c r="AK433" t="s">
        <v>76</v>
      </c>
      <c r="AN433" t="s">
        <v>77</v>
      </c>
      <c r="AO433" t="s">
        <v>320</v>
      </c>
      <c r="AP433" t="s">
        <v>577</v>
      </c>
      <c r="AQ433" t="s">
        <v>322</v>
      </c>
      <c r="AS433" t="b">
        <v>1</v>
      </c>
      <c r="AT433" t="s">
        <v>65</v>
      </c>
      <c r="AU433">
        <v>0</v>
      </c>
      <c r="AV433">
        <v>0</v>
      </c>
      <c r="AX433">
        <v>39</v>
      </c>
      <c r="AY433" t="s">
        <v>81</v>
      </c>
      <c r="AZ433" t="s">
        <v>90</v>
      </c>
      <c r="BB433" t="s">
        <v>91</v>
      </c>
      <c r="BC433" t="s">
        <v>92</v>
      </c>
      <c r="BD433" t="b">
        <v>0</v>
      </c>
      <c r="BE433" t="b">
        <v>0</v>
      </c>
      <c r="BF433" t="b">
        <v>0</v>
      </c>
      <c r="BG433" t="b">
        <v>0</v>
      </c>
      <c r="BH433" t="b">
        <v>0</v>
      </c>
      <c r="BI433" t="b">
        <v>0</v>
      </c>
      <c r="BJ433" t="b">
        <v>0</v>
      </c>
      <c r="BK433" t="b">
        <v>0</v>
      </c>
      <c r="BL433" t="b">
        <v>0</v>
      </c>
      <c r="BM433" t="b">
        <v>0</v>
      </c>
      <c r="BN433" t="b">
        <v>0</v>
      </c>
      <c r="BO433" t="b">
        <v>0</v>
      </c>
      <c r="BP433" t="b">
        <v>0</v>
      </c>
      <c r="BR433" t="b">
        <f>IFERROR(IF(M433="PASSED",VLOOKUP(J433,Current!$J$1:$N$500,1,FALSE)),N433)</f>
        <v>0</v>
      </c>
    </row>
    <row r="434" spans="1:70" ht="15" customHeight="1" x14ac:dyDescent="0.25">
      <c r="A434">
        <v>21156</v>
      </c>
      <c r="C434">
        <v>0</v>
      </c>
      <c r="D434" t="s">
        <v>65</v>
      </c>
      <c r="E434" t="s">
        <v>66</v>
      </c>
      <c r="F434" t="s">
        <v>84</v>
      </c>
      <c r="G434">
        <v>0</v>
      </c>
      <c r="H434" t="s">
        <v>85</v>
      </c>
      <c r="I434" t="s">
        <v>86</v>
      </c>
      <c r="J434" t="str">
        <f>MID($N434,FIND("1.",$N434),FIND("-",$N434)-FIND("1.",$N434)-1)</f>
        <v>1.0433</v>
      </c>
      <c r="K434" t="str">
        <f t="shared" si="18"/>
        <v>Ensure Windows Firewall</v>
      </c>
      <c r="L434" t="str">
        <f t="shared" si="19"/>
        <v>1.0433 - MSWRK - Ensure Windows Firewall: Domain: Firewall state is set to On (recommended) - Domainprofile</v>
      </c>
      <c r="M434" t="str">
        <f t="shared" si="20"/>
        <v>PASSED</v>
      </c>
      <c r="N434" s="1" t="s">
        <v>695</v>
      </c>
      <c r="O434" t="s">
        <v>67</v>
      </c>
      <c r="R434" t="s">
        <v>68</v>
      </c>
      <c r="T434" t="s">
        <v>69</v>
      </c>
      <c r="U434" t="s">
        <v>70</v>
      </c>
      <c r="W434" t="s">
        <v>71</v>
      </c>
      <c r="X434" s="1" t="s">
        <v>72</v>
      </c>
      <c r="Y434" t="s">
        <v>88</v>
      </c>
      <c r="Z434">
        <v>0</v>
      </c>
      <c r="AA434">
        <v>0</v>
      </c>
      <c r="AD434">
        <v>0</v>
      </c>
      <c r="AE434">
        <v>0</v>
      </c>
      <c r="AH434" t="s">
        <v>73</v>
      </c>
      <c r="AI434" t="s">
        <v>318</v>
      </c>
      <c r="AJ434" t="s">
        <v>319</v>
      </c>
      <c r="AK434" t="s">
        <v>76</v>
      </c>
      <c r="AN434" t="s">
        <v>77</v>
      </c>
      <c r="AO434" t="s">
        <v>320</v>
      </c>
      <c r="AP434" t="s">
        <v>694</v>
      </c>
      <c r="AQ434" t="s">
        <v>322</v>
      </c>
      <c r="AS434" t="b">
        <v>1</v>
      </c>
      <c r="AT434" t="s">
        <v>65</v>
      </c>
      <c r="AU434">
        <v>0</v>
      </c>
      <c r="AV434">
        <v>0</v>
      </c>
      <c r="AX434">
        <v>39</v>
      </c>
      <c r="AY434" t="s">
        <v>81</v>
      </c>
      <c r="AZ434" t="s">
        <v>90</v>
      </c>
      <c r="BB434" t="s">
        <v>91</v>
      </c>
      <c r="BC434" t="s">
        <v>92</v>
      </c>
      <c r="BD434" t="b">
        <v>0</v>
      </c>
      <c r="BE434" t="b">
        <v>0</v>
      </c>
      <c r="BF434" t="b">
        <v>0</v>
      </c>
      <c r="BG434" t="b">
        <v>0</v>
      </c>
      <c r="BH434" t="b">
        <v>0</v>
      </c>
      <c r="BI434" t="b">
        <v>0</v>
      </c>
      <c r="BJ434" t="b">
        <v>0</v>
      </c>
      <c r="BK434" t="b">
        <v>0</v>
      </c>
      <c r="BL434" t="b">
        <v>0</v>
      </c>
      <c r="BM434" t="b">
        <v>0</v>
      </c>
      <c r="BN434" t="b">
        <v>0</v>
      </c>
      <c r="BO434" t="b">
        <v>0</v>
      </c>
      <c r="BP434" t="b">
        <v>0</v>
      </c>
      <c r="BR434" t="str">
        <f>IFERROR(IF(M434="PASSED",VLOOKUP(J434,Current!$J$1:$N$500,1,FALSE)),N434)</f>
        <v>"1.0433 - MSWRK - Ensure Windows Firewall: Domain: Firewall state is set to On (recommended) - Domainprofile: [PASSED]"
This policy setting controls whether the built-in Domain Firewall state is enabled or disabled.
See Also:
See HTH Policies and Standards
Reference:
NIST 800-53r5|SC-7 SC-7(5)
Policy Value:
'1'
Actual Value:
'1'</v>
      </c>
    </row>
    <row r="435" spans="1:70" ht="15" hidden="1" customHeight="1" x14ac:dyDescent="0.25">
      <c r="A435">
        <v>21156</v>
      </c>
      <c r="C435">
        <v>0</v>
      </c>
      <c r="D435" t="s">
        <v>83</v>
      </c>
      <c r="E435" t="s">
        <v>66</v>
      </c>
      <c r="F435" t="s">
        <v>84</v>
      </c>
      <c r="G435">
        <v>0</v>
      </c>
      <c r="H435" t="s">
        <v>85</v>
      </c>
      <c r="I435" t="s">
        <v>86</v>
      </c>
      <c r="J435" t="str">
        <f>MID($N435,FIND("1.",$N435),FIND("-",$N435)-FIND("1.",$N435)-1)</f>
        <v>1.0434</v>
      </c>
      <c r="K435" t="str">
        <f t="shared" si="18"/>
        <v>Ensure Windows Firewall</v>
      </c>
      <c r="L435" t="str">
        <f t="shared" si="19"/>
        <v>1.0434 - MSWRK - Ensure Windows Firewall: Domain: Inbound connections is set to Block (default) - Domainprofile</v>
      </c>
      <c r="M435" t="str">
        <f t="shared" si="20"/>
        <v>FAILED</v>
      </c>
      <c r="N435" s="1" t="s">
        <v>374</v>
      </c>
      <c r="O435" t="s">
        <v>67</v>
      </c>
      <c r="R435" t="s">
        <v>68</v>
      </c>
      <c r="T435" t="s">
        <v>69</v>
      </c>
      <c r="U435" t="s">
        <v>70</v>
      </c>
      <c r="W435" t="s">
        <v>71</v>
      </c>
      <c r="X435" s="1" t="s">
        <v>72</v>
      </c>
      <c r="Y435" t="s">
        <v>88</v>
      </c>
      <c r="Z435">
        <v>0</v>
      </c>
      <c r="AA435">
        <v>0</v>
      </c>
      <c r="AD435">
        <v>0</v>
      </c>
      <c r="AE435">
        <v>0</v>
      </c>
      <c r="AH435" t="s">
        <v>73</v>
      </c>
      <c r="AI435" t="s">
        <v>318</v>
      </c>
      <c r="AJ435" t="s">
        <v>319</v>
      </c>
      <c r="AK435" t="s">
        <v>76</v>
      </c>
      <c r="AN435" t="s">
        <v>77</v>
      </c>
      <c r="AO435" t="s">
        <v>320</v>
      </c>
      <c r="AP435" t="s">
        <v>375</v>
      </c>
      <c r="AQ435" t="s">
        <v>322</v>
      </c>
      <c r="AS435" t="b">
        <v>1</v>
      </c>
      <c r="AT435" t="s">
        <v>65</v>
      </c>
      <c r="AU435">
        <v>0</v>
      </c>
      <c r="AV435">
        <v>0</v>
      </c>
      <c r="AX435">
        <v>39</v>
      </c>
      <c r="AY435" t="s">
        <v>81</v>
      </c>
      <c r="AZ435" t="s">
        <v>90</v>
      </c>
      <c r="BB435" t="s">
        <v>91</v>
      </c>
      <c r="BC435" t="s">
        <v>92</v>
      </c>
      <c r="BD435" t="b">
        <v>0</v>
      </c>
      <c r="BE435" t="b">
        <v>0</v>
      </c>
      <c r="BF435" t="b">
        <v>0</v>
      </c>
      <c r="BG435" t="b">
        <v>0</v>
      </c>
      <c r="BH435" t="b">
        <v>0</v>
      </c>
      <c r="BI435" t="b">
        <v>0</v>
      </c>
      <c r="BJ435" t="b">
        <v>0</v>
      </c>
      <c r="BK435" t="b">
        <v>0</v>
      </c>
      <c r="BL435" t="b">
        <v>0</v>
      </c>
      <c r="BM435" t="b">
        <v>0</v>
      </c>
      <c r="BN435" t="b">
        <v>0</v>
      </c>
      <c r="BO435" t="b">
        <v>0</v>
      </c>
      <c r="BP435" t="b">
        <v>0</v>
      </c>
      <c r="BR435" t="b">
        <f>IFERROR(IF(M435="PASSED",VLOOKUP(J435,Current!$J$1:$N$500,1,FALSE)),N435)</f>
        <v>0</v>
      </c>
    </row>
    <row r="436" spans="1:70" ht="15" hidden="1" customHeight="1" x14ac:dyDescent="0.25">
      <c r="A436">
        <v>21156</v>
      </c>
      <c r="C436">
        <v>0</v>
      </c>
      <c r="D436" t="s">
        <v>83</v>
      </c>
      <c r="E436" t="s">
        <v>66</v>
      </c>
      <c r="F436" t="s">
        <v>84</v>
      </c>
      <c r="G436">
        <v>0</v>
      </c>
      <c r="H436" t="s">
        <v>85</v>
      </c>
      <c r="I436" t="s">
        <v>86</v>
      </c>
      <c r="J436" t="str">
        <f>MID($N436,FIND("1.",$N436),FIND("-",$N436)-FIND("1.",$N436)-1)</f>
        <v>1.0435</v>
      </c>
      <c r="K436" t="str">
        <f t="shared" si="18"/>
        <v>Ensure Windows Firewall</v>
      </c>
      <c r="L436" t="str">
        <f t="shared" si="19"/>
        <v>1.0435 - MSWRK - Ensure Windows Firewall: Domain: Settings: Display a notification is set to No - Domainprofile</v>
      </c>
      <c r="M436" t="str">
        <f t="shared" si="20"/>
        <v>FAILED</v>
      </c>
      <c r="N436" s="1" t="s">
        <v>453</v>
      </c>
      <c r="O436" t="s">
        <v>67</v>
      </c>
      <c r="R436" t="s">
        <v>68</v>
      </c>
      <c r="T436" t="s">
        <v>69</v>
      </c>
      <c r="U436" t="s">
        <v>70</v>
      </c>
      <c r="W436" t="s">
        <v>71</v>
      </c>
      <c r="X436" s="1" t="s">
        <v>72</v>
      </c>
      <c r="Y436" t="s">
        <v>88</v>
      </c>
      <c r="Z436">
        <v>0</v>
      </c>
      <c r="AA436">
        <v>0</v>
      </c>
      <c r="AD436">
        <v>0</v>
      </c>
      <c r="AE436">
        <v>0</v>
      </c>
      <c r="AH436" t="s">
        <v>73</v>
      </c>
      <c r="AI436" t="s">
        <v>318</v>
      </c>
      <c r="AJ436" t="s">
        <v>319</v>
      </c>
      <c r="AK436" t="s">
        <v>76</v>
      </c>
      <c r="AN436" t="s">
        <v>77</v>
      </c>
      <c r="AO436" t="s">
        <v>320</v>
      </c>
      <c r="AP436" t="s">
        <v>452</v>
      </c>
      <c r="AQ436" t="s">
        <v>322</v>
      </c>
      <c r="AS436" t="b">
        <v>1</v>
      </c>
      <c r="AT436" t="s">
        <v>65</v>
      </c>
      <c r="AU436">
        <v>0</v>
      </c>
      <c r="AV436">
        <v>0</v>
      </c>
      <c r="AX436">
        <v>39</v>
      </c>
      <c r="AY436" t="s">
        <v>81</v>
      </c>
      <c r="AZ436" t="s">
        <v>90</v>
      </c>
      <c r="BB436" t="s">
        <v>91</v>
      </c>
      <c r="BC436" t="s">
        <v>92</v>
      </c>
      <c r="BD436" t="b">
        <v>0</v>
      </c>
      <c r="BE436" t="b">
        <v>0</v>
      </c>
      <c r="BF436" t="b">
        <v>0</v>
      </c>
      <c r="BG436" t="b">
        <v>0</v>
      </c>
      <c r="BH436" t="b">
        <v>0</v>
      </c>
      <c r="BI436" t="b">
        <v>0</v>
      </c>
      <c r="BJ436" t="b">
        <v>0</v>
      </c>
      <c r="BK436" t="b">
        <v>0</v>
      </c>
      <c r="BL436" t="b">
        <v>0</v>
      </c>
      <c r="BM436" t="b">
        <v>0</v>
      </c>
      <c r="BN436" t="b">
        <v>0</v>
      </c>
      <c r="BO436" t="b">
        <v>0</v>
      </c>
      <c r="BP436" t="b">
        <v>0</v>
      </c>
      <c r="BR436" t="b">
        <f>IFERROR(IF(M436="PASSED",VLOOKUP(J436,Current!$J$1:$N$500,1,FALSE)),N436)</f>
        <v>0</v>
      </c>
    </row>
    <row r="437" spans="1:70" ht="15" hidden="1" customHeight="1" x14ac:dyDescent="0.25">
      <c r="A437">
        <v>21156</v>
      </c>
      <c r="C437">
        <v>0</v>
      </c>
      <c r="D437" t="s">
        <v>83</v>
      </c>
      <c r="E437" t="s">
        <v>66</v>
      </c>
      <c r="F437" t="s">
        <v>84</v>
      </c>
      <c r="G437">
        <v>0</v>
      </c>
      <c r="H437" t="s">
        <v>85</v>
      </c>
      <c r="I437" t="s">
        <v>86</v>
      </c>
      <c r="J437" t="str">
        <f>MID($N437,FIND("1.",$N437),FIND("-",$N437)-FIND("1.",$N437)-1)</f>
        <v>1.0436</v>
      </c>
      <c r="K437" t="str">
        <f t="shared" si="18"/>
        <v>Ensure Windows Firewall</v>
      </c>
      <c r="L437" t="str">
        <f t="shared" si="19"/>
        <v>1.0436 - MSWRK - Ensure Windows Firewall: Domain: Logging: Name is configured</v>
      </c>
      <c r="M437" t="str">
        <f t="shared" si="20"/>
        <v>FAILED</v>
      </c>
      <c r="N437" s="1" t="s">
        <v>473</v>
      </c>
      <c r="O437" t="s">
        <v>67</v>
      </c>
      <c r="R437" t="s">
        <v>68</v>
      </c>
      <c r="T437" t="s">
        <v>69</v>
      </c>
      <c r="U437" t="s">
        <v>70</v>
      </c>
      <c r="W437" t="s">
        <v>71</v>
      </c>
      <c r="X437" s="1" t="s">
        <v>72</v>
      </c>
      <c r="Y437" t="s">
        <v>88</v>
      </c>
      <c r="Z437">
        <v>0</v>
      </c>
      <c r="AA437">
        <v>0</v>
      </c>
      <c r="AD437">
        <v>0</v>
      </c>
      <c r="AE437">
        <v>0</v>
      </c>
      <c r="AH437" t="s">
        <v>73</v>
      </c>
      <c r="AI437" t="s">
        <v>318</v>
      </c>
      <c r="AJ437" t="s">
        <v>319</v>
      </c>
      <c r="AK437" t="s">
        <v>76</v>
      </c>
      <c r="AN437" t="s">
        <v>77</v>
      </c>
      <c r="AO437" t="s">
        <v>320</v>
      </c>
      <c r="AP437" t="s">
        <v>472</v>
      </c>
      <c r="AQ437" t="s">
        <v>322</v>
      </c>
      <c r="AS437" t="b">
        <v>1</v>
      </c>
      <c r="AT437" t="s">
        <v>65</v>
      </c>
      <c r="AU437">
        <v>0</v>
      </c>
      <c r="AV437">
        <v>0</v>
      </c>
      <c r="AX437">
        <v>39</v>
      </c>
      <c r="AY437" t="s">
        <v>81</v>
      </c>
      <c r="AZ437" t="s">
        <v>90</v>
      </c>
      <c r="BB437" t="s">
        <v>91</v>
      </c>
      <c r="BC437" t="s">
        <v>92</v>
      </c>
      <c r="BD437" t="b">
        <v>0</v>
      </c>
      <c r="BE437" t="b">
        <v>0</v>
      </c>
      <c r="BF437" t="b">
        <v>0</v>
      </c>
      <c r="BG437" t="b">
        <v>0</v>
      </c>
      <c r="BH437" t="b">
        <v>0</v>
      </c>
      <c r="BI437" t="b">
        <v>0</v>
      </c>
      <c r="BJ437" t="b">
        <v>0</v>
      </c>
      <c r="BK437" t="b">
        <v>0</v>
      </c>
      <c r="BL437" t="b">
        <v>0</v>
      </c>
      <c r="BM437" t="b">
        <v>0</v>
      </c>
      <c r="BN437" t="b">
        <v>0</v>
      </c>
      <c r="BO437" t="b">
        <v>0</v>
      </c>
      <c r="BP437" t="b">
        <v>0</v>
      </c>
      <c r="BR437" t="b">
        <f>IFERROR(IF(M437="PASSED",VLOOKUP(J437,Current!$J$1:$N$500,1,FALSE)),N437)</f>
        <v>0</v>
      </c>
    </row>
    <row r="438" spans="1:70" ht="15" customHeight="1" x14ac:dyDescent="0.25">
      <c r="A438">
        <v>21156</v>
      </c>
      <c r="C438">
        <v>0</v>
      </c>
      <c r="D438" t="s">
        <v>65</v>
      </c>
      <c r="E438" t="s">
        <v>66</v>
      </c>
      <c r="F438" t="s">
        <v>84</v>
      </c>
      <c r="G438">
        <v>0</v>
      </c>
      <c r="H438" t="s">
        <v>85</v>
      </c>
      <c r="I438" t="s">
        <v>86</v>
      </c>
      <c r="J438" t="str">
        <f>MID($N438,FIND("1.",$N438),FIND("-",$N438)-FIND("1.",$N438)-1)</f>
        <v>1.0437</v>
      </c>
      <c r="K438" t="str">
        <f t="shared" si="18"/>
        <v>Ensure Windows Firewall</v>
      </c>
      <c r="L438" t="str">
        <f t="shared" si="19"/>
        <v>1.0437 - MSWRK - Ensure Windows Firewall: Domain: Logging: Size limit (KB) is set to 16,384 KB or greater</v>
      </c>
      <c r="M438" t="str">
        <f t="shared" si="20"/>
        <v>PASSED</v>
      </c>
      <c r="N438" s="1" t="s">
        <v>350</v>
      </c>
      <c r="O438" t="s">
        <v>67</v>
      </c>
      <c r="R438" t="s">
        <v>68</v>
      </c>
      <c r="T438" t="s">
        <v>69</v>
      </c>
      <c r="U438" t="s">
        <v>70</v>
      </c>
      <c r="W438" t="s">
        <v>71</v>
      </c>
      <c r="X438" s="1" t="s">
        <v>72</v>
      </c>
      <c r="Y438" t="s">
        <v>88</v>
      </c>
      <c r="Z438">
        <v>0</v>
      </c>
      <c r="AA438">
        <v>0</v>
      </c>
      <c r="AD438">
        <v>0</v>
      </c>
      <c r="AE438">
        <v>0</v>
      </c>
      <c r="AH438" t="s">
        <v>73</v>
      </c>
      <c r="AI438" t="s">
        <v>318</v>
      </c>
      <c r="AJ438" t="s">
        <v>319</v>
      </c>
      <c r="AK438" t="s">
        <v>76</v>
      </c>
      <c r="AN438" t="s">
        <v>77</v>
      </c>
      <c r="AO438" t="s">
        <v>320</v>
      </c>
      <c r="AP438" t="s">
        <v>349</v>
      </c>
      <c r="AQ438" t="s">
        <v>322</v>
      </c>
      <c r="AS438" t="b">
        <v>1</v>
      </c>
      <c r="AT438" t="s">
        <v>65</v>
      </c>
      <c r="AU438">
        <v>0</v>
      </c>
      <c r="AV438">
        <v>0</v>
      </c>
      <c r="AX438">
        <v>39</v>
      </c>
      <c r="AY438" t="s">
        <v>81</v>
      </c>
      <c r="AZ438" t="s">
        <v>90</v>
      </c>
      <c r="BB438" t="s">
        <v>91</v>
      </c>
      <c r="BC438" t="s">
        <v>92</v>
      </c>
      <c r="BD438" t="b">
        <v>0</v>
      </c>
      <c r="BE438" t="b">
        <v>0</v>
      </c>
      <c r="BF438" t="b">
        <v>0</v>
      </c>
      <c r="BG438" t="b">
        <v>0</v>
      </c>
      <c r="BH438" t="b">
        <v>0</v>
      </c>
      <c r="BI438" t="b">
        <v>0</v>
      </c>
      <c r="BJ438" t="b">
        <v>0</v>
      </c>
      <c r="BK438" t="b">
        <v>0</v>
      </c>
      <c r="BL438" t="b">
        <v>0</v>
      </c>
      <c r="BM438" t="b">
        <v>0</v>
      </c>
      <c r="BN438" t="b">
        <v>0</v>
      </c>
      <c r="BO438" t="b">
        <v>0</v>
      </c>
      <c r="BP438" t="b">
        <v>0</v>
      </c>
      <c r="BR438" t="str">
        <f>IFERROR(IF(M438="PASSED",VLOOKUP(J438,Current!$J$1:$N$500,1,FALSE)),N438)</f>
        <v>"1.0437 - MSWRK - Ensure Windows Firewall: Domain: Logging: Size limit (KB) is set to 16,384 KB or greater: [PASSED]"
Use this option to specify the size limit of the file in which Windows Firewall will write its log information.
See Also:
See HTH Policies and Standards
Reference:
NIST 800-53r5|AU-4
Policy Value:
'^([1-9][0-9]{5,}|[2-9][0-9]{4}|1[7-9][0-9]{3}|16[4-9][0-9]{2}|163[9-9][0-9]{1}|1638[4-9])$'
Actual Value:
'16384'</v>
      </c>
    </row>
    <row r="439" spans="1:70" ht="15" customHeight="1" x14ac:dyDescent="0.25">
      <c r="A439">
        <v>21156</v>
      </c>
      <c r="C439">
        <v>0</v>
      </c>
      <c r="D439" t="s">
        <v>65</v>
      </c>
      <c r="E439" t="s">
        <v>66</v>
      </c>
      <c r="F439" t="s">
        <v>84</v>
      </c>
      <c r="G439">
        <v>0</v>
      </c>
      <c r="H439" t="s">
        <v>85</v>
      </c>
      <c r="I439" t="s">
        <v>86</v>
      </c>
      <c r="J439" t="str">
        <f>MID($N439,FIND("1.",$N439),FIND("-",$N439)-FIND("1.",$N439)-1)</f>
        <v>1.0438</v>
      </c>
      <c r="K439" t="str">
        <f t="shared" si="18"/>
        <v>Ensure Windows Firewall</v>
      </c>
      <c r="L439" t="str">
        <f t="shared" si="19"/>
        <v>1.0438 - MSWRK - Ensure Windows Firewall: Domain: Logging: Log dropped packets is set to Yes</v>
      </c>
      <c r="M439" t="str">
        <f t="shared" si="20"/>
        <v>PASSED</v>
      </c>
      <c r="N439" s="1" t="s">
        <v>795</v>
      </c>
      <c r="O439" t="s">
        <v>67</v>
      </c>
      <c r="R439" t="s">
        <v>68</v>
      </c>
      <c r="T439" t="s">
        <v>69</v>
      </c>
      <c r="U439" t="s">
        <v>70</v>
      </c>
      <c r="W439" t="s">
        <v>71</v>
      </c>
      <c r="X439" s="1" t="s">
        <v>72</v>
      </c>
      <c r="Y439" t="s">
        <v>88</v>
      </c>
      <c r="Z439">
        <v>0</v>
      </c>
      <c r="AA439">
        <v>0</v>
      </c>
      <c r="AD439">
        <v>0</v>
      </c>
      <c r="AE439">
        <v>0</v>
      </c>
      <c r="AH439" t="s">
        <v>73</v>
      </c>
      <c r="AI439" t="s">
        <v>318</v>
      </c>
      <c r="AJ439" t="s">
        <v>319</v>
      </c>
      <c r="AK439" t="s">
        <v>76</v>
      </c>
      <c r="AN439" t="s">
        <v>77</v>
      </c>
      <c r="AO439" t="s">
        <v>320</v>
      </c>
      <c r="AP439" t="s">
        <v>794</v>
      </c>
      <c r="AQ439" t="s">
        <v>322</v>
      </c>
      <c r="AS439" t="b">
        <v>1</v>
      </c>
      <c r="AT439" t="s">
        <v>65</v>
      </c>
      <c r="AU439">
        <v>0</v>
      </c>
      <c r="AV439">
        <v>0</v>
      </c>
      <c r="AX439">
        <v>39</v>
      </c>
      <c r="AY439" t="s">
        <v>81</v>
      </c>
      <c r="AZ439" t="s">
        <v>90</v>
      </c>
      <c r="BB439" t="s">
        <v>91</v>
      </c>
      <c r="BC439" t="s">
        <v>92</v>
      </c>
      <c r="BD439" t="b">
        <v>0</v>
      </c>
      <c r="BE439" t="b">
        <v>0</v>
      </c>
      <c r="BF439" t="b">
        <v>0</v>
      </c>
      <c r="BG439" t="b">
        <v>0</v>
      </c>
      <c r="BH439" t="b">
        <v>0</v>
      </c>
      <c r="BI439" t="b">
        <v>0</v>
      </c>
      <c r="BJ439" t="b">
        <v>0</v>
      </c>
      <c r="BK439" t="b">
        <v>0</v>
      </c>
      <c r="BL439" t="b">
        <v>0</v>
      </c>
      <c r="BM439" t="b">
        <v>0</v>
      </c>
      <c r="BN439" t="b">
        <v>0</v>
      </c>
      <c r="BO439" t="b">
        <v>0</v>
      </c>
      <c r="BP439" t="b">
        <v>0</v>
      </c>
      <c r="BR439" t="str">
        <f>IFERROR(IF(M439="PASSED",VLOOKUP(J439,Current!$J$1:$N$500,1,FALSE)),N439)</f>
        <v>"1.0438 - MSWRK - Ensure Windows Firewall: Domain: Logging: Log dropped packets is set to Yes: [PASSED]"
Use this option to log when Windows Firewall with Advanced Security discards an inbound packet for any reason.
See Also:
See HTH Policies and Standards
Reference:
NIST 800-53r5|AU-3 AU-3(1) AU-7 AU-12 SC-7 SC-7(5)
Policy Value:
'1'
Actual Value:
'1'</v>
      </c>
    </row>
    <row r="440" spans="1:70" ht="15" customHeight="1" x14ac:dyDescent="0.25">
      <c r="A440">
        <v>21156</v>
      </c>
      <c r="C440">
        <v>0</v>
      </c>
      <c r="D440" t="s">
        <v>65</v>
      </c>
      <c r="E440" t="s">
        <v>66</v>
      </c>
      <c r="F440" t="s">
        <v>84</v>
      </c>
      <c r="G440">
        <v>0</v>
      </c>
      <c r="H440" t="s">
        <v>85</v>
      </c>
      <c r="I440" t="s">
        <v>86</v>
      </c>
      <c r="J440" t="str">
        <f>MID($N440,FIND("1.",$N440),FIND("-",$N440)-FIND("1.",$N440)-1)</f>
        <v>1.0439</v>
      </c>
      <c r="K440" t="str">
        <f t="shared" si="18"/>
        <v>Ensure Windows Firewall</v>
      </c>
      <c r="L440" t="str">
        <f t="shared" si="19"/>
        <v>1.0439 - MSWRK - Ensure Windows Firewall: Domain: Logging: Log successful connections is set to Yes</v>
      </c>
      <c r="M440" t="str">
        <f t="shared" si="20"/>
        <v>PASSED</v>
      </c>
      <c r="N440" s="1" t="s">
        <v>360</v>
      </c>
      <c r="O440" t="s">
        <v>67</v>
      </c>
      <c r="R440" t="s">
        <v>68</v>
      </c>
      <c r="T440" t="s">
        <v>69</v>
      </c>
      <c r="U440" t="s">
        <v>70</v>
      </c>
      <c r="W440" t="s">
        <v>71</v>
      </c>
      <c r="X440" s="1" t="s">
        <v>72</v>
      </c>
      <c r="Y440" t="s">
        <v>88</v>
      </c>
      <c r="Z440">
        <v>0</v>
      </c>
      <c r="AA440">
        <v>0</v>
      </c>
      <c r="AD440">
        <v>0</v>
      </c>
      <c r="AE440">
        <v>0</v>
      </c>
      <c r="AH440" t="s">
        <v>73</v>
      </c>
      <c r="AI440" t="s">
        <v>318</v>
      </c>
      <c r="AJ440" t="s">
        <v>319</v>
      </c>
      <c r="AK440" t="s">
        <v>76</v>
      </c>
      <c r="AN440" t="s">
        <v>77</v>
      </c>
      <c r="AO440" t="s">
        <v>320</v>
      </c>
      <c r="AP440" t="s">
        <v>358</v>
      </c>
      <c r="AQ440" t="s">
        <v>322</v>
      </c>
      <c r="AS440" t="b">
        <v>1</v>
      </c>
      <c r="AT440" t="s">
        <v>65</v>
      </c>
      <c r="AU440">
        <v>0</v>
      </c>
      <c r="AV440">
        <v>0</v>
      </c>
      <c r="AX440">
        <v>39</v>
      </c>
      <c r="AY440" t="s">
        <v>81</v>
      </c>
      <c r="AZ440" t="s">
        <v>90</v>
      </c>
      <c r="BB440" t="s">
        <v>91</v>
      </c>
      <c r="BC440" t="s">
        <v>92</v>
      </c>
      <c r="BD440" t="b">
        <v>0</v>
      </c>
      <c r="BE440" t="b">
        <v>0</v>
      </c>
      <c r="BF440" t="b">
        <v>0</v>
      </c>
      <c r="BG440" t="b">
        <v>0</v>
      </c>
      <c r="BH440" t="b">
        <v>0</v>
      </c>
      <c r="BI440" t="b">
        <v>0</v>
      </c>
      <c r="BJ440" t="b">
        <v>0</v>
      </c>
      <c r="BK440" t="b">
        <v>0</v>
      </c>
      <c r="BL440" t="b">
        <v>0</v>
      </c>
      <c r="BM440" t="b">
        <v>0</v>
      </c>
      <c r="BN440" t="b">
        <v>0</v>
      </c>
      <c r="BO440" t="b">
        <v>0</v>
      </c>
      <c r="BP440" t="b">
        <v>0</v>
      </c>
      <c r="BR440" t="str">
        <f>IFERROR(IF(M440="PASSED",VLOOKUP(J440,Current!$J$1:$N$500,1,FALSE)),N440)</f>
        <v>"1.0439 - MSWRK - Ensure Windows Firewall: Domain: Logging: Log successful connections is set to Yes: [PASSED]"
Use this option to log when Windows Firewall with Advanced Security allows an inbound connection.
See Also:
See HTH Policies and Standards
Reference:
NIST 800-53r5|AU-3 AU-3(1) AU-7 AU-12 SC-7 SC-7(5)
Policy Value:
'1'
Actual Value:
'1'</v>
      </c>
    </row>
    <row r="441" spans="1:70" ht="15" customHeight="1" x14ac:dyDescent="0.25">
      <c r="A441">
        <v>21156</v>
      </c>
      <c r="C441">
        <v>0</v>
      </c>
      <c r="D441" t="s">
        <v>65</v>
      </c>
      <c r="E441" t="s">
        <v>66</v>
      </c>
      <c r="F441" t="s">
        <v>84</v>
      </c>
      <c r="G441">
        <v>0</v>
      </c>
      <c r="H441" t="s">
        <v>85</v>
      </c>
      <c r="I441" t="s">
        <v>86</v>
      </c>
      <c r="J441" t="str">
        <f>MID($N441,FIND("1.",$N441),FIND("-",$N441)-FIND("1.",$N441)-1)</f>
        <v>1.0440</v>
      </c>
      <c r="K441" t="str">
        <f t="shared" si="18"/>
        <v>Ensure Windows Firewall</v>
      </c>
      <c r="L441" t="str">
        <f t="shared" si="19"/>
        <v>1.0440 - MSWRK - Ensure Windows Firewall: Private: Firewall state is set to On (recommended) - Privateprofile</v>
      </c>
      <c r="M441" t="str">
        <f t="shared" si="20"/>
        <v>PASSED</v>
      </c>
      <c r="N441" s="1" t="s">
        <v>627</v>
      </c>
      <c r="O441" t="s">
        <v>67</v>
      </c>
      <c r="R441" t="s">
        <v>68</v>
      </c>
      <c r="T441" t="s">
        <v>69</v>
      </c>
      <c r="U441" t="s">
        <v>70</v>
      </c>
      <c r="W441" t="s">
        <v>71</v>
      </c>
      <c r="X441" s="1" t="s">
        <v>72</v>
      </c>
      <c r="Y441" t="s">
        <v>88</v>
      </c>
      <c r="Z441">
        <v>0</v>
      </c>
      <c r="AA441">
        <v>0</v>
      </c>
      <c r="AD441">
        <v>0</v>
      </c>
      <c r="AE441">
        <v>0</v>
      </c>
      <c r="AH441" t="s">
        <v>73</v>
      </c>
      <c r="AI441" t="s">
        <v>318</v>
      </c>
      <c r="AJ441" t="s">
        <v>319</v>
      </c>
      <c r="AK441" t="s">
        <v>76</v>
      </c>
      <c r="AN441" t="s">
        <v>77</v>
      </c>
      <c r="AO441" t="s">
        <v>320</v>
      </c>
      <c r="AP441" t="s">
        <v>625</v>
      </c>
      <c r="AQ441" t="s">
        <v>322</v>
      </c>
      <c r="AS441" t="b">
        <v>1</v>
      </c>
      <c r="AT441" t="s">
        <v>65</v>
      </c>
      <c r="AU441">
        <v>0</v>
      </c>
      <c r="AV441">
        <v>0</v>
      </c>
      <c r="AX441">
        <v>39</v>
      </c>
      <c r="AY441" t="s">
        <v>81</v>
      </c>
      <c r="AZ441" t="s">
        <v>90</v>
      </c>
      <c r="BB441" t="s">
        <v>91</v>
      </c>
      <c r="BC441" t="s">
        <v>92</v>
      </c>
      <c r="BD441" t="b">
        <v>0</v>
      </c>
      <c r="BE441" t="b">
        <v>0</v>
      </c>
      <c r="BF441" t="b">
        <v>0</v>
      </c>
      <c r="BG441" t="b">
        <v>0</v>
      </c>
      <c r="BH441" t="b">
        <v>0</v>
      </c>
      <c r="BI441" t="b">
        <v>0</v>
      </c>
      <c r="BJ441" t="b">
        <v>0</v>
      </c>
      <c r="BK441" t="b">
        <v>0</v>
      </c>
      <c r="BL441" t="b">
        <v>0</v>
      </c>
      <c r="BM441" t="b">
        <v>0</v>
      </c>
      <c r="BN441" t="b">
        <v>0</v>
      </c>
      <c r="BO441" t="b">
        <v>0</v>
      </c>
      <c r="BP441" t="b">
        <v>0</v>
      </c>
      <c r="BR441" t="str">
        <f>IFERROR(IF(M441="PASSED",VLOOKUP(J441,Current!$J$1:$N$500,1,FALSE)),N441)</f>
        <v>"1.0440 - MSWRK - Ensure Windows Firewall: Private: Firewall state is set to On (recommended) - Privateprofile: [PASSED]"
This policy setting controls whether the built-in Private Firewall state is enabled or disabled.
See Also:
See HTH Policies and Standards
Reference:
NIST 800-53r5|SC-7 SC-7(5)
Policy Value:
'1'
Actual Value:
'1'</v>
      </c>
    </row>
    <row r="442" spans="1:70" ht="15" hidden="1" customHeight="1" x14ac:dyDescent="0.25">
      <c r="A442">
        <v>21156</v>
      </c>
      <c r="C442">
        <v>0</v>
      </c>
      <c r="D442" t="s">
        <v>83</v>
      </c>
      <c r="E442" t="s">
        <v>66</v>
      </c>
      <c r="F442" t="s">
        <v>84</v>
      </c>
      <c r="G442">
        <v>0</v>
      </c>
      <c r="H442" t="s">
        <v>85</v>
      </c>
      <c r="I442" t="s">
        <v>86</v>
      </c>
      <c r="J442" t="str">
        <f>MID($N442,FIND("1.",$N442),FIND("-",$N442)-FIND("1.",$N442)-1)</f>
        <v>1.0441</v>
      </c>
      <c r="K442" t="str">
        <f t="shared" si="18"/>
        <v>Ensure Windows Firewall</v>
      </c>
      <c r="L442" t="str">
        <f t="shared" si="19"/>
        <v>1.0441 - MSWRK - Ensure Windows Firewall: Private: Inbound connections is set to Block (default) - Privateprofile</v>
      </c>
      <c r="M442" t="str">
        <f t="shared" si="20"/>
        <v>FAILED</v>
      </c>
      <c r="N442" s="1" t="s">
        <v>341</v>
      </c>
      <c r="O442" t="s">
        <v>67</v>
      </c>
      <c r="R442" t="s">
        <v>68</v>
      </c>
      <c r="T442" t="s">
        <v>69</v>
      </c>
      <c r="U442" t="s">
        <v>70</v>
      </c>
      <c r="W442" t="s">
        <v>71</v>
      </c>
      <c r="X442" s="1" t="s">
        <v>72</v>
      </c>
      <c r="Y442" t="s">
        <v>88</v>
      </c>
      <c r="Z442">
        <v>0</v>
      </c>
      <c r="AA442">
        <v>0</v>
      </c>
      <c r="AD442">
        <v>0</v>
      </c>
      <c r="AE442">
        <v>0</v>
      </c>
      <c r="AH442" t="s">
        <v>73</v>
      </c>
      <c r="AI442" t="s">
        <v>318</v>
      </c>
      <c r="AJ442" t="s">
        <v>319</v>
      </c>
      <c r="AK442" t="s">
        <v>76</v>
      </c>
      <c r="AN442" t="s">
        <v>77</v>
      </c>
      <c r="AO442" t="s">
        <v>320</v>
      </c>
      <c r="AP442" t="s">
        <v>340</v>
      </c>
      <c r="AQ442" t="s">
        <v>322</v>
      </c>
      <c r="AS442" t="b">
        <v>1</v>
      </c>
      <c r="AT442" t="s">
        <v>65</v>
      </c>
      <c r="AU442">
        <v>0</v>
      </c>
      <c r="AV442">
        <v>0</v>
      </c>
      <c r="AX442">
        <v>39</v>
      </c>
      <c r="AY442" t="s">
        <v>81</v>
      </c>
      <c r="AZ442" t="s">
        <v>90</v>
      </c>
      <c r="BB442" t="s">
        <v>91</v>
      </c>
      <c r="BC442" t="s">
        <v>92</v>
      </c>
      <c r="BD442" t="b">
        <v>0</v>
      </c>
      <c r="BE442" t="b">
        <v>0</v>
      </c>
      <c r="BF442" t="b">
        <v>0</v>
      </c>
      <c r="BG442" t="b">
        <v>0</v>
      </c>
      <c r="BH442" t="b">
        <v>0</v>
      </c>
      <c r="BI442" t="b">
        <v>0</v>
      </c>
      <c r="BJ442" t="b">
        <v>0</v>
      </c>
      <c r="BK442" t="b">
        <v>0</v>
      </c>
      <c r="BL442" t="b">
        <v>0</v>
      </c>
      <c r="BM442" t="b">
        <v>0</v>
      </c>
      <c r="BN442" t="b">
        <v>0</v>
      </c>
      <c r="BO442" t="b">
        <v>0</v>
      </c>
      <c r="BP442" t="b">
        <v>0</v>
      </c>
      <c r="BR442" t="b">
        <f>IFERROR(IF(M442="PASSED",VLOOKUP(J442,Current!$J$1:$N$500,1,FALSE)),N442)</f>
        <v>0</v>
      </c>
    </row>
    <row r="443" spans="1:70" ht="15" customHeight="1" x14ac:dyDescent="0.25">
      <c r="A443">
        <v>21156</v>
      </c>
      <c r="C443">
        <v>0</v>
      </c>
      <c r="D443" t="s">
        <v>65</v>
      </c>
      <c r="E443" t="s">
        <v>66</v>
      </c>
      <c r="F443" t="s">
        <v>84</v>
      </c>
      <c r="G443">
        <v>0</v>
      </c>
      <c r="H443" t="s">
        <v>85</v>
      </c>
      <c r="I443" t="s">
        <v>86</v>
      </c>
      <c r="J443" t="str">
        <f>MID($N443,FIND("1.",$N443),FIND("-",$N443)-FIND("1.",$N443)-1)</f>
        <v>1.0442</v>
      </c>
      <c r="K443" t="str">
        <f t="shared" si="18"/>
        <v>Ensure Windows Firewall</v>
      </c>
      <c r="L443" t="str">
        <f t="shared" si="19"/>
        <v>1.0442 - MSWRK - Ensure Windows Firewall: Private: Settings: Display a notification is set to No - Privateprofile</v>
      </c>
      <c r="M443" t="str">
        <f t="shared" si="20"/>
        <v>PASSED</v>
      </c>
      <c r="N443" s="1" t="s">
        <v>778</v>
      </c>
      <c r="O443" t="s">
        <v>67</v>
      </c>
      <c r="R443" t="s">
        <v>68</v>
      </c>
      <c r="T443" t="s">
        <v>69</v>
      </c>
      <c r="U443" t="s">
        <v>70</v>
      </c>
      <c r="W443" t="s">
        <v>71</v>
      </c>
      <c r="X443" s="1" t="s">
        <v>72</v>
      </c>
      <c r="Y443" t="s">
        <v>88</v>
      </c>
      <c r="Z443">
        <v>0</v>
      </c>
      <c r="AA443">
        <v>0</v>
      </c>
      <c r="AD443">
        <v>0</v>
      </c>
      <c r="AE443">
        <v>0</v>
      </c>
      <c r="AH443" t="s">
        <v>73</v>
      </c>
      <c r="AI443" t="s">
        <v>318</v>
      </c>
      <c r="AJ443" t="s">
        <v>319</v>
      </c>
      <c r="AK443" t="s">
        <v>76</v>
      </c>
      <c r="AN443" t="s">
        <v>77</v>
      </c>
      <c r="AO443" t="s">
        <v>320</v>
      </c>
      <c r="AP443" t="s">
        <v>777</v>
      </c>
      <c r="AQ443" t="s">
        <v>322</v>
      </c>
      <c r="AS443" t="b">
        <v>1</v>
      </c>
      <c r="AT443" t="s">
        <v>65</v>
      </c>
      <c r="AU443">
        <v>0</v>
      </c>
      <c r="AV443">
        <v>0</v>
      </c>
      <c r="AX443">
        <v>39</v>
      </c>
      <c r="AY443" t="s">
        <v>81</v>
      </c>
      <c r="AZ443" t="s">
        <v>90</v>
      </c>
      <c r="BB443" t="s">
        <v>91</v>
      </c>
      <c r="BC443" t="s">
        <v>92</v>
      </c>
      <c r="BD443" t="b">
        <v>0</v>
      </c>
      <c r="BE443" t="b">
        <v>0</v>
      </c>
      <c r="BF443" t="b">
        <v>0</v>
      </c>
      <c r="BG443" t="b">
        <v>0</v>
      </c>
      <c r="BH443" t="b">
        <v>0</v>
      </c>
      <c r="BI443" t="b">
        <v>0</v>
      </c>
      <c r="BJ443" t="b">
        <v>0</v>
      </c>
      <c r="BK443" t="b">
        <v>0</v>
      </c>
      <c r="BL443" t="b">
        <v>0</v>
      </c>
      <c r="BM443" t="b">
        <v>0</v>
      </c>
      <c r="BN443" t="b">
        <v>0</v>
      </c>
      <c r="BO443" t="b">
        <v>0</v>
      </c>
      <c r="BP443" t="b">
        <v>0</v>
      </c>
      <c r="BR443" t="str">
        <f>IFERROR(IF(M443="PASSED",VLOOKUP(J443,Current!$J$1:$N$500,1,FALSE)),N443)</f>
        <v>"1.0442 - MSWRK - Ensure Windows Firewall: Private: Settings: Display a notification is set to No - Privateprofile: [PASSED]"
Select this option to have Windows Firewall with Advanced Security display notifications to the user when a program is blocked from receiving inbound connections.
See Also:
See HTH Policies and Standards
Reference:
NIST 800-53r5|SC-7 SC-7(5)
Policy Value:
'1'
Actual Value:
'1'</v>
      </c>
    </row>
    <row r="444" spans="1:70" ht="15" customHeight="1" x14ac:dyDescent="0.25">
      <c r="A444">
        <v>21156</v>
      </c>
      <c r="C444">
        <v>0</v>
      </c>
      <c r="D444" t="s">
        <v>65</v>
      </c>
      <c r="E444" t="s">
        <v>66</v>
      </c>
      <c r="F444" t="s">
        <v>84</v>
      </c>
      <c r="G444">
        <v>0</v>
      </c>
      <c r="H444" t="s">
        <v>85</v>
      </c>
      <c r="I444" t="s">
        <v>86</v>
      </c>
      <c r="J444" t="str">
        <f>MID($N444,FIND("1.",$N444),FIND("-",$N444)-FIND("1.",$N444)-1)</f>
        <v>1.0443</v>
      </c>
      <c r="K444" t="str">
        <f t="shared" si="18"/>
        <v>Ensure Windows Firewall</v>
      </c>
      <c r="L444" t="str">
        <f t="shared" si="19"/>
        <v>1.0443 - MSWRK - Ensure Windows Firewall: Private: Logging: Name is configured</v>
      </c>
      <c r="M444" t="str">
        <f t="shared" si="20"/>
        <v>PASSED</v>
      </c>
      <c r="N444" s="1" t="s">
        <v>364</v>
      </c>
      <c r="O444" t="s">
        <v>67</v>
      </c>
      <c r="R444" t="s">
        <v>68</v>
      </c>
      <c r="T444" t="s">
        <v>69</v>
      </c>
      <c r="U444" t="s">
        <v>70</v>
      </c>
      <c r="W444" t="s">
        <v>71</v>
      </c>
      <c r="X444" s="1" t="s">
        <v>72</v>
      </c>
      <c r="Y444" t="s">
        <v>88</v>
      </c>
      <c r="Z444">
        <v>0</v>
      </c>
      <c r="AA444">
        <v>0</v>
      </c>
      <c r="AD444">
        <v>0</v>
      </c>
      <c r="AE444">
        <v>0</v>
      </c>
      <c r="AH444" t="s">
        <v>73</v>
      </c>
      <c r="AI444" t="s">
        <v>318</v>
      </c>
      <c r="AJ444" t="s">
        <v>319</v>
      </c>
      <c r="AK444" t="s">
        <v>76</v>
      </c>
      <c r="AN444" t="s">
        <v>77</v>
      </c>
      <c r="AO444" t="s">
        <v>320</v>
      </c>
      <c r="AP444" t="s">
        <v>365</v>
      </c>
      <c r="AQ444" t="s">
        <v>322</v>
      </c>
      <c r="AS444" t="b">
        <v>1</v>
      </c>
      <c r="AT444" t="s">
        <v>65</v>
      </c>
      <c r="AU444">
        <v>0</v>
      </c>
      <c r="AV444">
        <v>0</v>
      </c>
      <c r="AX444">
        <v>39</v>
      </c>
      <c r="AY444" t="s">
        <v>81</v>
      </c>
      <c r="AZ444" t="s">
        <v>90</v>
      </c>
      <c r="BB444" t="s">
        <v>91</v>
      </c>
      <c r="BC444" t="s">
        <v>92</v>
      </c>
      <c r="BD444" t="b">
        <v>0</v>
      </c>
      <c r="BE444" t="b">
        <v>0</v>
      </c>
      <c r="BF444" t="b">
        <v>0</v>
      </c>
      <c r="BG444" t="b">
        <v>0</v>
      </c>
      <c r="BH444" t="b">
        <v>0</v>
      </c>
      <c r="BI444" t="b">
        <v>0</v>
      </c>
      <c r="BJ444" t="b">
        <v>0</v>
      </c>
      <c r="BK444" t="b">
        <v>0</v>
      </c>
      <c r="BL444" t="b">
        <v>0</v>
      </c>
      <c r="BM444" t="b">
        <v>0</v>
      </c>
      <c r="BN444" t="b">
        <v>0</v>
      </c>
      <c r="BO444" t="b">
        <v>0</v>
      </c>
      <c r="BP444" t="b">
        <v>0</v>
      </c>
      <c r="BR444" t="str">
        <f>IFERROR(IF(M444="PASSED",VLOOKUP(J444,Current!$J$1:$N$500,1,FALSE)),N444)</f>
        <v>"1.0443 - MSWRK - Ensure Windows Firewall: Private: Logging: Name is configured: [PASSED]"
This policy setting is used to specify the path and name of the file in which Windows Firewall will write its log information.
See Also:
See HTH Policies and Standards
Reference:
NIST 800-53r5|AU-2 AU-7 AU-12
Policy Value:
'%SYSTEMROOT%\System32\logfiles\firewall\privatefw.log'
Actual Value:
'%systemroot%\system32\logfiles\firewall\privatefw.log'</v>
      </c>
    </row>
    <row r="445" spans="1:70" ht="15" customHeight="1" x14ac:dyDescent="0.25">
      <c r="A445">
        <v>21156</v>
      </c>
      <c r="C445">
        <v>0</v>
      </c>
      <c r="D445" t="s">
        <v>65</v>
      </c>
      <c r="E445" t="s">
        <v>66</v>
      </c>
      <c r="F445" t="s">
        <v>84</v>
      </c>
      <c r="G445">
        <v>0</v>
      </c>
      <c r="H445" t="s">
        <v>85</v>
      </c>
      <c r="I445" t="s">
        <v>86</v>
      </c>
      <c r="J445" t="str">
        <f>MID($N445,FIND("1.",$N445),FIND("-",$N445)-FIND("1.",$N445)-1)</f>
        <v>1.0444</v>
      </c>
      <c r="K445" t="str">
        <f t="shared" si="18"/>
        <v>Ensure Windows Firewall</v>
      </c>
      <c r="L445" t="str">
        <f t="shared" si="19"/>
        <v>1.0444 - MSWRK - Ensure Windows Firewall: Private: Logging: Size limit (KB) is set to 16,384 KB or greater</v>
      </c>
      <c r="M445" t="str">
        <f t="shared" si="20"/>
        <v>PASSED</v>
      </c>
      <c r="N445" s="1" t="s">
        <v>748</v>
      </c>
      <c r="O445" t="s">
        <v>67</v>
      </c>
      <c r="R445" t="s">
        <v>68</v>
      </c>
      <c r="T445" t="s">
        <v>69</v>
      </c>
      <c r="U445" t="s">
        <v>70</v>
      </c>
      <c r="W445" t="s">
        <v>71</v>
      </c>
      <c r="X445" s="1" t="s">
        <v>72</v>
      </c>
      <c r="Y445" t="s">
        <v>88</v>
      </c>
      <c r="Z445">
        <v>0</v>
      </c>
      <c r="AA445">
        <v>0</v>
      </c>
      <c r="AD445">
        <v>0</v>
      </c>
      <c r="AE445">
        <v>0</v>
      </c>
      <c r="AH445" t="s">
        <v>73</v>
      </c>
      <c r="AI445" t="s">
        <v>318</v>
      </c>
      <c r="AJ445" t="s">
        <v>319</v>
      </c>
      <c r="AK445" t="s">
        <v>76</v>
      </c>
      <c r="AN445" t="s">
        <v>77</v>
      </c>
      <c r="AO445" t="s">
        <v>320</v>
      </c>
      <c r="AP445" t="s">
        <v>749</v>
      </c>
      <c r="AQ445" t="s">
        <v>322</v>
      </c>
      <c r="AS445" t="b">
        <v>1</v>
      </c>
      <c r="AT445" t="s">
        <v>65</v>
      </c>
      <c r="AU445">
        <v>0</v>
      </c>
      <c r="AV445">
        <v>0</v>
      </c>
      <c r="AX445">
        <v>39</v>
      </c>
      <c r="AY445" t="s">
        <v>81</v>
      </c>
      <c r="AZ445" t="s">
        <v>90</v>
      </c>
      <c r="BB445" t="s">
        <v>91</v>
      </c>
      <c r="BC445" t="s">
        <v>92</v>
      </c>
      <c r="BD445" t="b">
        <v>0</v>
      </c>
      <c r="BE445" t="b">
        <v>0</v>
      </c>
      <c r="BF445" t="b">
        <v>0</v>
      </c>
      <c r="BG445" t="b">
        <v>0</v>
      </c>
      <c r="BH445" t="b">
        <v>0</v>
      </c>
      <c r="BI445" t="b">
        <v>0</v>
      </c>
      <c r="BJ445" t="b">
        <v>0</v>
      </c>
      <c r="BK445" t="b">
        <v>0</v>
      </c>
      <c r="BL445" t="b">
        <v>0</v>
      </c>
      <c r="BM445" t="b">
        <v>0</v>
      </c>
      <c r="BN445" t="b">
        <v>0</v>
      </c>
      <c r="BO445" t="b">
        <v>0</v>
      </c>
      <c r="BP445" t="b">
        <v>0</v>
      </c>
      <c r="BR445" t="str">
        <f>IFERROR(IF(M445="PASSED",VLOOKUP(J445,Current!$J$1:$N$500,1,FALSE)),N445)</f>
        <v>"1.0444 - MSWRK - Ensure Windows Firewall: Private: Logging: Size limit (KB) is set to 16,384 KB or greater: [PASSED]"
Use this option to specify the size limit of the file in which Windows Firewall will write its log information.
See Also:
See HTH Policies and Standards
Reference:
NIST 800-53r5|AU-4
Policy Value:
'^([1-9][0-9]{5,}|[2-9][0-9]{4}|1[7-9][0-9]{3}|16[4-9][0-9]{2}|163[9-9][0-9]{1}|1638[4-9])$'
Actual Value:
'16384'</v>
      </c>
    </row>
    <row r="446" spans="1:70" ht="15" customHeight="1" x14ac:dyDescent="0.25">
      <c r="A446">
        <v>21156</v>
      </c>
      <c r="C446">
        <v>0</v>
      </c>
      <c r="D446" t="s">
        <v>65</v>
      </c>
      <c r="E446" t="s">
        <v>66</v>
      </c>
      <c r="F446" t="s">
        <v>84</v>
      </c>
      <c r="G446">
        <v>0</v>
      </c>
      <c r="H446" t="s">
        <v>85</v>
      </c>
      <c r="I446" t="s">
        <v>86</v>
      </c>
      <c r="J446" t="str">
        <f>MID($N446,FIND("1.",$N446),FIND("-",$N446)-FIND("1.",$N446)-1)</f>
        <v>1.0445</v>
      </c>
      <c r="K446" t="str">
        <f t="shared" si="18"/>
        <v>Ensure Windows Firewall</v>
      </c>
      <c r="L446" t="str">
        <f t="shared" si="19"/>
        <v>1.0445 - MSWRK - Ensure Windows Firewall: Private: Logging: Log dropped packets is set to Yes</v>
      </c>
      <c r="M446" t="str">
        <f t="shared" si="20"/>
        <v>PASSED</v>
      </c>
      <c r="N446" s="1" t="s">
        <v>600</v>
      </c>
      <c r="O446" t="s">
        <v>67</v>
      </c>
      <c r="R446" t="s">
        <v>68</v>
      </c>
      <c r="T446" t="s">
        <v>69</v>
      </c>
      <c r="U446" t="s">
        <v>70</v>
      </c>
      <c r="W446" t="s">
        <v>71</v>
      </c>
      <c r="X446" s="1" t="s">
        <v>72</v>
      </c>
      <c r="Y446" t="s">
        <v>88</v>
      </c>
      <c r="Z446">
        <v>0</v>
      </c>
      <c r="AA446">
        <v>0</v>
      </c>
      <c r="AD446">
        <v>0</v>
      </c>
      <c r="AE446">
        <v>0</v>
      </c>
      <c r="AH446" t="s">
        <v>73</v>
      </c>
      <c r="AI446" t="s">
        <v>318</v>
      </c>
      <c r="AJ446" t="s">
        <v>319</v>
      </c>
      <c r="AK446" t="s">
        <v>76</v>
      </c>
      <c r="AN446" t="s">
        <v>77</v>
      </c>
      <c r="AO446" t="s">
        <v>320</v>
      </c>
      <c r="AP446" t="s">
        <v>601</v>
      </c>
      <c r="AQ446" t="s">
        <v>322</v>
      </c>
      <c r="AS446" t="b">
        <v>1</v>
      </c>
      <c r="AT446" t="s">
        <v>65</v>
      </c>
      <c r="AU446">
        <v>0</v>
      </c>
      <c r="AV446">
        <v>0</v>
      </c>
      <c r="AX446">
        <v>39</v>
      </c>
      <c r="AY446" t="s">
        <v>81</v>
      </c>
      <c r="AZ446" t="s">
        <v>90</v>
      </c>
      <c r="BB446" t="s">
        <v>91</v>
      </c>
      <c r="BC446" t="s">
        <v>92</v>
      </c>
      <c r="BD446" t="b">
        <v>0</v>
      </c>
      <c r="BE446" t="b">
        <v>0</v>
      </c>
      <c r="BF446" t="b">
        <v>0</v>
      </c>
      <c r="BG446" t="b">
        <v>0</v>
      </c>
      <c r="BH446" t="b">
        <v>0</v>
      </c>
      <c r="BI446" t="b">
        <v>0</v>
      </c>
      <c r="BJ446" t="b">
        <v>0</v>
      </c>
      <c r="BK446" t="b">
        <v>0</v>
      </c>
      <c r="BL446" t="b">
        <v>0</v>
      </c>
      <c r="BM446" t="b">
        <v>0</v>
      </c>
      <c r="BN446" t="b">
        <v>0</v>
      </c>
      <c r="BO446" t="b">
        <v>0</v>
      </c>
      <c r="BP446" t="b">
        <v>0</v>
      </c>
      <c r="BR446" t="str">
        <f>IFERROR(IF(M446="PASSED",VLOOKUP(J446,Current!$J$1:$N$500,1,FALSE)),N446)</f>
        <v>"1.0445 - MSWRK - Ensure Windows Firewall: Private: Logging: Log dropped packets is set to Yes: [PASSED]"
Use this option to log when Windows Firewall with Advanced Security discards an inbound packet for any reason.
See Also:
See HTH Policies and Standards
Reference:
NIST 800-53r5|AU-3 AU-3(1) AU-7 AU-12 SC-7 SC-7(5)
Policy Value:
'1'
Actual Value:
'1'</v>
      </c>
    </row>
    <row r="447" spans="1:70" ht="15" customHeight="1" x14ac:dyDescent="0.25">
      <c r="A447">
        <v>21156</v>
      </c>
      <c r="C447">
        <v>0</v>
      </c>
      <c r="D447" t="s">
        <v>65</v>
      </c>
      <c r="E447" t="s">
        <v>66</v>
      </c>
      <c r="F447" t="s">
        <v>84</v>
      </c>
      <c r="G447">
        <v>0</v>
      </c>
      <c r="H447" t="s">
        <v>85</v>
      </c>
      <c r="I447" t="s">
        <v>86</v>
      </c>
      <c r="J447" t="str">
        <f>MID($N447,FIND("1.",$N447),FIND("-",$N447)-FIND("1.",$N447)-1)</f>
        <v>1.0446</v>
      </c>
      <c r="K447" t="str">
        <f t="shared" si="18"/>
        <v>Ensure Windows Firewall</v>
      </c>
      <c r="L447" t="str">
        <f t="shared" si="19"/>
        <v>1.0446 - MSWRK - Ensure Windows Firewall: Private: Logging: Log successful connections is set to Yes</v>
      </c>
      <c r="M447" t="str">
        <f t="shared" si="20"/>
        <v>PASSED</v>
      </c>
      <c r="N447" s="1" t="s">
        <v>680</v>
      </c>
      <c r="O447" t="s">
        <v>67</v>
      </c>
      <c r="R447" t="s">
        <v>68</v>
      </c>
      <c r="T447" t="s">
        <v>69</v>
      </c>
      <c r="U447" t="s">
        <v>70</v>
      </c>
      <c r="W447" t="s">
        <v>71</v>
      </c>
      <c r="X447" s="1" t="s">
        <v>72</v>
      </c>
      <c r="Y447" t="s">
        <v>88</v>
      </c>
      <c r="Z447">
        <v>0</v>
      </c>
      <c r="AA447">
        <v>0</v>
      </c>
      <c r="AD447">
        <v>0</v>
      </c>
      <c r="AE447">
        <v>0</v>
      </c>
      <c r="AH447" t="s">
        <v>73</v>
      </c>
      <c r="AI447" t="s">
        <v>318</v>
      </c>
      <c r="AJ447" t="s">
        <v>319</v>
      </c>
      <c r="AK447" t="s">
        <v>76</v>
      </c>
      <c r="AN447" t="s">
        <v>77</v>
      </c>
      <c r="AO447" t="s">
        <v>320</v>
      </c>
      <c r="AP447" t="s">
        <v>681</v>
      </c>
      <c r="AQ447" t="s">
        <v>322</v>
      </c>
      <c r="AS447" t="b">
        <v>1</v>
      </c>
      <c r="AT447" t="s">
        <v>65</v>
      </c>
      <c r="AU447">
        <v>0</v>
      </c>
      <c r="AV447">
        <v>0</v>
      </c>
      <c r="AX447">
        <v>39</v>
      </c>
      <c r="AY447" t="s">
        <v>81</v>
      </c>
      <c r="AZ447" t="s">
        <v>90</v>
      </c>
      <c r="BB447" t="s">
        <v>91</v>
      </c>
      <c r="BC447" t="s">
        <v>92</v>
      </c>
      <c r="BD447" t="b">
        <v>0</v>
      </c>
      <c r="BE447" t="b">
        <v>0</v>
      </c>
      <c r="BF447" t="b">
        <v>0</v>
      </c>
      <c r="BG447" t="b">
        <v>0</v>
      </c>
      <c r="BH447" t="b">
        <v>0</v>
      </c>
      <c r="BI447" t="b">
        <v>0</v>
      </c>
      <c r="BJ447" t="b">
        <v>0</v>
      </c>
      <c r="BK447" t="b">
        <v>0</v>
      </c>
      <c r="BL447" t="b">
        <v>0</v>
      </c>
      <c r="BM447" t="b">
        <v>0</v>
      </c>
      <c r="BN447" t="b">
        <v>0</v>
      </c>
      <c r="BO447" t="b">
        <v>0</v>
      </c>
      <c r="BP447" t="b">
        <v>0</v>
      </c>
      <c r="BR447" t="str">
        <f>IFERROR(IF(M447="PASSED",VLOOKUP(J447,Current!$J$1:$N$500,1,FALSE)),N447)</f>
        <v>"1.0446 - MSWRK - Ensure Windows Firewall: Private: Logging: Log successful connections is set to Yes: [PASSED]"
Use this option to log when Windows Firewall with Advanced Security allows an inbound connection.
See Also:
See HTH Policies and Standards
Reference:
NIST 800-53r5|AU-3 AU-3(1) AU-7 AU-12 SC-7 SC-7(5)
Policy Value:
'1'
Actual Value:
'1'</v>
      </c>
    </row>
    <row r="448" spans="1:70" ht="15" customHeight="1" x14ac:dyDescent="0.25">
      <c r="A448">
        <v>21156</v>
      </c>
      <c r="C448">
        <v>0</v>
      </c>
      <c r="D448" t="s">
        <v>65</v>
      </c>
      <c r="E448" t="s">
        <v>66</v>
      </c>
      <c r="F448" t="s">
        <v>84</v>
      </c>
      <c r="G448">
        <v>0</v>
      </c>
      <c r="H448" t="s">
        <v>85</v>
      </c>
      <c r="I448" t="s">
        <v>86</v>
      </c>
      <c r="J448" t="str">
        <f>MID($N448,FIND("1.",$N448),FIND("-",$N448)-FIND("1.",$N448)-1)</f>
        <v>1.0447</v>
      </c>
      <c r="K448" t="str">
        <f t="shared" si="18"/>
        <v>Ensure Windows Firewall</v>
      </c>
      <c r="L448" t="str">
        <f t="shared" si="19"/>
        <v>1.0447 - MSWRK - Ensure Windows Firewall: Public: Firewall state is set to On (recommended) - Publicprofile</v>
      </c>
      <c r="M448" t="str">
        <f t="shared" si="20"/>
        <v>PASSED</v>
      </c>
      <c r="N448" s="1" t="s">
        <v>387</v>
      </c>
      <c r="O448" t="s">
        <v>67</v>
      </c>
      <c r="R448" t="s">
        <v>68</v>
      </c>
      <c r="T448" t="s">
        <v>69</v>
      </c>
      <c r="U448" t="s">
        <v>70</v>
      </c>
      <c r="W448" t="s">
        <v>71</v>
      </c>
      <c r="X448" s="1" t="s">
        <v>72</v>
      </c>
      <c r="Y448" t="s">
        <v>88</v>
      </c>
      <c r="Z448">
        <v>0</v>
      </c>
      <c r="AA448">
        <v>0</v>
      </c>
      <c r="AD448">
        <v>0</v>
      </c>
      <c r="AE448">
        <v>0</v>
      </c>
      <c r="AH448" t="s">
        <v>73</v>
      </c>
      <c r="AI448" t="s">
        <v>318</v>
      </c>
      <c r="AJ448" t="s">
        <v>319</v>
      </c>
      <c r="AK448" t="s">
        <v>76</v>
      </c>
      <c r="AN448" t="s">
        <v>77</v>
      </c>
      <c r="AO448" t="s">
        <v>320</v>
      </c>
      <c r="AP448" t="s">
        <v>386</v>
      </c>
      <c r="AQ448" t="s">
        <v>322</v>
      </c>
      <c r="AS448" t="b">
        <v>1</v>
      </c>
      <c r="AT448" t="s">
        <v>65</v>
      </c>
      <c r="AU448">
        <v>0</v>
      </c>
      <c r="AV448">
        <v>0</v>
      </c>
      <c r="AX448">
        <v>39</v>
      </c>
      <c r="AY448" t="s">
        <v>81</v>
      </c>
      <c r="AZ448" t="s">
        <v>90</v>
      </c>
      <c r="BB448" t="s">
        <v>91</v>
      </c>
      <c r="BC448" t="s">
        <v>92</v>
      </c>
      <c r="BD448" t="b">
        <v>0</v>
      </c>
      <c r="BE448" t="b">
        <v>0</v>
      </c>
      <c r="BF448" t="b">
        <v>0</v>
      </c>
      <c r="BG448" t="b">
        <v>0</v>
      </c>
      <c r="BH448" t="b">
        <v>0</v>
      </c>
      <c r="BI448" t="b">
        <v>0</v>
      </c>
      <c r="BJ448" t="b">
        <v>0</v>
      </c>
      <c r="BK448" t="b">
        <v>0</v>
      </c>
      <c r="BL448" t="b">
        <v>0</v>
      </c>
      <c r="BM448" t="b">
        <v>0</v>
      </c>
      <c r="BN448" t="b">
        <v>0</v>
      </c>
      <c r="BO448" t="b">
        <v>0</v>
      </c>
      <c r="BP448" t="b">
        <v>0</v>
      </c>
      <c r="BR448" t="str">
        <f>IFERROR(IF(M448="PASSED",VLOOKUP(J448,Current!$J$1:$N$500,1,FALSE)),N448)</f>
        <v>"1.0447 - MSWRK - Ensure Windows Firewall: Public: Firewall state is set to On (recommended) - Publicprofile: [PASSED]"
This policy setting controls whether the built-in Public Firewall state is enabled or disabled.
See Also:
See HTH Policies and Standards
Reference:
NIST 800-53r5|SC-7 SC-7(5)
Policy Value:
'1'
Actual Value:
'1'</v>
      </c>
    </row>
    <row r="449" spans="1:70" ht="15" hidden="1" customHeight="1" x14ac:dyDescent="0.25">
      <c r="A449">
        <v>21156</v>
      </c>
      <c r="C449">
        <v>0</v>
      </c>
      <c r="D449" t="s">
        <v>83</v>
      </c>
      <c r="E449" t="s">
        <v>66</v>
      </c>
      <c r="F449" t="s">
        <v>84</v>
      </c>
      <c r="G449">
        <v>0</v>
      </c>
      <c r="H449" t="s">
        <v>85</v>
      </c>
      <c r="I449" t="s">
        <v>86</v>
      </c>
      <c r="J449" t="str">
        <f>MID($N449,FIND("1.",$N449),FIND("-",$N449)-FIND("1.",$N449)-1)</f>
        <v>1.0448</v>
      </c>
      <c r="K449" t="str">
        <f t="shared" si="18"/>
        <v>Ensure Windows Firewall</v>
      </c>
      <c r="L449" t="str">
        <f t="shared" si="19"/>
        <v>1.0448 - MSWRK - Ensure Windows Firewall: Public: Inbound connections is set to Block (default) - Publicprofile</v>
      </c>
      <c r="M449" t="str">
        <f t="shared" si="20"/>
        <v>FAILED</v>
      </c>
      <c r="N449" s="1" t="s">
        <v>632</v>
      </c>
      <c r="O449" t="s">
        <v>67</v>
      </c>
      <c r="R449" t="s">
        <v>68</v>
      </c>
      <c r="T449" t="s">
        <v>69</v>
      </c>
      <c r="U449" t="s">
        <v>70</v>
      </c>
      <c r="W449" t="s">
        <v>71</v>
      </c>
      <c r="X449" s="1" t="s">
        <v>72</v>
      </c>
      <c r="Y449" t="s">
        <v>88</v>
      </c>
      <c r="Z449">
        <v>0</v>
      </c>
      <c r="AA449">
        <v>0</v>
      </c>
      <c r="AD449">
        <v>0</v>
      </c>
      <c r="AE449">
        <v>0</v>
      </c>
      <c r="AH449" t="s">
        <v>73</v>
      </c>
      <c r="AI449" t="s">
        <v>318</v>
      </c>
      <c r="AJ449" t="s">
        <v>319</v>
      </c>
      <c r="AK449" t="s">
        <v>76</v>
      </c>
      <c r="AN449" t="s">
        <v>77</v>
      </c>
      <c r="AO449" t="s">
        <v>320</v>
      </c>
      <c r="AP449" t="s">
        <v>633</v>
      </c>
      <c r="AQ449" t="s">
        <v>322</v>
      </c>
      <c r="AS449" t="b">
        <v>1</v>
      </c>
      <c r="AT449" t="s">
        <v>65</v>
      </c>
      <c r="AU449">
        <v>0</v>
      </c>
      <c r="AV449">
        <v>0</v>
      </c>
      <c r="AX449">
        <v>39</v>
      </c>
      <c r="AY449" t="s">
        <v>81</v>
      </c>
      <c r="AZ449" t="s">
        <v>90</v>
      </c>
      <c r="BB449" t="s">
        <v>91</v>
      </c>
      <c r="BC449" t="s">
        <v>92</v>
      </c>
      <c r="BD449" t="b">
        <v>0</v>
      </c>
      <c r="BE449" t="b">
        <v>0</v>
      </c>
      <c r="BF449" t="b">
        <v>0</v>
      </c>
      <c r="BG449" t="b">
        <v>0</v>
      </c>
      <c r="BH449" t="b">
        <v>0</v>
      </c>
      <c r="BI449" t="b">
        <v>0</v>
      </c>
      <c r="BJ449" t="b">
        <v>0</v>
      </c>
      <c r="BK449" t="b">
        <v>0</v>
      </c>
      <c r="BL449" t="b">
        <v>0</v>
      </c>
      <c r="BM449" t="b">
        <v>0</v>
      </c>
      <c r="BN449" t="b">
        <v>0</v>
      </c>
      <c r="BO449" t="b">
        <v>0</v>
      </c>
      <c r="BP449" t="b">
        <v>0</v>
      </c>
      <c r="BR449" t="b">
        <f>IFERROR(IF(M449="PASSED",VLOOKUP(J449,Current!$J$1:$N$500,1,FALSE)),N449)</f>
        <v>0</v>
      </c>
    </row>
    <row r="450" spans="1:70" ht="15" customHeight="1" x14ac:dyDescent="0.25">
      <c r="A450">
        <v>21156</v>
      </c>
      <c r="C450">
        <v>0</v>
      </c>
      <c r="D450" t="s">
        <v>65</v>
      </c>
      <c r="E450" t="s">
        <v>66</v>
      </c>
      <c r="F450" t="s">
        <v>84</v>
      </c>
      <c r="G450">
        <v>0</v>
      </c>
      <c r="H450" t="s">
        <v>85</v>
      </c>
      <c r="I450" t="s">
        <v>86</v>
      </c>
      <c r="J450" t="str">
        <f>MID($N450,FIND("1.",$N450),FIND("-",$N450)-FIND("1.",$N450)-1)</f>
        <v>1.0449</v>
      </c>
      <c r="K450" t="str">
        <f t="shared" si="18"/>
        <v>Ensure Windows Firewall</v>
      </c>
      <c r="L450" t="str">
        <f t="shared" si="19"/>
        <v>1.0449 - MSWRK - Ensure Windows Firewall: Public: Settings: Display a notification is set to No - Publicprofile</v>
      </c>
      <c r="M450" t="str">
        <f t="shared" si="20"/>
        <v>PASSED</v>
      </c>
      <c r="N450" s="1" t="s">
        <v>631</v>
      </c>
      <c r="O450" t="s">
        <v>67</v>
      </c>
      <c r="R450" t="s">
        <v>68</v>
      </c>
      <c r="T450" t="s">
        <v>69</v>
      </c>
      <c r="U450" t="s">
        <v>70</v>
      </c>
      <c r="W450" t="s">
        <v>71</v>
      </c>
      <c r="X450" s="1" t="s">
        <v>72</v>
      </c>
      <c r="Y450" t="s">
        <v>88</v>
      </c>
      <c r="Z450">
        <v>0</v>
      </c>
      <c r="AA450">
        <v>0</v>
      </c>
      <c r="AD450">
        <v>0</v>
      </c>
      <c r="AE450">
        <v>0</v>
      </c>
      <c r="AH450" t="s">
        <v>73</v>
      </c>
      <c r="AI450" t="s">
        <v>318</v>
      </c>
      <c r="AJ450" t="s">
        <v>319</v>
      </c>
      <c r="AK450" t="s">
        <v>76</v>
      </c>
      <c r="AN450" t="s">
        <v>77</v>
      </c>
      <c r="AO450" t="s">
        <v>320</v>
      </c>
      <c r="AP450" t="s">
        <v>629</v>
      </c>
      <c r="AQ450" t="s">
        <v>322</v>
      </c>
      <c r="AS450" t="b">
        <v>1</v>
      </c>
      <c r="AT450" t="s">
        <v>65</v>
      </c>
      <c r="AU450">
        <v>0</v>
      </c>
      <c r="AV450">
        <v>0</v>
      </c>
      <c r="AX450">
        <v>39</v>
      </c>
      <c r="AY450" t="s">
        <v>81</v>
      </c>
      <c r="AZ450" t="s">
        <v>90</v>
      </c>
      <c r="BB450" t="s">
        <v>91</v>
      </c>
      <c r="BC450" t="s">
        <v>92</v>
      </c>
      <c r="BD450" t="b">
        <v>0</v>
      </c>
      <c r="BE450" t="b">
        <v>0</v>
      </c>
      <c r="BF450" t="b">
        <v>0</v>
      </c>
      <c r="BG450" t="b">
        <v>0</v>
      </c>
      <c r="BH450" t="b">
        <v>0</v>
      </c>
      <c r="BI450" t="b">
        <v>0</v>
      </c>
      <c r="BJ450" t="b">
        <v>0</v>
      </c>
      <c r="BK450" t="b">
        <v>0</v>
      </c>
      <c r="BL450" t="b">
        <v>0</v>
      </c>
      <c r="BM450" t="b">
        <v>0</v>
      </c>
      <c r="BN450" t="b">
        <v>0</v>
      </c>
      <c r="BO450" t="b">
        <v>0</v>
      </c>
      <c r="BP450" t="b">
        <v>0</v>
      </c>
      <c r="BR450" t="str">
        <f>IFERROR(IF(M450="PASSED",VLOOKUP(J450,Current!$J$1:$N$500,1,FALSE)),N450)</f>
        <v>"1.0449 - MSWRK - Ensure Windows Firewall: Public: Settings: Display a notification is set to No - Publicprofile: [PASSED]"
Select this option to have Windows Firewall with Advanced Security display notifications to the user when a program is blocked from receiving inbound connections.
See Also:
See HTH Policies and Standards
Reference:
NIST 800-53r5|SC-7 SC-7(5)
Policy Value:
'1'
Actual Value:
'1'</v>
      </c>
    </row>
    <row r="451" spans="1:70" ht="15" customHeight="1" x14ac:dyDescent="0.25">
      <c r="A451">
        <v>21156</v>
      </c>
      <c r="C451">
        <v>0</v>
      </c>
      <c r="D451" t="s">
        <v>65</v>
      </c>
      <c r="E451" t="s">
        <v>66</v>
      </c>
      <c r="F451" t="s">
        <v>84</v>
      </c>
      <c r="G451">
        <v>0</v>
      </c>
      <c r="H451" t="s">
        <v>85</v>
      </c>
      <c r="I451" t="s">
        <v>86</v>
      </c>
      <c r="J451" t="str">
        <f>MID($N451,FIND("1.",$N451),FIND("-",$N451)-FIND("1.",$N451)-1)</f>
        <v>1.0450</v>
      </c>
      <c r="K451" t="str">
        <f t="shared" ref="K451:K495" si="21">MID($N451,FIND("MSWRK - ",$N451)+8,FIND(":",$N451,40)-FIND("MSWRK - ",$N451)-8)</f>
        <v>Ensure Windows Firewall</v>
      </c>
      <c r="L451" t="str">
        <f t="shared" ref="L451:L495" si="22">MID($N451,FIND("1.",$N451),FIND("[",$N451)-1-FIND("1.",$N451)-1)</f>
        <v>1.0450 - MSWRK - Ensure Windows Firewall: Public: Settings: Apply local firewall rules is set to No</v>
      </c>
      <c r="M451" t="str">
        <f t="shared" ref="M451:M495" si="23">MID($N451,FIND("[",$N451)+1,FIND("]",$N451)-FIND("[",$N451)-1)</f>
        <v>PASSED</v>
      </c>
      <c r="N451" s="1" t="s">
        <v>744</v>
      </c>
      <c r="O451" t="s">
        <v>67</v>
      </c>
      <c r="R451" t="s">
        <v>68</v>
      </c>
      <c r="T451" t="s">
        <v>69</v>
      </c>
      <c r="U451" t="s">
        <v>70</v>
      </c>
      <c r="W451" t="s">
        <v>71</v>
      </c>
      <c r="X451" s="1" t="s">
        <v>72</v>
      </c>
      <c r="Y451" t="s">
        <v>88</v>
      </c>
      <c r="Z451">
        <v>0</v>
      </c>
      <c r="AA451">
        <v>0</v>
      </c>
      <c r="AD451">
        <v>0</v>
      </c>
      <c r="AE451">
        <v>0</v>
      </c>
      <c r="AH451" t="s">
        <v>73</v>
      </c>
      <c r="AI451" t="s">
        <v>318</v>
      </c>
      <c r="AJ451" t="s">
        <v>319</v>
      </c>
      <c r="AK451" t="s">
        <v>76</v>
      </c>
      <c r="AN451" t="s">
        <v>77</v>
      </c>
      <c r="AO451" t="s">
        <v>320</v>
      </c>
      <c r="AP451" t="s">
        <v>745</v>
      </c>
      <c r="AQ451" t="s">
        <v>322</v>
      </c>
      <c r="AS451" t="b">
        <v>1</v>
      </c>
      <c r="AT451" t="s">
        <v>65</v>
      </c>
      <c r="AU451">
        <v>0</v>
      </c>
      <c r="AV451">
        <v>0</v>
      </c>
      <c r="AX451">
        <v>39</v>
      </c>
      <c r="AY451" t="s">
        <v>81</v>
      </c>
      <c r="AZ451" t="s">
        <v>90</v>
      </c>
      <c r="BB451" t="s">
        <v>91</v>
      </c>
      <c r="BC451" t="s">
        <v>92</v>
      </c>
      <c r="BD451" t="b">
        <v>0</v>
      </c>
      <c r="BE451" t="b">
        <v>0</v>
      </c>
      <c r="BF451" t="b">
        <v>0</v>
      </c>
      <c r="BG451" t="b">
        <v>0</v>
      </c>
      <c r="BH451" t="b">
        <v>0</v>
      </c>
      <c r="BI451" t="b">
        <v>0</v>
      </c>
      <c r="BJ451" t="b">
        <v>0</v>
      </c>
      <c r="BK451" t="b">
        <v>0</v>
      </c>
      <c r="BL451" t="b">
        <v>0</v>
      </c>
      <c r="BM451" t="b">
        <v>0</v>
      </c>
      <c r="BN451" t="b">
        <v>0</v>
      </c>
      <c r="BO451" t="b">
        <v>0</v>
      </c>
      <c r="BP451" t="b">
        <v>0</v>
      </c>
      <c r="BR451" t="str">
        <f>IFERROR(IF(M451="PASSED",VLOOKUP(J451,Current!$J$1:$N$500,1,FALSE)),N451)</f>
        <v>"1.0450 - MSWRK - Ensure Windows Firewall: Public: Settings: Apply local firewall rules is set to No: [PASSED]"
This setting controls whether local administrators are allowed to create local firewall rules that apply together with firewall rules configured by Group Policy.
See Also:
See HTH Policies and Standards
Reference:
NIST 800-53r5|SC-7 SC-7(5)
Policy Value:
'0'
Actual Value:
'0'</v>
      </c>
    </row>
    <row r="452" spans="1:70" ht="15" customHeight="1" x14ac:dyDescent="0.25">
      <c r="A452">
        <v>21156</v>
      </c>
      <c r="C452">
        <v>0</v>
      </c>
      <c r="D452" t="s">
        <v>65</v>
      </c>
      <c r="E452" t="s">
        <v>66</v>
      </c>
      <c r="F452" t="s">
        <v>84</v>
      </c>
      <c r="G452">
        <v>0</v>
      </c>
      <c r="H452" t="s">
        <v>85</v>
      </c>
      <c r="I452" t="s">
        <v>86</v>
      </c>
      <c r="J452" t="str">
        <f>MID($N452,FIND("1.",$N452),FIND("-",$N452)-FIND("1.",$N452)-1)</f>
        <v>1.0451</v>
      </c>
      <c r="K452" t="str">
        <f t="shared" si="21"/>
        <v>Ensure Windows Firewall</v>
      </c>
      <c r="L452" t="str">
        <f t="shared" si="22"/>
        <v>1.0451 - MSWRK - Ensure Windows Firewall: Public: Settings: Apply local connection security rules is set to No</v>
      </c>
      <c r="M452" t="str">
        <f t="shared" si="23"/>
        <v>PASSED</v>
      </c>
      <c r="N452" s="1" t="s">
        <v>623</v>
      </c>
      <c r="O452" t="s">
        <v>67</v>
      </c>
      <c r="R452" t="s">
        <v>68</v>
      </c>
      <c r="T452" t="s">
        <v>69</v>
      </c>
      <c r="U452" t="s">
        <v>70</v>
      </c>
      <c r="W452" t="s">
        <v>71</v>
      </c>
      <c r="X452" s="1" t="s">
        <v>72</v>
      </c>
      <c r="Y452" t="s">
        <v>88</v>
      </c>
      <c r="Z452">
        <v>0</v>
      </c>
      <c r="AA452">
        <v>0</v>
      </c>
      <c r="AD452">
        <v>0</v>
      </c>
      <c r="AE452">
        <v>0</v>
      </c>
      <c r="AH452" t="s">
        <v>73</v>
      </c>
      <c r="AI452" t="s">
        <v>318</v>
      </c>
      <c r="AJ452" t="s">
        <v>319</v>
      </c>
      <c r="AK452" t="s">
        <v>76</v>
      </c>
      <c r="AN452" t="s">
        <v>77</v>
      </c>
      <c r="AO452" t="s">
        <v>320</v>
      </c>
      <c r="AP452" t="s">
        <v>624</v>
      </c>
      <c r="AQ452" t="s">
        <v>322</v>
      </c>
      <c r="AS452" t="b">
        <v>1</v>
      </c>
      <c r="AT452" t="s">
        <v>65</v>
      </c>
      <c r="AU452">
        <v>0</v>
      </c>
      <c r="AV452">
        <v>0</v>
      </c>
      <c r="AX452">
        <v>39</v>
      </c>
      <c r="AY452" t="s">
        <v>81</v>
      </c>
      <c r="AZ452" t="s">
        <v>90</v>
      </c>
      <c r="BB452" t="s">
        <v>91</v>
      </c>
      <c r="BC452" t="s">
        <v>92</v>
      </c>
      <c r="BD452" t="b">
        <v>0</v>
      </c>
      <c r="BE452" t="b">
        <v>0</v>
      </c>
      <c r="BF452" t="b">
        <v>0</v>
      </c>
      <c r="BG452" t="b">
        <v>0</v>
      </c>
      <c r="BH452" t="b">
        <v>0</v>
      </c>
      <c r="BI452" t="b">
        <v>0</v>
      </c>
      <c r="BJ452" t="b">
        <v>0</v>
      </c>
      <c r="BK452" t="b">
        <v>0</v>
      </c>
      <c r="BL452" t="b">
        <v>0</v>
      </c>
      <c r="BM452" t="b">
        <v>0</v>
      </c>
      <c r="BN452" t="b">
        <v>0</v>
      </c>
      <c r="BO452" t="b">
        <v>0</v>
      </c>
      <c r="BP452" t="b">
        <v>0</v>
      </c>
      <c r="BR452" t="str">
        <f>IFERROR(IF(M452="PASSED",VLOOKUP(J452,Current!$J$1:$N$500,1,FALSE)),N452)</f>
        <v>"1.0451 - MSWRK - Ensure Windows Firewall: Public: Settings: Apply local connection security rules is set to No: [PASSED]"
This setting controls whether local administrators are allowed to create connection security rules that apply together with connection security rules configured by Group Policy.
See Also:
See HTH Policies and Standards
Reference:
NIST 800-53r5|SC-7 SC-7(5)
Policy Value:
'0'
Actual Value:
'0'</v>
      </c>
    </row>
    <row r="453" spans="1:70" ht="15" customHeight="1" x14ac:dyDescent="0.25">
      <c r="A453">
        <v>21156</v>
      </c>
      <c r="C453">
        <v>0</v>
      </c>
      <c r="D453" t="s">
        <v>65</v>
      </c>
      <c r="E453" t="s">
        <v>66</v>
      </c>
      <c r="F453" t="s">
        <v>84</v>
      </c>
      <c r="G453">
        <v>0</v>
      </c>
      <c r="H453" t="s">
        <v>85</v>
      </c>
      <c r="I453" t="s">
        <v>86</v>
      </c>
      <c r="J453" t="str">
        <f>MID($N453,FIND("1.",$N453),FIND("-",$N453)-FIND("1.",$N453)-1)</f>
        <v>1.0452</v>
      </c>
      <c r="K453" t="str">
        <f t="shared" si="21"/>
        <v>Ensure Windows Firewall</v>
      </c>
      <c r="L453" t="str">
        <f t="shared" si="22"/>
        <v>1.0452 - MSWRK - Ensure Windows Firewall: Public: Logging: Name is configured</v>
      </c>
      <c r="M453" t="str">
        <f t="shared" si="23"/>
        <v>PASSED</v>
      </c>
      <c r="N453" s="1" t="s">
        <v>635</v>
      </c>
      <c r="O453" t="s">
        <v>67</v>
      </c>
      <c r="R453" t="s">
        <v>68</v>
      </c>
      <c r="T453" t="s">
        <v>69</v>
      </c>
      <c r="U453" t="s">
        <v>70</v>
      </c>
      <c r="W453" t="s">
        <v>71</v>
      </c>
      <c r="X453" s="1" t="s">
        <v>72</v>
      </c>
      <c r="Y453" t="s">
        <v>88</v>
      </c>
      <c r="Z453">
        <v>0</v>
      </c>
      <c r="AA453">
        <v>0</v>
      </c>
      <c r="AD453">
        <v>0</v>
      </c>
      <c r="AE453">
        <v>0</v>
      </c>
      <c r="AH453" t="s">
        <v>73</v>
      </c>
      <c r="AI453" t="s">
        <v>318</v>
      </c>
      <c r="AJ453" t="s">
        <v>319</v>
      </c>
      <c r="AK453" t="s">
        <v>76</v>
      </c>
      <c r="AN453" t="s">
        <v>77</v>
      </c>
      <c r="AO453" t="s">
        <v>320</v>
      </c>
      <c r="AP453" t="s">
        <v>636</v>
      </c>
      <c r="AQ453" t="s">
        <v>322</v>
      </c>
      <c r="AS453" t="b">
        <v>1</v>
      </c>
      <c r="AT453" t="s">
        <v>65</v>
      </c>
      <c r="AU453">
        <v>0</v>
      </c>
      <c r="AV453">
        <v>0</v>
      </c>
      <c r="AX453">
        <v>39</v>
      </c>
      <c r="AY453" t="s">
        <v>81</v>
      </c>
      <c r="AZ453" t="s">
        <v>90</v>
      </c>
      <c r="BB453" t="s">
        <v>91</v>
      </c>
      <c r="BC453" t="s">
        <v>92</v>
      </c>
      <c r="BD453" t="b">
        <v>0</v>
      </c>
      <c r="BE453" t="b">
        <v>0</v>
      </c>
      <c r="BF453" t="b">
        <v>0</v>
      </c>
      <c r="BG453" t="b">
        <v>0</v>
      </c>
      <c r="BH453" t="b">
        <v>0</v>
      </c>
      <c r="BI453" t="b">
        <v>0</v>
      </c>
      <c r="BJ453" t="b">
        <v>0</v>
      </c>
      <c r="BK453" t="b">
        <v>0</v>
      </c>
      <c r="BL453" t="b">
        <v>0</v>
      </c>
      <c r="BM453" t="b">
        <v>0</v>
      </c>
      <c r="BN453" t="b">
        <v>0</v>
      </c>
      <c r="BO453" t="b">
        <v>0</v>
      </c>
      <c r="BP453" t="b">
        <v>0</v>
      </c>
      <c r="BR453" t="str">
        <f>IFERROR(IF(M453="PASSED",VLOOKUP(J453,Current!$J$1:$N$500,1,FALSE)),N453)</f>
        <v>"1.0452 - MSWRK - Ensure Windows Firewall: Public: Logging: Name is configured: [PASSED]"
This policy setting is used to specify the path and name of the file in which Windows Firewall will write its log information.
See Also:
See HTH Policies and Standards
Reference:
NIST 800-53r5|AU-2 AU-7 AU-12
Policy Value:
'%SYSTEMROOT%\System32\logfiles\firewall\publicfw.log'
Actual Value:
'%systemroot%\system32\logfiles\firewall\publicfw.log'</v>
      </c>
    </row>
    <row r="454" spans="1:70" ht="15" customHeight="1" x14ac:dyDescent="0.25">
      <c r="A454">
        <v>21156</v>
      </c>
      <c r="C454">
        <v>0</v>
      </c>
      <c r="D454" t="s">
        <v>65</v>
      </c>
      <c r="E454" t="s">
        <v>66</v>
      </c>
      <c r="F454" t="s">
        <v>84</v>
      </c>
      <c r="G454">
        <v>0</v>
      </c>
      <c r="H454" t="s">
        <v>85</v>
      </c>
      <c r="I454" t="s">
        <v>86</v>
      </c>
      <c r="J454" t="str">
        <f>MID($N454,FIND("1.",$N454),FIND("-",$N454)-FIND("1.",$N454)-1)</f>
        <v>1.0453</v>
      </c>
      <c r="K454" t="str">
        <f t="shared" si="21"/>
        <v>Ensure Windows Firewall</v>
      </c>
      <c r="L454" t="str">
        <f t="shared" si="22"/>
        <v>1.0453 - MSWRK - Ensure Windows Firewall: Public: Logging: Size limit (KB) is set to 16,384 KB or greater</v>
      </c>
      <c r="M454" t="str">
        <f t="shared" si="23"/>
        <v>PASSED</v>
      </c>
      <c r="N454" s="1" t="s">
        <v>734</v>
      </c>
      <c r="O454" t="s">
        <v>67</v>
      </c>
      <c r="R454" t="s">
        <v>68</v>
      </c>
      <c r="T454" t="s">
        <v>69</v>
      </c>
      <c r="U454" t="s">
        <v>70</v>
      </c>
      <c r="W454" t="s">
        <v>71</v>
      </c>
      <c r="X454" s="1" t="s">
        <v>72</v>
      </c>
      <c r="Y454" t="s">
        <v>88</v>
      </c>
      <c r="Z454">
        <v>0</v>
      </c>
      <c r="AA454">
        <v>0</v>
      </c>
      <c r="AD454">
        <v>0</v>
      </c>
      <c r="AE454">
        <v>0</v>
      </c>
      <c r="AH454" t="s">
        <v>73</v>
      </c>
      <c r="AI454" t="s">
        <v>318</v>
      </c>
      <c r="AJ454" t="s">
        <v>319</v>
      </c>
      <c r="AK454" t="s">
        <v>76</v>
      </c>
      <c r="AN454" t="s">
        <v>77</v>
      </c>
      <c r="AO454" t="s">
        <v>320</v>
      </c>
      <c r="AP454" t="s">
        <v>735</v>
      </c>
      <c r="AQ454" t="s">
        <v>322</v>
      </c>
      <c r="AS454" t="b">
        <v>1</v>
      </c>
      <c r="AT454" t="s">
        <v>65</v>
      </c>
      <c r="AU454">
        <v>0</v>
      </c>
      <c r="AV454">
        <v>0</v>
      </c>
      <c r="AX454">
        <v>39</v>
      </c>
      <c r="AY454" t="s">
        <v>81</v>
      </c>
      <c r="AZ454" t="s">
        <v>90</v>
      </c>
      <c r="BB454" t="s">
        <v>91</v>
      </c>
      <c r="BC454" t="s">
        <v>92</v>
      </c>
      <c r="BD454" t="b">
        <v>0</v>
      </c>
      <c r="BE454" t="b">
        <v>0</v>
      </c>
      <c r="BF454" t="b">
        <v>0</v>
      </c>
      <c r="BG454" t="b">
        <v>0</v>
      </c>
      <c r="BH454" t="b">
        <v>0</v>
      </c>
      <c r="BI454" t="b">
        <v>0</v>
      </c>
      <c r="BJ454" t="b">
        <v>0</v>
      </c>
      <c r="BK454" t="b">
        <v>0</v>
      </c>
      <c r="BL454" t="b">
        <v>0</v>
      </c>
      <c r="BM454" t="b">
        <v>0</v>
      </c>
      <c r="BN454" t="b">
        <v>0</v>
      </c>
      <c r="BO454" t="b">
        <v>0</v>
      </c>
      <c r="BP454" t="b">
        <v>0</v>
      </c>
      <c r="BR454" t="str">
        <f>IFERROR(IF(M454="PASSED",VLOOKUP(J454,Current!$J$1:$N$500,1,FALSE)),N454)</f>
        <v>"1.0453 - MSWRK - Ensure Windows Firewall: Public: Logging: Size limit (KB) is set to 16,384 KB or greater: [PASSED]"
Use this option to specify the size limit of the file in which Windows Firewall will write its log information.
See Also:
See HTH Policies and Standards
Reference:
NIST 800-53r5|AU-4
Policy Value:
'^([1-9][0-9]{5,}|[2-9][0-9]{4}|1[7-9][0-9]{3}|16[4-9][0-9]{2}|163[9-9][0-9]{1}|1638[4-9])$'
Actual Value:
'16384'</v>
      </c>
    </row>
    <row r="455" spans="1:70" ht="15" customHeight="1" x14ac:dyDescent="0.25">
      <c r="A455">
        <v>21156</v>
      </c>
      <c r="C455">
        <v>0</v>
      </c>
      <c r="D455" t="s">
        <v>65</v>
      </c>
      <c r="E455" t="s">
        <v>66</v>
      </c>
      <c r="F455" t="s">
        <v>84</v>
      </c>
      <c r="G455">
        <v>0</v>
      </c>
      <c r="H455" t="s">
        <v>85</v>
      </c>
      <c r="I455" t="s">
        <v>86</v>
      </c>
      <c r="J455" t="str">
        <f>MID($N455,FIND("1.",$N455),FIND("-",$N455)-FIND("1.",$N455)-1)</f>
        <v>1.0454</v>
      </c>
      <c r="K455" t="str">
        <f t="shared" si="21"/>
        <v>Ensure Windows Firewall</v>
      </c>
      <c r="L455" t="str">
        <f t="shared" si="22"/>
        <v>1.0454 - MSWRK - Ensure Windows Firewall: Public: Logging: Log dropped packets is set to Yes</v>
      </c>
      <c r="M455" t="str">
        <f t="shared" si="23"/>
        <v>PASSED</v>
      </c>
      <c r="N455" s="1" t="s">
        <v>599</v>
      </c>
      <c r="O455" t="s">
        <v>67</v>
      </c>
      <c r="R455" t="s">
        <v>68</v>
      </c>
      <c r="T455" t="s">
        <v>69</v>
      </c>
      <c r="U455" t="s">
        <v>70</v>
      </c>
      <c r="W455" t="s">
        <v>71</v>
      </c>
      <c r="X455" s="1" t="s">
        <v>72</v>
      </c>
      <c r="Y455" t="s">
        <v>88</v>
      </c>
      <c r="Z455">
        <v>0</v>
      </c>
      <c r="AA455">
        <v>0</v>
      </c>
      <c r="AD455">
        <v>0</v>
      </c>
      <c r="AE455">
        <v>0</v>
      </c>
      <c r="AH455" t="s">
        <v>73</v>
      </c>
      <c r="AI455" t="s">
        <v>318</v>
      </c>
      <c r="AJ455" t="s">
        <v>319</v>
      </c>
      <c r="AK455" t="s">
        <v>76</v>
      </c>
      <c r="AN455" t="s">
        <v>77</v>
      </c>
      <c r="AO455" t="s">
        <v>320</v>
      </c>
      <c r="AP455" t="s">
        <v>597</v>
      </c>
      <c r="AQ455" t="s">
        <v>322</v>
      </c>
      <c r="AS455" t="b">
        <v>1</v>
      </c>
      <c r="AT455" t="s">
        <v>65</v>
      </c>
      <c r="AU455">
        <v>0</v>
      </c>
      <c r="AV455">
        <v>0</v>
      </c>
      <c r="AX455">
        <v>39</v>
      </c>
      <c r="AY455" t="s">
        <v>81</v>
      </c>
      <c r="AZ455" t="s">
        <v>90</v>
      </c>
      <c r="BB455" t="s">
        <v>91</v>
      </c>
      <c r="BC455" t="s">
        <v>92</v>
      </c>
      <c r="BD455" t="b">
        <v>0</v>
      </c>
      <c r="BE455" t="b">
        <v>0</v>
      </c>
      <c r="BF455" t="b">
        <v>0</v>
      </c>
      <c r="BG455" t="b">
        <v>0</v>
      </c>
      <c r="BH455" t="b">
        <v>0</v>
      </c>
      <c r="BI455" t="b">
        <v>0</v>
      </c>
      <c r="BJ455" t="b">
        <v>0</v>
      </c>
      <c r="BK455" t="b">
        <v>0</v>
      </c>
      <c r="BL455" t="b">
        <v>0</v>
      </c>
      <c r="BM455" t="b">
        <v>0</v>
      </c>
      <c r="BN455" t="b">
        <v>0</v>
      </c>
      <c r="BO455" t="b">
        <v>0</v>
      </c>
      <c r="BP455" t="b">
        <v>0</v>
      </c>
      <c r="BR455" t="str">
        <f>IFERROR(IF(M455="PASSED",VLOOKUP(J455,Current!$J$1:$N$500,1,FALSE)),N455)</f>
        <v>"1.0454 - MSWRK - Ensure Windows Firewall: Public: Logging: Log dropped packets is set to Yes: [PASSED]"
Use this option to log when Windows Firewall with Advanced Security discards an inbound packet for any reason.
See Also:
See HTH Policies and Standards
Reference:
NIST 800-53r5|AU-3 AU-3(1) AU-7 AU-12 SC-7 SC-7(5)
Policy Value:
'1'
Actual Value:
'1'</v>
      </c>
    </row>
    <row r="456" spans="1:70" ht="15" customHeight="1" x14ac:dyDescent="0.25">
      <c r="A456">
        <v>21156</v>
      </c>
      <c r="C456">
        <v>0</v>
      </c>
      <c r="D456" t="s">
        <v>65</v>
      </c>
      <c r="E456" t="s">
        <v>66</v>
      </c>
      <c r="F456" t="s">
        <v>84</v>
      </c>
      <c r="G456">
        <v>0</v>
      </c>
      <c r="H456" t="s">
        <v>85</v>
      </c>
      <c r="I456" t="s">
        <v>86</v>
      </c>
      <c r="J456" t="str">
        <f>MID($N456,FIND("1.",$N456),FIND("-",$N456)-FIND("1.",$N456)-1)</f>
        <v>1.0455</v>
      </c>
      <c r="K456" t="str">
        <f t="shared" si="21"/>
        <v>Ensure Windows Firewall</v>
      </c>
      <c r="L456" t="str">
        <f t="shared" si="22"/>
        <v>1.0455 - MSWRK - Ensure Windows Firewall: Public: Logging: Log successful connections is set to Yes</v>
      </c>
      <c r="M456" t="str">
        <f t="shared" si="23"/>
        <v>PASSED</v>
      </c>
      <c r="N456" s="1" t="s">
        <v>675</v>
      </c>
      <c r="O456" t="s">
        <v>67</v>
      </c>
      <c r="R456" t="s">
        <v>68</v>
      </c>
      <c r="T456" t="s">
        <v>69</v>
      </c>
      <c r="U456" t="s">
        <v>70</v>
      </c>
      <c r="W456" t="s">
        <v>71</v>
      </c>
      <c r="X456" s="1" t="s">
        <v>72</v>
      </c>
      <c r="Y456" t="s">
        <v>88</v>
      </c>
      <c r="Z456">
        <v>0</v>
      </c>
      <c r="AA456">
        <v>0</v>
      </c>
      <c r="AD456">
        <v>0</v>
      </c>
      <c r="AE456">
        <v>0</v>
      </c>
      <c r="AH456" t="s">
        <v>73</v>
      </c>
      <c r="AI456" t="s">
        <v>318</v>
      </c>
      <c r="AJ456" t="s">
        <v>319</v>
      </c>
      <c r="AK456" t="s">
        <v>76</v>
      </c>
      <c r="AN456" t="s">
        <v>77</v>
      </c>
      <c r="AO456" t="s">
        <v>320</v>
      </c>
      <c r="AP456" t="s">
        <v>673</v>
      </c>
      <c r="AQ456" t="s">
        <v>322</v>
      </c>
      <c r="AS456" t="b">
        <v>1</v>
      </c>
      <c r="AT456" t="s">
        <v>65</v>
      </c>
      <c r="AU456">
        <v>0</v>
      </c>
      <c r="AV456">
        <v>0</v>
      </c>
      <c r="AX456">
        <v>39</v>
      </c>
      <c r="AY456" t="s">
        <v>81</v>
      </c>
      <c r="AZ456" t="s">
        <v>90</v>
      </c>
      <c r="BB456" t="s">
        <v>91</v>
      </c>
      <c r="BC456" t="s">
        <v>92</v>
      </c>
      <c r="BD456" t="b">
        <v>0</v>
      </c>
      <c r="BE456" t="b">
        <v>0</v>
      </c>
      <c r="BF456" t="b">
        <v>0</v>
      </c>
      <c r="BG456" t="b">
        <v>0</v>
      </c>
      <c r="BH456" t="b">
        <v>0</v>
      </c>
      <c r="BI456" t="b">
        <v>0</v>
      </c>
      <c r="BJ456" t="b">
        <v>0</v>
      </c>
      <c r="BK456" t="b">
        <v>0</v>
      </c>
      <c r="BL456" t="b">
        <v>0</v>
      </c>
      <c r="BM456" t="b">
        <v>0</v>
      </c>
      <c r="BN456" t="b">
        <v>0</v>
      </c>
      <c r="BO456" t="b">
        <v>0</v>
      </c>
      <c r="BP456" t="b">
        <v>0</v>
      </c>
      <c r="BR456" t="str">
        <f>IFERROR(IF(M456="PASSED",VLOOKUP(J456,Current!$J$1:$N$500,1,FALSE)),N456)</f>
        <v>"1.0455 - MSWRK - Ensure Windows Firewall: Public: Logging: Log successful connections is set to Yes: [PASSED]"
Use this option to log when Windows Firewall with Advanced Security allows an inbound connection.
See Also:
See HTH Policies and Standards
Reference:
NIST 800-53r5|AU-3 AU-3(1) AU-7 AU-12 SC-7 SC-7(5)
Policy Value:
'1'
Actual Value:
'1'</v>
      </c>
    </row>
    <row r="457" spans="1:70" ht="15" hidden="1" customHeight="1" x14ac:dyDescent="0.25">
      <c r="A457">
        <v>21156</v>
      </c>
      <c r="C457">
        <v>0</v>
      </c>
      <c r="D457" t="s">
        <v>65</v>
      </c>
      <c r="E457" t="s">
        <v>66</v>
      </c>
      <c r="F457" t="s">
        <v>84</v>
      </c>
      <c r="G457">
        <v>0</v>
      </c>
      <c r="H457" t="s">
        <v>85</v>
      </c>
      <c r="I457" t="s">
        <v>86</v>
      </c>
      <c r="J457" t="str">
        <f>MID($N457,FIND("1.",$N457),FIND("-",$N457)-FIND("1.",$N457)-1)</f>
        <v>1.0456</v>
      </c>
      <c r="K457" t="str">
        <f t="shared" si="21"/>
        <v>System/Domain Identification</v>
      </c>
      <c r="L457" t="str">
        <f t="shared" si="22"/>
        <v>1.0456 - MSWRK - System/Domain Identification</v>
      </c>
      <c r="M457" t="str">
        <f t="shared" si="23"/>
        <v>PASSED</v>
      </c>
      <c r="N457" s="1" t="s">
        <v>746</v>
      </c>
      <c r="O457" t="s">
        <v>67</v>
      </c>
      <c r="R457" t="s">
        <v>68</v>
      </c>
      <c r="T457" t="s">
        <v>69</v>
      </c>
      <c r="U457" t="s">
        <v>70</v>
      </c>
      <c r="W457" t="s">
        <v>71</v>
      </c>
      <c r="X457" s="1" t="s">
        <v>72</v>
      </c>
      <c r="Y457" t="s">
        <v>88</v>
      </c>
      <c r="Z457">
        <v>0</v>
      </c>
      <c r="AA457">
        <v>0</v>
      </c>
      <c r="AD457">
        <v>0</v>
      </c>
      <c r="AE457">
        <v>0</v>
      </c>
      <c r="AH457" t="s">
        <v>73</v>
      </c>
      <c r="AI457" t="s">
        <v>318</v>
      </c>
      <c r="AJ457" t="s">
        <v>319</v>
      </c>
      <c r="AK457" t="s">
        <v>76</v>
      </c>
      <c r="AN457" t="s">
        <v>77</v>
      </c>
      <c r="AO457" t="s">
        <v>320</v>
      </c>
      <c r="AP457" t="s">
        <v>745</v>
      </c>
      <c r="AQ457" t="s">
        <v>322</v>
      </c>
      <c r="AS457" t="b">
        <v>1</v>
      </c>
      <c r="AT457" t="s">
        <v>65</v>
      </c>
      <c r="AU457">
        <v>0</v>
      </c>
      <c r="AV457">
        <v>0</v>
      </c>
      <c r="AX457">
        <v>39</v>
      </c>
      <c r="AY457" t="s">
        <v>81</v>
      </c>
      <c r="AZ457" t="s">
        <v>90</v>
      </c>
      <c r="BB457" t="s">
        <v>91</v>
      </c>
      <c r="BC457" t="s">
        <v>92</v>
      </c>
      <c r="BD457" t="b">
        <v>0</v>
      </c>
      <c r="BE457" t="b">
        <v>0</v>
      </c>
      <c r="BF457" t="b">
        <v>0</v>
      </c>
      <c r="BG457" t="b">
        <v>0</v>
      </c>
      <c r="BH457" t="b">
        <v>0</v>
      </c>
      <c r="BI457" t="b">
        <v>0</v>
      </c>
      <c r="BJ457" t="b">
        <v>0</v>
      </c>
      <c r="BK457" t="b">
        <v>0</v>
      </c>
      <c r="BL457" t="b">
        <v>0</v>
      </c>
      <c r="BM457" t="b">
        <v>0</v>
      </c>
      <c r="BN457" t="b">
        <v>0</v>
      </c>
      <c r="BO457" t="b">
        <v>0</v>
      </c>
      <c r="BP457" t="b">
        <v>0</v>
      </c>
      <c r="BR457" t="str">
        <f>IFERROR(IF(M457="PASSED",VLOOKUP(J457,Current!$J$1:$N$500,1,FALSE)),N457)</f>
        <v>1.0456</v>
      </c>
    </row>
    <row r="458" spans="1:70" ht="15" hidden="1" customHeight="1" x14ac:dyDescent="0.25">
      <c r="A458">
        <v>21156</v>
      </c>
      <c r="C458">
        <v>0</v>
      </c>
      <c r="D458" t="s">
        <v>65</v>
      </c>
      <c r="E458" t="s">
        <v>66</v>
      </c>
      <c r="F458" t="s">
        <v>84</v>
      </c>
      <c r="G458">
        <v>0</v>
      </c>
      <c r="H458" t="s">
        <v>85</v>
      </c>
      <c r="I458" t="s">
        <v>86</v>
      </c>
      <c r="J458" t="str">
        <f>MID($N458,FIND("1.",$N458),FIND("-",$N458)-FIND("1.",$N458)-1)</f>
        <v>1.0457</v>
      </c>
      <c r="K458" t="str">
        <f t="shared" si="21"/>
        <v>Network Information: [PASSED]"
This obtains relevent hosted view network information that may be used for additional evaluation.
See Also</v>
      </c>
      <c r="L458" t="str">
        <f t="shared" si="22"/>
        <v>1.0457 - MSWRK - Network Information</v>
      </c>
      <c r="M458" t="str">
        <f t="shared" si="23"/>
        <v>PASSED</v>
      </c>
      <c r="N458" s="1" t="s">
        <v>505</v>
      </c>
      <c r="O458" t="s">
        <v>67</v>
      </c>
      <c r="R458" t="s">
        <v>68</v>
      </c>
      <c r="T458" t="s">
        <v>69</v>
      </c>
      <c r="U458" t="s">
        <v>70</v>
      </c>
      <c r="W458" t="s">
        <v>71</v>
      </c>
      <c r="X458" s="1" t="s">
        <v>72</v>
      </c>
      <c r="Y458" t="s">
        <v>88</v>
      </c>
      <c r="Z458">
        <v>0</v>
      </c>
      <c r="AA458">
        <v>0</v>
      </c>
      <c r="AD458">
        <v>0</v>
      </c>
      <c r="AE458">
        <v>0</v>
      </c>
      <c r="AH458" t="s">
        <v>73</v>
      </c>
      <c r="AI458" t="s">
        <v>318</v>
      </c>
      <c r="AJ458" t="s">
        <v>319</v>
      </c>
      <c r="AK458" t="s">
        <v>76</v>
      </c>
      <c r="AN458" t="s">
        <v>77</v>
      </c>
      <c r="AO458" t="s">
        <v>320</v>
      </c>
      <c r="AP458" t="s">
        <v>506</v>
      </c>
      <c r="AQ458" t="s">
        <v>322</v>
      </c>
      <c r="AS458" t="b">
        <v>1</v>
      </c>
      <c r="AT458" t="s">
        <v>65</v>
      </c>
      <c r="AU458">
        <v>0</v>
      </c>
      <c r="AV458">
        <v>0</v>
      </c>
      <c r="AX458">
        <v>39</v>
      </c>
      <c r="AY458" t="s">
        <v>81</v>
      </c>
      <c r="AZ458" t="s">
        <v>90</v>
      </c>
      <c r="BB458" t="s">
        <v>91</v>
      </c>
      <c r="BC458" t="s">
        <v>92</v>
      </c>
      <c r="BD458" t="b">
        <v>0</v>
      </c>
      <c r="BE458" t="b">
        <v>0</v>
      </c>
      <c r="BF458" t="b">
        <v>0</v>
      </c>
      <c r="BG458" t="b">
        <v>0</v>
      </c>
      <c r="BH458" t="b">
        <v>0</v>
      </c>
      <c r="BI458" t="b">
        <v>0</v>
      </c>
      <c r="BJ458" t="b">
        <v>0</v>
      </c>
      <c r="BK458" t="b">
        <v>0</v>
      </c>
      <c r="BL458" t="b">
        <v>0</v>
      </c>
      <c r="BM458" t="b">
        <v>0</v>
      </c>
      <c r="BN458" t="b">
        <v>0</v>
      </c>
      <c r="BO458" t="b">
        <v>0</v>
      </c>
      <c r="BP458" t="b">
        <v>0</v>
      </c>
      <c r="BR458" t="str">
        <f>IFERROR(IF(M458="PASSED",VLOOKUP(J458,Current!$J$1:$N$500,1,FALSE)),N458)</f>
        <v>1.0457</v>
      </c>
    </row>
    <row r="459" spans="1:70" ht="15" hidden="1" customHeight="1" x14ac:dyDescent="0.25">
      <c r="A459">
        <v>21156</v>
      </c>
      <c r="C459">
        <v>0</v>
      </c>
      <c r="D459" t="s">
        <v>65</v>
      </c>
      <c r="E459" t="s">
        <v>66</v>
      </c>
      <c r="F459" t="s">
        <v>84</v>
      </c>
      <c r="G459">
        <v>0</v>
      </c>
      <c r="H459" t="s">
        <v>85</v>
      </c>
      <c r="I459" t="s">
        <v>86</v>
      </c>
      <c r="J459" t="str">
        <f>MID($N459,FIND("1.",$N459),FIND("-",$N459)-FIND("1.",$N459)-1)</f>
        <v>1.0458</v>
      </c>
      <c r="K459" t="str">
        <f t="shared" si="21"/>
        <v>Windows 10 is installed</v>
      </c>
      <c r="L459" t="str">
        <f t="shared" si="22"/>
        <v>1.0458 - MSWRK - Windows 10 is installed</v>
      </c>
      <c r="M459" t="str">
        <f t="shared" si="23"/>
        <v>PASSED</v>
      </c>
      <c r="N459" s="1" t="s">
        <v>144</v>
      </c>
      <c r="O459" t="s">
        <v>67</v>
      </c>
      <c r="R459" t="s">
        <v>68</v>
      </c>
      <c r="T459" t="s">
        <v>69</v>
      </c>
      <c r="U459" t="s">
        <v>70</v>
      </c>
      <c r="W459" t="s">
        <v>71</v>
      </c>
      <c r="X459" s="1" t="s">
        <v>72</v>
      </c>
      <c r="Y459" t="s">
        <v>88</v>
      </c>
      <c r="Z459">
        <v>0</v>
      </c>
      <c r="AA459">
        <v>0</v>
      </c>
      <c r="AD459">
        <v>0</v>
      </c>
      <c r="AE459">
        <v>0</v>
      </c>
      <c r="AH459" t="s">
        <v>73</v>
      </c>
      <c r="AI459" t="s">
        <v>318</v>
      </c>
      <c r="AJ459" t="s">
        <v>319</v>
      </c>
      <c r="AK459" t="s">
        <v>76</v>
      </c>
      <c r="AN459" t="s">
        <v>77</v>
      </c>
      <c r="AO459" t="s">
        <v>320</v>
      </c>
      <c r="AP459" t="s">
        <v>444</v>
      </c>
      <c r="AQ459" t="s">
        <v>322</v>
      </c>
      <c r="AS459" t="b">
        <v>1</v>
      </c>
      <c r="AT459" t="s">
        <v>65</v>
      </c>
      <c r="AU459">
        <v>0</v>
      </c>
      <c r="AV459">
        <v>0</v>
      </c>
      <c r="AX459">
        <v>39</v>
      </c>
      <c r="AY459" t="s">
        <v>81</v>
      </c>
      <c r="AZ459" t="s">
        <v>90</v>
      </c>
      <c r="BB459" t="s">
        <v>91</v>
      </c>
      <c r="BC459" t="s">
        <v>92</v>
      </c>
      <c r="BD459" t="b">
        <v>0</v>
      </c>
      <c r="BE459" t="b">
        <v>0</v>
      </c>
      <c r="BF459" t="b">
        <v>0</v>
      </c>
      <c r="BG459" t="b">
        <v>0</v>
      </c>
      <c r="BH459" t="b">
        <v>0</v>
      </c>
      <c r="BI459" t="b">
        <v>0</v>
      </c>
      <c r="BJ459" t="b">
        <v>0</v>
      </c>
      <c r="BK459" t="b">
        <v>0</v>
      </c>
      <c r="BL459" t="b">
        <v>0</v>
      </c>
      <c r="BM459" t="b">
        <v>0</v>
      </c>
      <c r="BN459" t="b">
        <v>0</v>
      </c>
      <c r="BO459" t="b">
        <v>0</v>
      </c>
      <c r="BP459" t="b">
        <v>0</v>
      </c>
      <c r="BR459" t="str">
        <f>IFERROR(IF(M459="PASSED",VLOOKUP(J459,Current!$J$1:$N$500,1,FALSE)),N459)</f>
        <v>1.0458</v>
      </c>
    </row>
    <row r="460" spans="1:70" ht="15" hidden="1" customHeight="1" x14ac:dyDescent="0.25">
      <c r="A460">
        <v>21156</v>
      </c>
      <c r="C460">
        <v>0</v>
      </c>
      <c r="D460" t="s">
        <v>65</v>
      </c>
      <c r="E460" t="s">
        <v>66</v>
      </c>
      <c r="F460" t="s">
        <v>84</v>
      </c>
      <c r="G460">
        <v>0</v>
      </c>
      <c r="H460" t="s">
        <v>85</v>
      </c>
      <c r="I460" t="s">
        <v>86</v>
      </c>
      <c r="J460" t="str">
        <f>MID($N460,FIND("1.",$N460),FIND("-",$N460)-FIND("1.",$N460)-1)</f>
        <v>1.0459</v>
      </c>
      <c r="K460" t="str">
        <f t="shared" si="21"/>
        <v>Windows 11 is installed</v>
      </c>
      <c r="L460" t="str">
        <f t="shared" si="22"/>
        <v>1.0459 - MSWRK - Windows 11 is installed</v>
      </c>
      <c r="M460" t="str">
        <f t="shared" si="23"/>
        <v>PASSED</v>
      </c>
      <c r="N460" s="1" t="s">
        <v>172</v>
      </c>
      <c r="O460" t="s">
        <v>67</v>
      </c>
      <c r="R460" t="s">
        <v>68</v>
      </c>
      <c r="T460" t="s">
        <v>69</v>
      </c>
      <c r="U460" t="s">
        <v>70</v>
      </c>
      <c r="W460" t="s">
        <v>71</v>
      </c>
      <c r="X460" s="1" t="s">
        <v>72</v>
      </c>
      <c r="Y460" t="s">
        <v>88</v>
      </c>
      <c r="Z460">
        <v>0</v>
      </c>
      <c r="AA460">
        <v>0</v>
      </c>
      <c r="AD460">
        <v>0</v>
      </c>
      <c r="AE460">
        <v>0</v>
      </c>
      <c r="AH460" t="s">
        <v>73</v>
      </c>
      <c r="AI460" t="s">
        <v>318</v>
      </c>
      <c r="AJ460" t="s">
        <v>319</v>
      </c>
      <c r="AK460" t="s">
        <v>76</v>
      </c>
      <c r="AN460" t="s">
        <v>77</v>
      </c>
      <c r="AO460" t="s">
        <v>320</v>
      </c>
      <c r="AP460" t="s">
        <v>611</v>
      </c>
      <c r="AQ460" t="s">
        <v>322</v>
      </c>
      <c r="AS460" t="b">
        <v>1</v>
      </c>
      <c r="AT460" t="s">
        <v>65</v>
      </c>
      <c r="AU460">
        <v>0</v>
      </c>
      <c r="AV460">
        <v>0</v>
      </c>
      <c r="AX460">
        <v>39</v>
      </c>
      <c r="AY460" t="s">
        <v>81</v>
      </c>
      <c r="AZ460" t="s">
        <v>90</v>
      </c>
      <c r="BB460" t="s">
        <v>91</v>
      </c>
      <c r="BC460" t="s">
        <v>92</v>
      </c>
      <c r="BD460" t="b">
        <v>0</v>
      </c>
      <c r="BE460" t="b">
        <v>0</v>
      </c>
      <c r="BF460" t="b">
        <v>0</v>
      </c>
      <c r="BG460" t="b">
        <v>0</v>
      </c>
      <c r="BH460" t="b">
        <v>0</v>
      </c>
      <c r="BI460" t="b">
        <v>0</v>
      </c>
      <c r="BJ460" t="b">
        <v>0</v>
      </c>
      <c r="BK460" t="b">
        <v>0</v>
      </c>
      <c r="BL460" t="b">
        <v>0</v>
      </c>
      <c r="BM460" t="b">
        <v>0</v>
      </c>
      <c r="BN460" t="b">
        <v>0</v>
      </c>
      <c r="BO460" t="b">
        <v>0</v>
      </c>
      <c r="BP460" t="b">
        <v>0</v>
      </c>
      <c r="BR460" t="str">
        <f>IFERROR(IF(M460="PASSED",VLOOKUP(J460,Current!$J$1:$N$500,1,FALSE)),N460)</f>
        <v>1.0459</v>
      </c>
    </row>
    <row r="461" spans="1:70" ht="15" hidden="1" customHeight="1" x14ac:dyDescent="0.25">
      <c r="A461">
        <v>21156</v>
      </c>
      <c r="C461">
        <v>0</v>
      </c>
      <c r="D461" t="s">
        <v>65</v>
      </c>
      <c r="E461" t="s">
        <v>66</v>
      </c>
      <c r="F461" t="s">
        <v>84</v>
      </c>
      <c r="G461">
        <v>0</v>
      </c>
      <c r="H461" t="s">
        <v>85</v>
      </c>
      <c r="I461" t="s">
        <v>86</v>
      </c>
      <c r="J461" t="str">
        <f>MID($N461,FIND("1.",$N461),FIND("-",$N461)-FIND("1.",$N461)-1)</f>
        <v>1.0460</v>
      </c>
      <c r="K461" t="str">
        <f t="shared" si="21"/>
        <v>Ensure Only display the private store within the Microsoft Store is set to 'Disabled'</v>
      </c>
      <c r="L461" t="str">
        <f t="shared" si="22"/>
        <v>1.0460 - MSWRK - Ensure Only display the private store within the Microsoft Store is set to 'Disabled'</v>
      </c>
      <c r="M461" t="str">
        <f t="shared" si="23"/>
        <v>PASSED</v>
      </c>
      <c r="N461" s="1" t="s">
        <v>112</v>
      </c>
      <c r="O461" t="s">
        <v>67</v>
      </c>
      <c r="R461" t="s">
        <v>68</v>
      </c>
      <c r="T461" t="s">
        <v>69</v>
      </c>
      <c r="U461" t="s">
        <v>70</v>
      </c>
      <c r="W461" t="s">
        <v>71</v>
      </c>
      <c r="X461" s="1" t="s">
        <v>72</v>
      </c>
      <c r="Y461" t="s">
        <v>88</v>
      </c>
      <c r="Z461">
        <v>0</v>
      </c>
      <c r="AA461">
        <v>0</v>
      </c>
      <c r="AD461">
        <v>0</v>
      </c>
      <c r="AE461">
        <v>0</v>
      </c>
      <c r="AH461" t="s">
        <v>73</v>
      </c>
      <c r="AI461" t="s">
        <v>318</v>
      </c>
      <c r="AJ461" t="s">
        <v>319</v>
      </c>
      <c r="AK461" t="s">
        <v>76</v>
      </c>
      <c r="AN461" t="s">
        <v>77</v>
      </c>
      <c r="AO461" t="s">
        <v>320</v>
      </c>
      <c r="AP461" t="s">
        <v>616</v>
      </c>
      <c r="AQ461" t="s">
        <v>322</v>
      </c>
      <c r="AS461" t="b">
        <v>1</v>
      </c>
      <c r="AT461" t="s">
        <v>65</v>
      </c>
      <c r="AU461">
        <v>0</v>
      </c>
      <c r="AV461">
        <v>0</v>
      </c>
      <c r="AX461">
        <v>39</v>
      </c>
      <c r="AY461" t="s">
        <v>81</v>
      </c>
      <c r="AZ461" t="s">
        <v>90</v>
      </c>
      <c r="BB461" t="s">
        <v>91</v>
      </c>
      <c r="BC461" t="s">
        <v>92</v>
      </c>
      <c r="BD461" t="b">
        <v>0</v>
      </c>
      <c r="BE461" t="b">
        <v>0</v>
      </c>
      <c r="BF461" t="b">
        <v>0</v>
      </c>
      <c r="BG461" t="b">
        <v>0</v>
      </c>
      <c r="BH461" t="b">
        <v>0</v>
      </c>
      <c r="BI461" t="b">
        <v>0</v>
      </c>
      <c r="BJ461" t="b">
        <v>0</v>
      </c>
      <c r="BK461" t="b">
        <v>0</v>
      </c>
      <c r="BL461" t="b">
        <v>0</v>
      </c>
      <c r="BM461" t="b">
        <v>0</v>
      </c>
      <c r="BN461" t="b">
        <v>0</v>
      </c>
      <c r="BO461" t="b">
        <v>0</v>
      </c>
      <c r="BP461" t="b">
        <v>0</v>
      </c>
      <c r="BR461" t="str">
        <f>IFERROR(IF(M461="PASSED",VLOOKUP(J461,Current!$J$1:$N$500,1,FALSE)),N461)</f>
        <v>1.0460</v>
      </c>
    </row>
    <row r="462" spans="1:70" ht="15" hidden="1" customHeight="1" x14ac:dyDescent="0.25">
      <c r="A462">
        <v>21156</v>
      </c>
      <c r="C462">
        <v>0</v>
      </c>
      <c r="D462" t="s">
        <v>65</v>
      </c>
      <c r="E462" t="s">
        <v>66</v>
      </c>
      <c r="F462" t="s">
        <v>84</v>
      </c>
      <c r="G462">
        <v>0</v>
      </c>
      <c r="H462" t="s">
        <v>85</v>
      </c>
      <c r="I462" t="s">
        <v>86</v>
      </c>
      <c r="J462" t="str">
        <f>MID($N462,FIND("1.",$N462),FIND("-",$N462)-FIND("1.",$N462)-1)</f>
        <v>1.0461</v>
      </c>
      <c r="K462" t="str">
        <f t="shared" si="21"/>
        <v>Allow widgets is set to Disabled</v>
      </c>
      <c r="L462" t="str">
        <f t="shared" si="22"/>
        <v>1.0461 - MSWRK - Allow widgets is set to Disabled</v>
      </c>
      <c r="M462" t="str">
        <f t="shared" si="23"/>
        <v>PASSED</v>
      </c>
      <c r="N462" s="1" t="s">
        <v>111</v>
      </c>
      <c r="O462" t="s">
        <v>67</v>
      </c>
      <c r="R462" t="s">
        <v>68</v>
      </c>
      <c r="T462" t="s">
        <v>69</v>
      </c>
      <c r="U462" t="s">
        <v>70</v>
      </c>
      <c r="W462" t="s">
        <v>71</v>
      </c>
      <c r="X462" s="1" t="s">
        <v>72</v>
      </c>
      <c r="Y462" t="s">
        <v>88</v>
      </c>
      <c r="Z462">
        <v>0</v>
      </c>
      <c r="AA462">
        <v>0</v>
      </c>
      <c r="AD462">
        <v>0</v>
      </c>
      <c r="AE462">
        <v>0</v>
      </c>
      <c r="AH462" t="s">
        <v>73</v>
      </c>
      <c r="AI462" t="s">
        <v>318</v>
      </c>
      <c r="AJ462" t="s">
        <v>319</v>
      </c>
      <c r="AK462" t="s">
        <v>76</v>
      </c>
      <c r="AN462" t="s">
        <v>77</v>
      </c>
      <c r="AO462" t="s">
        <v>320</v>
      </c>
      <c r="AP462" t="s">
        <v>801</v>
      </c>
      <c r="AQ462" t="s">
        <v>322</v>
      </c>
      <c r="AS462" t="b">
        <v>1</v>
      </c>
      <c r="AT462" t="s">
        <v>65</v>
      </c>
      <c r="AU462">
        <v>0</v>
      </c>
      <c r="AV462">
        <v>0</v>
      </c>
      <c r="AX462">
        <v>39</v>
      </c>
      <c r="AY462" t="s">
        <v>81</v>
      </c>
      <c r="AZ462" t="s">
        <v>90</v>
      </c>
      <c r="BB462" t="s">
        <v>91</v>
      </c>
      <c r="BC462" t="s">
        <v>92</v>
      </c>
      <c r="BD462" t="b">
        <v>0</v>
      </c>
      <c r="BE462" t="b">
        <v>0</v>
      </c>
      <c r="BF462" t="b">
        <v>0</v>
      </c>
      <c r="BG462" t="b">
        <v>0</v>
      </c>
      <c r="BH462" t="b">
        <v>0</v>
      </c>
      <c r="BI462" t="b">
        <v>0</v>
      </c>
      <c r="BJ462" t="b">
        <v>0</v>
      </c>
      <c r="BK462" t="b">
        <v>0</v>
      </c>
      <c r="BL462" t="b">
        <v>0</v>
      </c>
      <c r="BM462" t="b">
        <v>0</v>
      </c>
      <c r="BN462" t="b">
        <v>0</v>
      </c>
      <c r="BO462" t="b">
        <v>0</v>
      </c>
      <c r="BP462" t="b">
        <v>0</v>
      </c>
      <c r="BR462" t="str">
        <f>IFERROR(IF(M462="PASSED",VLOOKUP(J462,Current!$J$1:$N$500,1,FALSE)),N462)</f>
        <v>1.0461</v>
      </c>
    </row>
    <row r="463" spans="1:70" ht="15" hidden="1" customHeight="1" x14ac:dyDescent="0.25">
      <c r="A463">
        <v>21156</v>
      </c>
      <c r="C463">
        <v>0</v>
      </c>
      <c r="D463" t="s">
        <v>65</v>
      </c>
      <c r="E463" t="s">
        <v>66</v>
      </c>
      <c r="F463" t="s">
        <v>84</v>
      </c>
      <c r="G463">
        <v>0</v>
      </c>
      <c r="H463" t="s">
        <v>85</v>
      </c>
      <c r="I463" t="s">
        <v>86</v>
      </c>
      <c r="J463" t="str">
        <f>MID($N463,FIND("1.",$N463),FIND("-",$N463)-FIND("1.",$N463)-1)</f>
        <v>1.0462</v>
      </c>
      <c r="K463" t="str">
        <f t="shared" si="21"/>
        <v>MSS: (ScreenSaverGracePeriod) The time in seconds before the screen saver grace period expires is set to Enabled</v>
      </c>
      <c r="L463" t="str">
        <f t="shared" si="22"/>
        <v>1.0462 - MSWRK - MSS: (ScreenSaverGracePeriod) The time in seconds before the screen saver grace period expires is set to Enabled: 5 or fewer seconds</v>
      </c>
      <c r="M463" t="str">
        <f t="shared" si="23"/>
        <v>PASSED</v>
      </c>
      <c r="N463" s="1" t="s">
        <v>307</v>
      </c>
      <c r="O463" t="s">
        <v>67</v>
      </c>
      <c r="R463" t="s">
        <v>68</v>
      </c>
      <c r="T463" t="s">
        <v>69</v>
      </c>
      <c r="U463" t="s">
        <v>70</v>
      </c>
      <c r="W463" t="s">
        <v>71</v>
      </c>
      <c r="X463" s="1" t="s">
        <v>72</v>
      </c>
      <c r="Y463" t="s">
        <v>88</v>
      </c>
      <c r="Z463">
        <v>0</v>
      </c>
      <c r="AA463">
        <v>0</v>
      </c>
      <c r="AD463">
        <v>0</v>
      </c>
      <c r="AE463">
        <v>0</v>
      </c>
      <c r="AH463" t="s">
        <v>73</v>
      </c>
      <c r="AI463" t="s">
        <v>318</v>
      </c>
      <c r="AJ463" t="s">
        <v>319</v>
      </c>
      <c r="AK463" t="s">
        <v>76</v>
      </c>
      <c r="AN463" t="s">
        <v>77</v>
      </c>
      <c r="AO463" t="s">
        <v>320</v>
      </c>
      <c r="AP463" t="s">
        <v>525</v>
      </c>
      <c r="AQ463" t="s">
        <v>322</v>
      </c>
      <c r="AS463" t="b">
        <v>1</v>
      </c>
      <c r="AT463" t="s">
        <v>65</v>
      </c>
      <c r="AU463">
        <v>0</v>
      </c>
      <c r="AV463">
        <v>0</v>
      </c>
      <c r="AX463">
        <v>39</v>
      </c>
      <c r="AY463" t="s">
        <v>81</v>
      </c>
      <c r="AZ463" t="s">
        <v>90</v>
      </c>
      <c r="BB463" t="s">
        <v>91</v>
      </c>
      <c r="BC463" t="s">
        <v>92</v>
      </c>
      <c r="BD463" t="b">
        <v>0</v>
      </c>
      <c r="BE463" t="b">
        <v>0</v>
      </c>
      <c r="BF463" t="b">
        <v>0</v>
      </c>
      <c r="BG463" t="b">
        <v>0</v>
      </c>
      <c r="BH463" t="b">
        <v>0</v>
      </c>
      <c r="BI463" t="b">
        <v>0</v>
      </c>
      <c r="BJ463" t="b">
        <v>0</v>
      </c>
      <c r="BK463" t="b">
        <v>0</v>
      </c>
      <c r="BL463" t="b">
        <v>0</v>
      </c>
      <c r="BM463" t="b">
        <v>0</v>
      </c>
      <c r="BN463" t="b">
        <v>0</v>
      </c>
      <c r="BO463" t="b">
        <v>0</v>
      </c>
      <c r="BP463" t="b">
        <v>0</v>
      </c>
      <c r="BR463" t="str">
        <f>IFERROR(IF(M463="PASSED",VLOOKUP(J463,Current!$J$1:$N$500,1,FALSE)),N463)</f>
        <v>1.0462</v>
      </c>
    </row>
    <row r="464" spans="1:70" ht="15" hidden="1" customHeight="1" x14ac:dyDescent="0.25">
      <c r="A464">
        <v>21156</v>
      </c>
      <c r="C464">
        <v>0</v>
      </c>
      <c r="D464" t="s">
        <v>65</v>
      </c>
      <c r="E464" t="s">
        <v>66</v>
      </c>
      <c r="F464" t="s">
        <v>84</v>
      </c>
      <c r="G464">
        <v>0</v>
      </c>
      <c r="H464" t="s">
        <v>85</v>
      </c>
      <c r="I464" t="s">
        <v>86</v>
      </c>
      <c r="J464" t="str">
        <f>MID($N464,FIND("1.",$N464),FIND("-",$N464)-FIND("1.",$N464)-1)</f>
        <v>1.0463</v>
      </c>
      <c r="K464" t="str">
        <f t="shared" si="21"/>
        <v>Screensaver - Enabled</v>
      </c>
      <c r="L464" t="str">
        <f t="shared" si="22"/>
        <v>1.0463 - MSWRK - Screensaver - Enabled</v>
      </c>
      <c r="M464" t="str">
        <f t="shared" si="23"/>
        <v>PASSED</v>
      </c>
      <c r="N464" s="1" t="s">
        <v>221</v>
      </c>
      <c r="O464" t="s">
        <v>67</v>
      </c>
      <c r="R464" t="s">
        <v>68</v>
      </c>
      <c r="T464" t="s">
        <v>69</v>
      </c>
      <c r="U464" t="s">
        <v>70</v>
      </c>
      <c r="W464" t="s">
        <v>71</v>
      </c>
      <c r="X464" s="1" t="s">
        <v>72</v>
      </c>
      <c r="Y464" t="s">
        <v>88</v>
      </c>
      <c r="Z464">
        <v>0</v>
      </c>
      <c r="AA464">
        <v>0</v>
      </c>
      <c r="AD464">
        <v>0</v>
      </c>
      <c r="AE464">
        <v>0</v>
      </c>
      <c r="AH464" t="s">
        <v>73</v>
      </c>
      <c r="AI464" t="s">
        <v>318</v>
      </c>
      <c r="AJ464" t="s">
        <v>319</v>
      </c>
      <c r="AK464" t="s">
        <v>76</v>
      </c>
      <c r="AN464" t="s">
        <v>77</v>
      </c>
      <c r="AO464" t="s">
        <v>320</v>
      </c>
      <c r="AP464" t="s">
        <v>738</v>
      </c>
      <c r="AQ464" t="s">
        <v>322</v>
      </c>
      <c r="AS464" t="b">
        <v>1</v>
      </c>
      <c r="AT464" t="s">
        <v>65</v>
      </c>
      <c r="AU464">
        <v>0</v>
      </c>
      <c r="AV464">
        <v>0</v>
      </c>
      <c r="AX464">
        <v>39</v>
      </c>
      <c r="AY464" t="s">
        <v>81</v>
      </c>
      <c r="AZ464" t="s">
        <v>90</v>
      </c>
      <c r="BB464" t="s">
        <v>91</v>
      </c>
      <c r="BC464" t="s">
        <v>92</v>
      </c>
      <c r="BD464" t="b">
        <v>0</v>
      </c>
      <c r="BE464" t="b">
        <v>0</v>
      </c>
      <c r="BF464" t="b">
        <v>0</v>
      </c>
      <c r="BG464" t="b">
        <v>0</v>
      </c>
      <c r="BH464" t="b">
        <v>0</v>
      </c>
      <c r="BI464" t="b">
        <v>0</v>
      </c>
      <c r="BJ464" t="b">
        <v>0</v>
      </c>
      <c r="BK464" t="b">
        <v>0</v>
      </c>
      <c r="BL464" t="b">
        <v>0</v>
      </c>
      <c r="BM464" t="b">
        <v>0</v>
      </c>
      <c r="BN464" t="b">
        <v>0</v>
      </c>
      <c r="BO464" t="b">
        <v>0</v>
      </c>
      <c r="BP464" t="b">
        <v>0</v>
      </c>
      <c r="BR464" t="str">
        <f>IFERROR(IF(M464="PASSED",VLOOKUP(J464,Current!$J$1:$N$500,1,FALSE)),N464)</f>
        <v>1.0463</v>
      </c>
    </row>
    <row r="465" spans="1:70" ht="15" hidden="1" customHeight="1" x14ac:dyDescent="0.25">
      <c r="A465">
        <v>21156</v>
      </c>
      <c r="C465">
        <v>0</v>
      </c>
      <c r="D465" t="s">
        <v>65</v>
      </c>
      <c r="E465" t="s">
        <v>66</v>
      </c>
      <c r="F465" t="s">
        <v>84</v>
      </c>
      <c r="G465">
        <v>0</v>
      </c>
      <c r="H465" t="s">
        <v>85</v>
      </c>
      <c r="I465" t="s">
        <v>86</v>
      </c>
      <c r="J465" t="str">
        <f>MID($N465,FIND("1.",$N465),FIND("-",$N465)-FIND("1.",$N465)-1)</f>
        <v>1.0464</v>
      </c>
      <c r="K465" t="str">
        <f t="shared" si="21"/>
        <v>Screensaver - Password protect the screen saver- Enabled</v>
      </c>
      <c r="L465" t="str">
        <f t="shared" si="22"/>
        <v>1.0464 - MSWRK - Screensaver - Password protect the screen saver- Enabled</v>
      </c>
      <c r="M465" t="str">
        <f t="shared" si="23"/>
        <v>PASSED</v>
      </c>
      <c r="N465" s="1" t="s">
        <v>245</v>
      </c>
      <c r="O465" t="s">
        <v>67</v>
      </c>
      <c r="R465" t="s">
        <v>68</v>
      </c>
      <c r="T465" t="s">
        <v>69</v>
      </c>
      <c r="U465" t="s">
        <v>70</v>
      </c>
      <c r="W465" t="s">
        <v>71</v>
      </c>
      <c r="X465" s="1" t="s">
        <v>72</v>
      </c>
      <c r="Y465" t="s">
        <v>88</v>
      </c>
      <c r="Z465">
        <v>0</v>
      </c>
      <c r="AA465">
        <v>0</v>
      </c>
      <c r="AD465">
        <v>0</v>
      </c>
      <c r="AE465">
        <v>0</v>
      </c>
      <c r="AH465" t="s">
        <v>73</v>
      </c>
      <c r="AI465" t="s">
        <v>318</v>
      </c>
      <c r="AJ465" t="s">
        <v>319</v>
      </c>
      <c r="AK465" t="s">
        <v>76</v>
      </c>
      <c r="AN465" t="s">
        <v>77</v>
      </c>
      <c r="AO465" t="s">
        <v>320</v>
      </c>
      <c r="AP465" t="s">
        <v>588</v>
      </c>
      <c r="AQ465" t="s">
        <v>322</v>
      </c>
      <c r="AS465" t="b">
        <v>1</v>
      </c>
      <c r="AT465" t="s">
        <v>65</v>
      </c>
      <c r="AU465">
        <v>0</v>
      </c>
      <c r="AV465">
        <v>0</v>
      </c>
      <c r="AX465">
        <v>39</v>
      </c>
      <c r="AY465" t="s">
        <v>81</v>
      </c>
      <c r="AZ465" t="s">
        <v>90</v>
      </c>
      <c r="BB465" t="s">
        <v>91</v>
      </c>
      <c r="BC465" t="s">
        <v>92</v>
      </c>
      <c r="BD465" t="b">
        <v>0</v>
      </c>
      <c r="BE465" t="b">
        <v>0</v>
      </c>
      <c r="BF465" t="b">
        <v>0</v>
      </c>
      <c r="BG465" t="b">
        <v>0</v>
      </c>
      <c r="BH465" t="b">
        <v>0</v>
      </c>
      <c r="BI465" t="b">
        <v>0</v>
      </c>
      <c r="BJ465" t="b">
        <v>0</v>
      </c>
      <c r="BK465" t="b">
        <v>0</v>
      </c>
      <c r="BL465" t="b">
        <v>0</v>
      </c>
      <c r="BM465" t="b">
        <v>0</v>
      </c>
      <c r="BN465" t="b">
        <v>0</v>
      </c>
      <c r="BO465" t="b">
        <v>0</v>
      </c>
      <c r="BP465" t="b">
        <v>0</v>
      </c>
      <c r="BR465" t="str">
        <f>IFERROR(IF(M465="PASSED",VLOOKUP(J465,Current!$J$1:$N$500,1,FALSE)),N465)</f>
        <v>1.0464</v>
      </c>
    </row>
    <row r="466" spans="1:70" ht="15" hidden="1" customHeight="1" x14ac:dyDescent="0.25">
      <c r="A466">
        <v>21156</v>
      </c>
      <c r="C466">
        <v>0</v>
      </c>
      <c r="D466" t="s">
        <v>65</v>
      </c>
      <c r="E466" t="s">
        <v>66</v>
      </c>
      <c r="F466" t="s">
        <v>84</v>
      </c>
      <c r="G466">
        <v>0</v>
      </c>
      <c r="H466" t="s">
        <v>85</v>
      </c>
      <c r="I466" t="s">
        <v>86</v>
      </c>
      <c r="J466" t="str">
        <f>MID($N466,FIND("1.",$N466),FIND("-",$N466)-FIND("1.",$N466)-1)</f>
        <v>1.0465</v>
      </c>
      <c r="K466" t="str">
        <f t="shared" si="21"/>
        <v>Ensure Change the time zone is set to Administrators, LOCAL SERVICE'</v>
      </c>
      <c r="L466" t="str">
        <f t="shared" si="22"/>
        <v>1.0465 - MSWRK - Ensure Change the time zone is set to Administrators, LOCAL SERVICE'</v>
      </c>
      <c r="M466" t="str">
        <f t="shared" si="23"/>
        <v>PASSED</v>
      </c>
      <c r="N466" s="1" t="s">
        <v>253</v>
      </c>
      <c r="O466" t="s">
        <v>67</v>
      </c>
      <c r="R466" t="s">
        <v>68</v>
      </c>
      <c r="T466" t="s">
        <v>69</v>
      </c>
      <c r="U466" t="s">
        <v>70</v>
      </c>
      <c r="W466" t="s">
        <v>71</v>
      </c>
      <c r="X466" s="1" t="s">
        <v>72</v>
      </c>
      <c r="Y466" t="s">
        <v>88</v>
      </c>
      <c r="Z466">
        <v>0</v>
      </c>
      <c r="AA466">
        <v>0</v>
      </c>
      <c r="AD466">
        <v>0</v>
      </c>
      <c r="AE466">
        <v>0</v>
      </c>
      <c r="AH466" t="s">
        <v>73</v>
      </c>
      <c r="AI466" t="s">
        <v>318</v>
      </c>
      <c r="AJ466" t="s">
        <v>319</v>
      </c>
      <c r="AK466" t="s">
        <v>76</v>
      </c>
      <c r="AN466" t="s">
        <v>77</v>
      </c>
      <c r="AO466" t="s">
        <v>320</v>
      </c>
      <c r="AP466" t="s">
        <v>418</v>
      </c>
      <c r="AQ466" t="s">
        <v>322</v>
      </c>
      <c r="AS466" t="b">
        <v>1</v>
      </c>
      <c r="AT466" t="s">
        <v>65</v>
      </c>
      <c r="AU466">
        <v>0</v>
      </c>
      <c r="AV466">
        <v>0</v>
      </c>
      <c r="AX466">
        <v>39</v>
      </c>
      <c r="AY466" t="s">
        <v>81</v>
      </c>
      <c r="AZ466" t="s">
        <v>90</v>
      </c>
      <c r="BB466" t="s">
        <v>91</v>
      </c>
      <c r="BC466" t="s">
        <v>92</v>
      </c>
      <c r="BD466" t="b">
        <v>0</v>
      </c>
      <c r="BE466" t="b">
        <v>0</v>
      </c>
      <c r="BF466" t="b">
        <v>0</v>
      </c>
      <c r="BG466" t="b">
        <v>0</v>
      </c>
      <c r="BH466" t="b">
        <v>0</v>
      </c>
      <c r="BI466" t="b">
        <v>0</v>
      </c>
      <c r="BJ466" t="b">
        <v>0</v>
      </c>
      <c r="BK466" t="b">
        <v>0</v>
      </c>
      <c r="BL466" t="b">
        <v>0</v>
      </c>
      <c r="BM466" t="b">
        <v>0</v>
      </c>
      <c r="BN466" t="b">
        <v>0</v>
      </c>
      <c r="BO466" t="b">
        <v>0</v>
      </c>
      <c r="BP466" t="b">
        <v>0</v>
      </c>
      <c r="BR466" t="str">
        <f>IFERROR(IF(M466="PASSED",VLOOKUP(J466,Current!$J$1:$N$500,1,FALSE)),N466)</f>
        <v>1.0465</v>
      </c>
    </row>
    <row r="467" spans="1:70" ht="15" hidden="1" customHeight="1" x14ac:dyDescent="0.25">
      <c r="A467">
        <v>21156</v>
      </c>
      <c r="C467">
        <v>0</v>
      </c>
      <c r="D467" t="s">
        <v>65</v>
      </c>
      <c r="E467" t="s">
        <v>66</v>
      </c>
      <c r="F467" t="s">
        <v>84</v>
      </c>
      <c r="G467">
        <v>0</v>
      </c>
      <c r="H467" t="s">
        <v>85</v>
      </c>
      <c r="I467" t="s">
        <v>86</v>
      </c>
      <c r="J467" t="str">
        <f>MID($N467,FIND("1.",$N467),FIND("-",$N467)-FIND("1.",$N467)-1)</f>
        <v>1.0466</v>
      </c>
      <c r="K467" t="str">
        <f t="shared" si="21"/>
        <v>Network access: Allow anonymous SID/Name translation is set to Disabled</v>
      </c>
      <c r="L467" t="str">
        <f t="shared" si="22"/>
        <v>1.0466 - MSWRK - Network access: Allow anonymous SID/Name translation is set to Disabled</v>
      </c>
      <c r="M467" t="str">
        <f t="shared" si="23"/>
        <v>PASSED</v>
      </c>
      <c r="N467" s="1" t="s">
        <v>236</v>
      </c>
      <c r="O467" t="s">
        <v>67</v>
      </c>
      <c r="R467" t="s">
        <v>68</v>
      </c>
      <c r="T467" t="s">
        <v>69</v>
      </c>
      <c r="U467" t="s">
        <v>70</v>
      </c>
      <c r="W467" t="s">
        <v>71</v>
      </c>
      <c r="X467" s="1" t="s">
        <v>72</v>
      </c>
      <c r="Y467" t="s">
        <v>88</v>
      </c>
      <c r="Z467">
        <v>0</v>
      </c>
      <c r="AA467">
        <v>0</v>
      </c>
      <c r="AD467">
        <v>0</v>
      </c>
      <c r="AE467">
        <v>0</v>
      </c>
      <c r="AH467" t="s">
        <v>73</v>
      </c>
      <c r="AI467" t="s">
        <v>318</v>
      </c>
      <c r="AJ467" t="s">
        <v>319</v>
      </c>
      <c r="AK467" t="s">
        <v>76</v>
      </c>
      <c r="AN467" t="s">
        <v>77</v>
      </c>
      <c r="AO467" t="s">
        <v>320</v>
      </c>
      <c r="AP467" t="s">
        <v>468</v>
      </c>
      <c r="AQ467" t="s">
        <v>322</v>
      </c>
      <c r="AS467" t="b">
        <v>1</v>
      </c>
      <c r="AT467" t="s">
        <v>65</v>
      </c>
      <c r="AU467">
        <v>0</v>
      </c>
      <c r="AV467">
        <v>0</v>
      </c>
      <c r="AX467">
        <v>39</v>
      </c>
      <c r="AY467" t="s">
        <v>81</v>
      </c>
      <c r="AZ467" t="s">
        <v>90</v>
      </c>
      <c r="BB467" t="s">
        <v>91</v>
      </c>
      <c r="BC467" t="s">
        <v>92</v>
      </c>
      <c r="BD467" t="b">
        <v>0</v>
      </c>
      <c r="BE467" t="b">
        <v>0</v>
      </c>
      <c r="BF467" t="b">
        <v>0</v>
      </c>
      <c r="BG467" t="b">
        <v>0</v>
      </c>
      <c r="BH467" t="b">
        <v>0</v>
      </c>
      <c r="BI467" t="b">
        <v>0</v>
      </c>
      <c r="BJ467" t="b">
        <v>0</v>
      </c>
      <c r="BK467" t="b">
        <v>0</v>
      </c>
      <c r="BL467" t="b">
        <v>0</v>
      </c>
      <c r="BM467" t="b">
        <v>0</v>
      </c>
      <c r="BN467" t="b">
        <v>0</v>
      </c>
      <c r="BO467" t="b">
        <v>0</v>
      </c>
      <c r="BP467" t="b">
        <v>0</v>
      </c>
      <c r="BR467" t="str">
        <f>IFERROR(IF(M467="PASSED",VLOOKUP(J467,Current!$J$1:$N$500,1,FALSE)),N467)</f>
        <v>1.0466</v>
      </c>
    </row>
    <row r="468" spans="1:70" ht="15" hidden="1" customHeight="1" x14ac:dyDescent="0.25">
      <c r="A468">
        <v>21156</v>
      </c>
      <c r="C468">
        <v>0</v>
      </c>
      <c r="D468" t="s">
        <v>65</v>
      </c>
      <c r="E468" t="s">
        <v>66</v>
      </c>
      <c r="F468" t="s">
        <v>84</v>
      </c>
      <c r="G468">
        <v>0</v>
      </c>
      <c r="H468" t="s">
        <v>85</v>
      </c>
      <c r="I468" t="s">
        <v>86</v>
      </c>
      <c r="J468" t="str">
        <f>MID($N468,FIND("1.",$N468),FIND("-",$N468)-FIND("1.",$N468)-1)</f>
        <v>1.0467</v>
      </c>
      <c r="K468" t="str">
        <f t="shared" si="21"/>
        <v>Network access: Shares that can be accessed anonymously is set to None</v>
      </c>
      <c r="L468" t="str">
        <f t="shared" si="22"/>
        <v>1.0467 - MSWRK - Network access: Shares that can be accessed anonymously is set to None</v>
      </c>
      <c r="M468" t="str">
        <f t="shared" si="23"/>
        <v>PASSED</v>
      </c>
      <c r="N468" s="1" t="s">
        <v>95</v>
      </c>
      <c r="O468" t="s">
        <v>67</v>
      </c>
      <c r="R468" t="s">
        <v>68</v>
      </c>
      <c r="T468" t="s">
        <v>69</v>
      </c>
      <c r="U468" t="s">
        <v>70</v>
      </c>
      <c r="W468" t="s">
        <v>71</v>
      </c>
      <c r="X468" s="1" t="s">
        <v>72</v>
      </c>
      <c r="Y468" t="s">
        <v>88</v>
      </c>
      <c r="Z468">
        <v>0</v>
      </c>
      <c r="AA468">
        <v>0</v>
      </c>
      <c r="AD468">
        <v>0</v>
      </c>
      <c r="AE468">
        <v>0</v>
      </c>
      <c r="AH468" t="s">
        <v>73</v>
      </c>
      <c r="AI468" t="s">
        <v>318</v>
      </c>
      <c r="AJ468" t="s">
        <v>319</v>
      </c>
      <c r="AK468" t="s">
        <v>76</v>
      </c>
      <c r="AN468" t="s">
        <v>77</v>
      </c>
      <c r="AO468" t="s">
        <v>320</v>
      </c>
      <c r="AP468" t="s">
        <v>365</v>
      </c>
      <c r="AQ468" t="s">
        <v>322</v>
      </c>
      <c r="AS468" t="b">
        <v>1</v>
      </c>
      <c r="AT468" t="s">
        <v>65</v>
      </c>
      <c r="AU468">
        <v>0</v>
      </c>
      <c r="AV468">
        <v>0</v>
      </c>
      <c r="AX468">
        <v>39</v>
      </c>
      <c r="AY468" t="s">
        <v>81</v>
      </c>
      <c r="AZ468" t="s">
        <v>90</v>
      </c>
      <c r="BB468" t="s">
        <v>91</v>
      </c>
      <c r="BC468" t="s">
        <v>92</v>
      </c>
      <c r="BD468" t="b">
        <v>0</v>
      </c>
      <c r="BE468" t="b">
        <v>0</v>
      </c>
      <c r="BF468" t="b">
        <v>0</v>
      </c>
      <c r="BG468" t="b">
        <v>0</v>
      </c>
      <c r="BH468" t="b">
        <v>0</v>
      </c>
      <c r="BI468" t="b">
        <v>0</v>
      </c>
      <c r="BJ468" t="b">
        <v>0</v>
      </c>
      <c r="BK468" t="b">
        <v>0</v>
      </c>
      <c r="BL468" t="b">
        <v>0</v>
      </c>
      <c r="BM468" t="b">
        <v>0</v>
      </c>
      <c r="BN468" t="b">
        <v>0</v>
      </c>
      <c r="BO468" t="b">
        <v>0</v>
      </c>
      <c r="BP468" t="b">
        <v>0</v>
      </c>
      <c r="BR468" t="str">
        <f>IFERROR(IF(M468="PASSED",VLOOKUP(J468,Current!$J$1:$N$500,1,FALSE)),N468)</f>
        <v>1.0467</v>
      </c>
    </row>
    <row r="469" spans="1:70" ht="15" hidden="1" customHeight="1" x14ac:dyDescent="0.25">
      <c r="A469">
        <v>21156</v>
      </c>
      <c r="C469">
        <v>0</v>
      </c>
      <c r="D469" t="s">
        <v>65</v>
      </c>
      <c r="E469" t="s">
        <v>66</v>
      </c>
      <c r="F469" t="s">
        <v>84</v>
      </c>
      <c r="G469">
        <v>0</v>
      </c>
      <c r="H469" t="s">
        <v>85</v>
      </c>
      <c r="I469" t="s">
        <v>86</v>
      </c>
      <c r="J469" t="str">
        <f>MID($N469,FIND("1.",$N469),FIND("-",$N469)-FIND("1.",$N469)-1)</f>
        <v>1.0468</v>
      </c>
      <c r="K469" t="str">
        <f t="shared" si="21"/>
        <v>Network access: Named Pipes that can be accessed anonymously is set to None</v>
      </c>
      <c r="L469" t="str">
        <f t="shared" si="22"/>
        <v>1.0468 - MSWRK - Network access: Named Pipes that can be accessed anonymously is set to None</v>
      </c>
      <c r="M469" t="str">
        <f t="shared" si="23"/>
        <v>PASSED</v>
      </c>
      <c r="N469" s="1" t="s">
        <v>100</v>
      </c>
      <c r="O469" t="s">
        <v>67</v>
      </c>
      <c r="R469" t="s">
        <v>68</v>
      </c>
      <c r="T469" t="s">
        <v>69</v>
      </c>
      <c r="U469" t="s">
        <v>70</v>
      </c>
      <c r="W469" t="s">
        <v>71</v>
      </c>
      <c r="X469" s="1" t="s">
        <v>72</v>
      </c>
      <c r="Y469" t="s">
        <v>88</v>
      </c>
      <c r="Z469">
        <v>0</v>
      </c>
      <c r="AA469">
        <v>0</v>
      </c>
      <c r="AD469">
        <v>0</v>
      </c>
      <c r="AE469">
        <v>0</v>
      </c>
      <c r="AH469" t="s">
        <v>73</v>
      </c>
      <c r="AI469" t="s">
        <v>318</v>
      </c>
      <c r="AJ469" t="s">
        <v>319</v>
      </c>
      <c r="AK469" t="s">
        <v>76</v>
      </c>
      <c r="AN469" t="s">
        <v>77</v>
      </c>
      <c r="AO469" t="s">
        <v>320</v>
      </c>
      <c r="AP469" t="s">
        <v>428</v>
      </c>
      <c r="AQ469" t="s">
        <v>322</v>
      </c>
      <c r="AS469" t="b">
        <v>1</v>
      </c>
      <c r="AT469" t="s">
        <v>65</v>
      </c>
      <c r="AU469">
        <v>0</v>
      </c>
      <c r="AV469">
        <v>0</v>
      </c>
      <c r="AX469">
        <v>39</v>
      </c>
      <c r="AY469" t="s">
        <v>81</v>
      </c>
      <c r="AZ469" t="s">
        <v>90</v>
      </c>
      <c r="BB469" t="s">
        <v>91</v>
      </c>
      <c r="BC469" t="s">
        <v>92</v>
      </c>
      <c r="BD469" t="b">
        <v>0</v>
      </c>
      <c r="BE469" t="b">
        <v>0</v>
      </c>
      <c r="BF469" t="b">
        <v>0</v>
      </c>
      <c r="BG469" t="b">
        <v>0</v>
      </c>
      <c r="BH469" t="b">
        <v>0</v>
      </c>
      <c r="BI469" t="b">
        <v>0</v>
      </c>
      <c r="BJ469" t="b">
        <v>0</v>
      </c>
      <c r="BK469" t="b">
        <v>0</v>
      </c>
      <c r="BL469" t="b">
        <v>0</v>
      </c>
      <c r="BM469" t="b">
        <v>0</v>
      </c>
      <c r="BN469" t="b">
        <v>0</v>
      </c>
      <c r="BO469" t="b">
        <v>0</v>
      </c>
      <c r="BP469" t="b">
        <v>0</v>
      </c>
      <c r="BR469" t="str">
        <f>IFERROR(IF(M469="PASSED",VLOOKUP(J469,Current!$J$1:$N$500,1,FALSE)),N469)</f>
        <v>1.0468</v>
      </c>
    </row>
    <row r="470" spans="1:70" ht="15" hidden="1" customHeight="1" x14ac:dyDescent="0.25">
      <c r="A470">
        <v>21156</v>
      </c>
      <c r="C470">
        <v>0</v>
      </c>
      <c r="D470" t="s">
        <v>65</v>
      </c>
      <c r="E470" t="s">
        <v>66</v>
      </c>
      <c r="F470" t="s">
        <v>84</v>
      </c>
      <c r="G470">
        <v>0</v>
      </c>
      <c r="H470" t="s">
        <v>85</v>
      </c>
      <c r="I470" t="s">
        <v>86</v>
      </c>
      <c r="J470" t="str">
        <f>MID($N470,FIND("1.",$N470),FIND("-",$N470)-FIND("1.",$N470)-1)</f>
        <v>1.0469</v>
      </c>
      <c r="K470" t="str">
        <f t="shared" si="21"/>
        <v>Network access: Remotely accessible registry paths is configured - Allowedexactpaths</v>
      </c>
      <c r="L470" t="str">
        <f t="shared" si="22"/>
        <v>1.0469 - MSWRK - Network access: Remotely accessible registry paths is configured - Allowedexactpaths</v>
      </c>
      <c r="M470" t="str">
        <f t="shared" si="23"/>
        <v>PASSED</v>
      </c>
      <c r="N470" s="1" t="s">
        <v>108</v>
      </c>
      <c r="O470" t="s">
        <v>67</v>
      </c>
      <c r="R470" t="s">
        <v>68</v>
      </c>
      <c r="T470" t="s">
        <v>69</v>
      </c>
      <c r="U470" t="s">
        <v>70</v>
      </c>
      <c r="W470" t="s">
        <v>71</v>
      </c>
      <c r="X470" s="1" t="s">
        <v>72</v>
      </c>
      <c r="Y470" t="s">
        <v>88</v>
      </c>
      <c r="Z470">
        <v>0</v>
      </c>
      <c r="AA470">
        <v>0</v>
      </c>
      <c r="AD470">
        <v>0</v>
      </c>
      <c r="AE470">
        <v>0</v>
      </c>
      <c r="AH470" t="s">
        <v>73</v>
      </c>
      <c r="AI470" t="s">
        <v>318</v>
      </c>
      <c r="AJ470" t="s">
        <v>319</v>
      </c>
      <c r="AK470" t="s">
        <v>76</v>
      </c>
      <c r="AN470" t="s">
        <v>77</v>
      </c>
      <c r="AO470" t="s">
        <v>320</v>
      </c>
      <c r="AP470" t="s">
        <v>381</v>
      </c>
      <c r="AQ470" t="s">
        <v>322</v>
      </c>
      <c r="AS470" t="b">
        <v>1</v>
      </c>
      <c r="AT470" t="s">
        <v>65</v>
      </c>
      <c r="AU470">
        <v>0</v>
      </c>
      <c r="AV470">
        <v>0</v>
      </c>
      <c r="AX470">
        <v>39</v>
      </c>
      <c r="AY470" t="s">
        <v>81</v>
      </c>
      <c r="AZ470" t="s">
        <v>90</v>
      </c>
      <c r="BB470" t="s">
        <v>91</v>
      </c>
      <c r="BC470" t="s">
        <v>92</v>
      </c>
      <c r="BD470" t="b">
        <v>0</v>
      </c>
      <c r="BE470" t="b">
        <v>0</v>
      </c>
      <c r="BF470" t="b">
        <v>0</v>
      </c>
      <c r="BG470" t="b">
        <v>0</v>
      </c>
      <c r="BH470" t="b">
        <v>0</v>
      </c>
      <c r="BI470" t="b">
        <v>0</v>
      </c>
      <c r="BJ470" t="b">
        <v>0</v>
      </c>
      <c r="BK470" t="b">
        <v>0</v>
      </c>
      <c r="BL470" t="b">
        <v>0</v>
      </c>
      <c r="BM470" t="b">
        <v>0</v>
      </c>
      <c r="BN470" t="b">
        <v>0</v>
      </c>
      <c r="BO470" t="b">
        <v>0</v>
      </c>
      <c r="BP470" t="b">
        <v>0</v>
      </c>
      <c r="BR470" t="str">
        <f>IFERROR(IF(M470="PASSED",VLOOKUP(J470,Current!$J$1:$N$500,1,FALSE)),N470)</f>
        <v>1.0469</v>
      </c>
    </row>
    <row r="471" spans="1:70" ht="15" hidden="1" customHeight="1" x14ac:dyDescent="0.25">
      <c r="A471">
        <v>21156</v>
      </c>
      <c r="C471">
        <v>0</v>
      </c>
      <c r="D471" t="s">
        <v>65</v>
      </c>
      <c r="E471" t="s">
        <v>66</v>
      </c>
      <c r="F471" t="s">
        <v>84</v>
      </c>
      <c r="G471">
        <v>0</v>
      </c>
      <c r="H471" t="s">
        <v>85</v>
      </c>
      <c r="I471" t="s">
        <v>86</v>
      </c>
      <c r="J471" t="str">
        <f>MID($N471,FIND("1.",$N471),FIND("-",$N471)-FIND("1.",$N471)-1)</f>
        <v>1.0470</v>
      </c>
      <c r="K471" t="str">
        <f t="shared" si="21"/>
        <v>Network access: Remotely accessible registry paths and sub-paths is configured - Allowedpaths</v>
      </c>
      <c r="L471" t="str">
        <f t="shared" si="22"/>
        <v>1.0470 - MSWRK - Network access: Remotely accessible registry paths and sub-paths is configured - Allowedpaths</v>
      </c>
      <c r="M471" t="str">
        <f t="shared" si="23"/>
        <v>PASSED</v>
      </c>
      <c r="N471" s="1" t="s">
        <v>308</v>
      </c>
      <c r="O471" t="s">
        <v>67</v>
      </c>
      <c r="R471" t="s">
        <v>68</v>
      </c>
      <c r="T471" t="s">
        <v>69</v>
      </c>
      <c r="U471" t="s">
        <v>70</v>
      </c>
      <c r="W471" t="s">
        <v>71</v>
      </c>
      <c r="X471" s="1" t="s">
        <v>72</v>
      </c>
      <c r="Y471" t="s">
        <v>88</v>
      </c>
      <c r="Z471">
        <v>0</v>
      </c>
      <c r="AA471">
        <v>0</v>
      </c>
      <c r="AD471">
        <v>0</v>
      </c>
      <c r="AE471">
        <v>0</v>
      </c>
      <c r="AH471" t="s">
        <v>73</v>
      </c>
      <c r="AI471" t="s">
        <v>318</v>
      </c>
      <c r="AJ471" t="s">
        <v>319</v>
      </c>
      <c r="AK471" t="s">
        <v>76</v>
      </c>
      <c r="AN471" t="s">
        <v>77</v>
      </c>
      <c r="AO471" t="s">
        <v>320</v>
      </c>
      <c r="AP471" t="s">
        <v>663</v>
      </c>
      <c r="AQ471" t="s">
        <v>322</v>
      </c>
      <c r="AS471" t="b">
        <v>1</v>
      </c>
      <c r="AT471" t="s">
        <v>65</v>
      </c>
      <c r="AU471">
        <v>0</v>
      </c>
      <c r="AV471">
        <v>0</v>
      </c>
      <c r="AX471">
        <v>39</v>
      </c>
      <c r="AY471" t="s">
        <v>81</v>
      </c>
      <c r="AZ471" t="s">
        <v>90</v>
      </c>
      <c r="BB471" t="s">
        <v>91</v>
      </c>
      <c r="BC471" t="s">
        <v>92</v>
      </c>
      <c r="BD471" t="b">
        <v>0</v>
      </c>
      <c r="BE471" t="b">
        <v>0</v>
      </c>
      <c r="BF471" t="b">
        <v>0</v>
      </c>
      <c r="BG471" t="b">
        <v>0</v>
      </c>
      <c r="BH471" t="b">
        <v>0</v>
      </c>
      <c r="BI471" t="b">
        <v>0</v>
      </c>
      <c r="BJ471" t="b">
        <v>0</v>
      </c>
      <c r="BK471" t="b">
        <v>0</v>
      </c>
      <c r="BL471" t="b">
        <v>0</v>
      </c>
      <c r="BM471" t="b">
        <v>0</v>
      </c>
      <c r="BN471" t="b">
        <v>0</v>
      </c>
      <c r="BO471" t="b">
        <v>0</v>
      </c>
      <c r="BP471" t="b">
        <v>0</v>
      </c>
      <c r="BR471" t="str">
        <f>IFERROR(IF(M471="PASSED",VLOOKUP(J471,Current!$J$1:$N$500,1,FALSE)),N471)</f>
        <v>1.0470</v>
      </c>
    </row>
    <row r="472" spans="1:70" ht="15" hidden="1" customHeight="1" x14ac:dyDescent="0.25">
      <c r="A472">
        <v>21156</v>
      </c>
      <c r="C472">
        <v>0</v>
      </c>
      <c r="D472" t="s">
        <v>65</v>
      </c>
      <c r="E472" t="s">
        <v>66</v>
      </c>
      <c r="F472" t="s">
        <v>84</v>
      </c>
      <c r="G472">
        <v>0</v>
      </c>
      <c r="H472" t="s">
        <v>85</v>
      </c>
      <c r="I472" t="s">
        <v>86</v>
      </c>
      <c r="J472" t="str">
        <f>MID($N472,FIND("1.",$N472),FIND("-",$N472)-FIND("1.",$N472)-1)</f>
        <v>1.0471</v>
      </c>
      <c r="K472" t="str">
        <f t="shared" si="21"/>
        <v>Network security: Do not store LAN Manager hash value on next password change is set to Enabled</v>
      </c>
      <c r="L472" t="str">
        <f t="shared" si="22"/>
        <v>1.0471 - MSWRK - Network security: Do not store LAN Manager hash value on next password change is set to Enabled</v>
      </c>
      <c r="M472" t="str">
        <f t="shared" si="23"/>
        <v>PASSED</v>
      </c>
      <c r="N472" s="1" t="s">
        <v>277</v>
      </c>
      <c r="O472" t="s">
        <v>67</v>
      </c>
      <c r="R472" t="s">
        <v>68</v>
      </c>
      <c r="T472" t="s">
        <v>69</v>
      </c>
      <c r="U472" t="s">
        <v>70</v>
      </c>
      <c r="W472" t="s">
        <v>71</v>
      </c>
      <c r="X472" s="1" t="s">
        <v>72</v>
      </c>
      <c r="Y472" t="s">
        <v>88</v>
      </c>
      <c r="Z472">
        <v>0</v>
      </c>
      <c r="AA472">
        <v>0</v>
      </c>
      <c r="AD472">
        <v>0</v>
      </c>
      <c r="AE472">
        <v>0</v>
      </c>
      <c r="AH472" t="s">
        <v>73</v>
      </c>
      <c r="AI472" t="s">
        <v>318</v>
      </c>
      <c r="AJ472" t="s">
        <v>319</v>
      </c>
      <c r="AK472" t="s">
        <v>76</v>
      </c>
      <c r="AN472" t="s">
        <v>77</v>
      </c>
      <c r="AO472" t="s">
        <v>320</v>
      </c>
      <c r="AP472" t="s">
        <v>386</v>
      </c>
      <c r="AQ472" t="s">
        <v>322</v>
      </c>
      <c r="AS472" t="b">
        <v>1</v>
      </c>
      <c r="AT472" t="s">
        <v>65</v>
      </c>
      <c r="AU472">
        <v>0</v>
      </c>
      <c r="AV472">
        <v>0</v>
      </c>
      <c r="AX472">
        <v>39</v>
      </c>
      <c r="AY472" t="s">
        <v>81</v>
      </c>
      <c r="AZ472" t="s">
        <v>90</v>
      </c>
      <c r="BB472" t="s">
        <v>91</v>
      </c>
      <c r="BC472" t="s">
        <v>92</v>
      </c>
      <c r="BD472" t="b">
        <v>0</v>
      </c>
      <c r="BE472" t="b">
        <v>0</v>
      </c>
      <c r="BF472" t="b">
        <v>0</v>
      </c>
      <c r="BG472" t="b">
        <v>0</v>
      </c>
      <c r="BH472" t="b">
        <v>0</v>
      </c>
      <c r="BI472" t="b">
        <v>0</v>
      </c>
      <c r="BJ472" t="b">
        <v>0</v>
      </c>
      <c r="BK472" t="b">
        <v>0</v>
      </c>
      <c r="BL472" t="b">
        <v>0</v>
      </c>
      <c r="BM472" t="b">
        <v>0</v>
      </c>
      <c r="BN472" t="b">
        <v>0</v>
      </c>
      <c r="BO472" t="b">
        <v>0</v>
      </c>
      <c r="BP472" t="b">
        <v>0</v>
      </c>
      <c r="BR472" t="str">
        <f>IFERROR(IF(M472="PASSED",VLOOKUP(J472,Current!$J$1:$N$500,1,FALSE)),N472)</f>
        <v>1.0471</v>
      </c>
    </row>
    <row r="473" spans="1:70" ht="15" hidden="1" customHeight="1" x14ac:dyDescent="0.25">
      <c r="A473">
        <v>21156</v>
      </c>
      <c r="C473">
        <v>0</v>
      </c>
      <c r="D473" t="s">
        <v>65</v>
      </c>
      <c r="E473" t="s">
        <v>66</v>
      </c>
      <c r="F473" t="s">
        <v>84</v>
      </c>
      <c r="G473">
        <v>0</v>
      </c>
      <c r="H473" t="s">
        <v>85</v>
      </c>
      <c r="I473" t="s">
        <v>86</v>
      </c>
      <c r="J473" t="str">
        <f>MID($N473,FIND("1.",$N473),FIND("-",$N473)-FIND("1.",$N473)-1)</f>
        <v>1.0472</v>
      </c>
      <c r="K473" t="str">
        <f t="shared" si="21"/>
        <v>Interactive logon: Do not require CTRL+ALT+DEL is set to Disabled</v>
      </c>
      <c r="L473" t="str">
        <f t="shared" si="22"/>
        <v>1.0472 - MSWRK - Interactive logon: Do not require CTRL+ALT+DEL is set to Disabled</v>
      </c>
      <c r="M473" t="str">
        <f t="shared" si="23"/>
        <v>PASSED</v>
      </c>
      <c r="N473" s="1" t="s">
        <v>273</v>
      </c>
      <c r="O473" t="s">
        <v>67</v>
      </c>
      <c r="R473" t="s">
        <v>68</v>
      </c>
      <c r="T473" t="s">
        <v>69</v>
      </c>
      <c r="U473" t="s">
        <v>70</v>
      </c>
      <c r="W473" t="s">
        <v>71</v>
      </c>
      <c r="X473" s="1" t="s">
        <v>72</v>
      </c>
      <c r="Y473" t="s">
        <v>88</v>
      </c>
      <c r="Z473">
        <v>0</v>
      </c>
      <c r="AA473">
        <v>0</v>
      </c>
      <c r="AD473">
        <v>0</v>
      </c>
      <c r="AE473">
        <v>0</v>
      </c>
      <c r="AH473" t="s">
        <v>73</v>
      </c>
      <c r="AI473" t="s">
        <v>318</v>
      </c>
      <c r="AJ473" t="s">
        <v>319</v>
      </c>
      <c r="AK473" t="s">
        <v>76</v>
      </c>
      <c r="AN473" t="s">
        <v>77</v>
      </c>
      <c r="AO473" t="s">
        <v>320</v>
      </c>
      <c r="AP473" t="s">
        <v>532</v>
      </c>
      <c r="AQ473" t="s">
        <v>322</v>
      </c>
      <c r="AS473" t="b">
        <v>1</v>
      </c>
      <c r="AT473" t="s">
        <v>65</v>
      </c>
      <c r="AU473">
        <v>0</v>
      </c>
      <c r="AV473">
        <v>0</v>
      </c>
      <c r="AX473">
        <v>39</v>
      </c>
      <c r="AY473" t="s">
        <v>81</v>
      </c>
      <c r="AZ473" t="s">
        <v>90</v>
      </c>
      <c r="BB473" t="s">
        <v>91</v>
      </c>
      <c r="BC473" t="s">
        <v>92</v>
      </c>
      <c r="BD473" t="b">
        <v>0</v>
      </c>
      <c r="BE473" t="b">
        <v>0</v>
      </c>
      <c r="BF473" t="b">
        <v>0</v>
      </c>
      <c r="BG473" t="b">
        <v>0</v>
      </c>
      <c r="BH473" t="b">
        <v>0</v>
      </c>
      <c r="BI473" t="b">
        <v>0</v>
      </c>
      <c r="BJ473" t="b">
        <v>0</v>
      </c>
      <c r="BK473" t="b">
        <v>0</v>
      </c>
      <c r="BL473" t="b">
        <v>0</v>
      </c>
      <c r="BM473" t="b">
        <v>0</v>
      </c>
      <c r="BN473" t="b">
        <v>0</v>
      </c>
      <c r="BO473" t="b">
        <v>0</v>
      </c>
      <c r="BP473" t="b">
        <v>0</v>
      </c>
      <c r="BR473" t="str">
        <f>IFERROR(IF(M473="PASSED",VLOOKUP(J473,Current!$J$1:$N$500,1,FALSE)),N473)</f>
        <v>1.0472</v>
      </c>
    </row>
    <row r="474" spans="1:70" ht="15" hidden="1" customHeight="1" x14ac:dyDescent="0.25">
      <c r="A474">
        <v>21156</v>
      </c>
      <c r="C474">
        <v>0</v>
      </c>
      <c r="D474" t="s">
        <v>65</v>
      </c>
      <c r="E474" t="s">
        <v>66</v>
      </c>
      <c r="F474" t="s">
        <v>84</v>
      </c>
      <c r="G474">
        <v>0</v>
      </c>
      <c r="H474" t="s">
        <v>85</v>
      </c>
      <c r="I474" t="s">
        <v>86</v>
      </c>
      <c r="J474" t="str">
        <f>MID($N474,FIND("1.",$N474),FIND("-",$N474)-FIND("1.",$N474)-1)</f>
        <v>1.0473</v>
      </c>
      <c r="K474" t="str">
        <f t="shared" si="21"/>
        <v>Screensaver - Timeout is set to 900 seconds or fewer</v>
      </c>
      <c r="L474" t="str">
        <f t="shared" si="22"/>
        <v>1.0473 - MSWRK - Screensaver - Timeout is set to 900 seconds or fewer</v>
      </c>
      <c r="M474" t="str">
        <f t="shared" si="23"/>
        <v>PASSED</v>
      </c>
      <c r="N474" s="1" t="s">
        <v>179</v>
      </c>
      <c r="O474" t="s">
        <v>67</v>
      </c>
      <c r="R474" t="s">
        <v>68</v>
      </c>
      <c r="T474" t="s">
        <v>69</v>
      </c>
      <c r="U474" t="s">
        <v>70</v>
      </c>
      <c r="W474" t="s">
        <v>71</v>
      </c>
      <c r="X474" s="1" t="s">
        <v>72</v>
      </c>
      <c r="Y474" t="s">
        <v>88</v>
      </c>
      <c r="Z474">
        <v>0</v>
      </c>
      <c r="AA474">
        <v>0</v>
      </c>
      <c r="AD474">
        <v>0</v>
      </c>
      <c r="AE474">
        <v>0</v>
      </c>
      <c r="AH474" t="s">
        <v>73</v>
      </c>
      <c r="AI474" t="s">
        <v>318</v>
      </c>
      <c r="AJ474" t="s">
        <v>319</v>
      </c>
      <c r="AK474" t="s">
        <v>76</v>
      </c>
      <c r="AN474" t="s">
        <v>77</v>
      </c>
      <c r="AO474" t="s">
        <v>320</v>
      </c>
      <c r="AP474" t="s">
        <v>546</v>
      </c>
      <c r="AQ474" t="s">
        <v>322</v>
      </c>
      <c r="AS474" t="b">
        <v>1</v>
      </c>
      <c r="AT474" t="s">
        <v>65</v>
      </c>
      <c r="AU474">
        <v>0</v>
      </c>
      <c r="AV474">
        <v>0</v>
      </c>
      <c r="AX474">
        <v>39</v>
      </c>
      <c r="AY474" t="s">
        <v>81</v>
      </c>
      <c r="AZ474" t="s">
        <v>90</v>
      </c>
      <c r="BB474" t="s">
        <v>91</v>
      </c>
      <c r="BC474" t="s">
        <v>92</v>
      </c>
      <c r="BD474" t="b">
        <v>0</v>
      </c>
      <c r="BE474" t="b">
        <v>0</v>
      </c>
      <c r="BF474" t="b">
        <v>0</v>
      </c>
      <c r="BG474" t="b">
        <v>0</v>
      </c>
      <c r="BH474" t="b">
        <v>0</v>
      </c>
      <c r="BI474" t="b">
        <v>0</v>
      </c>
      <c r="BJ474" t="b">
        <v>0</v>
      </c>
      <c r="BK474" t="b">
        <v>0</v>
      </c>
      <c r="BL474" t="b">
        <v>0</v>
      </c>
      <c r="BM474" t="b">
        <v>0</v>
      </c>
      <c r="BN474" t="b">
        <v>0</v>
      </c>
      <c r="BO474" t="b">
        <v>0</v>
      </c>
      <c r="BP474" t="b">
        <v>0</v>
      </c>
      <c r="BR474" t="str">
        <f>IFERROR(IF(M474="PASSED",VLOOKUP(J474,Current!$J$1:$N$500,1,FALSE)),N474)</f>
        <v>1.0473</v>
      </c>
    </row>
    <row r="475" spans="1:70" ht="15" hidden="1" customHeight="1" x14ac:dyDescent="0.25">
      <c r="A475">
        <v>21156</v>
      </c>
      <c r="C475">
        <v>0</v>
      </c>
      <c r="D475" t="s">
        <v>65</v>
      </c>
      <c r="E475" t="s">
        <v>66</v>
      </c>
      <c r="F475" t="s">
        <v>84</v>
      </c>
      <c r="G475">
        <v>0</v>
      </c>
      <c r="H475" t="s">
        <v>85</v>
      </c>
      <c r="I475" t="s">
        <v>86</v>
      </c>
      <c r="J475" t="str">
        <f>MID($N475,FIND("1.",$N475),FIND("-",$N475)-FIND("1.",$N475)-1)</f>
        <v>1.0474</v>
      </c>
      <c r="K475" t="str">
        <f t="shared" si="21"/>
        <v>Microsoft network client</v>
      </c>
      <c r="L475" t="str">
        <f t="shared" si="22"/>
        <v>1.0474 - MSWRK - Microsoft network client: Digitally sign communications (if server agrees) is set to Enabled</v>
      </c>
      <c r="M475" t="str">
        <f t="shared" si="23"/>
        <v>PASSED</v>
      </c>
      <c r="N475" s="1" t="s">
        <v>192</v>
      </c>
      <c r="O475" t="s">
        <v>67</v>
      </c>
      <c r="R475" t="s">
        <v>68</v>
      </c>
      <c r="T475" t="s">
        <v>69</v>
      </c>
      <c r="U475" t="s">
        <v>70</v>
      </c>
      <c r="W475" t="s">
        <v>71</v>
      </c>
      <c r="X475" s="1" t="s">
        <v>72</v>
      </c>
      <c r="Y475" t="s">
        <v>88</v>
      </c>
      <c r="Z475">
        <v>0</v>
      </c>
      <c r="AA475">
        <v>0</v>
      </c>
      <c r="AD475">
        <v>0</v>
      </c>
      <c r="AE475">
        <v>0</v>
      </c>
      <c r="AH475" t="s">
        <v>73</v>
      </c>
      <c r="AI475" t="s">
        <v>318</v>
      </c>
      <c r="AJ475" t="s">
        <v>319</v>
      </c>
      <c r="AK475" t="s">
        <v>76</v>
      </c>
      <c r="AN475" t="s">
        <v>77</v>
      </c>
      <c r="AO475" t="s">
        <v>320</v>
      </c>
      <c r="AP475" t="s">
        <v>444</v>
      </c>
      <c r="AQ475" t="s">
        <v>322</v>
      </c>
      <c r="AS475" t="b">
        <v>1</v>
      </c>
      <c r="AT475" t="s">
        <v>65</v>
      </c>
      <c r="AU475">
        <v>0</v>
      </c>
      <c r="AV475">
        <v>0</v>
      </c>
      <c r="AX475">
        <v>39</v>
      </c>
      <c r="AY475" t="s">
        <v>81</v>
      </c>
      <c r="AZ475" t="s">
        <v>90</v>
      </c>
      <c r="BB475" t="s">
        <v>91</v>
      </c>
      <c r="BC475" t="s">
        <v>92</v>
      </c>
      <c r="BD475" t="b">
        <v>0</v>
      </c>
      <c r="BE475" t="b">
        <v>0</v>
      </c>
      <c r="BF475" t="b">
        <v>0</v>
      </c>
      <c r="BG475" t="b">
        <v>0</v>
      </c>
      <c r="BH475" t="b">
        <v>0</v>
      </c>
      <c r="BI475" t="b">
        <v>0</v>
      </c>
      <c r="BJ475" t="b">
        <v>0</v>
      </c>
      <c r="BK475" t="b">
        <v>0</v>
      </c>
      <c r="BL475" t="b">
        <v>0</v>
      </c>
      <c r="BM475" t="b">
        <v>0</v>
      </c>
      <c r="BN475" t="b">
        <v>0</v>
      </c>
      <c r="BO475" t="b">
        <v>0</v>
      </c>
      <c r="BP475" t="b">
        <v>0</v>
      </c>
      <c r="BR475" t="str">
        <f>IFERROR(IF(M475="PASSED",VLOOKUP(J475,Current!$J$1:$N$500,1,FALSE)),N475)</f>
        <v>1.0474</v>
      </c>
    </row>
    <row r="476" spans="1:70" ht="15" hidden="1" customHeight="1" x14ac:dyDescent="0.25">
      <c r="A476">
        <v>21156</v>
      </c>
      <c r="C476">
        <v>0</v>
      </c>
      <c r="D476" t="s">
        <v>65</v>
      </c>
      <c r="E476" t="s">
        <v>66</v>
      </c>
      <c r="F476" t="s">
        <v>84</v>
      </c>
      <c r="G476">
        <v>0</v>
      </c>
      <c r="H476" t="s">
        <v>85</v>
      </c>
      <c r="I476" t="s">
        <v>86</v>
      </c>
      <c r="J476" t="str">
        <f>MID($N476,FIND("1.",$N476),FIND("-",$N476)-FIND("1.",$N476)-1)</f>
        <v>1.0475</v>
      </c>
      <c r="K476" t="str">
        <f t="shared" si="21"/>
        <v>Services - Windows Firewall is enabled</v>
      </c>
      <c r="L476" t="str">
        <f t="shared" si="22"/>
        <v>1.0475 - MSWRK - Services - Windows Firewall is enabled</v>
      </c>
      <c r="M476" t="str">
        <f t="shared" si="23"/>
        <v>PASSED</v>
      </c>
      <c r="N476" s="1" t="s">
        <v>493</v>
      </c>
      <c r="O476" t="s">
        <v>67</v>
      </c>
      <c r="R476" t="s">
        <v>68</v>
      </c>
      <c r="T476" t="s">
        <v>69</v>
      </c>
      <c r="U476" t="s">
        <v>70</v>
      </c>
      <c r="W476" t="s">
        <v>71</v>
      </c>
      <c r="X476" s="1" t="s">
        <v>72</v>
      </c>
      <c r="Y476" t="s">
        <v>88</v>
      </c>
      <c r="Z476">
        <v>0</v>
      </c>
      <c r="AA476">
        <v>0</v>
      </c>
      <c r="AD476">
        <v>0</v>
      </c>
      <c r="AE476">
        <v>0</v>
      </c>
      <c r="AH476" t="s">
        <v>73</v>
      </c>
      <c r="AI476" t="s">
        <v>318</v>
      </c>
      <c r="AJ476" t="s">
        <v>319</v>
      </c>
      <c r="AK476" t="s">
        <v>76</v>
      </c>
      <c r="AN476" t="s">
        <v>77</v>
      </c>
      <c r="AO476" t="s">
        <v>320</v>
      </c>
      <c r="AP476" t="s">
        <v>491</v>
      </c>
      <c r="AQ476" t="s">
        <v>322</v>
      </c>
      <c r="AS476" t="b">
        <v>1</v>
      </c>
      <c r="AT476" t="s">
        <v>65</v>
      </c>
      <c r="AU476">
        <v>0</v>
      </c>
      <c r="AV476">
        <v>0</v>
      </c>
      <c r="AX476">
        <v>39</v>
      </c>
      <c r="AY476" t="s">
        <v>81</v>
      </c>
      <c r="AZ476" t="s">
        <v>90</v>
      </c>
      <c r="BB476" t="s">
        <v>91</v>
      </c>
      <c r="BC476" t="s">
        <v>92</v>
      </c>
      <c r="BD476" t="b">
        <v>0</v>
      </c>
      <c r="BE476" t="b">
        <v>0</v>
      </c>
      <c r="BF476" t="b">
        <v>0</v>
      </c>
      <c r="BG476" t="b">
        <v>0</v>
      </c>
      <c r="BH476" t="b">
        <v>0</v>
      </c>
      <c r="BI476" t="b">
        <v>0</v>
      </c>
      <c r="BJ476" t="b">
        <v>0</v>
      </c>
      <c r="BK476" t="b">
        <v>0</v>
      </c>
      <c r="BL476" t="b">
        <v>0</v>
      </c>
      <c r="BM476" t="b">
        <v>0</v>
      </c>
      <c r="BN476" t="b">
        <v>0</v>
      </c>
      <c r="BO476" t="b">
        <v>0</v>
      </c>
      <c r="BP476" t="b">
        <v>0</v>
      </c>
      <c r="BR476" t="str">
        <f>IFERROR(IF(M476="PASSED",VLOOKUP(J476,Current!$J$1:$N$500,1,FALSE)),N476)</f>
        <v>1.0475</v>
      </c>
    </row>
    <row r="477" spans="1:70" ht="15" hidden="1" customHeight="1" x14ac:dyDescent="0.25">
      <c r="A477">
        <v>21156</v>
      </c>
      <c r="C477">
        <v>0</v>
      </c>
      <c r="D477" t="s">
        <v>65</v>
      </c>
      <c r="E477" t="s">
        <v>66</v>
      </c>
      <c r="F477" t="s">
        <v>84</v>
      </c>
      <c r="G477">
        <v>0</v>
      </c>
      <c r="H477" t="s">
        <v>85</v>
      </c>
      <c r="I477" t="s">
        <v>86</v>
      </c>
      <c r="J477" t="str">
        <f>MID($N477,FIND("1.",$N477),FIND("-",$N477)-FIND("1.",$N477)-1)</f>
        <v>1.0476</v>
      </c>
      <c r="K477" t="str">
        <f t="shared" si="21"/>
        <v>Services - Windows Defender</v>
      </c>
      <c r="L477" t="str">
        <f t="shared" si="22"/>
        <v>1.0476 - MSWRK - Services - Windows Defender</v>
      </c>
      <c r="M477" t="str">
        <f t="shared" si="23"/>
        <v>PASSED</v>
      </c>
      <c r="N477" s="1" t="s">
        <v>665</v>
      </c>
      <c r="O477" t="s">
        <v>67</v>
      </c>
      <c r="R477" t="s">
        <v>68</v>
      </c>
      <c r="T477" t="s">
        <v>69</v>
      </c>
      <c r="U477" t="s">
        <v>70</v>
      </c>
      <c r="W477" t="s">
        <v>71</v>
      </c>
      <c r="X477" s="1" t="s">
        <v>72</v>
      </c>
      <c r="Y477" t="s">
        <v>88</v>
      </c>
      <c r="Z477">
        <v>0</v>
      </c>
      <c r="AA477">
        <v>0</v>
      </c>
      <c r="AD477">
        <v>0</v>
      </c>
      <c r="AE477">
        <v>0</v>
      </c>
      <c r="AH477" t="s">
        <v>73</v>
      </c>
      <c r="AI477" t="s">
        <v>318</v>
      </c>
      <c r="AJ477" t="s">
        <v>319</v>
      </c>
      <c r="AK477" t="s">
        <v>76</v>
      </c>
      <c r="AN477" t="s">
        <v>77</v>
      </c>
      <c r="AO477" t="s">
        <v>320</v>
      </c>
      <c r="AP477" t="s">
        <v>663</v>
      </c>
      <c r="AQ477" t="s">
        <v>322</v>
      </c>
      <c r="AS477" t="b">
        <v>1</v>
      </c>
      <c r="AT477" t="s">
        <v>65</v>
      </c>
      <c r="AU477">
        <v>0</v>
      </c>
      <c r="AV477">
        <v>0</v>
      </c>
      <c r="AX477">
        <v>39</v>
      </c>
      <c r="AY477" t="s">
        <v>81</v>
      </c>
      <c r="AZ477" t="s">
        <v>90</v>
      </c>
      <c r="BB477" t="s">
        <v>91</v>
      </c>
      <c r="BC477" t="s">
        <v>92</v>
      </c>
      <c r="BD477" t="b">
        <v>0</v>
      </c>
      <c r="BE477" t="b">
        <v>0</v>
      </c>
      <c r="BF477" t="b">
        <v>0</v>
      </c>
      <c r="BG477" t="b">
        <v>0</v>
      </c>
      <c r="BH477" t="b">
        <v>0</v>
      </c>
      <c r="BI477" t="b">
        <v>0</v>
      </c>
      <c r="BJ477" t="b">
        <v>0</v>
      </c>
      <c r="BK477" t="b">
        <v>0</v>
      </c>
      <c r="BL477" t="b">
        <v>0</v>
      </c>
      <c r="BM477" t="b">
        <v>0</v>
      </c>
      <c r="BN477" t="b">
        <v>0</v>
      </c>
      <c r="BO477" t="b">
        <v>0</v>
      </c>
      <c r="BP477" t="b">
        <v>0</v>
      </c>
      <c r="BR477" t="str">
        <f>IFERROR(IF(M477="PASSED",VLOOKUP(J477,Current!$J$1:$N$500,1,FALSE)),N477)</f>
        <v>1.0476</v>
      </c>
    </row>
    <row r="478" spans="1:70" ht="15" hidden="1" customHeight="1" x14ac:dyDescent="0.25">
      <c r="A478">
        <v>21156</v>
      </c>
      <c r="C478">
        <v>0</v>
      </c>
      <c r="D478" t="s">
        <v>65</v>
      </c>
      <c r="E478" t="s">
        <v>66</v>
      </c>
      <c r="F478" t="s">
        <v>84</v>
      </c>
      <c r="G478">
        <v>0</v>
      </c>
      <c r="H478" t="s">
        <v>85</v>
      </c>
      <c r="I478" t="s">
        <v>86</v>
      </c>
      <c r="J478" t="str">
        <f>MID($N478,FIND("1.",$N478),FIND("-",$N478)-FIND("1.",$N478)-1)</f>
        <v>1.0477</v>
      </c>
      <c r="K478" t="str">
        <f t="shared" si="21"/>
        <v>Services - BitLocker Drive Encryption Service</v>
      </c>
      <c r="L478" t="str">
        <f t="shared" si="22"/>
        <v>1.0477 - MSWRK - Services - BitLocker Drive Encryption Service</v>
      </c>
      <c r="M478" t="str">
        <f t="shared" si="23"/>
        <v>PASSED</v>
      </c>
      <c r="N478" s="1" t="s">
        <v>445</v>
      </c>
      <c r="O478" t="s">
        <v>67</v>
      </c>
      <c r="R478" t="s">
        <v>68</v>
      </c>
      <c r="T478" t="s">
        <v>69</v>
      </c>
      <c r="U478" t="s">
        <v>70</v>
      </c>
      <c r="W478" t="s">
        <v>71</v>
      </c>
      <c r="X478" s="1" t="s">
        <v>72</v>
      </c>
      <c r="Y478" t="s">
        <v>88</v>
      </c>
      <c r="Z478">
        <v>0</v>
      </c>
      <c r="AA478">
        <v>0</v>
      </c>
      <c r="AD478">
        <v>0</v>
      </c>
      <c r="AE478">
        <v>0</v>
      </c>
      <c r="AH478" t="s">
        <v>73</v>
      </c>
      <c r="AI478" t="s">
        <v>318</v>
      </c>
      <c r="AJ478" t="s">
        <v>319</v>
      </c>
      <c r="AK478" t="s">
        <v>76</v>
      </c>
      <c r="AN478" t="s">
        <v>77</v>
      </c>
      <c r="AO478" t="s">
        <v>320</v>
      </c>
      <c r="AP478" t="s">
        <v>444</v>
      </c>
      <c r="AQ478" t="s">
        <v>322</v>
      </c>
      <c r="AS478" t="b">
        <v>1</v>
      </c>
      <c r="AT478" t="s">
        <v>65</v>
      </c>
      <c r="AU478">
        <v>0</v>
      </c>
      <c r="AV478">
        <v>0</v>
      </c>
      <c r="AX478">
        <v>39</v>
      </c>
      <c r="AY478" t="s">
        <v>81</v>
      </c>
      <c r="AZ478" t="s">
        <v>90</v>
      </c>
      <c r="BB478" t="s">
        <v>91</v>
      </c>
      <c r="BC478" t="s">
        <v>92</v>
      </c>
      <c r="BD478" t="b">
        <v>0</v>
      </c>
      <c r="BE478" t="b">
        <v>0</v>
      </c>
      <c r="BF478" t="b">
        <v>0</v>
      </c>
      <c r="BG478" t="b">
        <v>0</v>
      </c>
      <c r="BH478" t="b">
        <v>0</v>
      </c>
      <c r="BI478" t="b">
        <v>0</v>
      </c>
      <c r="BJ478" t="b">
        <v>0</v>
      </c>
      <c r="BK478" t="b">
        <v>0</v>
      </c>
      <c r="BL478" t="b">
        <v>0</v>
      </c>
      <c r="BM478" t="b">
        <v>0</v>
      </c>
      <c r="BN478" t="b">
        <v>0</v>
      </c>
      <c r="BO478" t="b">
        <v>0</v>
      </c>
      <c r="BP478" t="b">
        <v>0</v>
      </c>
      <c r="BR478" t="str">
        <f>IFERROR(IF(M478="PASSED",VLOOKUP(J478,Current!$J$1:$N$500,1,FALSE)),N478)</f>
        <v>1.0477</v>
      </c>
    </row>
    <row r="479" spans="1:70" ht="15" hidden="1" customHeight="1" x14ac:dyDescent="0.25">
      <c r="A479">
        <v>21156</v>
      </c>
      <c r="C479">
        <v>0</v>
      </c>
      <c r="D479" t="s">
        <v>65</v>
      </c>
      <c r="E479" t="s">
        <v>66</v>
      </c>
      <c r="F479" t="s">
        <v>84</v>
      </c>
      <c r="G479">
        <v>0</v>
      </c>
      <c r="H479" t="s">
        <v>85</v>
      </c>
      <c r="I479" t="s">
        <v>86</v>
      </c>
      <c r="J479" t="str">
        <f>MID($N479,FIND("1.",$N479),FIND("-",$N479)-FIND("1.",$N479)-1)</f>
        <v>1.0478</v>
      </c>
      <c r="K479" t="str">
        <f t="shared" si="21"/>
        <v>Services - Security Accounts Manager</v>
      </c>
      <c r="L479" t="str">
        <f t="shared" si="22"/>
        <v>1.0478 - MSWRK - Services - Security Accounts Manager</v>
      </c>
      <c r="M479" t="str">
        <f t="shared" si="23"/>
        <v>PASSED</v>
      </c>
      <c r="N479" s="1" t="s">
        <v>596</v>
      </c>
      <c r="O479" t="s">
        <v>67</v>
      </c>
      <c r="R479" t="s">
        <v>68</v>
      </c>
      <c r="T479" t="s">
        <v>69</v>
      </c>
      <c r="U479" t="s">
        <v>70</v>
      </c>
      <c r="W479" t="s">
        <v>71</v>
      </c>
      <c r="X479" s="1" t="s">
        <v>72</v>
      </c>
      <c r="Y479" t="s">
        <v>88</v>
      </c>
      <c r="Z479">
        <v>0</v>
      </c>
      <c r="AA479">
        <v>0</v>
      </c>
      <c r="AD479">
        <v>0</v>
      </c>
      <c r="AE479">
        <v>0</v>
      </c>
      <c r="AH479" t="s">
        <v>73</v>
      </c>
      <c r="AI479" t="s">
        <v>318</v>
      </c>
      <c r="AJ479" t="s">
        <v>319</v>
      </c>
      <c r="AK479" t="s">
        <v>76</v>
      </c>
      <c r="AN479" t="s">
        <v>77</v>
      </c>
      <c r="AO479" t="s">
        <v>320</v>
      </c>
      <c r="AP479" t="s">
        <v>597</v>
      </c>
      <c r="AQ479" t="s">
        <v>322</v>
      </c>
      <c r="AS479" t="b">
        <v>1</v>
      </c>
      <c r="AT479" t="s">
        <v>65</v>
      </c>
      <c r="AU479">
        <v>0</v>
      </c>
      <c r="AV479">
        <v>0</v>
      </c>
      <c r="AX479">
        <v>39</v>
      </c>
      <c r="AY479" t="s">
        <v>81</v>
      </c>
      <c r="AZ479" t="s">
        <v>90</v>
      </c>
      <c r="BB479" t="s">
        <v>91</v>
      </c>
      <c r="BC479" t="s">
        <v>92</v>
      </c>
      <c r="BD479" t="b">
        <v>0</v>
      </c>
      <c r="BE479" t="b">
        <v>0</v>
      </c>
      <c r="BF479" t="b">
        <v>0</v>
      </c>
      <c r="BG479" t="b">
        <v>0</v>
      </c>
      <c r="BH479" t="b">
        <v>0</v>
      </c>
      <c r="BI479" t="b">
        <v>0</v>
      </c>
      <c r="BJ479" t="b">
        <v>0</v>
      </c>
      <c r="BK479" t="b">
        <v>0</v>
      </c>
      <c r="BL479" t="b">
        <v>0</v>
      </c>
      <c r="BM479" t="b">
        <v>0</v>
      </c>
      <c r="BN479" t="b">
        <v>0</v>
      </c>
      <c r="BO479" t="b">
        <v>0</v>
      </c>
      <c r="BP479" t="b">
        <v>0</v>
      </c>
      <c r="BR479" t="str">
        <f>IFERROR(IF(M479="PASSED",VLOOKUP(J479,Current!$J$1:$N$500,1,FALSE)),N479)</f>
        <v>1.0478</v>
      </c>
    </row>
    <row r="480" spans="1:70" ht="15" hidden="1" customHeight="1" x14ac:dyDescent="0.25">
      <c r="A480">
        <v>21156</v>
      </c>
      <c r="C480">
        <v>0</v>
      </c>
      <c r="D480" t="s">
        <v>65</v>
      </c>
      <c r="E480" t="s">
        <v>66</v>
      </c>
      <c r="F480" t="s">
        <v>84</v>
      </c>
      <c r="G480">
        <v>0</v>
      </c>
      <c r="H480" t="s">
        <v>85</v>
      </c>
      <c r="I480" t="s">
        <v>86</v>
      </c>
      <c r="J480" t="str">
        <f>MID($N480,FIND("1.",$N480),FIND("-",$N480)-FIND("1.",$N480)-1)</f>
        <v>1.0479</v>
      </c>
      <c r="K480" t="str">
        <f t="shared" si="21"/>
        <v>Services - Cisco VPN Secure Client</v>
      </c>
      <c r="L480" t="str">
        <f t="shared" si="22"/>
        <v>1.0479 - MSWRK - Services - Cisco VPN Secure Client</v>
      </c>
      <c r="M480" t="str">
        <f t="shared" si="23"/>
        <v>PASSED</v>
      </c>
      <c r="N480" s="1" t="s">
        <v>696</v>
      </c>
      <c r="O480" t="s">
        <v>67</v>
      </c>
      <c r="R480" t="s">
        <v>68</v>
      </c>
      <c r="T480" t="s">
        <v>69</v>
      </c>
      <c r="U480" t="s">
        <v>70</v>
      </c>
      <c r="W480" t="s">
        <v>71</v>
      </c>
      <c r="X480" s="1" t="s">
        <v>72</v>
      </c>
      <c r="Y480" t="s">
        <v>88</v>
      </c>
      <c r="Z480">
        <v>0</v>
      </c>
      <c r="AA480">
        <v>0</v>
      </c>
      <c r="AD480">
        <v>0</v>
      </c>
      <c r="AE480">
        <v>0</v>
      </c>
      <c r="AH480" t="s">
        <v>73</v>
      </c>
      <c r="AI480" t="s">
        <v>318</v>
      </c>
      <c r="AJ480" t="s">
        <v>319</v>
      </c>
      <c r="AK480" t="s">
        <v>76</v>
      </c>
      <c r="AN480" t="s">
        <v>77</v>
      </c>
      <c r="AO480" t="s">
        <v>320</v>
      </c>
      <c r="AP480" t="s">
        <v>694</v>
      </c>
      <c r="AQ480" t="s">
        <v>322</v>
      </c>
      <c r="AS480" t="b">
        <v>1</v>
      </c>
      <c r="AT480" t="s">
        <v>65</v>
      </c>
      <c r="AU480">
        <v>0</v>
      </c>
      <c r="AV480">
        <v>0</v>
      </c>
      <c r="AX480">
        <v>39</v>
      </c>
      <c r="AY480" t="s">
        <v>81</v>
      </c>
      <c r="AZ480" t="s">
        <v>90</v>
      </c>
      <c r="BB480" t="s">
        <v>91</v>
      </c>
      <c r="BC480" t="s">
        <v>92</v>
      </c>
      <c r="BD480" t="b">
        <v>0</v>
      </c>
      <c r="BE480" t="b">
        <v>0</v>
      </c>
      <c r="BF480" t="b">
        <v>0</v>
      </c>
      <c r="BG480" t="b">
        <v>0</v>
      </c>
      <c r="BH480" t="b">
        <v>0</v>
      </c>
      <c r="BI480" t="b">
        <v>0</v>
      </c>
      <c r="BJ480" t="b">
        <v>0</v>
      </c>
      <c r="BK480" t="b">
        <v>0</v>
      </c>
      <c r="BL480" t="b">
        <v>0</v>
      </c>
      <c r="BM480" t="b">
        <v>0</v>
      </c>
      <c r="BN480" t="b">
        <v>0</v>
      </c>
      <c r="BO480" t="b">
        <v>0</v>
      </c>
      <c r="BP480" t="b">
        <v>0</v>
      </c>
      <c r="BR480" t="str">
        <f>IFERROR(IF(M480="PASSED",VLOOKUP(J480,Current!$J$1:$N$500,1,FALSE)),N480)</f>
        <v>1.0479</v>
      </c>
    </row>
    <row r="481" spans="1:70" ht="15" hidden="1" customHeight="1" x14ac:dyDescent="0.25">
      <c r="A481">
        <v>21156</v>
      </c>
      <c r="C481">
        <v>0</v>
      </c>
      <c r="D481" t="s">
        <v>65</v>
      </c>
      <c r="E481" t="s">
        <v>66</v>
      </c>
      <c r="F481" t="s">
        <v>84</v>
      </c>
      <c r="G481">
        <v>0</v>
      </c>
      <c r="H481" t="s">
        <v>85</v>
      </c>
      <c r="I481" t="s">
        <v>86</v>
      </c>
      <c r="J481" t="str">
        <f>MID($N481,FIND("1.",$N481),FIND("-",$N481)-FIND("1.",$N481)-1)</f>
        <v>1.0480</v>
      </c>
      <c r="K481" t="str">
        <f t="shared" si="21"/>
        <v>Services - Windows Event Log</v>
      </c>
      <c r="L481" t="str">
        <f t="shared" si="22"/>
        <v>1.0480 - MSWRK - Services - Windows Event Log</v>
      </c>
      <c r="M481" t="str">
        <f t="shared" si="23"/>
        <v>PASSED</v>
      </c>
      <c r="N481" s="1" t="s">
        <v>759</v>
      </c>
      <c r="O481" t="s">
        <v>67</v>
      </c>
      <c r="R481" t="s">
        <v>68</v>
      </c>
      <c r="T481" t="s">
        <v>69</v>
      </c>
      <c r="U481" t="s">
        <v>70</v>
      </c>
      <c r="W481" t="s">
        <v>71</v>
      </c>
      <c r="X481" s="1" t="s">
        <v>72</v>
      </c>
      <c r="Y481" t="s">
        <v>88</v>
      </c>
      <c r="Z481">
        <v>0</v>
      </c>
      <c r="AA481">
        <v>0</v>
      </c>
      <c r="AD481">
        <v>0</v>
      </c>
      <c r="AE481">
        <v>0</v>
      </c>
      <c r="AH481" t="s">
        <v>73</v>
      </c>
      <c r="AI481" t="s">
        <v>318</v>
      </c>
      <c r="AJ481" t="s">
        <v>319</v>
      </c>
      <c r="AK481" t="s">
        <v>76</v>
      </c>
      <c r="AN481" t="s">
        <v>77</v>
      </c>
      <c r="AO481" t="s">
        <v>320</v>
      </c>
      <c r="AP481" t="s">
        <v>758</v>
      </c>
      <c r="AQ481" t="s">
        <v>322</v>
      </c>
      <c r="AS481" t="b">
        <v>1</v>
      </c>
      <c r="AT481" t="s">
        <v>65</v>
      </c>
      <c r="AU481">
        <v>0</v>
      </c>
      <c r="AV481">
        <v>0</v>
      </c>
      <c r="AX481">
        <v>39</v>
      </c>
      <c r="AY481" t="s">
        <v>81</v>
      </c>
      <c r="AZ481" t="s">
        <v>90</v>
      </c>
      <c r="BB481" t="s">
        <v>91</v>
      </c>
      <c r="BC481" t="s">
        <v>92</v>
      </c>
      <c r="BD481" t="b">
        <v>0</v>
      </c>
      <c r="BE481" t="b">
        <v>0</v>
      </c>
      <c r="BF481" t="b">
        <v>0</v>
      </c>
      <c r="BG481" t="b">
        <v>0</v>
      </c>
      <c r="BH481" t="b">
        <v>0</v>
      </c>
      <c r="BI481" t="b">
        <v>0</v>
      </c>
      <c r="BJ481" t="b">
        <v>0</v>
      </c>
      <c r="BK481" t="b">
        <v>0</v>
      </c>
      <c r="BL481" t="b">
        <v>0</v>
      </c>
      <c r="BM481" t="b">
        <v>0</v>
      </c>
      <c r="BN481" t="b">
        <v>0</v>
      </c>
      <c r="BO481" t="b">
        <v>0</v>
      </c>
      <c r="BP481" t="b">
        <v>0</v>
      </c>
      <c r="BR481" t="str">
        <f>IFERROR(IF(M481="PASSED",VLOOKUP(J481,Current!$J$1:$N$500,1,FALSE)),N481)</f>
        <v>1.0480</v>
      </c>
    </row>
    <row r="482" spans="1:70" ht="15" hidden="1" customHeight="1" x14ac:dyDescent="0.25">
      <c r="A482">
        <v>21156</v>
      </c>
      <c r="C482">
        <v>0</v>
      </c>
      <c r="D482" t="s">
        <v>65</v>
      </c>
      <c r="E482" t="s">
        <v>66</v>
      </c>
      <c r="F482" t="s">
        <v>84</v>
      </c>
      <c r="G482">
        <v>0</v>
      </c>
      <c r="H482" t="s">
        <v>85</v>
      </c>
      <c r="I482" t="s">
        <v>86</v>
      </c>
      <c r="J482" t="str">
        <f>MID($N482,FIND("1.",$N482),FIND("-",$N482)-FIND("1.",$N482)-1)</f>
        <v>1.0481</v>
      </c>
      <c r="K482" t="str">
        <f t="shared" si="21"/>
        <v>TCPIP6 is disabled: [PASSED]"
This setting determines if TCPIPV6 is disabled
See Also</v>
      </c>
      <c r="L482" t="str">
        <f t="shared" si="22"/>
        <v>1.0481 - MSWRK - TCPIP6 is disabled</v>
      </c>
      <c r="M482" t="str">
        <f t="shared" si="23"/>
        <v>PASSED</v>
      </c>
      <c r="N482" s="1" t="s">
        <v>197</v>
      </c>
      <c r="O482" t="s">
        <v>67</v>
      </c>
      <c r="R482" t="s">
        <v>68</v>
      </c>
      <c r="T482" t="s">
        <v>69</v>
      </c>
      <c r="U482" t="s">
        <v>70</v>
      </c>
      <c r="W482" t="s">
        <v>71</v>
      </c>
      <c r="X482" s="1" t="s">
        <v>72</v>
      </c>
      <c r="Y482" t="s">
        <v>88</v>
      </c>
      <c r="Z482">
        <v>0</v>
      </c>
      <c r="AA482">
        <v>0</v>
      </c>
      <c r="AD482">
        <v>0</v>
      </c>
      <c r="AE482">
        <v>0</v>
      </c>
      <c r="AH482" t="s">
        <v>73</v>
      </c>
      <c r="AI482" t="s">
        <v>318</v>
      </c>
      <c r="AJ482" t="s">
        <v>319</v>
      </c>
      <c r="AK482" t="s">
        <v>76</v>
      </c>
      <c r="AN482" t="s">
        <v>77</v>
      </c>
      <c r="AO482" t="s">
        <v>320</v>
      </c>
      <c r="AP482" t="s">
        <v>439</v>
      </c>
      <c r="AQ482" t="s">
        <v>322</v>
      </c>
      <c r="AS482" t="b">
        <v>1</v>
      </c>
      <c r="AT482" t="s">
        <v>65</v>
      </c>
      <c r="AU482">
        <v>0</v>
      </c>
      <c r="AV482">
        <v>0</v>
      </c>
      <c r="AX482">
        <v>39</v>
      </c>
      <c r="AY482" t="s">
        <v>81</v>
      </c>
      <c r="AZ482" t="s">
        <v>90</v>
      </c>
      <c r="BB482" t="s">
        <v>91</v>
      </c>
      <c r="BC482" t="s">
        <v>92</v>
      </c>
      <c r="BD482" t="b">
        <v>0</v>
      </c>
      <c r="BE482" t="b">
        <v>0</v>
      </c>
      <c r="BF482" t="b">
        <v>0</v>
      </c>
      <c r="BG482" t="b">
        <v>0</v>
      </c>
      <c r="BH482" t="b">
        <v>0</v>
      </c>
      <c r="BI482" t="b">
        <v>0</v>
      </c>
      <c r="BJ482" t="b">
        <v>0</v>
      </c>
      <c r="BK482" t="b">
        <v>0</v>
      </c>
      <c r="BL482" t="b">
        <v>0</v>
      </c>
      <c r="BM482" t="b">
        <v>0</v>
      </c>
      <c r="BN482" t="b">
        <v>0</v>
      </c>
      <c r="BO482" t="b">
        <v>0</v>
      </c>
      <c r="BP482" t="b">
        <v>0</v>
      </c>
      <c r="BR482" t="str">
        <f>IFERROR(IF(M482="PASSED",VLOOKUP(J482,Current!$J$1:$N$500,1,FALSE)),N482)</f>
        <v>1.0481</v>
      </c>
    </row>
    <row r="483" spans="1:70" ht="15" hidden="1" customHeight="1" x14ac:dyDescent="0.25">
      <c r="A483">
        <v>21156</v>
      </c>
      <c r="C483">
        <v>0</v>
      </c>
      <c r="D483" t="s">
        <v>65</v>
      </c>
      <c r="E483" t="s">
        <v>66</v>
      </c>
      <c r="F483" t="s">
        <v>84</v>
      </c>
      <c r="G483">
        <v>0</v>
      </c>
      <c r="H483" t="s">
        <v>85</v>
      </c>
      <c r="I483" t="s">
        <v>86</v>
      </c>
      <c r="J483" t="str">
        <f>MID($N483,FIND("1.",$N483),FIND("-",$N483)-FIND("1.",$N483)-1)</f>
        <v>1.0482</v>
      </c>
      <c r="K483" t="str">
        <f t="shared" si="21"/>
        <v>Check if WinRM service is running</v>
      </c>
      <c r="L483" t="str">
        <f t="shared" si="22"/>
        <v>1.0482 - MSWRK - Check if WinRM service is running</v>
      </c>
      <c r="M483" t="str">
        <f t="shared" si="23"/>
        <v>PASSED</v>
      </c>
      <c r="N483" s="1" t="s">
        <v>552</v>
      </c>
      <c r="O483" t="s">
        <v>67</v>
      </c>
      <c r="R483" t="s">
        <v>68</v>
      </c>
      <c r="T483" t="s">
        <v>69</v>
      </c>
      <c r="U483" t="s">
        <v>70</v>
      </c>
      <c r="W483" t="s">
        <v>71</v>
      </c>
      <c r="X483" s="1" t="s">
        <v>72</v>
      </c>
      <c r="Y483" t="s">
        <v>88</v>
      </c>
      <c r="Z483">
        <v>0</v>
      </c>
      <c r="AA483">
        <v>0</v>
      </c>
      <c r="AD483">
        <v>0</v>
      </c>
      <c r="AE483">
        <v>0</v>
      </c>
      <c r="AH483" t="s">
        <v>73</v>
      </c>
      <c r="AI483" t="s">
        <v>318</v>
      </c>
      <c r="AJ483" t="s">
        <v>319</v>
      </c>
      <c r="AK483" t="s">
        <v>76</v>
      </c>
      <c r="AN483" t="s">
        <v>77</v>
      </c>
      <c r="AO483" t="s">
        <v>320</v>
      </c>
      <c r="AP483" t="s">
        <v>551</v>
      </c>
      <c r="AQ483" t="s">
        <v>322</v>
      </c>
      <c r="AS483" t="b">
        <v>1</v>
      </c>
      <c r="AT483" t="s">
        <v>65</v>
      </c>
      <c r="AU483">
        <v>0</v>
      </c>
      <c r="AV483">
        <v>0</v>
      </c>
      <c r="AX483">
        <v>39</v>
      </c>
      <c r="AY483" t="s">
        <v>81</v>
      </c>
      <c r="AZ483" t="s">
        <v>90</v>
      </c>
      <c r="BB483" t="s">
        <v>91</v>
      </c>
      <c r="BC483" t="s">
        <v>92</v>
      </c>
      <c r="BD483" t="b">
        <v>0</v>
      </c>
      <c r="BE483" t="b">
        <v>0</v>
      </c>
      <c r="BF483" t="b">
        <v>0</v>
      </c>
      <c r="BG483" t="b">
        <v>0</v>
      </c>
      <c r="BH483" t="b">
        <v>0</v>
      </c>
      <c r="BI483" t="b">
        <v>0</v>
      </c>
      <c r="BJ483" t="b">
        <v>0</v>
      </c>
      <c r="BK483" t="b">
        <v>0</v>
      </c>
      <c r="BL483" t="b">
        <v>0</v>
      </c>
      <c r="BM483" t="b">
        <v>0</v>
      </c>
      <c r="BN483" t="b">
        <v>0</v>
      </c>
      <c r="BO483" t="b">
        <v>0</v>
      </c>
      <c r="BP483" t="b">
        <v>0</v>
      </c>
      <c r="BR483" t="str">
        <f>IFERROR(IF(M483="PASSED",VLOOKUP(J483,Current!$J$1:$N$500,1,FALSE)),N483)</f>
        <v>1.0482</v>
      </c>
    </row>
    <row r="484" spans="1:70" ht="15" hidden="1" customHeight="1" x14ac:dyDescent="0.25">
      <c r="A484">
        <v>21156</v>
      </c>
      <c r="C484">
        <v>0</v>
      </c>
      <c r="D484" t="s">
        <v>83</v>
      </c>
      <c r="E484" t="s">
        <v>66</v>
      </c>
      <c r="F484" t="s">
        <v>84</v>
      </c>
      <c r="G484">
        <v>0</v>
      </c>
      <c r="H484" t="s">
        <v>85</v>
      </c>
      <c r="I484" t="s">
        <v>86</v>
      </c>
      <c r="J484" t="str">
        <f>MID($N484,FIND("1.",$N484),FIND("-",$N484)-FIND("1.",$N484)-1)</f>
        <v>1.0483</v>
      </c>
      <c r="K484" t="str">
        <f t="shared" si="21"/>
        <v>Computer Browser (Browser) is not Installed</v>
      </c>
      <c r="L484" t="str">
        <f t="shared" si="22"/>
        <v>1.0483 - MSWRK - Computer Browser (Browser) is not Installed</v>
      </c>
      <c r="M484" t="str">
        <f t="shared" si="23"/>
        <v>FAILED</v>
      </c>
      <c r="N484" s="1" t="s">
        <v>429</v>
      </c>
      <c r="O484" t="s">
        <v>67</v>
      </c>
      <c r="R484" t="s">
        <v>68</v>
      </c>
      <c r="T484" t="s">
        <v>69</v>
      </c>
      <c r="U484" t="s">
        <v>70</v>
      </c>
      <c r="W484" t="s">
        <v>71</v>
      </c>
      <c r="X484" s="1" t="s">
        <v>72</v>
      </c>
      <c r="Y484" t="s">
        <v>88</v>
      </c>
      <c r="Z484">
        <v>0</v>
      </c>
      <c r="AA484">
        <v>0</v>
      </c>
      <c r="AD484">
        <v>0</v>
      </c>
      <c r="AE484">
        <v>0</v>
      </c>
      <c r="AH484" t="s">
        <v>73</v>
      </c>
      <c r="AI484" t="s">
        <v>318</v>
      </c>
      <c r="AJ484" t="s">
        <v>319</v>
      </c>
      <c r="AK484" t="s">
        <v>76</v>
      </c>
      <c r="AN484" t="s">
        <v>77</v>
      </c>
      <c r="AO484" t="s">
        <v>320</v>
      </c>
      <c r="AP484" t="s">
        <v>428</v>
      </c>
      <c r="AQ484" t="s">
        <v>322</v>
      </c>
      <c r="AS484" t="b">
        <v>1</v>
      </c>
      <c r="AT484" t="s">
        <v>65</v>
      </c>
      <c r="AU484">
        <v>0</v>
      </c>
      <c r="AV484">
        <v>0</v>
      </c>
      <c r="AX484">
        <v>39</v>
      </c>
      <c r="AY484" t="s">
        <v>81</v>
      </c>
      <c r="AZ484" t="s">
        <v>90</v>
      </c>
      <c r="BB484" t="s">
        <v>91</v>
      </c>
      <c r="BC484" t="s">
        <v>92</v>
      </c>
      <c r="BD484" t="b">
        <v>0</v>
      </c>
      <c r="BE484" t="b">
        <v>0</v>
      </c>
      <c r="BF484" t="b">
        <v>0</v>
      </c>
      <c r="BG484" t="b">
        <v>0</v>
      </c>
      <c r="BH484" t="b">
        <v>0</v>
      </c>
      <c r="BI484" t="b">
        <v>0</v>
      </c>
      <c r="BJ484" t="b">
        <v>0</v>
      </c>
      <c r="BK484" t="b">
        <v>0</v>
      </c>
      <c r="BL484" t="b">
        <v>0</v>
      </c>
      <c r="BM484" t="b">
        <v>0</v>
      </c>
      <c r="BN484" t="b">
        <v>0</v>
      </c>
      <c r="BO484" t="b">
        <v>0</v>
      </c>
      <c r="BP484" t="b">
        <v>0</v>
      </c>
      <c r="BR484" t="b">
        <f>IFERROR(IF(M484="PASSED",VLOOKUP(J484,Current!$J$1:$N$500,1,FALSE)),N484)</f>
        <v>0</v>
      </c>
    </row>
    <row r="485" spans="1:70" ht="15" hidden="1" customHeight="1" x14ac:dyDescent="0.25">
      <c r="A485">
        <v>21156</v>
      </c>
      <c r="C485">
        <v>0</v>
      </c>
      <c r="D485" t="s">
        <v>65</v>
      </c>
      <c r="E485" t="s">
        <v>66</v>
      </c>
      <c r="F485" t="s">
        <v>84</v>
      </c>
      <c r="G485">
        <v>0</v>
      </c>
      <c r="H485" t="s">
        <v>85</v>
      </c>
      <c r="I485" t="s">
        <v>86</v>
      </c>
      <c r="J485" t="str">
        <f>MID($N485,FIND("1.",$N485),FIND("-",$N485)-FIND("1.",$N485)-1)</f>
        <v>1.0484</v>
      </c>
      <c r="K485" t="str">
        <f t="shared" si="21"/>
        <v>Services - BitLocker Drive Encryption Management Service</v>
      </c>
      <c r="L485" t="str">
        <f t="shared" si="22"/>
        <v>1.0484 - MSWRK - Services - BitLocker Drive Encryption Management Service</v>
      </c>
      <c r="M485" t="str">
        <f t="shared" si="23"/>
        <v>PASSED</v>
      </c>
      <c r="N485" s="1" t="s">
        <v>550</v>
      </c>
      <c r="O485" t="s">
        <v>67</v>
      </c>
      <c r="R485" t="s">
        <v>68</v>
      </c>
      <c r="T485" t="s">
        <v>69</v>
      </c>
      <c r="U485" t="s">
        <v>70</v>
      </c>
      <c r="W485" t="s">
        <v>71</v>
      </c>
      <c r="X485" s="1" t="s">
        <v>72</v>
      </c>
      <c r="Y485" t="s">
        <v>88</v>
      </c>
      <c r="Z485">
        <v>0</v>
      </c>
      <c r="AA485">
        <v>0</v>
      </c>
      <c r="AD485">
        <v>0</v>
      </c>
      <c r="AE485">
        <v>0</v>
      </c>
      <c r="AH485" t="s">
        <v>73</v>
      </c>
      <c r="AI485" t="s">
        <v>318</v>
      </c>
      <c r="AJ485" t="s">
        <v>319</v>
      </c>
      <c r="AK485" t="s">
        <v>76</v>
      </c>
      <c r="AN485" t="s">
        <v>77</v>
      </c>
      <c r="AO485" t="s">
        <v>320</v>
      </c>
      <c r="AP485" t="s">
        <v>551</v>
      </c>
      <c r="AQ485" t="s">
        <v>322</v>
      </c>
      <c r="AS485" t="b">
        <v>1</v>
      </c>
      <c r="AT485" t="s">
        <v>65</v>
      </c>
      <c r="AU485">
        <v>0</v>
      </c>
      <c r="AV485">
        <v>0</v>
      </c>
      <c r="AX485">
        <v>39</v>
      </c>
      <c r="AY485" t="s">
        <v>81</v>
      </c>
      <c r="AZ485" t="s">
        <v>90</v>
      </c>
      <c r="BB485" t="s">
        <v>91</v>
      </c>
      <c r="BC485" t="s">
        <v>92</v>
      </c>
      <c r="BD485" t="b">
        <v>0</v>
      </c>
      <c r="BE485" t="b">
        <v>0</v>
      </c>
      <c r="BF485" t="b">
        <v>0</v>
      </c>
      <c r="BG485" t="b">
        <v>0</v>
      </c>
      <c r="BH485" t="b">
        <v>0</v>
      </c>
      <c r="BI485" t="b">
        <v>0</v>
      </c>
      <c r="BJ485" t="b">
        <v>0</v>
      </c>
      <c r="BK485" t="b">
        <v>0</v>
      </c>
      <c r="BL485" t="b">
        <v>0</v>
      </c>
      <c r="BM485" t="b">
        <v>0</v>
      </c>
      <c r="BN485" t="b">
        <v>0</v>
      </c>
      <c r="BO485" t="b">
        <v>0</v>
      </c>
      <c r="BP485" t="b">
        <v>0</v>
      </c>
      <c r="BR485" t="str">
        <f>IFERROR(IF(M485="PASSED",VLOOKUP(J485,Current!$J$1:$N$500,1,FALSE)),N485)</f>
        <v>1.0484</v>
      </c>
    </row>
    <row r="486" spans="1:70" ht="15" hidden="1" customHeight="1" x14ac:dyDescent="0.25">
      <c r="A486">
        <v>21156</v>
      </c>
      <c r="C486">
        <v>0</v>
      </c>
      <c r="D486" t="s">
        <v>83</v>
      </c>
      <c r="E486" t="s">
        <v>66</v>
      </c>
      <c r="F486" t="s">
        <v>84</v>
      </c>
      <c r="G486">
        <v>0</v>
      </c>
      <c r="H486" t="s">
        <v>85</v>
      </c>
      <c r="I486" t="s">
        <v>86</v>
      </c>
      <c r="J486" t="str">
        <f>MID($N486,FIND("1.",$N486),FIND("-",$N486)-FIND("1.",$N486)-1)</f>
        <v>1.0485</v>
      </c>
      <c r="K486" t="str">
        <f t="shared" si="21"/>
        <v>Services - Rapid7 Insight Agent Service</v>
      </c>
      <c r="L486" t="str">
        <f t="shared" si="22"/>
        <v>1.0485 - MSWRK - Services - Rapid7 Insight Agent Service</v>
      </c>
      <c r="M486" t="str">
        <f t="shared" si="23"/>
        <v>FAILED</v>
      </c>
      <c r="N486" s="1" t="s">
        <v>115</v>
      </c>
      <c r="O486" t="s">
        <v>67</v>
      </c>
      <c r="R486" t="s">
        <v>68</v>
      </c>
      <c r="T486" t="s">
        <v>69</v>
      </c>
      <c r="U486" t="s">
        <v>70</v>
      </c>
      <c r="W486" t="s">
        <v>71</v>
      </c>
      <c r="X486" s="1" t="s">
        <v>72</v>
      </c>
      <c r="Y486" t="s">
        <v>88</v>
      </c>
      <c r="Z486">
        <v>0</v>
      </c>
      <c r="AA486">
        <v>0</v>
      </c>
      <c r="AD486">
        <v>0</v>
      </c>
      <c r="AE486">
        <v>0</v>
      </c>
      <c r="AH486" t="s">
        <v>73</v>
      </c>
      <c r="AI486" t="s">
        <v>318</v>
      </c>
      <c r="AJ486" t="s">
        <v>319</v>
      </c>
      <c r="AK486" t="s">
        <v>76</v>
      </c>
      <c r="AN486" t="s">
        <v>77</v>
      </c>
      <c r="AO486" t="s">
        <v>320</v>
      </c>
      <c r="AP486" t="s">
        <v>388</v>
      </c>
      <c r="AQ486" t="s">
        <v>322</v>
      </c>
      <c r="AS486" t="b">
        <v>1</v>
      </c>
      <c r="AT486" t="s">
        <v>65</v>
      </c>
      <c r="AU486">
        <v>0</v>
      </c>
      <c r="AV486">
        <v>0</v>
      </c>
      <c r="AX486">
        <v>39</v>
      </c>
      <c r="AY486" t="s">
        <v>81</v>
      </c>
      <c r="AZ486" t="s">
        <v>90</v>
      </c>
      <c r="BB486" t="s">
        <v>91</v>
      </c>
      <c r="BC486" t="s">
        <v>92</v>
      </c>
      <c r="BD486" t="b">
        <v>0</v>
      </c>
      <c r="BE486" t="b">
        <v>0</v>
      </c>
      <c r="BF486" t="b">
        <v>0</v>
      </c>
      <c r="BG486" t="b">
        <v>0</v>
      </c>
      <c r="BH486" t="b">
        <v>0</v>
      </c>
      <c r="BI486" t="b">
        <v>0</v>
      </c>
      <c r="BJ486" t="b">
        <v>0</v>
      </c>
      <c r="BK486" t="b">
        <v>0</v>
      </c>
      <c r="BL486" t="b">
        <v>0</v>
      </c>
      <c r="BM486" t="b">
        <v>0</v>
      </c>
      <c r="BN486" t="b">
        <v>0</v>
      </c>
      <c r="BO486" t="b">
        <v>0</v>
      </c>
      <c r="BP486" t="b">
        <v>0</v>
      </c>
      <c r="BR486" t="b">
        <f>IFERROR(IF(M486="PASSED",VLOOKUP(J486,Current!$J$1:$N$500,1,FALSE)),N486)</f>
        <v>0</v>
      </c>
    </row>
    <row r="487" spans="1:70" ht="15" hidden="1" customHeight="1" x14ac:dyDescent="0.25">
      <c r="A487">
        <v>21156</v>
      </c>
      <c r="C487">
        <v>0</v>
      </c>
      <c r="D487" t="s">
        <v>65</v>
      </c>
      <c r="E487" t="s">
        <v>66</v>
      </c>
      <c r="F487" t="s">
        <v>84</v>
      </c>
      <c r="G487">
        <v>0</v>
      </c>
      <c r="H487" t="s">
        <v>85</v>
      </c>
      <c r="I487" t="s">
        <v>86</v>
      </c>
      <c r="J487" t="str">
        <f>MID($N487,FIND("1.",$N487),FIND("-",$N487)-FIND("1.",$N487)-1)</f>
        <v>1.0486</v>
      </c>
      <c r="K487" t="str">
        <f t="shared" si="21"/>
        <v>Sentinel Agent: [PASSED]"
SentinelOne Endpoint Protection Agent
See Also</v>
      </c>
      <c r="L487" t="str">
        <f t="shared" si="22"/>
        <v>1.0486 - MSWRK - Sentinel Agent</v>
      </c>
      <c r="M487" t="str">
        <f t="shared" si="23"/>
        <v>PASSED</v>
      </c>
      <c r="N487" s="1" t="s">
        <v>610</v>
      </c>
      <c r="O487" t="s">
        <v>67</v>
      </c>
      <c r="R487" t="s">
        <v>68</v>
      </c>
      <c r="T487" t="s">
        <v>69</v>
      </c>
      <c r="U487" t="s">
        <v>70</v>
      </c>
      <c r="W487" t="s">
        <v>71</v>
      </c>
      <c r="X487" s="1" t="s">
        <v>72</v>
      </c>
      <c r="Y487" t="s">
        <v>88</v>
      </c>
      <c r="Z487">
        <v>0</v>
      </c>
      <c r="AA487">
        <v>0</v>
      </c>
      <c r="AD487">
        <v>0</v>
      </c>
      <c r="AE487">
        <v>0</v>
      </c>
      <c r="AH487" t="s">
        <v>73</v>
      </c>
      <c r="AI487" t="s">
        <v>318</v>
      </c>
      <c r="AJ487" t="s">
        <v>319</v>
      </c>
      <c r="AK487" t="s">
        <v>76</v>
      </c>
      <c r="AN487" t="s">
        <v>77</v>
      </c>
      <c r="AO487" t="s">
        <v>320</v>
      </c>
      <c r="AP487" t="s">
        <v>611</v>
      </c>
      <c r="AQ487" t="s">
        <v>322</v>
      </c>
      <c r="AS487" t="b">
        <v>1</v>
      </c>
      <c r="AT487" t="s">
        <v>65</v>
      </c>
      <c r="AU487">
        <v>0</v>
      </c>
      <c r="AV487">
        <v>0</v>
      </c>
      <c r="AX487">
        <v>39</v>
      </c>
      <c r="AY487" t="s">
        <v>81</v>
      </c>
      <c r="AZ487" t="s">
        <v>90</v>
      </c>
      <c r="BB487" t="s">
        <v>91</v>
      </c>
      <c r="BC487" t="s">
        <v>92</v>
      </c>
      <c r="BD487" t="b">
        <v>0</v>
      </c>
      <c r="BE487" t="b">
        <v>0</v>
      </c>
      <c r="BF487" t="b">
        <v>0</v>
      </c>
      <c r="BG487" t="b">
        <v>0</v>
      </c>
      <c r="BH487" t="b">
        <v>0</v>
      </c>
      <c r="BI487" t="b">
        <v>0</v>
      </c>
      <c r="BJ487" t="b">
        <v>0</v>
      </c>
      <c r="BK487" t="b">
        <v>0</v>
      </c>
      <c r="BL487" t="b">
        <v>0</v>
      </c>
      <c r="BM487" t="b">
        <v>0</v>
      </c>
      <c r="BN487" t="b">
        <v>0</v>
      </c>
      <c r="BO487" t="b">
        <v>0</v>
      </c>
      <c r="BP487" t="b">
        <v>0</v>
      </c>
      <c r="BR487" t="str">
        <f>IFERROR(IF(M487="PASSED",VLOOKUP(J487,Current!$J$1:$N$500,1,FALSE)),N487)</f>
        <v>1.0486</v>
      </c>
    </row>
    <row r="488" spans="1:70" ht="15" hidden="1" customHeight="1" x14ac:dyDescent="0.25">
      <c r="A488">
        <v>21156</v>
      </c>
      <c r="C488">
        <v>0</v>
      </c>
      <c r="D488" t="s">
        <v>65</v>
      </c>
      <c r="E488" t="s">
        <v>66</v>
      </c>
      <c r="F488" t="s">
        <v>84</v>
      </c>
      <c r="G488">
        <v>0</v>
      </c>
      <c r="H488" t="s">
        <v>85</v>
      </c>
      <c r="I488" t="s">
        <v>86</v>
      </c>
      <c r="J488" t="str">
        <f>MID($N488,FIND("1.",$N488),FIND("-",$N488)-FIND("1.",$N488)-1)</f>
        <v>1.0487</v>
      </c>
      <c r="K488" t="str">
        <f t="shared" si="21"/>
        <v>Services - Sentinel Helper Service</v>
      </c>
      <c r="L488" t="str">
        <f t="shared" si="22"/>
        <v>1.0487 - MSWRK - Services - Sentinel Helper Service</v>
      </c>
      <c r="M488" t="str">
        <f t="shared" si="23"/>
        <v>PASSED</v>
      </c>
      <c r="N488" s="1" t="s">
        <v>401</v>
      </c>
      <c r="O488" t="s">
        <v>67</v>
      </c>
      <c r="R488" t="s">
        <v>68</v>
      </c>
      <c r="T488" t="s">
        <v>69</v>
      </c>
      <c r="U488" t="s">
        <v>70</v>
      </c>
      <c r="W488" t="s">
        <v>71</v>
      </c>
      <c r="X488" s="1" t="s">
        <v>72</v>
      </c>
      <c r="Y488" t="s">
        <v>88</v>
      </c>
      <c r="Z488">
        <v>0</v>
      </c>
      <c r="AA488">
        <v>0</v>
      </c>
      <c r="AD488">
        <v>0</v>
      </c>
      <c r="AE488">
        <v>0</v>
      </c>
      <c r="AH488" t="s">
        <v>73</v>
      </c>
      <c r="AI488" t="s">
        <v>318</v>
      </c>
      <c r="AJ488" t="s">
        <v>319</v>
      </c>
      <c r="AK488" t="s">
        <v>76</v>
      </c>
      <c r="AN488" t="s">
        <v>77</v>
      </c>
      <c r="AO488" t="s">
        <v>320</v>
      </c>
      <c r="AP488" t="s">
        <v>400</v>
      </c>
      <c r="AQ488" t="s">
        <v>322</v>
      </c>
      <c r="AS488" t="b">
        <v>1</v>
      </c>
      <c r="AT488" t="s">
        <v>65</v>
      </c>
      <c r="AU488">
        <v>0</v>
      </c>
      <c r="AV488">
        <v>0</v>
      </c>
      <c r="AX488">
        <v>39</v>
      </c>
      <c r="AY488" t="s">
        <v>81</v>
      </c>
      <c r="AZ488" t="s">
        <v>90</v>
      </c>
      <c r="BB488" t="s">
        <v>91</v>
      </c>
      <c r="BC488" t="s">
        <v>92</v>
      </c>
      <c r="BD488" t="b">
        <v>0</v>
      </c>
      <c r="BE488" t="b">
        <v>0</v>
      </c>
      <c r="BF488" t="b">
        <v>0</v>
      </c>
      <c r="BG488" t="b">
        <v>0</v>
      </c>
      <c r="BH488" t="b">
        <v>0</v>
      </c>
      <c r="BI488" t="b">
        <v>0</v>
      </c>
      <c r="BJ488" t="b">
        <v>0</v>
      </c>
      <c r="BK488" t="b">
        <v>0</v>
      </c>
      <c r="BL488" t="b">
        <v>0</v>
      </c>
      <c r="BM488" t="b">
        <v>0</v>
      </c>
      <c r="BN488" t="b">
        <v>0</v>
      </c>
      <c r="BO488" t="b">
        <v>0</v>
      </c>
      <c r="BP488" t="b">
        <v>0</v>
      </c>
      <c r="BR488" t="str">
        <f>IFERROR(IF(M488="PASSED",VLOOKUP(J488,Current!$J$1:$N$500,1,FALSE)),N488)</f>
        <v>1.0487</v>
      </c>
    </row>
    <row r="489" spans="1:70" ht="15" hidden="1" customHeight="1" x14ac:dyDescent="0.25">
      <c r="A489">
        <v>21156</v>
      </c>
      <c r="C489">
        <v>0</v>
      </c>
      <c r="D489" t="s">
        <v>65</v>
      </c>
      <c r="E489" t="s">
        <v>66</v>
      </c>
      <c r="F489" t="s">
        <v>84</v>
      </c>
      <c r="G489">
        <v>0</v>
      </c>
      <c r="H489" t="s">
        <v>85</v>
      </c>
      <c r="I489" t="s">
        <v>86</v>
      </c>
      <c r="J489" t="str">
        <f>MID($N489,FIND("1.",$N489),FIND("-",$N489)-FIND("1.",$N489)-1)</f>
        <v>1.0488</v>
      </c>
      <c r="K489" t="str">
        <f t="shared" si="21"/>
        <v>Services - SentinelOne Agent Log Processing Service</v>
      </c>
      <c r="L489" t="str">
        <f t="shared" si="22"/>
        <v>1.0488 - MSWRK - Services - SentinelOne Agent Log Processing Service</v>
      </c>
      <c r="M489" t="str">
        <f t="shared" si="23"/>
        <v>PASSED</v>
      </c>
      <c r="N489" s="1" t="s">
        <v>430</v>
      </c>
      <c r="O489" t="s">
        <v>67</v>
      </c>
      <c r="R489" t="s">
        <v>68</v>
      </c>
      <c r="T489" t="s">
        <v>69</v>
      </c>
      <c r="U489" t="s">
        <v>70</v>
      </c>
      <c r="W489" t="s">
        <v>71</v>
      </c>
      <c r="X489" s="1" t="s">
        <v>72</v>
      </c>
      <c r="Y489" t="s">
        <v>88</v>
      </c>
      <c r="Z489">
        <v>0</v>
      </c>
      <c r="AA489">
        <v>0</v>
      </c>
      <c r="AD489">
        <v>0</v>
      </c>
      <c r="AE489">
        <v>0</v>
      </c>
      <c r="AH489" t="s">
        <v>73</v>
      </c>
      <c r="AI489" t="s">
        <v>318</v>
      </c>
      <c r="AJ489" t="s">
        <v>319</v>
      </c>
      <c r="AK489" t="s">
        <v>76</v>
      </c>
      <c r="AN489" t="s">
        <v>77</v>
      </c>
      <c r="AO489" t="s">
        <v>320</v>
      </c>
      <c r="AP489" t="s">
        <v>428</v>
      </c>
      <c r="AQ489" t="s">
        <v>322</v>
      </c>
      <c r="AS489" t="b">
        <v>1</v>
      </c>
      <c r="AT489" t="s">
        <v>65</v>
      </c>
      <c r="AU489">
        <v>0</v>
      </c>
      <c r="AV489">
        <v>0</v>
      </c>
      <c r="AX489">
        <v>39</v>
      </c>
      <c r="AY489" t="s">
        <v>81</v>
      </c>
      <c r="AZ489" t="s">
        <v>90</v>
      </c>
      <c r="BB489" t="s">
        <v>91</v>
      </c>
      <c r="BC489" t="s">
        <v>92</v>
      </c>
      <c r="BD489" t="b">
        <v>0</v>
      </c>
      <c r="BE489" t="b">
        <v>0</v>
      </c>
      <c r="BF489" t="b">
        <v>0</v>
      </c>
      <c r="BG489" t="b">
        <v>0</v>
      </c>
      <c r="BH489" t="b">
        <v>0</v>
      </c>
      <c r="BI489" t="b">
        <v>0</v>
      </c>
      <c r="BJ489" t="b">
        <v>0</v>
      </c>
      <c r="BK489" t="b">
        <v>0</v>
      </c>
      <c r="BL489" t="b">
        <v>0</v>
      </c>
      <c r="BM489" t="b">
        <v>0</v>
      </c>
      <c r="BN489" t="b">
        <v>0</v>
      </c>
      <c r="BO489" t="b">
        <v>0</v>
      </c>
      <c r="BP489" t="b">
        <v>0</v>
      </c>
      <c r="BR489" t="str">
        <f>IFERROR(IF(M489="PASSED",VLOOKUP(J489,Current!$J$1:$N$500,1,FALSE)),N489)</f>
        <v>1.0488</v>
      </c>
    </row>
    <row r="490" spans="1:70" ht="15" hidden="1" customHeight="1" x14ac:dyDescent="0.25">
      <c r="A490">
        <v>21156</v>
      </c>
      <c r="C490">
        <v>0</v>
      </c>
      <c r="D490" t="s">
        <v>65</v>
      </c>
      <c r="E490" t="s">
        <v>66</v>
      </c>
      <c r="F490" t="s">
        <v>84</v>
      </c>
      <c r="G490">
        <v>0</v>
      </c>
      <c r="H490" t="s">
        <v>85</v>
      </c>
      <c r="I490" t="s">
        <v>86</v>
      </c>
      <c r="J490" t="str">
        <f>MID($N490,FIND("1.",$N490),FIND("-",$N490)-FIND("1.",$N490)-1)</f>
        <v>1.0489</v>
      </c>
      <c r="K490" t="str">
        <f t="shared" si="21"/>
        <v>Services - SentinelOne Static Service</v>
      </c>
      <c r="L490" t="str">
        <f t="shared" si="22"/>
        <v>1.0489 - MSWRK - Services - SentinelOne Static Service</v>
      </c>
      <c r="M490" t="str">
        <f t="shared" si="23"/>
        <v>PASSED</v>
      </c>
      <c r="N490" s="1" t="s">
        <v>562</v>
      </c>
      <c r="O490" t="s">
        <v>67</v>
      </c>
      <c r="R490" t="s">
        <v>68</v>
      </c>
      <c r="T490" t="s">
        <v>69</v>
      </c>
      <c r="U490" t="s">
        <v>70</v>
      </c>
      <c r="W490" t="s">
        <v>71</v>
      </c>
      <c r="X490" s="1" t="s">
        <v>72</v>
      </c>
      <c r="Y490" t="s">
        <v>88</v>
      </c>
      <c r="Z490">
        <v>0</v>
      </c>
      <c r="AA490">
        <v>0</v>
      </c>
      <c r="AD490">
        <v>0</v>
      </c>
      <c r="AE490">
        <v>0</v>
      </c>
      <c r="AH490" t="s">
        <v>73</v>
      </c>
      <c r="AI490" t="s">
        <v>318</v>
      </c>
      <c r="AJ490" t="s">
        <v>319</v>
      </c>
      <c r="AK490" t="s">
        <v>76</v>
      </c>
      <c r="AN490" t="s">
        <v>77</v>
      </c>
      <c r="AO490" t="s">
        <v>320</v>
      </c>
      <c r="AP490" t="s">
        <v>561</v>
      </c>
      <c r="AQ490" t="s">
        <v>322</v>
      </c>
      <c r="AS490" t="b">
        <v>1</v>
      </c>
      <c r="AT490" t="s">
        <v>65</v>
      </c>
      <c r="AU490">
        <v>0</v>
      </c>
      <c r="AV490">
        <v>0</v>
      </c>
      <c r="AX490">
        <v>39</v>
      </c>
      <c r="AY490" t="s">
        <v>81</v>
      </c>
      <c r="AZ490" t="s">
        <v>90</v>
      </c>
      <c r="BB490" t="s">
        <v>91</v>
      </c>
      <c r="BC490" t="s">
        <v>92</v>
      </c>
      <c r="BD490" t="b">
        <v>0</v>
      </c>
      <c r="BE490" t="b">
        <v>0</v>
      </c>
      <c r="BF490" t="b">
        <v>0</v>
      </c>
      <c r="BG490" t="b">
        <v>0</v>
      </c>
      <c r="BH490" t="b">
        <v>0</v>
      </c>
      <c r="BI490" t="b">
        <v>0</v>
      </c>
      <c r="BJ490" t="b">
        <v>0</v>
      </c>
      <c r="BK490" t="b">
        <v>0</v>
      </c>
      <c r="BL490" t="b">
        <v>0</v>
      </c>
      <c r="BM490" t="b">
        <v>0</v>
      </c>
      <c r="BN490" t="b">
        <v>0</v>
      </c>
      <c r="BO490" t="b">
        <v>0</v>
      </c>
      <c r="BP490" t="b">
        <v>0</v>
      </c>
      <c r="BR490" t="str">
        <f>IFERROR(IF(M490="PASSED",VLOOKUP(J490,Current!$J$1:$N$500,1,FALSE)),N490)</f>
        <v>1.0489</v>
      </c>
    </row>
    <row r="491" spans="1:70" ht="15" hidden="1" customHeight="1" x14ac:dyDescent="0.25">
      <c r="A491">
        <v>21156</v>
      </c>
      <c r="C491">
        <v>0</v>
      </c>
      <c r="D491" t="s">
        <v>65</v>
      </c>
      <c r="E491" t="s">
        <v>66</v>
      </c>
      <c r="F491" t="s">
        <v>84</v>
      </c>
      <c r="G491">
        <v>0</v>
      </c>
      <c r="H491" t="s">
        <v>85</v>
      </c>
      <c r="I491" t="s">
        <v>86</v>
      </c>
      <c r="J491" t="str">
        <f>MID($N491,FIND("1.",$N491),FIND("-",$N491)-FIND("1.",$N491)-1)</f>
        <v>1.0490</v>
      </c>
      <c r="K491" t="str">
        <f t="shared" si="21"/>
        <v>Services - Xbox Live Auth Manager</v>
      </c>
      <c r="L491" t="str">
        <f t="shared" si="22"/>
        <v>1.0490 - MSWRK - Services - Xbox Live Auth Manager</v>
      </c>
      <c r="M491" t="str">
        <f t="shared" si="23"/>
        <v>PASSED</v>
      </c>
      <c r="N491" s="1" t="s">
        <v>403</v>
      </c>
      <c r="O491" t="s">
        <v>67</v>
      </c>
      <c r="R491" t="s">
        <v>68</v>
      </c>
      <c r="T491" t="s">
        <v>69</v>
      </c>
      <c r="U491" t="s">
        <v>70</v>
      </c>
      <c r="W491" t="s">
        <v>71</v>
      </c>
      <c r="X491" s="1" t="s">
        <v>72</v>
      </c>
      <c r="Y491" t="s">
        <v>88</v>
      </c>
      <c r="Z491">
        <v>0</v>
      </c>
      <c r="AA491">
        <v>0</v>
      </c>
      <c r="AD491">
        <v>0</v>
      </c>
      <c r="AE491">
        <v>0</v>
      </c>
      <c r="AH491" t="s">
        <v>73</v>
      </c>
      <c r="AI491" t="s">
        <v>318</v>
      </c>
      <c r="AJ491" t="s">
        <v>319</v>
      </c>
      <c r="AK491" t="s">
        <v>76</v>
      </c>
      <c r="AN491" t="s">
        <v>77</v>
      </c>
      <c r="AO491" t="s">
        <v>320</v>
      </c>
      <c r="AP491" t="s">
        <v>404</v>
      </c>
      <c r="AQ491" t="s">
        <v>322</v>
      </c>
      <c r="AS491" t="b">
        <v>1</v>
      </c>
      <c r="AT491" t="s">
        <v>65</v>
      </c>
      <c r="AU491">
        <v>0</v>
      </c>
      <c r="AV491">
        <v>0</v>
      </c>
      <c r="AX491">
        <v>39</v>
      </c>
      <c r="AY491" t="s">
        <v>81</v>
      </c>
      <c r="AZ491" t="s">
        <v>90</v>
      </c>
      <c r="BB491" t="s">
        <v>91</v>
      </c>
      <c r="BC491" t="s">
        <v>92</v>
      </c>
      <c r="BD491" t="b">
        <v>0</v>
      </c>
      <c r="BE491" t="b">
        <v>0</v>
      </c>
      <c r="BF491" t="b">
        <v>0</v>
      </c>
      <c r="BG491" t="b">
        <v>0</v>
      </c>
      <c r="BH491" t="b">
        <v>0</v>
      </c>
      <c r="BI491" t="b">
        <v>0</v>
      </c>
      <c r="BJ491" t="b">
        <v>0</v>
      </c>
      <c r="BK491" t="b">
        <v>0</v>
      </c>
      <c r="BL491" t="b">
        <v>0</v>
      </c>
      <c r="BM491" t="b">
        <v>0</v>
      </c>
      <c r="BN491" t="b">
        <v>0</v>
      </c>
      <c r="BO491" t="b">
        <v>0</v>
      </c>
      <c r="BP491" t="b">
        <v>0</v>
      </c>
      <c r="BR491" t="str">
        <f>IFERROR(IF(M491="PASSED",VLOOKUP(J491,Current!$J$1:$N$500,1,FALSE)),N491)</f>
        <v>1.0490</v>
      </c>
    </row>
    <row r="492" spans="1:70" ht="15" hidden="1" customHeight="1" x14ac:dyDescent="0.25">
      <c r="A492">
        <v>21156</v>
      </c>
      <c r="C492">
        <v>0</v>
      </c>
      <c r="D492" t="s">
        <v>65</v>
      </c>
      <c r="E492" t="s">
        <v>66</v>
      </c>
      <c r="F492" t="s">
        <v>84</v>
      </c>
      <c r="G492">
        <v>0</v>
      </c>
      <c r="H492" t="s">
        <v>85</v>
      </c>
      <c r="I492" t="s">
        <v>86</v>
      </c>
      <c r="J492" t="str">
        <f>MID($N492,FIND("1.",$N492),FIND("-",$N492)-FIND("1.",$N492)-1)</f>
        <v>1.0491</v>
      </c>
      <c r="K492" t="str">
        <f t="shared" si="21"/>
        <v>Services - Xbox Live Game Save Service</v>
      </c>
      <c r="L492" t="str">
        <f t="shared" si="22"/>
        <v>1.0491 - MSWRK - Services - Xbox Live Game Save Service</v>
      </c>
      <c r="M492" t="str">
        <f t="shared" si="23"/>
        <v>PASSED</v>
      </c>
      <c r="N492" s="1" t="s">
        <v>564</v>
      </c>
      <c r="O492" t="s">
        <v>67</v>
      </c>
      <c r="R492" t="s">
        <v>68</v>
      </c>
      <c r="T492" t="s">
        <v>69</v>
      </c>
      <c r="U492" t="s">
        <v>70</v>
      </c>
      <c r="W492" t="s">
        <v>71</v>
      </c>
      <c r="X492" s="1" t="s">
        <v>72</v>
      </c>
      <c r="Y492" t="s">
        <v>88</v>
      </c>
      <c r="Z492">
        <v>0</v>
      </c>
      <c r="AA492">
        <v>0</v>
      </c>
      <c r="AD492">
        <v>0</v>
      </c>
      <c r="AE492">
        <v>0</v>
      </c>
      <c r="AH492" t="s">
        <v>73</v>
      </c>
      <c r="AI492" t="s">
        <v>318</v>
      </c>
      <c r="AJ492" t="s">
        <v>319</v>
      </c>
      <c r="AK492" t="s">
        <v>76</v>
      </c>
      <c r="AN492" t="s">
        <v>77</v>
      </c>
      <c r="AO492" t="s">
        <v>320</v>
      </c>
      <c r="AP492" t="s">
        <v>563</v>
      </c>
      <c r="AQ492" t="s">
        <v>322</v>
      </c>
      <c r="AS492" t="b">
        <v>1</v>
      </c>
      <c r="AT492" t="s">
        <v>65</v>
      </c>
      <c r="AU492">
        <v>0</v>
      </c>
      <c r="AV492">
        <v>0</v>
      </c>
      <c r="AX492">
        <v>39</v>
      </c>
      <c r="AY492" t="s">
        <v>81</v>
      </c>
      <c r="AZ492" t="s">
        <v>90</v>
      </c>
      <c r="BB492" t="s">
        <v>91</v>
      </c>
      <c r="BC492" t="s">
        <v>92</v>
      </c>
      <c r="BD492" t="b">
        <v>0</v>
      </c>
      <c r="BE492" t="b">
        <v>0</v>
      </c>
      <c r="BF492" t="b">
        <v>0</v>
      </c>
      <c r="BG492" t="b">
        <v>0</v>
      </c>
      <c r="BH492" t="b">
        <v>0</v>
      </c>
      <c r="BI492" t="b">
        <v>0</v>
      </c>
      <c r="BJ492" t="b">
        <v>0</v>
      </c>
      <c r="BK492" t="b">
        <v>0</v>
      </c>
      <c r="BL492" t="b">
        <v>0</v>
      </c>
      <c r="BM492" t="b">
        <v>0</v>
      </c>
      <c r="BN492" t="b">
        <v>0</v>
      </c>
      <c r="BO492" t="b">
        <v>0</v>
      </c>
      <c r="BP492" t="b">
        <v>0</v>
      </c>
      <c r="BR492" t="str">
        <f>IFERROR(IF(M492="PASSED",VLOOKUP(J492,Current!$J$1:$N$500,1,FALSE)),N492)</f>
        <v>1.0491</v>
      </c>
    </row>
    <row r="493" spans="1:70" ht="15" hidden="1" customHeight="1" x14ac:dyDescent="0.25">
      <c r="A493">
        <v>21156</v>
      </c>
      <c r="C493">
        <v>0</v>
      </c>
      <c r="D493" t="s">
        <v>65</v>
      </c>
      <c r="E493" t="s">
        <v>66</v>
      </c>
      <c r="F493" t="s">
        <v>84</v>
      </c>
      <c r="G493">
        <v>0</v>
      </c>
      <c r="H493" t="s">
        <v>85</v>
      </c>
      <c r="I493" t="s">
        <v>86</v>
      </c>
      <c r="J493" t="str">
        <f>MID($N493,FIND("1.",$N493),FIND("-",$N493)-FIND("1.",$N493)-1)</f>
        <v>1.0492</v>
      </c>
      <c r="K493" t="str">
        <f t="shared" si="21"/>
        <v>Services - Xbox Live Networking Service</v>
      </c>
      <c r="L493" t="str">
        <f t="shared" si="22"/>
        <v>1.0492 - MSWRK - Services - Xbox Live Networking Service</v>
      </c>
      <c r="M493" t="str">
        <f t="shared" si="23"/>
        <v>PASSED</v>
      </c>
      <c r="N493" s="1" t="s">
        <v>555</v>
      </c>
      <c r="O493" t="s">
        <v>67</v>
      </c>
      <c r="R493" t="s">
        <v>68</v>
      </c>
      <c r="T493" t="s">
        <v>69</v>
      </c>
      <c r="U493" t="s">
        <v>70</v>
      </c>
      <c r="W493" t="s">
        <v>71</v>
      </c>
      <c r="X493" s="1" t="s">
        <v>72</v>
      </c>
      <c r="Y493" t="s">
        <v>88</v>
      </c>
      <c r="Z493">
        <v>0</v>
      </c>
      <c r="AA493">
        <v>0</v>
      </c>
      <c r="AD493">
        <v>0</v>
      </c>
      <c r="AE493">
        <v>0</v>
      </c>
      <c r="AH493" t="s">
        <v>73</v>
      </c>
      <c r="AI493" t="s">
        <v>318</v>
      </c>
      <c r="AJ493" t="s">
        <v>319</v>
      </c>
      <c r="AK493" t="s">
        <v>76</v>
      </c>
      <c r="AN493" t="s">
        <v>77</v>
      </c>
      <c r="AO493" t="s">
        <v>320</v>
      </c>
      <c r="AP493" t="s">
        <v>553</v>
      </c>
      <c r="AQ493" t="s">
        <v>322</v>
      </c>
      <c r="AS493" t="b">
        <v>1</v>
      </c>
      <c r="AT493" t="s">
        <v>65</v>
      </c>
      <c r="AU493">
        <v>0</v>
      </c>
      <c r="AV493">
        <v>0</v>
      </c>
      <c r="AX493">
        <v>39</v>
      </c>
      <c r="AY493" t="s">
        <v>81</v>
      </c>
      <c r="AZ493" t="s">
        <v>90</v>
      </c>
      <c r="BB493" t="s">
        <v>91</v>
      </c>
      <c r="BC493" t="s">
        <v>92</v>
      </c>
      <c r="BD493" t="b">
        <v>0</v>
      </c>
      <c r="BE493" t="b">
        <v>0</v>
      </c>
      <c r="BF493" t="b">
        <v>0</v>
      </c>
      <c r="BG493" t="b">
        <v>0</v>
      </c>
      <c r="BH493" t="b">
        <v>0</v>
      </c>
      <c r="BI493" t="b">
        <v>0</v>
      </c>
      <c r="BJ493" t="b">
        <v>0</v>
      </c>
      <c r="BK493" t="b">
        <v>0</v>
      </c>
      <c r="BL493" t="b">
        <v>0</v>
      </c>
      <c r="BM493" t="b">
        <v>0</v>
      </c>
      <c r="BN493" t="b">
        <v>0</v>
      </c>
      <c r="BO493" t="b">
        <v>0</v>
      </c>
      <c r="BP493" t="b">
        <v>0</v>
      </c>
      <c r="BR493" t="str">
        <f>IFERROR(IF(M493="PASSED",VLOOKUP(J493,Current!$J$1:$N$500,1,FALSE)),N493)</f>
        <v>1.0492</v>
      </c>
    </row>
    <row r="494" spans="1:70" ht="15" hidden="1" customHeight="1" x14ac:dyDescent="0.25">
      <c r="A494">
        <v>21156</v>
      </c>
      <c r="C494">
        <v>0</v>
      </c>
      <c r="D494" t="s">
        <v>65</v>
      </c>
      <c r="E494" t="s">
        <v>66</v>
      </c>
      <c r="F494" t="s">
        <v>84</v>
      </c>
      <c r="G494">
        <v>0</v>
      </c>
      <c r="H494" t="s">
        <v>85</v>
      </c>
      <c r="I494" t="s">
        <v>86</v>
      </c>
      <c r="J494" t="str">
        <f>MID($N494,FIND("1.",$N494),FIND("-",$N494)-FIND("1.",$N494)-1)</f>
        <v>1.0493</v>
      </c>
      <c r="K494" t="str">
        <f t="shared" si="21"/>
        <v>Simple TCP/IP Services (simptcp) is Not Installed</v>
      </c>
      <c r="L494" t="str">
        <f t="shared" si="22"/>
        <v>1.0493 - MSWRK - Simple TCP/IP Services (simptcp) is Not Installed</v>
      </c>
      <c r="M494" t="str">
        <f t="shared" si="23"/>
        <v>PASSED</v>
      </c>
      <c r="N494" s="1" t="s">
        <v>202</v>
      </c>
      <c r="O494" t="s">
        <v>67</v>
      </c>
      <c r="R494" t="s">
        <v>68</v>
      </c>
      <c r="T494" t="s">
        <v>69</v>
      </c>
      <c r="U494" t="s">
        <v>70</v>
      </c>
      <c r="W494" t="s">
        <v>71</v>
      </c>
      <c r="X494" s="1" t="s">
        <v>72</v>
      </c>
      <c r="Y494" t="s">
        <v>88</v>
      </c>
      <c r="Z494">
        <v>0</v>
      </c>
      <c r="AA494">
        <v>0</v>
      </c>
      <c r="AD494">
        <v>0</v>
      </c>
      <c r="AE494">
        <v>0</v>
      </c>
      <c r="AH494" t="s">
        <v>73</v>
      </c>
      <c r="AI494" t="s">
        <v>318</v>
      </c>
      <c r="AJ494" t="s">
        <v>319</v>
      </c>
      <c r="AK494" t="s">
        <v>76</v>
      </c>
      <c r="AN494" t="s">
        <v>77</v>
      </c>
      <c r="AO494" t="s">
        <v>320</v>
      </c>
      <c r="AP494" t="s">
        <v>651</v>
      </c>
      <c r="AQ494" t="s">
        <v>322</v>
      </c>
      <c r="AS494" t="b">
        <v>1</v>
      </c>
      <c r="AT494" t="s">
        <v>65</v>
      </c>
      <c r="AU494">
        <v>0</v>
      </c>
      <c r="AV494">
        <v>0</v>
      </c>
      <c r="AX494">
        <v>39</v>
      </c>
      <c r="AY494" t="s">
        <v>81</v>
      </c>
      <c r="AZ494" t="s">
        <v>90</v>
      </c>
      <c r="BB494" t="s">
        <v>91</v>
      </c>
      <c r="BC494" t="s">
        <v>92</v>
      </c>
      <c r="BD494" t="b">
        <v>0</v>
      </c>
      <c r="BE494" t="b">
        <v>0</v>
      </c>
      <c r="BF494" t="b">
        <v>0</v>
      </c>
      <c r="BG494" t="b">
        <v>0</v>
      </c>
      <c r="BH494" t="b">
        <v>0</v>
      </c>
      <c r="BI494" t="b">
        <v>0</v>
      </c>
      <c r="BJ494" t="b">
        <v>0</v>
      </c>
      <c r="BK494" t="b">
        <v>0</v>
      </c>
      <c r="BL494" t="b">
        <v>0</v>
      </c>
      <c r="BM494" t="b">
        <v>0</v>
      </c>
      <c r="BN494" t="b">
        <v>0</v>
      </c>
      <c r="BO494" t="b">
        <v>0</v>
      </c>
      <c r="BP494" t="b">
        <v>0</v>
      </c>
      <c r="BR494" t="str">
        <f>IFERROR(IF(M494="PASSED",VLOOKUP(J494,Current!$J$1:$N$500,1,FALSE)),N494)</f>
        <v>1.0493</v>
      </c>
    </row>
    <row r="495" spans="1:70" ht="15" hidden="1" customHeight="1" x14ac:dyDescent="0.25">
      <c r="A495">
        <v>21156</v>
      </c>
      <c r="C495">
        <v>0</v>
      </c>
      <c r="D495" t="s">
        <v>83</v>
      </c>
      <c r="E495" t="s">
        <v>66</v>
      </c>
      <c r="F495" t="s">
        <v>84</v>
      </c>
      <c r="G495">
        <v>0</v>
      </c>
      <c r="H495" t="s">
        <v>85</v>
      </c>
      <c r="I495" t="s">
        <v>86</v>
      </c>
      <c r="J495" t="str">
        <f>MID($N495,FIND("1.",$N495),FIND("-",$N495)-FIND("1.",$N495)-1)</f>
        <v>1.0494</v>
      </c>
      <c r="K495" t="str">
        <f t="shared" si="21"/>
        <v>SMB v1 server is set to Disabled</v>
      </c>
      <c r="L495" t="str">
        <f t="shared" si="22"/>
        <v>1.0494 - MSWRK - SMB v1 server is set to Disabled</v>
      </c>
      <c r="M495" t="str">
        <f t="shared" si="23"/>
        <v>FAILED</v>
      </c>
      <c r="N495" s="1" t="s">
        <v>818</v>
      </c>
      <c r="O495" t="s">
        <v>67</v>
      </c>
      <c r="R495" t="s">
        <v>68</v>
      </c>
      <c r="T495" t="s">
        <v>69</v>
      </c>
      <c r="U495" t="s">
        <v>70</v>
      </c>
      <c r="W495" t="s">
        <v>71</v>
      </c>
      <c r="X495" s="1" t="s">
        <v>72</v>
      </c>
      <c r="Y495" t="s">
        <v>88</v>
      </c>
      <c r="Z495">
        <v>0</v>
      </c>
      <c r="AA495">
        <v>0</v>
      </c>
      <c r="AD495">
        <v>0</v>
      </c>
      <c r="AE495">
        <v>0</v>
      </c>
      <c r="AH495" t="s">
        <v>73</v>
      </c>
      <c r="AI495" t="s">
        <v>318</v>
      </c>
      <c r="AJ495" t="s">
        <v>319</v>
      </c>
      <c r="AK495" t="s">
        <v>76</v>
      </c>
      <c r="AN495" t="s">
        <v>77</v>
      </c>
      <c r="AO495" t="s">
        <v>320</v>
      </c>
      <c r="AP495" t="s">
        <v>817</v>
      </c>
      <c r="AQ495" t="s">
        <v>322</v>
      </c>
      <c r="AS495" t="b">
        <v>1</v>
      </c>
      <c r="AT495" t="s">
        <v>65</v>
      </c>
      <c r="AU495">
        <v>0</v>
      </c>
      <c r="AV495">
        <v>0</v>
      </c>
      <c r="AX495">
        <v>39</v>
      </c>
      <c r="AY495" t="s">
        <v>81</v>
      </c>
      <c r="AZ495" t="s">
        <v>90</v>
      </c>
      <c r="BB495" t="s">
        <v>91</v>
      </c>
      <c r="BC495" t="s">
        <v>92</v>
      </c>
      <c r="BD495" t="b">
        <v>0</v>
      </c>
      <c r="BE495" t="b">
        <v>0</v>
      </c>
      <c r="BF495" t="b">
        <v>0</v>
      </c>
      <c r="BG495" t="b">
        <v>0</v>
      </c>
      <c r="BH495" t="b">
        <v>0</v>
      </c>
      <c r="BI495" t="b">
        <v>0</v>
      </c>
      <c r="BJ495" t="b">
        <v>0</v>
      </c>
      <c r="BK495" t="b">
        <v>0</v>
      </c>
      <c r="BL495" t="b">
        <v>0</v>
      </c>
      <c r="BM495" t="b">
        <v>0</v>
      </c>
      <c r="BN495" t="b">
        <v>0</v>
      </c>
      <c r="BO495" t="b">
        <v>0</v>
      </c>
      <c r="BP495" t="b">
        <v>0</v>
      </c>
      <c r="BR495" t="b">
        <f>IFERROR(IF(M495="PASSED",VLOOKUP(J495,Current!$J$1:$N$500,1,FALSE)),N495)</f>
        <v>0</v>
      </c>
    </row>
    <row r="496" spans="1:70" ht="15" hidden="1" customHeight="1" x14ac:dyDescent="0.25"/>
    <row r="497" ht="15" hidden="1" customHeight="1" x14ac:dyDescent="0.25"/>
    <row r="498" ht="15" hidden="1" customHeight="1" x14ac:dyDescent="0.25"/>
    <row r="499" ht="15" hidden="1" customHeight="1" x14ac:dyDescent="0.25"/>
    <row r="500" ht="15" hidden="1" customHeight="1" x14ac:dyDescent="0.25"/>
  </sheetData>
  <autoFilter ref="A1:BV500" xr:uid="{D2BCFFA7-685A-4DA9-97F9-3DAEC036D017}">
    <filterColumn colId="69">
      <customFilters>
        <customFilter val="*MSWRK*"/>
      </customFilters>
    </filterColumn>
  </autoFilter>
  <sortState xmlns:xlrd2="http://schemas.microsoft.com/office/spreadsheetml/2017/richdata2" ref="A2:BU499">
    <sortCondition ref="J2:J49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DF249-6502-4931-8177-DC4AAF6362C8}">
  <dimension ref="A1:F131"/>
  <sheetViews>
    <sheetView topLeftCell="A31" workbookViewId="0">
      <selection activeCell="B51" sqref="B51"/>
    </sheetView>
  </sheetViews>
  <sheetFormatPr defaultRowHeight="15" x14ac:dyDescent="0.25"/>
  <cols>
    <col min="1" max="1" width="6.5703125" bestFit="1" customWidth="1"/>
    <col min="2" max="2" width="132.7109375" bestFit="1" customWidth="1"/>
    <col min="3" max="3" width="201.7109375" bestFit="1" customWidth="1"/>
    <col min="4" max="4" width="7.5703125" bestFit="1" customWidth="1"/>
    <col min="5" max="6" width="255.7109375" bestFit="1" customWidth="1"/>
  </cols>
  <sheetData>
    <row r="1" spans="1:6" x14ac:dyDescent="0.25">
      <c r="A1" t="s">
        <v>821</v>
      </c>
      <c r="B1" t="s">
        <v>824</v>
      </c>
      <c r="C1" t="s">
        <v>822</v>
      </c>
      <c r="D1" t="s">
        <v>823</v>
      </c>
      <c r="E1" t="s">
        <v>9</v>
      </c>
      <c r="F1" t="s">
        <v>825</v>
      </c>
    </row>
    <row r="2" spans="1:6" x14ac:dyDescent="0.25">
      <c r="A2" t="s">
        <v>826</v>
      </c>
      <c r="B2" t="s">
        <v>827</v>
      </c>
      <c r="C2" t="s">
        <v>828</v>
      </c>
      <c r="D2" t="s">
        <v>829</v>
      </c>
      <c r="E2" t="s">
        <v>652</v>
      </c>
      <c r="F2" t="s">
        <v>652</v>
      </c>
    </row>
    <row r="3" spans="1:6" x14ac:dyDescent="0.25">
      <c r="A3" t="s">
        <v>830</v>
      </c>
      <c r="B3" t="s">
        <v>831</v>
      </c>
      <c r="C3" t="s">
        <v>832</v>
      </c>
      <c r="D3" t="s">
        <v>829</v>
      </c>
      <c r="E3" t="s">
        <v>373</v>
      </c>
      <c r="F3" t="s">
        <v>373</v>
      </c>
    </row>
    <row r="4" spans="1:6" x14ac:dyDescent="0.25">
      <c r="A4" t="s">
        <v>833</v>
      </c>
      <c r="B4" t="s">
        <v>834</v>
      </c>
      <c r="C4" t="s">
        <v>835</v>
      </c>
      <c r="D4" t="s">
        <v>829</v>
      </c>
      <c r="E4" t="s">
        <v>660</v>
      </c>
      <c r="F4" t="s">
        <v>660</v>
      </c>
    </row>
    <row r="5" spans="1:6" x14ac:dyDescent="0.25">
      <c r="A5" t="s">
        <v>836</v>
      </c>
      <c r="B5" t="s">
        <v>837</v>
      </c>
      <c r="C5" t="s">
        <v>838</v>
      </c>
      <c r="D5" t="s">
        <v>829</v>
      </c>
      <c r="E5" t="s">
        <v>653</v>
      </c>
      <c r="F5" t="s">
        <v>653</v>
      </c>
    </row>
    <row r="6" spans="1:6" x14ac:dyDescent="0.25">
      <c r="A6" t="s">
        <v>839</v>
      </c>
      <c r="B6" t="s">
        <v>840</v>
      </c>
      <c r="C6" t="s">
        <v>841</v>
      </c>
      <c r="D6" t="s">
        <v>829</v>
      </c>
      <c r="E6" t="s">
        <v>750</v>
      </c>
      <c r="F6" t="s">
        <v>750</v>
      </c>
    </row>
    <row r="7" spans="1:6" x14ac:dyDescent="0.25">
      <c r="A7" t="s">
        <v>842</v>
      </c>
      <c r="B7" t="s">
        <v>843</v>
      </c>
      <c r="C7" t="s">
        <v>844</v>
      </c>
      <c r="D7" t="s">
        <v>829</v>
      </c>
      <c r="E7" t="s">
        <v>572</v>
      </c>
      <c r="F7" t="s">
        <v>572</v>
      </c>
    </row>
    <row r="8" spans="1:6" x14ac:dyDescent="0.25">
      <c r="A8" t="s">
        <v>845</v>
      </c>
      <c r="B8" t="s">
        <v>846</v>
      </c>
      <c r="C8" t="s">
        <v>847</v>
      </c>
      <c r="D8" t="s">
        <v>829</v>
      </c>
      <c r="E8" t="s">
        <v>582</v>
      </c>
      <c r="F8" t="s">
        <v>582</v>
      </c>
    </row>
    <row r="9" spans="1:6" x14ac:dyDescent="0.25">
      <c r="A9" t="s">
        <v>848</v>
      </c>
      <c r="B9" t="s">
        <v>849</v>
      </c>
      <c r="C9" t="s">
        <v>850</v>
      </c>
      <c r="D9" t="s">
        <v>829</v>
      </c>
      <c r="E9" t="s">
        <v>408</v>
      </c>
      <c r="F9" t="s">
        <v>408</v>
      </c>
    </row>
    <row r="10" spans="1:6" x14ac:dyDescent="0.25">
      <c r="A10" t="s">
        <v>851</v>
      </c>
      <c r="B10" t="s">
        <v>852</v>
      </c>
      <c r="C10" t="s">
        <v>853</v>
      </c>
      <c r="D10" t="s">
        <v>829</v>
      </c>
      <c r="E10" t="s">
        <v>812</v>
      </c>
      <c r="F10" t="s">
        <v>812</v>
      </c>
    </row>
    <row r="11" spans="1:6" x14ac:dyDescent="0.25">
      <c r="A11" t="s">
        <v>854</v>
      </c>
      <c r="B11" t="s">
        <v>855</v>
      </c>
      <c r="C11" t="s">
        <v>856</v>
      </c>
      <c r="D11" t="s">
        <v>829</v>
      </c>
      <c r="E11" t="s">
        <v>688</v>
      </c>
      <c r="F11" t="s">
        <v>688</v>
      </c>
    </row>
    <row r="12" spans="1:6" x14ac:dyDescent="0.25">
      <c r="A12" t="s">
        <v>857</v>
      </c>
      <c r="B12" t="s">
        <v>858</v>
      </c>
      <c r="C12" t="s">
        <v>859</v>
      </c>
      <c r="D12" t="s">
        <v>829</v>
      </c>
      <c r="E12" t="s">
        <v>728</v>
      </c>
      <c r="F12" t="s">
        <v>728</v>
      </c>
    </row>
    <row r="13" spans="1:6" x14ac:dyDescent="0.25">
      <c r="A13" t="s">
        <v>860</v>
      </c>
      <c r="B13" t="s">
        <v>861</v>
      </c>
      <c r="C13" t="s">
        <v>862</v>
      </c>
      <c r="D13" t="s">
        <v>829</v>
      </c>
      <c r="E13" t="s">
        <v>461</v>
      </c>
      <c r="F13" t="s">
        <v>461</v>
      </c>
    </row>
    <row r="14" spans="1:6" x14ac:dyDescent="0.25">
      <c r="A14" t="s">
        <v>863</v>
      </c>
      <c r="B14" t="s">
        <v>864</v>
      </c>
      <c r="C14" t="s">
        <v>865</v>
      </c>
      <c r="D14" t="s">
        <v>829</v>
      </c>
      <c r="E14" t="s">
        <v>724</v>
      </c>
      <c r="F14" t="s">
        <v>724</v>
      </c>
    </row>
    <row r="15" spans="1:6" x14ac:dyDescent="0.25">
      <c r="A15" t="s">
        <v>866</v>
      </c>
      <c r="B15" t="s">
        <v>867</v>
      </c>
      <c r="C15" t="s">
        <v>868</v>
      </c>
      <c r="D15" t="s">
        <v>829</v>
      </c>
      <c r="E15" t="s">
        <v>622</v>
      </c>
      <c r="F15" t="s">
        <v>622</v>
      </c>
    </row>
    <row r="16" spans="1:6" x14ac:dyDescent="0.25">
      <c r="A16" t="s">
        <v>869</v>
      </c>
      <c r="B16" t="s">
        <v>870</v>
      </c>
      <c r="C16" t="s">
        <v>871</v>
      </c>
      <c r="D16" t="s">
        <v>829</v>
      </c>
      <c r="E16" t="s">
        <v>413</v>
      </c>
      <c r="F16" t="s">
        <v>413</v>
      </c>
    </row>
    <row r="17" spans="1:6" x14ac:dyDescent="0.25">
      <c r="A17" t="s">
        <v>872</v>
      </c>
      <c r="B17" t="s">
        <v>873</v>
      </c>
      <c r="C17" t="s">
        <v>874</v>
      </c>
      <c r="D17" t="s">
        <v>829</v>
      </c>
      <c r="E17" t="s">
        <v>737</v>
      </c>
      <c r="F17" t="s">
        <v>737</v>
      </c>
    </row>
    <row r="18" spans="1:6" x14ac:dyDescent="0.25">
      <c r="A18" t="s">
        <v>875</v>
      </c>
      <c r="B18" t="s">
        <v>876</v>
      </c>
      <c r="C18" t="s">
        <v>877</v>
      </c>
      <c r="D18" t="s">
        <v>829</v>
      </c>
      <c r="E18" t="s">
        <v>776</v>
      </c>
      <c r="F18" t="s">
        <v>776</v>
      </c>
    </row>
    <row r="19" spans="1:6" x14ac:dyDescent="0.25">
      <c r="A19" t="s">
        <v>878</v>
      </c>
      <c r="B19" t="s">
        <v>879</v>
      </c>
      <c r="C19" t="s">
        <v>880</v>
      </c>
      <c r="D19" t="s">
        <v>829</v>
      </c>
      <c r="E19" t="s">
        <v>465</v>
      </c>
      <c r="F19" t="s">
        <v>465</v>
      </c>
    </row>
    <row r="20" spans="1:6" x14ac:dyDescent="0.25">
      <c r="A20" t="s">
        <v>881</v>
      </c>
      <c r="B20" t="s">
        <v>882</v>
      </c>
      <c r="C20" t="s">
        <v>883</v>
      </c>
      <c r="D20" t="s">
        <v>829</v>
      </c>
      <c r="E20" t="s">
        <v>485</v>
      </c>
      <c r="F20" t="s">
        <v>485</v>
      </c>
    </row>
    <row r="21" spans="1:6" x14ac:dyDescent="0.25">
      <c r="A21" t="s">
        <v>884</v>
      </c>
      <c r="B21" t="s">
        <v>885</v>
      </c>
      <c r="C21" t="s">
        <v>886</v>
      </c>
      <c r="D21" t="s">
        <v>829</v>
      </c>
      <c r="E21" t="s">
        <v>580</v>
      </c>
      <c r="F21" t="s">
        <v>580</v>
      </c>
    </row>
    <row r="22" spans="1:6" x14ac:dyDescent="0.25">
      <c r="A22" t="s">
        <v>887</v>
      </c>
      <c r="B22" t="s">
        <v>885</v>
      </c>
      <c r="C22" t="s">
        <v>888</v>
      </c>
      <c r="D22" t="s">
        <v>829</v>
      </c>
      <c r="E22" t="s">
        <v>536</v>
      </c>
      <c r="F22" t="s">
        <v>536</v>
      </c>
    </row>
    <row r="23" spans="1:6" x14ac:dyDescent="0.25">
      <c r="A23" t="s">
        <v>889</v>
      </c>
      <c r="B23" t="s">
        <v>890</v>
      </c>
      <c r="C23" t="s">
        <v>891</v>
      </c>
      <c r="D23" t="s">
        <v>829</v>
      </c>
      <c r="E23" t="s">
        <v>714</v>
      </c>
      <c r="F23" t="s">
        <v>714</v>
      </c>
    </row>
    <row r="24" spans="1:6" x14ac:dyDescent="0.25">
      <c r="A24" t="s">
        <v>892</v>
      </c>
      <c r="B24" t="s">
        <v>893</v>
      </c>
      <c r="C24" t="s">
        <v>894</v>
      </c>
      <c r="D24" t="s">
        <v>829</v>
      </c>
      <c r="E24" t="s">
        <v>527</v>
      </c>
      <c r="F24" t="s">
        <v>527</v>
      </c>
    </row>
    <row r="25" spans="1:6" x14ac:dyDescent="0.25">
      <c r="A25" t="s">
        <v>895</v>
      </c>
      <c r="B25" t="s">
        <v>896</v>
      </c>
      <c r="C25" t="s">
        <v>897</v>
      </c>
      <c r="D25" t="s">
        <v>829</v>
      </c>
      <c r="E25" t="s">
        <v>704</v>
      </c>
      <c r="F25" t="s">
        <v>704</v>
      </c>
    </row>
    <row r="26" spans="1:6" x14ac:dyDescent="0.25">
      <c r="A26" t="s">
        <v>898</v>
      </c>
      <c r="B26" t="s">
        <v>890</v>
      </c>
      <c r="C26" t="s">
        <v>899</v>
      </c>
      <c r="D26" t="s">
        <v>829</v>
      </c>
      <c r="E26" t="s">
        <v>338</v>
      </c>
      <c r="F26" t="s">
        <v>338</v>
      </c>
    </row>
    <row r="27" spans="1:6" x14ac:dyDescent="0.25">
      <c r="A27" t="s">
        <v>900</v>
      </c>
      <c r="B27" t="s">
        <v>890</v>
      </c>
      <c r="C27" t="s">
        <v>901</v>
      </c>
      <c r="D27" t="s">
        <v>829</v>
      </c>
      <c r="E27" t="s">
        <v>736</v>
      </c>
      <c r="F27" t="s">
        <v>736</v>
      </c>
    </row>
    <row r="28" spans="1:6" x14ac:dyDescent="0.25">
      <c r="A28" t="s">
        <v>902</v>
      </c>
      <c r="B28" t="s">
        <v>890</v>
      </c>
      <c r="C28" t="s">
        <v>903</v>
      </c>
      <c r="D28" t="s">
        <v>829</v>
      </c>
      <c r="E28" t="s">
        <v>692</v>
      </c>
      <c r="F28" t="s">
        <v>692</v>
      </c>
    </row>
    <row r="29" spans="1:6" x14ac:dyDescent="0.25">
      <c r="A29" t="s">
        <v>904</v>
      </c>
      <c r="B29" t="s">
        <v>905</v>
      </c>
      <c r="C29" t="s">
        <v>906</v>
      </c>
      <c r="D29" t="s">
        <v>829</v>
      </c>
      <c r="E29" t="s">
        <v>482</v>
      </c>
      <c r="F29" t="s">
        <v>482</v>
      </c>
    </row>
    <row r="30" spans="1:6" x14ac:dyDescent="0.25">
      <c r="A30" t="s">
        <v>907</v>
      </c>
      <c r="B30" t="s">
        <v>908</v>
      </c>
      <c r="C30" t="s">
        <v>909</v>
      </c>
      <c r="D30" t="s">
        <v>829</v>
      </c>
      <c r="E30" t="s">
        <v>645</v>
      </c>
      <c r="F30" t="s">
        <v>645</v>
      </c>
    </row>
    <row r="31" spans="1:6" x14ac:dyDescent="0.25">
      <c r="A31" t="s">
        <v>910</v>
      </c>
      <c r="B31" t="s">
        <v>911</v>
      </c>
      <c r="C31" t="s">
        <v>912</v>
      </c>
      <c r="D31" t="s">
        <v>829</v>
      </c>
      <c r="E31" t="s">
        <v>683</v>
      </c>
      <c r="F31" t="s">
        <v>683</v>
      </c>
    </row>
    <row r="32" spans="1:6" x14ac:dyDescent="0.25">
      <c r="A32" t="s">
        <v>913</v>
      </c>
      <c r="B32" t="s">
        <v>914</v>
      </c>
      <c r="C32" t="s">
        <v>915</v>
      </c>
      <c r="D32" t="s">
        <v>829</v>
      </c>
      <c r="E32" t="s">
        <v>805</v>
      </c>
      <c r="F32" t="s">
        <v>805</v>
      </c>
    </row>
    <row r="33" spans="1:6" x14ac:dyDescent="0.25">
      <c r="A33" t="s">
        <v>916</v>
      </c>
      <c r="B33" t="s">
        <v>917</v>
      </c>
      <c r="C33" t="s">
        <v>918</v>
      </c>
      <c r="D33" t="s">
        <v>829</v>
      </c>
      <c r="E33" t="s">
        <v>753</v>
      </c>
      <c r="F33" t="s">
        <v>753</v>
      </c>
    </row>
    <row r="34" spans="1:6" x14ac:dyDescent="0.25">
      <c r="A34" t="s">
        <v>919</v>
      </c>
      <c r="B34" t="s">
        <v>917</v>
      </c>
      <c r="C34" t="s">
        <v>920</v>
      </c>
      <c r="D34" t="s">
        <v>829</v>
      </c>
      <c r="E34" t="s">
        <v>782</v>
      </c>
      <c r="F34" t="s">
        <v>782</v>
      </c>
    </row>
    <row r="35" spans="1:6" x14ac:dyDescent="0.25">
      <c r="A35" t="s">
        <v>921</v>
      </c>
      <c r="B35" t="s">
        <v>917</v>
      </c>
      <c r="C35" t="s">
        <v>922</v>
      </c>
      <c r="D35" t="s">
        <v>829</v>
      </c>
      <c r="E35" t="s">
        <v>638</v>
      </c>
      <c r="F35" t="s">
        <v>638</v>
      </c>
    </row>
    <row r="36" spans="1:6" x14ac:dyDescent="0.25">
      <c r="A36" t="s">
        <v>923</v>
      </c>
      <c r="B36" t="s">
        <v>924</v>
      </c>
      <c r="C36" t="s">
        <v>925</v>
      </c>
      <c r="D36" t="s">
        <v>829</v>
      </c>
      <c r="E36" t="s">
        <v>433</v>
      </c>
      <c r="F36" t="s">
        <v>433</v>
      </c>
    </row>
    <row r="37" spans="1:6" x14ac:dyDescent="0.25">
      <c r="A37" t="s">
        <v>926</v>
      </c>
      <c r="B37" t="s">
        <v>927</v>
      </c>
      <c r="C37" t="s">
        <v>928</v>
      </c>
      <c r="D37" t="s">
        <v>829</v>
      </c>
      <c r="E37" t="s">
        <v>512</v>
      </c>
      <c r="F37" t="s">
        <v>512</v>
      </c>
    </row>
    <row r="38" spans="1:6" x14ac:dyDescent="0.25">
      <c r="A38" t="s">
        <v>929</v>
      </c>
      <c r="B38" t="s">
        <v>930</v>
      </c>
      <c r="C38" t="s">
        <v>931</v>
      </c>
      <c r="D38" t="s">
        <v>829</v>
      </c>
      <c r="E38" t="s">
        <v>566</v>
      </c>
      <c r="F38" t="s">
        <v>566</v>
      </c>
    </row>
    <row r="39" spans="1:6" x14ac:dyDescent="0.25">
      <c r="A39" t="s">
        <v>932</v>
      </c>
      <c r="B39" t="s">
        <v>933</v>
      </c>
      <c r="C39" t="s">
        <v>934</v>
      </c>
      <c r="D39" t="s">
        <v>829</v>
      </c>
      <c r="E39" t="s">
        <v>560</v>
      </c>
      <c r="F39" t="s">
        <v>560</v>
      </c>
    </row>
    <row r="40" spans="1:6" x14ac:dyDescent="0.25">
      <c r="A40" t="s">
        <v>935</v>
      </c>
      <c r="B40" t="s">
        <v>936</v>
      </c>
      <c r="C40" t="s">
        <v>937</v>
      </c>
      <c r="D40" t="s">
        <v>829</v>
      </c>
      <c r="E40" t="s">
        <v>707</v>
      </c>
      <c r="F40" t="s">
        <v>707</v>
      </c>
    </row>
    <row r="41" spans="1:6" x14ac:dyDescent="0.25">
      <c r="A41" t="s">
        <v>938</v>
      </c>
      <c r="B41" t="s">
        <v>939</v>
      </c>
      <c r="C41" t="s">
        <v>940</v>
      </c>
      <c r="D41" t="s">
        <v>829</v>
      </c>
      <c r="E41" t="s">
        <v>556</v>
      </c>
      <c r="F41" t="s">
        <v>556</v>
      </c>
    </row>
    <row r="42" spans="1:6" x14ac:dyDescent="0.25">
      <c r="A42" t="s">
        <v>941</v>
      </c>
      <c r="B42" t="s">
        <v>942</v>
      </c>
      <c r="C42" t="s">
        <v>943</v>
      </c>
      <c r="D42" t="s">
        <v>829</v>
      </c>
      <c r="E42" t="s">
        <v>767</v>
      </c>
      <c r="F42" t="s">
        <v>767</v>
      </c>
    </row>
    <row r="43" spans="1:6" x14ac:dyDescent="0.25">
      <c r="A43" t="s">
        <v>944</v>
      </c>
      <c r="B43" t="s">
        <v>945</v>
      </c>
      <c r="C43" t="s">
        <v>946</v>
      </c>
      <c r="D43" t="s">
        <v>829</v>
      </c>
      <c r="E43" t="s">
        <v>666</v>
      </c>
      <c r="F43" t="s">
        <v>666</v>
      </c>
    </row>
    <row r="44" spans="1:6" x14ac:dyDescent="0.25">
      <c r="A44" t="s">
        <v>947</v>
      </c>
      <c r="B44" t="s">
        <v>948</v>
      </c>
      <c r="C44" t="s">
        <v>949</v>
      </c>
      <c r="D44" t="s">
        <v>829</v>
      </c>
      <c r="E44" t="s">
        <v>462</v>
      </c>
      <c r="F44" t="s">
        <v>462</v>
      </c>
    </row>
    <row r="45" spans="1:6" x14ac:dyDescent="0.25">
      <c r="A45" t="s">
        <v>950</v>
      </c>
      <c r="B45" t="s">
        <v>951</v>
      </c>
      <c r="C45" t="s">
        <v>952</v>
      </c>
      <c r="D45" t="s">
        <v>829</v>
      </c>
      <c r="E45" t="s">
        <v>399</v>
      </c>
      <c r="F45" t="s">
        <v>399</v>
      </c>
    </row>
    <row r="46" spans="1:6" x14ac:dyDescent="0.25">
      <c r="A46" t="s">
        <v>953</v>
      </c>
      <c r="B46" t="s">
        <v>954</v>
      </c>
      <c r="C46" t="s">
        <v>955</v>
      </c>
      <c r="D46" t="s">
        <v>829</v>
      </c>
      <c r="E46" t="s">
        <v>423</v>
      </c>
      <c r="F46" t="s">
        <v>423</v>
      </c>
    </row>
    <row r="47" spans="1:6" x14ac:dyDescent="0.25">
      <c r="A47" t="s">
        <v>956</v>
      </c>
      <c r="B47" t="s">
        <v>957</v>
      </c>
      <c r="C47" t="s">
        <v>958</v>
      </c>
      <c r="D47" t="s">
        <v>829</v>
      </c>
      <c r="E47" t="s">
        <v>710</v>
      </c>
      <c r="F47" t="s">
        <v>710</v>
      </c>
    </row>
    <row r="48" spans="1:6" x14ac:dyDescent="0.25">
      <c r="A48" t="s">
        <v>959</v>
      </c>
      <c r="B48" t="s">
        <v>960</v>
      </c>
      <c r="C48" t="s">
        <v>961</v>
      </c>
      <c r="D48" t="s">
        <v>829</v>
      </c>
      <c r="E48" t="s">
        <v>424</v>
      </c>
      <c r="F48" t="s">
        <v>424</v>
      </c>
    </row>
    <row r="49" spans="1:6" x14ac:dyDescent="0.25">
      <c r="A49" t="s">
        <v>962</v>
      </c>
      <c r="B49" t="s">
        <v>963</v>
      </c>
      <c r="C49" t="s">
        <v>964</v>
      </c>
      <c r="D49" t="s">
        <v>829</v>
      </c>
      <c r="E49" t="s">
        <v>558</v>
      </c>
      <c r="F49" t="s">
        <v>558</v>
      </c>
    </row>
    <row r="50" spans="1:6" x14ac:dyDescent="0.25">
      <c r="A50" t="s">
        <v>965</v>
      </c>
      <c r="B50" t="s">
        <v>966</v>
      </c>
      <c r="C50" t="s">
        <v>967</v>
      </c>
      <c r="D50" t="s">
        <v>829</v>
      </c>
      <c r="E50" t="s">
        <v>807</v>
      </c>
      <c r="F50" t="s">
        <v>807</v>
      </c>
    </row>
    <row r="51" spans="1:6" x14ac:dyDescent="0.25">
      <c r="A51" t="s">
        <v>968</v>
      </c>
      <c r="B51" t="s">
        <v>969</v>
      </c>
      <c r="C51" t="s">
        <v>970</v>
      </c>
      <c r="D51" t="s">
        <v>829</v>
      </c>
      <c r="E51" t="s">
        <v>543</v>
      </c>
      <c r="F51" t="s">
        <v>543</v>
      </c>
    </row>
    <row r="52" spans="1:6" x14ac:dyDescent="0.25">
      <c r="A52" t="s">
        <v>971</v>
      </c>
      <c r="B52" t="s">
        <v>972</v>
      </c>
      <c r="C52" t="s">
        <v>973</v>
      </c>
      <c r="D52" t="s">
        <v>829</v>
      </c>
      <c r="E52" t="s">
        <v>672</v>
      </c>
      <c r="F52" t="s">
        <v>672</v>
      </c>
    </row>
    <row r="53" spans="1:6" x14ac:dyDescent="0.25">
      <c r="A53" t="s">
        <v>974</v>
      </c>
      <c r="B53" t="s">
        <v>975</v>
      </c>
      <c r="C53" t="s">
        <v>976</v>
      </c>
      <c r="D53" t="s">
        <v>829</v>
      </c>
      <c r="E53" t="s">
        <v>352</v>
      </c>
      <c r="F53" t="s">
        <v>352</v>
      </c>
    </row>
    <row r="54" spans="1:6" x14ac:dyDescent="0.25">
      <c r="A54" t="s">
        <v>977</v>
      </c>
      <c r="B54" t="s">
        <v>978</v>
      </c>
      <c r="C54" t="s">
        <v>979</v>
      </c>
      <c r="D54" t="s">
        <v>829</v>
      </c>
      <c r="E54" t="s">
        <v>800</v>
      </c>
      <c r="F54" t="s">
        <v>800</v>
      </c>
    </row>
    <row r="55" spans="1:6" x14ac:dyDescent="0.25">
      <c r="A55" t="s">
        <v>980</v>
      </c>
      <c r="B55" t="s">
        <v>981</v>
      </c>
      <c r="C55" t="s">
        <v>982</v>
      </c>
      <c r="D55" t="s">
        <v>829</v>
      </c>
      <c r="E55" t="s">
        <v>788</v>
      </c>
      <c r="F55" t="s">
        <v>788</v>
      </c>
    </row>
    <row r="56" spans="1:6" x14ac:dyDescent="0.25">
      <c r="A56" t="s">
        <v>983</v>
      </c>
      <c r="B56" t="s">
        <v>984</v>
      </c>
      <c r="C56" t="s">
        <v>985</v>
      </c>
      <c r="D56" t="s">
        <v>829</v>
      </c>
      <c r="E56" t="s">
        <v>640</v>
      </c>
      <c r="F56" t="s">
        <v>640</v>
      </c>
    </row>
    <row r="57" spans="1:6" x14ac:dyDescent="0.25">
      <c r="A57" t="s">
        <v>986</v>
      </c>
      <c r="B57" t="s">
        <v>987</v>
      </c>
      <c r="C57" t="s">
        <v>988</v>
      </c>
      <c r="D57" t="s">
        <v>829</v>
      </c>
      <c r="E57" t="s">
        <v>434</v>
      </c>
      <c r="F57" t="s">
        <v>434</v>
      </c>
    </row>
    <row r="58" spans="1:6" x14ac:dyDescent="0.25">
      <c r="A58" t="s">
        <v>989</v>
      </c>
      <c r="B58" t="s">
        <v>990</v>
      </c>
      <c r="C58" t="s">
        <v>991</v>
      </c>
      <c r="D58" t="s">
        <v>829</v>
      </c>
      <c r="E58" t="s">
        <v>615</v>
      </c>
      <c r="F58" t="s">
        <v>615</v>
      </c>
    </row>
    <row r="59" spans="1:6" x14ac:dyDescent="0.25">
      <c r="A59" t="s">
        <v>992</v>
      </c>
      <c r="B59" t="s">
        <v>993</v>
      </c>
      <c r="C59" t="s">
        <v>994</v>
      </c>
      <c r="D59" t="s">
        <v>829</v>
      </c>
      <c r="E59" t="s">
        <v>576</v>
      </c>
      <c r="F59" t="s">
        <v>576</v>
      </c>
    </row>
    <row r="60" spans="1:6" x14ac:dyDescent="0.25">
      <c r="A60" t="s">
        <v>995</v>
      </c>
      <c r="B60" t="s">
        <v>996</v>
      </c>
      <c r="C60" t="s">
        <v>997</v>
      </c>
      <c r="D60" t="s">
        <v>829</v>
      </c>
      <c r="E60" t="s">
        <v>721</v>
      </c>
      <c r="F60" t="s">
        <v>721</v>
      </c>
    </row>
    <row r="61" spans="1:6" x14ac:dyDescent="0.25">
      <c r="A61" t="s">
        <v>998</v>
      </c>
      <c r="B61" t="s">
        <v>999</v>
      </c>
      <c r="C61" t="s">
        <v>1000</v>
      </c>
      <c r="D61" t="s">
        <v>829</v>
      </c>
      <c r="E61" t="s">
        <v>412</v>
      </c>
      <c r="F61" t="s">
        <v>412</v>
      </c>
    </row>
    <row r="62" spans="1:6" x14ac:dyDescent="0.25">
      <c r="A62" t="s">
        <v>1001</v>
      </c>
      <c r="B62" t="s">
        <v>1002</v>
      </c>
      <c r="C62" t="s">
        <v>1003</v>
      </c>
      <c r="D62" t="s">
        <v>829</v>
      </c>
      <c r="E62" t="s">
        <v>494</v>
      </c>
      <c r="F62" t="s">
        <v>494</v>
      </c>
    </row>
    <row r="63" spans="1:6" x14ac:dyDescent="0.25">
      <c r="A63" t="s">
        <v>1004</v>
      </c>
      <c r="B63" t="s">
        <v>1005</v>
      </c>
      <c r="C63" t="s">
        <v>1006</v>
      </c>
      <c r="D63" t="s">
        <v>829</v>
      </c>
      <c r="E63" t="s">
        <v>333</v>
      </c>
      <c r="F63" t="s">
        <v>333</v>
      </c>
    </row>
    <row r="64" spans="1:6" x14ac:dyDescent="0.25">
      <c r="A64" t="s">
        <v>1007</v>
      </c>
      <c r="B64" t="s">
        <v>1008</v>
      </c>
      <c r="C64" t="s">
        <v>1009</v>
      </c>
      <c r="D64" t="s">
        <v>829</v>
      </c>
      <c r="E64" t="s">
        <v>496</v>
      </c>
      <c r="F64" t="s">
        <v>496</v>
      </c>
    </row>
    <row r="65" spans="1:6" x14ac:dyDescent="0.25">
      <c r="A65" t="s">
        <v>1010</v>
      </c>
      <c r="B65" t="s">
        <v>1011</v>
      </c>
      <c r="C65" t="s">
        <v>1012</v>
      </c>
      <c r="D65" t="s">
        <v>829</v>
      </c>
      <c r="E65" t="s">
        <v>528</v>
      </c>
      <c r="F65" t="s">
        <v>528</v>
      </c>
    </row>
    <row r="66" spans="1:6" x14ac:dyDescent="0.25">
      <c r="A66" t="s">
        <v>1013</v>
      </c>
      <c r="B66" t="s">
        <v>1014</v>
      </c>
      <c r="C66" t="s">
        <v>1015</v>
      </c>
      <c r="D66" t="s">
        <v>829</v>
      </c>
      <c r="E66" t="s">
        <v>796</v>
      </c>
      <c r="F66" t="s">
        <v>796</v>
      </c>
    </row>
    <row r="67" spans="1:6" x14ac:dyDescent="0.25">
      <c r="A67" t="s">
        <v>1016</v>
      </c>
      <c r="B67" t="s">
        <v>1017</v>
      </c>
      <c r="C67" t="s">
        <v>1018</v>
      </c>
      <c r="D67" t="s">
        <v>829</v>
      </c>
      <c r="E67" t="s">
        <v>693</v>
      </c>
      <c r="F67" t="s">
        <v>693</v>
      </c>
    </row>
    <row r="68" spans="1:6" x14ac:dyDescent="0.25">
      <c r="A68" t="s">
        <v>1019</v>
      </c>
      <c r="B68" t="s">
        <v>1020</v>
      </c>
      <c r="C68" t="s">
        <v>1021</v>
      </c>
      <c r="D68" t="s">
        <v>829</v>
      </c>
      <c r="E68" t="s">
        <v>637</v>
      </c>
      <c r="F68" t="s">
        <v>637</v>
      </c>
    </row>
    <row r="69" spans="1:6" x14ac:dyDescent="0.25">
      <c r="A69" t="s">
        <v>1022</v>
      </c>
      <c r="B69" t="s">
        <v>1023</v>
      </c>
      <c r="C69" t="s">
        <v>1024</v>
      </c>
      <c r="D69" t="s">
        <v>829</v>
      </c>
      <c r="E69" t="s">
        <v>791</v>
      </c>
      <c r="F69" t="s">
        <v>791</v>
      </c>
    </row>
    <row r="70" spans="1:6" x14ac:dyDescent="0.25">
      <c r="A70" t="s">
        <v>1025</v>
      </c>
      <c r="B70" t="s">
        <v>1026</v>
      </c>
      <c r="C70" t="s">
        <v>1027</v>
      </c>
      <c r="D70" t="s">
        <v>829</v>
      </c>
      <c r="E70" t="s">
        <v>376</v>
      </c>
      <c r="F70" t="s">
        <v>376</v>
      </c>
    </row>
    <row r="71" spans="1:6" x14ac:dyDescent="0.25">
      <c r="A71" t="s">
        <v>1028</v>
      </c>
      <c r="B71" t="s">
        <v>1029</v>
      </c>
      <c r="C71" t="s">
        <v>1030</v>
      </c>
      <c r="D71" t="s">
        <v>829</v>
      </c>
      <c r="E71" t="s">
        <v>378</v>
      </c>
      <c r="F71" t="s">
        <v>378</v>
      </c>
    </row>
    <row r="72" spans="1:6" x14ac:dyDescent="0.25">
      <c r="A72" t="s">
        <v>1031</v>
      </c>
      <c r="B72" t="s">
        <v>1032</v>
      </c>
      <c r="C72" t="s">
        <v>1033</v>
      </c>
      <c r="D72" t="s">
        <v>829</v>
      </c>
      <c r="E72" t="s">
        <v>713</v>
      </c>
      <c r="F72" t="s">
        <v>713</v>
      </c>
    </row>
    <row r="73" spans="1:6" x14ac:dyDescent="0.25">
      <c r="A73" t="s">
        <v>1034</v>
      </c>
      <c r="B73" t="s">
        <v>1035</v>
      </c>
      <c r="C73" t="s">
        <v>1036</v>
      </c>
      <c r="D73" t="s">
        <v>829</v>
      </c>
      <c r="E73" t="s">
        <v>760</v>
      </c>
      <c r="F73" t="s">
        <v>760</v>
      </c>
    </row>
    <row r="74" spans="1:6" x14ac:dyDescent="0.25">
      <c r="A74" t="s">
        <v>1037</v>
      </c>
      <c r="B74" t="s">
        <v>1038</v>
      </c>
      <c r="C74" t="s">
        <v>1039</v>
      </c>
      <c r="D74" t="s">
        <v>829</v>
      </c>
      <c r="E74" t="s">
        <v>798</v>
      </c>
      <c r="F74" t="s">
        <v>798</v>
      </c>
    </row>
    <row r="75" spans="1:6" x14ac:dyDescent="0.25">
      <c r="A75" t="s">
        <v>1040</v>
      </c>
      <c r="B75" t="s">
        <v>1041</v>
      </c>
      <c r="C75" t="s">
        <v>1042</v>
      </c>
      <c r="D75" t="s">
        <v>829</v>
      </c>
      <c r="E75" t="s">
        <v>354</v>
      </c>
      <c r="F75" t="s">
        <v>354</v>
      </c>
    </row>
    <row r="76" spans="1:6" x14ac:dyDescent="0.25">
      <c r="A76" t="s">
        <v>1043</v>
      </c>
      <c r="B76" t="s">
        <v>1044</v>
      </c>
      <c r="C76" t="s">
        <v>1045</v>
      </c>
      <c r="D76" t="s">
        <v>829</v>
      </c>
      <c r="E76" t="s">
        <v>409</v>
      </c>
      <c r="F76" t="s">
        <v>409</v>
      </c>
    </row>
    <row r="77" spans="1:6" x14ac:dyDescent="0.25">
      <c r="A77" t="s">
        <v>1046</v>
      </c>
      <c r="B77" t="s">
        <v>1047</v>
      </c>
      <c r="C77" t="s">
        <v>1048</v>
      </c>
      <c r="D77" t="s">
        <v>829</v>
      </c>
      <c r="E77" t="s">
        <v>671</v>
      </c>
      <c r="F77" t="s">
        <v>671</v>
      </c>
    </row>
    <row r="78" spans="1:6" x14ac:dyDescent="0.25">
      <c r="A78" t="s">
        <v>1049</v>
      </c>
      <c r="B78" t="s">
        <v>1050</v>
      </c>
      <c r="C78" t="s">
        <v>1051</v>
      </c>
      <c r="D78" t="s">
        <v>829</v>
      </c>
      <c r="E78" t="s">
        <v>792</v>
      </c>
      <c r="F78" t="s">
        <v>792</v>
      </c>
    </row>
    <row r="79" spans="1:6" x14ac:dyDescent="0.25">
      <c r="A79" t="s">
        <v>1052</v>
      </c>
      <c r="B79" t="s">
        <v>1053</v>
      </c>
      <c r="C79" t="s">
        <v>1054</v>
      </c>
      <c r="D79" t="s">
        <v>829</v>
      </c>
      <c r="E79" t="s">
        <v>438</v>
      </c>
      <c r="F79" t="s">
        <v>438</v>
      </c>
    </row>
    <row r="80" spans="1:6" x14ac:dyDescent="0.25">
      <c r="A80" t="s">
        <v>1055</v>
      </c>
      <c r="B80" t="s">
        <v>1056</v>
      </c>
      <c r="C80" t="s">
        <v>1057</v>
      </c>
      <c r="D80" t="s">
        <v>829</v>
      </c>
      <c r="E80" t="s">
        <v>513</v>
      </c>
      <c r="F80" t="s">
        <v>513</v>
      </c>
    </row>
    <row r="81" spans="1:6" x14ac:dyDescent="0.25">
      <c r="A81" t="s">
        <v>1058</v>
      </c>
      <c r="B81" t="s">
        <v>1059</v>
      </c>
      <c r="C81" t="s">
        <v>1060</v>
      </c>
      <c r="D81" t="s">
        <v>829</v>
      </c>
      <c r="E81" t="s">
        <v>385</v>
      </c>
      <c r="F81" t="s">
        <v>385</v>
      </c>
    </row>
    <row r="82" spans="1:6" x14ac:dyDescent="0.25">
      <c r="A82" t="s">
        <v>1061</v>
      </c>
      <c r="B82" t="s">
        <v>1062</v>
      </c>
      <c r="C82" t="s">
        <v>1063</v>
      </c>
      <c r="D82" t="s">
        <v>829</v>
      </c>
      <c r="E82" t="s">
        <v>754</v>
      </c>
      <c r="F82" t="s">
        <v>754</v>
      </c>
    </row>
    <row r="83" spans="1:6" x14ac:dyDescent="0.25">
      <c r="A83" t="s">
        <v>1064</v>
      </c>
      <c r="B83" t="s">
        <v>1065</v>
      </c>
      <c r="C83" t="s">
        <v>1066</v>
      </c>
      <c r="D83" t="s">
        <v>829</v>
      </c>
      <c r="E83" t="s">
        <v>711</v>
      </c>
      <c r="F83" t="s">
        <v>711</v>
      </c>
    </row>
    <row r="84" spans="1:6" x14ac:dyDescent="0.25">
      <c r="A84" t="s">
        <v>1067</v>
      </c>
      <c r="B84" t="s">
        <v>1068</v>
      </c>
      <c r="C84" t="s">
        <v>1069</v>
      </c>
      <c r="D84" t="s">
        <v>829</v>
      </c>
      <c r="E84" t="s">
        <v>440</v>
      </c>
      <c r="F84" t="s">
        <v>440</v>
      </c>
    </row>
    <row r="85" spans="1:6" x14ac:dyDescent="0.25">
      <c r="A85" t="s">
        <v>1070</v>
      </c>
      <c r="B85" t="s">
        <v>1071</v>
      </c>
      <c r="C85" t="s">
        <v>1072</v>
      </c>
      <c r="D85" t="s">
        <v>829</v>
      </c>
      <c r="E85" t="s">
        <v>427</v>
      </c>
      <c r="F85" t="s">
        <v>427</v>
      </c>
    </row>
    <row r="86" spans="1:6" x14ac:dyDescent="0.25">
      <c r="A86" t="s">
        <v>1073</v>
      </c>
      <c r="B86" t="s">
        <v>1074</v>
      </c>
      <c r="C86" t="s">
        <v>1075</v>
      </c>
      <c r="D86" t="s">
        <v>829</v>
      </c>
      <c r="E86" t="s">
        <v>402</v>
      </c>
      <c r="F86" t="s">
        <v>402</v>
      </c>
    </row>
    <row r="87" spans="1:6" x14ac:dyDescent="0.25">
      <c r="A87" t="s">
        <v>1076</v>
      </c>
      <c r="B87" t="s">
        <v>1077</v>
      </c>
      <c r="C87" t="s">
        <v>1078</v>
      </c>
      <c r="D87" t="s">
        <v>829</v>
      </c>
      <c r="E87" t="s">
        <v>639</v>
      </c>
      <c r="F87" t="s">
        <v>639</v>
      </c>
    </row>
    <row r="88" spans="1:6" x14ac:dyDescent="0.25">
      <c r="A88" t="s">
        <v>1079</v>
      </c>
      <c r="B88" t="s">
        <v>1077</v>
      </c>
      <c r="C88" t="s">
        <v>1080</v>
      </c>
      <c r="D88" t="s">
        <v>829</v>
      </c>
      <c r="E88" t="s">
        <v>449</v>
      </c>
      <c r="F88" t="s">
        <v>449</v>
      </c>
    </row>
    <row r="89" spans="1:6" x14ac:dyDescent="0.25">
      <c r="A89" t="s">
        <v>1081</v>
      </c>
      <c r="B89" t="s">
        <v>1082</v>
      </c>
      <c r="C89" t="s">
        <v>1083</v>
      </c>
      <c r="D89" t="s">
        <v>829</v>
      </c>
      <c r="E89" t="s">
        <v>649</v>
      </c>
      <c r="F89" t="s">
        <v>649</v>
      </c>
    </row>
    <row r="90" spans="1:6" x14ac:dyDescent="0.25">
      <c r="A90" t="s">
        <v>1084</v>
      </c>
      <c r="B90" t="s">
        <v>1085</v>
      </c>
      <c r="C90" t="s">
        <v>1086</v>
      </c>
      <c r="D90" t="s">
        <v>829</v>
      </c>
      <c r="E90" t="s">
        <v>437</v>
      </c>
      <c r="F90" t="s">
        <v>437</v>
      </c>
    </row>
    <row r="91" spans="1:6" x14ac:dyDescent="0.25">
      <c r="A91" t="s">
        <v>1087</v>
      </c>
      <c r="B91" t="s">
        <v>1088</v>
      </c>
      <c r="C91" t="s">
        <v>1089</v>
      </c>
      <c r="D91" t="s">
        <v>829</v>
      </c>
      <c r="E91" t="s">
        <v>617</v>
      </c>
      <c r="F91" t="s">
        <v>617</v>
      </c>
    </row>
    <row r="92" spans="1:6" x14ac:dyDescent="0.25">
      <c r="A92" t="s">
        <v>1090</v>
      </c>
      <c r="B92" t="s">
        <v>1088</v>
      </c>
      <c r="C92" t="s">
        <v>1091</v>
      </c>
      <c r="D92" t="s">
        <v>829</v>
      </c>
      <c r="E92" t="s">
        <v>785</v>
      </c>
      <c r="F92" t="s">
        <v>785</v>
      </c>
    </row>
    <row r="93" spans="1:6" x14ac:dyDescent="0.25">
      <c r="A93" t="s">
        <v>1092</v>
      </c>
      <c r="B93" t="s">
        <v>1093</v>
      </c>
      <c r="C93" t="s">
        <v>1094</v>
      </c>
      <c r="D93" t="s">
        <v>829</v>
      </c>
      <c r="E93" t="s">
        <v>398</v>
      </c>
      <c r="F93" t="s">
        <v>398</v>
      </c>
    </row>
    <row r="94" spans="1:6" x14ac:dyDescent="0.25">
      <c r="A94" t="s">
        <v>1095</v>
      </c>
      <c r="B94" t="s">
        <v>1096</v>
      </c>
      <c r="C94" t="s">
        <v>1097</v>
      </c>
      <c r="D94" t="s">
        <v>829</v>
      </c>
      <c r="E94" t="s">
        <v>337</v>
      </c>
      <c r="F94" t="s">
        <v>337</v>
      </c>
    </row>
    <row r="95" spans="1:6" x14ac:dyDescent="0.25">
      <c r="A95" t="s">
        <v>1098</v>
      </c>
      <c r="B95" t="s">
        <v>1099</v>
      </c>
      <c r="C95" t="s">
        <v>1100</v>
      </c>
      <c r="D95" t="s">
        <v>829</v>
      </c>
      <c r="E95" t="s">
        <v>732</v>
      </c>
      <c r="F95" t="s">
        <v>732</v>
      </c>
    </row>
    <row r="96" spans="1:6" x14ac:dyDescent="0.25">
      <c r="A96" t="s">
        <v>1101</v>
      </c>
      <c r="B96" t="s">
        <v>1102</v>
      </c>
      <c r="C96" t="s">
        <v>1103</v>
      </c>
      <c r="D96" t="s">
        <v>829</v>
      </c>
      <c r="E96" t="s">
        <v>793</v>
      </c>
      <c r="F96" t="s">
        <v>793</v>
      </c>
    </row>
    <row r="97" spans="1:6" x14ac:dyDescent="0.25">
      <c r="A97" t="s">
        <v>1104</v>
      </c>
      <c r="B97" t="s">
        <v>1105</v>
      </c>
      <c r="C97" t="s">
        <v>1106</v>
      </c>
      <c r="D97" t="s">
        <v>829</v>
      </c>
      <c r="E97" t="s">
        <v>769</v>
      </c>
      <c r="F97" t="s">
        <v>769</v>
      </c>
    </row>
    <row r="98" spans="1:6" x14ac:dyDescent="0.25">
      <c r="A98" t="s">
        <v>1107</v>
      </c>
      <c r="B98" t="s">
        <v>1108</v>
      </c>
      <c r="C98" t="s">
        <v>1109</v>
      </c>
      <c r="D98" t="s">
        <v>829</v>
      </c>
      <c r="E98" t="s">
        <v>474</v>
      </c>
      <c r="F98" t="s">
        <v>474</v>
      </c>
    </row>
    <row r="99" spans="1:6" x14ac:dyDescent="0.25">
      <c r="A99" t="s">
        <v>1110</v>
      </c>
      <c r="B99" t="s">
        <v>1111</v>
      </c>
      <c r="C99" t="s">
        <v>1112</v>
      </c>
      <c r="D99" t="s">
        <v>829</v>
      </c>
      <c r="E99" t="s">
        <v>679</v>
      </c>
      <c r="F99" t="s">
        <v>679</v>
      </c>
    </row>
    <row r="100" spans="1:6" x14ac:dyDescent="0.25">
      <c r="A100" t="s">
        <v>1113</v>
      </c>
      <c r="B100" t="s">
        <v>1114</v>
      </c>
      <c r="C100" t="s">
        <v>1115</v>
      </c>
      <c r="D100" t="s">
        <v>829</v>
      </c>
      <c r="E100" t="s">
        <v>595</v>
      </c>
      <c r="F100" t="s">
        <v>595</v>
      </c>
    </row>
    <row r="101" spans="1:6" x14ac:dyDescent="0.25">
      <c r="A101" t="s">
        <v>1116</v>
      </c>
      <c r="B101" t="s">
        <v>1117</v>
      </c>
      <c r="C101" t="s">
        <v>1118</v>
      </c>
      <c r="D101" t="s">
        <v>829</v>
      </c>
      <c r="E101" t="s">
        <v>772</v>
      </c>
      <c r="F101" t="s">
        <v>772</v>
      </c>
    </row>
    <row r="102" spans="1:6" x14ac:dyDescent="0.25">
      <c r="A102" t="s">
        <v>1119</v>
      </c>
      <c r="B102" t="s">
        <v>1120</v>
      </c>
      <c r="C102" t="s">
        <v>1121</v>
      </c>
      <c r="D102" t="s">
        <v>829</v>
      </c>
      <c r="E102" t="s">
        <v>742</v>
      </c>
      <c r="F102" t="s">
        <v>742</v>
      </c>
    </row>
    <row r="103" spans="1:6" x14ac:dyDescent="0.25">
      <c r="A103" t="s">
        <v>1122</v>
      </c>
      <c r="B103" t="s">
        <v>1123</v>
      </c>
      <c r="C103" t="s">
        <v>1124</v>
      </c>
      <c r="D103" t="s">
        <v>829</v>
      </c>
      <c r="E103" t="s">
        <v>355</v>
      </c>
      <c r="F103" t="s">
        <v>355</v>
      </c>
    </row>
    <row r="104" spans="1:6" x14ac:dyDescent="0.25">
      <c r="A104" t="s">
        <v>1125</v>
      </c>
      <c r="B104" t="s">
        <v>1126</v>
      </c>
      <c r="C104" t="s">
        <v>1127</v>
      </c>
      <c r="D104" t="s">
        <v>829</v>
      </c>
      <c r="E104" t="s">
        <v>626</v>
      </c>
      <c r="F104" t="s">
        <v>626</v>
      </c>
    </row>
    <row r="105" spans="1:6" x14ac:dyDescent="0.25">
      <c r="A105" t="s">
        <v>1128</v>
      </c>
      <c r="B105" t="s">
        <v>1129</v>
      </c>
      <c r="C105" t="s">
        <v>1130</v>
      </c>
      <c r="D105" t="s">
        <v>829</v>
      </c>
      <c r="E105" t="s">
        <v>366</v>
      </c>
      <c r="F105" t="s">
        <v>366</v>
      </c>
    </row>
    <row r="106" spans="1:6" x14ac:dyDescent="0.25">
      <c r="A106" t="s">
        <v>1131</v>
      </c>
      <c r="B106" t="s">
        <v>1129</v>
      </c>
      <c r="C106" t="s">
        <v>1132</v>
      </c>
      <c r="D106" t="s">
        <v>829</v>
      </c>
      <c r="E106" t="s">
        <v>331</v>
      </c>
      <c r="F106" t="s">
        <v>331</v>
      </c>
    </row>
    <row r="107" spans="1:6" x14ac:dyDescent="0.25">
      <c r="A107" t="s">
        <v>1133</v>
      </c>
      <c r="B107" t="s">
        <v>1134</v>
      </c>
      <c r="C107" t="s">
        <v>1135</v>
      </c>
      <c r="D107" t="s">
        <v>829</v>
      </c>
      <c r="E107" t="s">
        <v>780</v>
      </c>
      <c r="F107" t="s">
        <v>780</v>
      </c>
    </row>
    <row r="108" spans="1:6" x14ac:dyDescent="0.25">
      <c r="A108" t="s">
        <v>1136</v>
      </c>
      <c r="B108" t="s">
        <v>1137</v>
      </c>
      <c r="C108" t="s">
        <v>1138</v>
      </c>
      <c r="D108" t="s">
        <v>829</v>
      </c>
      <c r="E108" t="s">
        <v>620</v>
      </c>
      <c r="F108" t="s">
        <v>620</v>
      </c>
    </row>
    <row r="109" spans="1:6" x14ac:dyDescent="0.25">
      <c r="A109" t="s">
        <v>1139</v>
      </c>
      <c r="B109" t="s">
        <v>1140</v>
      </c>
      <c r="C109" t="s">
        <v>1141</v>
      </c>
      <c r="D109" t="s">
        <v>829</v>
      </c>
      <c r="E109" t="s">
        <v>702</v>
      </c>
      <c r="F109" t="s">
        <v>702</v>
      </c>
    </row>
    <row r="110" spans="1:6" x14ac:dyDescent="0.25">
      <c r="A110" t="s">
        <v>1142</v>
      </c>
      <c r="B110" t="s">
        <v>1140</v>
      </c>
      <c r="C110" t="s">
        <v>1143</v>
      </c>
      <c r="D110" t="s">
        <v>829</v>
      </c>
      <c r="E110" t="s">
        <v>715</v>
      </c>
      <c r="F110" t="s">
        <v>715</v>
      </c>
    </row>
    <row r="111" spans="1:6" x14ac:dyDescent="0.25">
      <c r="A111" t="s">
        <v>1144</v>
      </c>
      <c r="B111" t="s">
        <v>1145</v>
      </c>
      <c r="C111" t="s">
        <v>1146</v>
      </c>
      <c r="D111" t="s">
        <v>829</v>
      </c>
      <c r="E111" t="s">
        <v>751</v>
      </c>
      <c r="F111" t="s">
        <v>751</v>
      </c>
    </row>
    <row r="112" spans="1:6" x14ac:dyDescent="0.25">
      <c r="A112" t="s">
        <v>1147</v>
      </c>
      <c r="B112" t="s">
        <v>1148</v>
      </c>
      <c r="C112" t="s">
        <v>1149</v>
      </c>
      <c r="D112" t="s">
        <v>829</v>
      </c>
      <c r="E112" t="s">
        <v>630</v>
      </c>
      <c r="F112" t="s">
        <v>630</v>
      </c>
    </row>
    <row r="113" spans="1:6" x14ac:dyDescent="0.25">
      <c r="A113" t="s">
        <v>1150</v>
      </c>
      <c r="B113" t="s">
        <v>1151</v>
      </c>
      <c r="C113" t="s">
        <v>1152</v>
      </c>
      <c r="D113" t="s">
        <v>829</v>
      </c>
      <c r="E113" t="s">
        <v>662</v>
      </c>
      <c r="F113" t="s">
        <v>662</v>
      </c>
    </row>
    <row r="114" spans="1:6" x14ac:dyDescent="0.25">
      <c r="A114" t="s">
        <v>1153</v>
      </c>
      <c r="B114" t="s">
        <v>1154</v>
      </c>
      <c r="C114" t="s">
        <v>1155</v>
      </c>
      <c r="D114" t="s">
        <v>829</v>
      </c>
      <c r="E114" t="s">
        <v>695</v>
      </c>
      <c r="F114" t="s">
        <v>695</v>
      </c>
    </row>
    <row r="115" spans="1:6" x14ac:dyDescent="0.25">
      <c r="A115" t="s">
        <v>1156</v>
      </c>
      <c r="B115" t="s">
        <v>1154</v>
      </c>
      <c r="C115" t="s">
        <v>1157</v>
      </c>
      <c r="D115" t="s">
        <v>829</v>
      </c>
      <c r="E115" t="s">
        <v>350</v>
      </c>
      <c r="F115" t="s">
        <v>350</v>
      </c>
    </row>
    <row r="116" spans="1:6" x14ac:dyDescent="0.25">
      <c r="A116" t="s">
        <v>1158</v>
      </c>
      <c r="B116" t="s">
        <v>1154</v>
      </c>
      <c r="C116" t="s">
        <v>1159</v>
      </c>
      <c r="D116" t="s">
        <v>829</v>
      </c>
      <c r="E116" t="s">
        <v>795</v>
      </c>
      <c r="F116" t="s">
        <v>795</v>
      </c>
    </row>
    <row r="117" spans="1:6" x14ac:dyDescent="0.25">
      <c r="A117" t="s">
        <v>1160</v>
      </c>
      <c r="B117" t="s">
        <v>1154</v>
      </c>
      <c r="C117" t="s">
        <v>1161</v>
      </c>
      <c r="D117" t="s">
        <v>829</v>
      </c>
      <c r="E117" t="s">
        <v>360</v>
      </c>
      <c r="F117" t="s">
        <v>360</v>
      </c>
    </row>
    <row r="118" spans="1:6" x14ac:dyDescent="0.25">
      <c r="A118" t="s">
        <v>1162</v>
      </c>
      <c r="B118" t="s">
        <v>1154</v>
      </c>
      <c r="C118" t="s">
        <v>1163</v>
      </c>
      <c r="D118" t="s">
        <v>829</v>
      </c>
      <c r="E118" t="s">
        <v>627</v>
      </c>
      <c r="F118" t="s">
        <v>627</v>
      </c>
    </row>
    <row r="119" spans="1:6" x14ac:dyDescent="0.25">
      <c r="A119" t="s">
        <v>1164</v>
      </c>
      <c r="B119" t="s">
        <v>1154</v>
      </c>
      <c r="C119" t="s">
        <v>1165</v>
      </c>
      <c r="D119" t="s">
        <v>829</v>
      </c>
      <c r="E119" t="s">
        <v>778</v>
      </c>
      <c r="F119" t="s">
        <v>778</v>
      </c>
    </row>
    <row r="120" spans="1:6" x14ac:dyDescent="0.25">
      <c r="A120" t="s">
        <v>1166</v>
      </c>
      <c r="B120" t="s">
        <v>1154</v>
      </c>
      <c r="C120" t="s">
        <v>1167</v>
      </c>
      <c r="D120" t="s">
        <v>829</v>
      </c>
      <c r="E120" t="s">
        <v>364</v>
      </c>
      <c r="F120" t="s">
        <v>364</v>
      </c>
    </row>
    <row r="121" spans="1:6" x14ac:dyDescent="0.25">
      <c r="A121" t="s">
        <v>1168</v>
      </c>
      <c r="B121" t="s">
        <v>1154</v>
      </c>
      <c r="C121" t="s">
        <v>1169</v>
      </c>
      <c r="D121" t="s">
        <v>829</v>
      </c>
      <c r="E121" t="s">
        <v>748</v>
      </c>
      <c r="F121" t="s">
        <v>748</v>
      </c>
    </row>
    <row r="122" spans="1:6" x14ac:dyDescent="0.25">
      <c r="A122" t="s">
        <v>1170</v>
      </c>
      <c r="B122" t="s">
        <v>1154</v>
      </c>
      <c r="C122" t="s">
        <v>1171</v>
      </c>
      <c r="D122" t="s">
        <v>829</v>
      </c>
      <c r="E122" t="s">
        <v>600</v>
      </c>
      <c r="F122" t="s">
        <v>600</v>
      </c>
    </row>
    <row r="123" spans="1:6" x14ac:dyDescent="0.25">
      <c r="A123" t="s">
        <v>1172</v>
      </c>
      <c r="B123" t="s">
        <v>1154</v>
      </c>
      <c r="C123" t="s">
        <v>1173</v>
      </c>
      <c r="D123" t="s">
        <v>829</v>
      </c>
      <c r="E123" t="s">
        <v>680</v>
      </c>
      <c r="F123" t="s">
        <v>680</v>
      </c>
    </row>
    <row r="124" spans="1:6" x14ac:dyDescent="0.25">
      <c r="A124" t="s">
        <v>1174</v>
      </c>
      <c r="B124" t="s">
        <v>1154</v>
      </c>
      <c r="C124" t="s">
        <v>1175</v>
      </c>
      <c r="D124" t="s">
        <v>829</v>
      </c>
      <c r="E124" t="s">
        <v>387</v>
      </c>
      <c r="F124" t="s">
        <v>387</v>
      </c>
    </row>
    <row r="125" spans="1:6" x14ac:dyDescent="0.25">
      <c r="A125" t="s">
        <v>1176</v>
      </c>
      <c r="B125" t="s">
        <v>1154</v>
      </c>
      <c r="C125" t="s">
        <v>1177</v>
      </c>
      <c r="D125" t="s">
        <v>829</v>
      </c>
      <c r="E125" t="s">
        <v>631</v>
      </c>
      <c r="F125" t="s">
        <v>631</v>
      </c>
    </row>
    <row r="126" spans="1:6" x14ac:dyDescent="0.25">
      <c r="A126" t="s">
        <v>1178</v>
      </c>
      <c r="B126" t="s">
        <v>1154</v>
      </c>
      <c r="C126" t="s">
        <v>1179</v>
      </c>
      <c r="D126" t="s">
        <v>829</v>
      </c>
      <c r="E126" t="s">
        <v>744</v>
      </c>
      <c r="F126" t="s">
        <v>744</v>
      </c>
    </row>
    <row r="127" spans="1:6" x14ac:dyDescent="0.25">
      <c r="A127" t="s">
        <v>1180</v>
      </c>
      <c r="B127" t="s">
        <v>1154</v>
      </c>
      <c r="C127" t="s">
        <v>1181</v>
      </c>
      <c r="D127" t="s">
        <v>829</v>
      </c>
      <c r="E127" t="s">
        <v>623</v>
      </c>
      <c r="F127" t="s">
        <v>623</v>
      </c>
    </row>
    <row r="128" spans="1:6" x14ac:dyDescent="0.25">
      <c r="A128" t="s">
        <v>1182</v>
      </c>
      <c r="B128" t="s">
        <v>1154</v>
      </c>
      <c r="C128" t="s">
        <v>1183</v>
      </c>
      <c r="D128" t="s">
        <v>829</v>
      </c>
      <c r="E128" t="s">
        <v>635</v>
      </c>
      <c r="F128" t="s">
        <v>635</v>
      </c>
    </row>
    <row r="129" spans="1:6" x14ac:dyDescent="0.25">
      <c r="A129" t="s">
        <v>1184</v>
      </c>
      <c r="B129" t="s">
        <v>1154</v>
      </c>
      <c r="C129" t="s">
        <v>1185</v>
      </c>
      <c r="D129" t="s">
        <v>829</v>
      </c>
      <c r="E129" t="s">
        <v>734</v>
      </c>
      <c r="F129" t="s">
        <v>734</v>
      </c>
    </row>
    <row r="130" spans="1:6" x14ac:dyDescent="0.25">
      <c r="A130" t="s">
        <v>1186</v>
      </c>
      <c r="B130" t="s">
        <v>1154</v>
      </c>
      <c r="C130" t="s">
        <v>1187</v>
      </c>
      <c r="D130" t="s">
        <v>829</v>
      </c>
      <c r="E130" t="s">
        <v>599</v>
      </c>
      <c r="F130" t="s">
        <v>599</v>
      </c>
    </row>
    <row r="131" spans="1:6" x14ac:dyDescent="0.25">
      <c r="A131" t="s">
        <v>1188</v>
      </c>
      <c r="B131" t="s">
        <v>1154</v>
      </c>
      <c r="C131" t="s">
        <v>1189</v>
      </c>
      <c r="D131" t="s">
        <v>829</v>
      </c>
      <c r="E131" t="s">
        <v>675</v>
      </c>
      <c r="F131" t="s">
        <v>675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303F2-28C1-421C-A550-27ACB7B93EDE}">
  <dimension ref="A2:A5488"/>
  <sheetViews>
    <sheetView workbookViewId="0">
      <selection activeCell="A34" sqref="A34"/>
    </sheetView>
  </sheetViews>
  <sheetFormatPr defaultRowHeight="15" x14ac:dyDescent="0.25"/>
  <cols>
    <col min="1" max="1" width="255.7109375" bestFit="1" customWidth="1"/>
  </cols>
  <sheetData>
    <row r="2" spans="1:1" x14ac:dyDescent="0.25">
      <c r="A2" t="s">
        <v>1733</v>
      </c>
    </row>
    <row r="3" spans="1:1" x14ac:dyDescent="0.25">
      <c r="A3" t="s">
        <v>1734</v>
      </c>
    </row>
    <row r="5" spans="1:1" x14ac:dyDescent="0.25">
      <c r="A5" t="s">
        <v>1735</v>
      </c>
    </row>
    <row r="6" spans="1:1" x14ac:dyDescent="0.25">
      <c r="A6" t="s">
        <v>1736</v>
      </c>
    </row>
    <row r="7" spans="1:1" x14ac:dyDescent="0.25">
      <c r="A7" t="s">
        <v>1737</v>
      </c>
    </row>
    <row r="8" spans="1:1" x14ac:dyDescent="0.25">
      <c r="A8" t="s">
        <v>1738</v>
      </c>
    </row>
    <row r="9" spans="1:1" x14ac:dyDescent="0.25">
      <c r="A9" t="s">
        <v>1739</v>
      </c>
    </row>
    <row r="10" spans="1:1" x14ac:dyDescent="0.25">
      <c r="A10" t="s">
        <v>1740</v>
      </c>
    </row>
    <row r="11" spans="1:1" x14ac:dyDescent="0.25">
      <c r="A11" t="s">
        <v>1741</v>
      </c>
    </row>
    <row r="12" spans="1:1" x14ac:dyDescent="0.25">
      <c r="A12" t="s">
        <v>1742</v>
      </c>
    </row>
    <row r="13" spans="1:1" x14ac:dyDescent="0.25">
      <c r="A13" t="s">
        <v>1743</v>
      </c>
    </row>
    <row r="14" spans="1:1" x14ac:dyDescent="0.25">
      <c r="A14" t="s">
        <v>1744</v>
      </c>
    </row>
    <row r="16" spans="1:1" x14ac:dyDescent="0.25">
      <c r="A16" t="s">
        <v>1737</v>
      </c>
    </row>
    <row r="17" spans="1:1" x14ac:dyDescent="0.25">
      <c r="A17" t="s">
        <v>1738</v>
      </c>
    </row>
    <row r="18" spans="1:1" x14ac:dyDescent="0.25">
      <c r="A18" t="s">
        <v>1745</v>
      </c>
    </row>
    <row r="19" spans="1:1" x14ac:dyDescent="0.25">
      <c r="A19" t="s">
        <v>1741</v>
      </c>
    </row>
    <row r="20" spans="1:1" x14ac:dyDescent="0.25">
      <c r="A20" t="s">
        <v>1746</v>
      </c>
    </row>
    <row r="21" spans="1:1" x14ac:dyDescent="0.25">
      <c r="A21" t="s">
        <v>1747</v>
      </c>
    </row>
    <row r="22" spans="1:1" x14ac:dyDescent="0.25">
      <c r="A22" t="s">
        <v>1744</v>
      </c>
    </row>
    <row r="23" spans="1:1" x14ac:dyDescent="0.25">
      <c r="A23" t="s">
        <v>1748</v>
      </c>
    </row>
    <row r="25" spans="1:1" x14ac:dyDescent="0.25">
      <c r="A25" t="s">
        <v>1749</v>
      </c>
    </row>
    <row r="27" spans="1:1" x14ac:dyDescent="0.25">
      <c r="A27" t="s">
        <v>1737</v>
      </c>
    </row>
    <row r="28" spans="1:1" x14ac:dyDescent="0.25">
      <c r="A28" t="s">
        <v>1738</v>
      </c>
    </row>
    <row r="29" spans="1:1" x14ac:dyDescent="0.25">
      <c r="A29" t="s">
        <v>1750</v>
      </c>
    </row>
    <row r="30" spans="1:1" x14ac:dyDescent="0.25">
      <c r="A30" t="s">
        <v>1751</v>
      </c>
    </row>
    <row r="31" spans="1:1" x14ac:dyDescent="0.25">
      <c r="A31" t="s">
        <v>1752</v>
      </c>
    </row>
    <row r="32" spans="1:1" x14ac:dyDescent="0.25">
      <c r="A32" t="s">
        <v>1753</v>
      </c>
    </row>
    <row r="33" spans="1:1" x14ac:dyDescent="0.25">
      <c r="A33" t="s">
        <v>1741</v>
      </c>
    </row>
    <row r="34" spans="1:1" x14ac:dyDescent="0.25">
      <c r="A34" t="s">
        <v>1754</v>
      </c>
    </row>
    <row r="35" spans="1:1" x14ac:dyDescent="0.25">
      <c r="A35" t="s">
        <v>1755</v>
      </c>
    </row>
    <row r="36" spans="1:1" x14ac:dyDescent="0.25">
      <c r="A36" t="s">
        <v>1744</v>
      </c>
    </row>
    <row r="38" spans="1:1" x14ac:dyDescent="0.25">
      <c r="A38" t="s">
        <v>1737</v>
      </c>
    </row>
    <row r="39" spans="1:1" x14ac:dyDescent="0.25">
      <c r="A39" t="s">
        <v>1738</v>
      </c>
    </row>
    <row r="40" spans="1:1" x14ac:dyDescent="0.25">
      <c r="A40" t="s">
        <v>1756</v>
      </c>
    </row>
    <row r="41" spans="1:1" x14ac:dyDescent="0.25">
      <c r="A41" t="s">
        <v>1757</v>
      </c>
    </row>
    <row r="42" spans="1:1" x14ac:dyDescent="0.25">
      <c r="A42" t="s">
        <v>1752</v>
      </c>
    </row>
    <row r="43" spans="1:1" x14ac:dyDescent="0.25">
      <c r="A43" t="s">
        <v>1753</v>
      </c>
    </row>
    <row r="44" spans="1:1" x14ac:dyDescent="0.25">
      <c r="A44" t="s">
        <v>1741</v>
      </c>
    </row>
    <row r="45" spans="1:1" x14ac:dyDescent="0.25">
      <c r="A45" t="s">
        <v>1758</v>
      </c>
    </row>
    <row r="46" spans="1:1" x14ac:dyDescent="0.25">
      <c r="A46" t="s">
        <v>1759</v>
      </c>
    </row>
    <row r="47" spans="1:1" x14ac:dyDescent="0.25">
      <c r="A47" t="s">
        <v>1744</v>
      </c>
    </row>
    <row r="49" spans="1:1" x14ac:dyDescent="0.25">
      <c r="A49" t="s">
        <v>1737</v>
      </c>
    </row>
    <row r="50" spans="1:1" x14ac:dyDescent="0.25">
      <c r="A50" t="s">
        <v>1738</v>
      </c>
    </row>
    <row r="51" spans="1:1" x14ac:dyDescent="0.25">
      <c r="A51" t="s">
        <v>1760</v>
      </c>
    </row>
    <row r="52" spans="1:1" x14ac:dyDescent="0.25">
      <c r="A52" t="s">
        <v>1761</v>
      </c>
    </row>
    <row r="53" spans="1:1" x14ac:dyDescent="0.25">
      <c r="A53" t="s">
        <v>1752</v>
      </c>
    </row>
    <row r="54" spans="1:1" x14ac:dyDescent="0.25">
      <c r="A54" t="s">
        <v>1753</v>
      </c>
    </row>
    <row r="55" spans="1:1" x14ac:dyDescent="0.25">
      <c r="A55" t="s">
        <v>1741</v>
      </c>
    </row>
    <row r="56" spans="1:1" x14ac:dyDescent="0.25">
      <c r="A56" t="s">
        <v>1762</v>
      </c>
    </row>
    <row r="57" spans="1:1" x14ac:dyDescent="0.25">
      <c r="A57" t="s">
        <v>1763</v>
      </c>
    </row>
    <row r="58" spans="1:1" x14ac:dyDescent="0.25">
      <c r="A58" t="s">
        <v>1744</v>
      </c>
    </row>
    <row r="60" spans="1:1" x14ac:dyDescent="0.25">
      <c r="A60" t="s">
        <v>1737</v>
      </c>
    </row>
    <row r="61" spans="1:1" x14ac:dyDescent="0.25">
      <c r="A61" t="s">
        <v>1738</v>
      </c>
    </row>
    <row r="62" spans="1:1" x14ac:dyDescent="0.25">
      <c r="A62" t="s">
        <v>1764</v>
      </c>
    </row>
    <row r="63" spans="1:1" x14ac:dyDescent="0.25">
      <c r="A63" t="s">
        <v>1765</v>
      </c>
    </row>
    <row r="64" spans="1:1" x14ac:dyDescent="0.25">
      <c r="A64" t="s">
        <v>1752</v>
      </c>
    </row>
    <row r="65" spans="1:1" x14ac:dyDescent="0.25">
      <c r="A65" t="s">
        <v>1753</v>
      </c>
    </row>
    <row r="66" spans="1:1" x14ac:dyDescent="0.25">
      <c r="A66" t="s">
        <v>1740</v>
      </c>
    </row>
    <row r="67" spans="1:1" x14ac:dyDescent="0.25">
      <c r="A67" t="s">
        <v>1741</v>
      </c>
    </row>
    <row r="68" spans="1:1" x14ac:dyDescent="0.25">
      <c r="A68" t="s">
        <v>1766</v>
      </c>
    </row>
    <row r="69" spans="1:1" x14ac:dyDescent="0.25">
      <c r="A69" t="s">
        <v>1767</v>
      </c>
    </row>
    <row r="70" spans="1:1" x14ac:dyDescent="0.25">
      <c r="A70" t="s">
        <v>1744</v>
      </c>
    </row>
    <row r="72" spans="1:1" x14ac:dyDescent="0.25">
      <c r="A72" t="s">
        <v>1737</v>
      </c>
    </row>
    <row r="73" spans="1:1" x14ac:dyDescent="0.25">
      <c r="A73" t="s">
        <v>1738</v>
      </c>
    </row>
    <row r="74" spans="1:1" x14ac:dyDescent="0.25">
      <c r="A74" t="s">
        <v>1768</v>
      </c>
    </row>
    <row r="75" spans="1:1" x14ac:dyDescent="0.25">
      <c r="A75" t="s">
        <v>1769</v>
      </c>
    </row>
    <row r="76" spans="1:1" x14ac:dyDescent="0.25">
      <c r="A76" t="s">
        <v>1752</v>
      </c>
    </row>
    <row r="77" spans="1:1" x14ac:dyDescent="0.25">
      <c r="A77" t="s">
        <v>1753</v>
      </c>
    </row>
    <row r="78" spans="1:1" x14ac:dyDescent="0.25">
      <c r="A78" t="s">
        <v>1741</v>
      </c>
    </row>
    <row r="79" spans="1:1" x14ac:dyDescent="0.25">
      <c r="A79" t="s">
        <v>1770</v>
      </c>
    </row>
    <row r="80" spans="1:1" x14ac:dyDescent="0.25">
      <c r="A80" t="s">
        <v>1771</v>
      </c>
    </row>
    <row r="81" spans="1:1" x14ac:dyDescent="0.25">
      <c r="A81" t="s">
        <v>1744</v>
      </c>
    </row>
    <row r="83" spans="1:1" x14ac:dyDescent="0.25">
      <c r="A83" t="s">
        <v>1737</v>
      </c>
    </row>
    <row r="84" spans="1:1" x14ac:dyDescent="0.25">
      <c r="A84" t="s">
        <v>1738</v>
      </c>
    </row>
    <row r="85" spans="1:1" x14ac:dyDescent="0.25">
      <c r="A85" t="s">
        <v>1772</v>
      </c>
    </row>
    <row r="86" spans="1:1" x14ac:dyDescent="0.25">
      <c r="A86" t="s">
        <v>1773</v>
      </c>
    </row>
    <row r="87" spans="1:1" x14ac:dyDescent="0.25">
      <c r="A87" t="s">
        <v>1752</v>
      </c>
    </row>
    <row r="88" spans="1:1" x14ac:dyDescent="0.25">
      <c r="A88" t="s">
        <v>1753</v>
      </c>
    </row>
    <row r="89" spans="1:1" x14ac:dyDescent="0.25">
      <c r="A89" t="s">
        <v>1741</v>
      </c>
    </row>
    <row r="90" spans="1:1" x14ac:dyDescent="0.25">
      <c r="A90" t="s">
        <v>1762</v>
      </c>
    </row>
    <row r="91" spans="1:1" x14ac:dyDescent="0.25">
      <c r="A91" t="s">
        <v>1774</v>
      </c>
    </row>
    <row r="92" spans="1:1" x14ac:dyDescent="0.25">
      <c r="A92" t="s">
        <v>1744</v>
      </c>
    </row>
    <row r="94" spans="1:1" x14ac:dyDescent="0.25">
      <c r="A94" t="s">
        <v>1737</v>
      </c>
    </row>
    <row r="95" spans="1:1" x14ac:dyDescent="0.25">
      <c r="A95" t="s">
        <v>1738</v>
      </c>
    </row>
    <row r="96" spans="1:1" x14ac:dyDescent="0.25">
      <c r="A96" t="s">
        <v>1775</v>
      </c>
    </row>
    <row r="97" spans="1:1" x14ac:dyDescent="0.25">
      <c r="A97" t="s">
        <v>1776</v>
      </c>
    </row>
    <row r="98" spans="1:1" x14ac:dyDescent="0.25">
      <c r="A98" t="s">
        <v>1777</v>
      </c>
    </row>
    <row r="99" spans="1:1" x14ac:dyDescent="0.25">
      <c r="A99" t="s">
        <v>1753</v>
      </c>
    </row>
    <row r="100" spans="1:1" x14ac:dyDescent="0.25">
      <c r="A100" t="s">
        <v>1741</v>
      </c>
    </row>
    <row r="101" spans="1:1" x14ac:dyDescent="0.25">
      <c r="A101" t="s">
        <v>1778</v>
      </c>
    </row>
    <row r="102" spans="1:1" x14ac:dyDescent="0.25">
      <c r="A102" t="s">
        <v>1779</v>
      </c>
    </row>
    <row r="103" spans="1:1" x14ac:dyDescent="0.25">
      <c r="A103" t="s">
        <v>1744</v>
      </c>
    </row>
    <row r="105" spans="1:1" x14ac:dyDescent="0.25">
      <c r="A105" t="s">
        <v>1737</v>
      </c>
    </row>
    <row r="106" spans="1:1" x14ac:dyDescent="0.25">
      <c r="A106" t="s">
        <v>1738</v>
      </c>
    </row>
    <row r="107" spans="1:1" x14ac:dyDescent="0.25">
      <c r="A107" t="s">
        <v>1780</v>
      </c>
    </row>
    <row r="108" spans="1:1" x14ac:dyDescent="0.25">
      <c r="A108" t="s">
        <v>1781</v>
      </c>
    </row>
    <row r="109" spans="1:1" x14ac:dyDescent="0.25">
      <c r="A109" t="s">
        <v>1782</v>
      </c>
    </row>
    <row r="110" spans="1:1" x14ac:dyDescent="0.25">
      <c r="A110" t="s">
        <v>1753</v>
      </c>
    </row>
    <row r="111" spans="1:1" x14ac:dyDescent="0.25">
      <c r="A111" t="s">
        <v>1740</v>
      </c>
    </row>
    <row r="112" spans="1:1" x14ac:dyDescent="0.25">
      <c r="A112" t="s">
        <v>1741</v>
      </c>
    </row>
    <row r="113" spans="1:1" x14ac:dyDescent="0.25">
      <c r="A113" t="s">
        <v>1783</v>
      </c>
    </row>
    <row r="114" spans="1:1" x14ac:dyDescent="0.25">
      <c r="A114" t="s">
        <v>1784</v>
      </c>
    </row>
    <row r="115" spans="1:1" x14ac:dyDescent="0.25">
      <c r="A115" t="s">
        <v>1744</v>
      </c>
    </row>
    <row r="117" spans="1:1" x14ac:dyDescent="0.25">
      <c r="A117" t="s">
        <v>1737</v>
      </c>
    </row>
    <row r="118" spans="1:1" x14ac:dyDescent="0.25">
      <c r="A118" t="s">
        <v>1738</v>
      </c>
    </row>
    <row r="119" spans="1:1" x14ac:dyDescent="0.25">
      <c r="A119" t="s">
        <v>1785</v>
      </c>
    </row>
    <row r="120" spans="1:1" x14ac:dyDescent="0.25">
      <c r="A120" t="s">
        <v>1786</v>
      </c>
    </row>
    <row r="121" spans="1:1" x14ac:dyDescent="0.25">
      <c r="A121" t="s">
        <v>1782</v>
      </c>
    </row>
    <row r="122" spans="1:1" x14ac:dyDescent="0.25">
      <c r="A122" t="s">
        <v>1753</v>
      </c>
    </row>
    <row r="123" spans="1:1" x14ac:dyDescent="0.25">
      <c r="A123" t="s">
        <v>1740</v>
      </c>
    </row>
    <row r="124" spans="1:1" x14ac:dyDescent="0.25">
      <c r="A124" t="s">
        <v>1741</v>
      </c>
    </row>
    <row r="125" spans="1:1" x14ac:dyDescent="0.25">
      <c r="A125" t="s">
        <v>1787</v>
      </c>
    </row>
    <row r="126" spans="1:1" x14ac:dyDescent="0.25">
      <c r="A126" t="s">
        <v>1788</v>
      </c>
    </row>
    <row r="127" spans="1:1" x14ac:dyDescent="0.25">
      <c r="A127" t="s">
        <v>1744</v>
      </c>
    </row>
    <row r="129" spans="1:1" x14ac:dyDescent="0.25">
      <c r="A129" t="s">
        <v>1737</v>
      </c>
    </row>
    <row r="130" spans="1:1" x14ac:dyDescent="0.25">
      <c r="A130" t="s">
        <v>1738</v>
      </c>
    </row>
    <row r="131" spans="1:1" x14ac:dyDescent="0.25">
      <c r="A131" t="s">
        <v>1789</v>
      </c>
    </row>
    <row r="132" spans="1:1" x14ac:dyDescent="0.25">
      <c r="A132" t="s">
        <v>1790</v>
      </c>
    </row>
    <row r="133" spans="1:1" x14ac:dyDescent="0.25">
      <c r="A133" t="s">
        <v>1782</v>
      </c>
    </row>
    <row r="134" spans="1:1" x14ac:dyDescent="0.25">
      <c r="A134" t="s">
        <v>1753</v>
      </c>
    </row>
    <row r="135" spans="1:1" x14ac:dyDescent="0.25">
      <c r="A135" t="s">
        <v>1741</v>
      </c>
    </row>
    <row r="136" spans="1:1" x14ac:dyDescent="0.25">
      <c r="A136" t="s">
        <v>1770</v>
      </c>
    </row>
    <row r="137" spans="1:1" x14ac:dyDescent="0.25">
      <c r="A137" t="s">
        <v>1791</v>
      </c>
    </row>
    <row r="138" spans="1:1" x14ac:dyDescent="0.25">
      <c r="A138" t="s">
        <v>1744</v>
      </c>
    </row>
    <row r="140" spans="1:1" x14ac:dyDescent="0.25">
      <c r="A140" t="s">
        <v>1737</v>
      </c>
    </row>
    <row r="141" spans="1:1" x14ac:dyDescent="0.25">
      <c r="A141" t="s">
        <v>1738</v>
      </c>
    </row>
    <row r="142" spans="1:1" x14ac:dyDescent="0.25">
      <c r="A142" t="s">
        <v>1792</v>
      </c>
    </row>
    <row r="143" spans="1:1" x14ac:dyDescent="0.25">
      <c r="A143" t="s">
        <v>1793</v>
      </c>
    </row>
    <row r="144" spans="1:1" x14ac:dyDescent="0.25">
      <c r="A144" t="s">
        <v>1782</v>
      </c>
    </row>
    <row r="145" spans="1:1" x14ac:dyDescent="0.25">
      <c r="A145" t="s">
        <v>1753</v>
      </c>
    </row>
    <row r="146" spans="1:1" x14ac:dyDescent="0.25">
      <c r="A146" t="s">
        <v>1740</v>
      </c>
    </row>
    <row r="147" spans="1:1" x14ac:dyDescent="0.25">
      <c r="A147" t="s">
        <v>1741</v>
      </c>
    </row>
    <row r="148" spans="1:1" x14ac:dyDescent="0.25">
      <c r="A148" t="s">
        <v>1783</v>
      </c>
    </row>
    <row r="149" spans="1:1" x14ac:dyDescent="0.25">
      <c r="A149" t="s">
        <v>1794</v>
      </c>
    </row>
    <row r="150" spans="1:1" x14ac:dyDescent="0.25">
      <c r="A150" t="s">
        <v>1744</v>
      </c>
    </row>
    <row r="152" spans="1:1" x14ac:dyDescent="0.25">
      <c r="A152" t="s">
        <v>1737</v>
      </c>
    </row>
    <row r="153" spans="1:1" x14ac:dyDescent="0.25">
      <c r="A153" t="s">
        <v>1738</v>
      </c>
    </row>
    <row r="154" spans="1:1" x14ac:dyDescent="0.25">
      <c r="A154" t="s">
        <v>1795</v>
      </c>
    </row>
    <row r="155" spans="1:1" x14ac:dyDescent="0.25">
      <c r="A155" t="s">
        <v>1796</v>
      </c>
    </row>
    <row r="156" spans="1:1" x14ac:dyDescent="0.25">
      <c r="A156" t="s">
        <v>1797</v>
      </c>
    </row>
    <row r="157" spans="1:1" x14ac:dyDescent="0.25">
      <c r="A157" t="s">
        <v>1753</v>
      </c>
    </row>
    <row r="158" spans="1:1" x14ac:dyDescent="0.25">
      <c r="A158" t="s">
        <v>1741</v>
      </c>
    </row>
    <row r="159" spans="1:1" x14ac:dyDescent="0.25">
      <c r="A159" t="s">
        <v>1798</v>
      </c>
    </row>
    <row r="160" spans="1:1" x14ac:dyDescent="0.25">
      <c r="A160" t="s">
        <v>1799</v>
      </c>
    </row>
    <row r="161" spans="1:1" x14ac:dyDescent="0.25">
      <c r="A161" t="s">
        <v>1744</v>
      </c>
    </row>
    <row r="163" spans="1:1" x14ac:dyDescent="0.25">
      <c r="A163" t="s">
        <v>1737</v>
      </c>
    </row>
    <row r="164" spans="1:1" x14ac:dyDescent="0.25">
      <c r="A164" t="s">
        <v>1738</v>
      </c>
    </row>
    <row r="165" spans="1:1" x14ac:dyDescent="0.25">
      <c r="A165" t="s">
        <v>1800</v>
      </c>
    </row>
    <row r="166" spans="1:1" x14ac:dyDescent="0.25">
      <c r="A166" t="s">
        <v>1801</v>
      </c>
    </row>
    <row r="167" spans="1:1" x14ac:dyDescent="0.25">
      <c r="A167" t="s">
        <v>1797</v>
      </c>
    </row>
    <row r="168" spans="1:1" x14ac:dyDescent="0.25">
      <c r="A168" t="s">
        <v>1753</v>
      </c>
    </row>
    <row r="169" spans="1:1" x14ac:dyDescent="0.25">
      <c r="A169" t="s">
        <v>1741</v>
      </c>
    </row>
    <row r="170" spans="1:1" x14ac:dyDescent="0.25">
      <c r="A170" t="s">
        <v>1798</v>
      </c>
    </row>
    <row r="171" spans="1:1" x14ac:dyDescent="0.25">
      <c r="A171" t="s">
        <v>1802</v>
      </c>
    </row>
    <row r="172" spans="1:1" x14ac:dyDescent="0.25">
      <c r="A172" t="s">
        <v>1744</v>
      </c>
    </row>
    <row r="174" spans="1:1" x14ac:dyDescent="0.25">
      <c r="A174" t="s">
        <v>1737</v>
      </c>
    </row>
    <row r="175" spans="1:1" x14ac:dyDescent="0.25">
      <c r="A175" t="s">
        <v>1738</v>
      </c>
    </row>
    <row r="176" spans="1:1" x14ac:dyDescent="0.25">
      <c r="A176" t="s">
        <v>1803</v>
      </c>
    </row>
    <row r="177" spans="1:1" x14ac:dyDescent="0.25">
      <c r="A177" t="s">
        <v>1804</v>
      </c>
    </row>
    <row r="178" spans="1:1" x14ac:dyDescent="0.25">
      <c r="A178" t="s">
        <v>1797</v>
      </c>
    </row>
    <row r="179" spans="1:1" x14ac:dyDescent="0.25">
      <c r="A179" t="s">
        <v>1753</v>
      </c>
    </row>
    <row r="180" spans="1:1" x14ac:dyDescent="0.25">
      <c r="A180" t="s">
        <v>1740</v>
      </c>
    </row>
    <row r="181" spans="1:1" x14ac:dyDescent="0.25">
      <c r="A181" t="s">
        <v>1741</v>
      </c>
    </row>
    <row r="182" spans="1:1" x14ac:dyDescent="0.25">
      <c r="A182" t="s">
        <v>1805</v>
      </c>
    </row>
    <row r="183" spans="1:1" x14ac:dyDescent="0.25">
      <c r="A183" t="s">
        <v>1806</v>
      </c>
    </row>
    <row r="184" spans="1:1" x14ac:dyDescent="0.25">
      <c r="A184" t="s">
        <v>1744</v>
      </c>
    </row>
    <row r="186" spans="1:1" x14ac:dyDescent="0.25">
      <c r="A186" t="s">
        <v>1737</v>
      </c>
    </row>
    <row r="187" spans="1:1" x14ac:dyDescent="0.25">
      <c r="A187" t="s">
        <v>1738</v>
      </c>
    </row>
    <row r="188" spans="1:1" x14ac:dyDescent="0.25">
      <c r="A188" t="s">
        <v>1807</v>
      </c>
    </row>
    <row r="189" spans="1:1" x14ac:dyDescent="0.25">
      <c r="A189" t="s">
        <v>1808</v>
      </c>
    </row>
    <row r="190" spans="1:1" x14ac:dyDescent="0.25">
      <c r="A190" t="s">
        <v>1797</v>
      </c>
    </row>
    <row r="191" spans="1:1" x14ac:dyDescent="0.25">
      <c r="A191" t="s">
        <v>1753</v>
      </c>
    </row>
    <row r="192" spans="1:1" x14ac:dyDescent="0.25">
      <c r="A192" t="s">
        <v>1741</v>
      </c>
    </row>
    <row r="193" spans="1:1" x14ac:dyDescent="0.25">
      <c r="A193" t="s">
        <v>1798</v>
      </c>
    </row>
    <row r="194" spans="1:1" x14ac:dyDescent="0.25">
      <c r="A194" t="s">
        <v>1809</v>
      </c>
    </row>
    <row r="195" spans="1:1" x14ac:dyDescent="0.25">
      <c r="A195" t="s">
        <v>1744</v>
      </c>
    </row>
    <row r="197" spans="1:1" x14ac:dyDescent="0.25">
      <c r="A197" t="s">
        <v>1737</v>
      </c>
    </row>
    <row r="198" spans="1:1" x14ac:dyDescent="0.25">
      <c r="A198" t="s">
        <v>1738</v>
      </c>
    </row>
    <row r="199" spans="1:1" x14ac:dyDescent="0.25">
      <c r="A199" t="s">
        <v>1810</v>
      </c>
    </row>
    <row r="200" spans="1:1" x14ac:dyDescent="0.25">
      <c r="A200" t="s">
        <v>1811</v>
      </c>
    </row>
    <row r="201" spans="1:1" x14ac:dyDescent="0.25">
      <c r="A201" t="s">
        <v>1797</v>
      </c>
    </row>
    <row r="202" spans="1:1" x14ac:dyDescent="0.25">
      <c r="A202" t="s">
        <v>1753</v>
      </c>
    </row>
    <row r="203" spans="1:1" x14ac:dyDescent="0.25">
      <c r="A203" t="s">
        <v>1740</v>
      </c>
    </row>
    <row r="204" spans="1:1" x14ac:dyDescent="0.25">
      <c r="A204" t="s">
        <v>1741</v>
      </c>
    </row>
    <row r="205" spans="1:1" x14ac:dyDescent="0.25">
      <c r="A205" t="s">
        <v>1805</v>
      </c>
    </row>
    <row r="206" spans="1:1" x14ac:dyDescent="0.25">
      <c r="A206" t="s">
        <v>1812</v>
      </c>
    </row>
    <row r="207" spans="1:1" x14ac:dyDescent="0.25">
      <c r="A207" t="s">
        <v>1744</v>
      </c>
    </row>
    <row r="209" spans="1:1" x14ac:dyDescent="0.25">
      <c r="A209" t="s">
        <v>1737</v>
      </c>
    </row>
    <row r="210" spans="1:1" x14ac:dyDescent="0.25">
      <c r="A210" t="s">
        <v>1738</v>
      </c>
    </row>
    <row r="211" spans="1:1" x14ac:dyDescent="0.25">
      <c r="A211" t="s">
        <v>1813</v>
      </c>
    </row>
    <row r="212" spans="1:1" x14ac:dyDescent="0.25">
      <c r="A212" t="s">
        <v>1814</v>
      </c>
    </row>
    <row r="213" spans="1:1" x14ac:dyDescent="0.25">
      <c r="A213" t="s">
        <v>1797</v>
      </c>
    </row>
    <row r="214" spans="1:1" x14ac:dyDescent="0.25">
      <c r="A214" t="s">
        <v>1753</v>
      </c>
    </row>
    <row r="215" spans="1:1" x14ac:dyDescent="0.25">
      <c r="A215" t="s">
        <v>1740</v>
      </c>
    </row>
    <row r="216" spans="1:1" x14ac:dyDescent="0.25">
      <c r="A216" t="s">
        <v>1741</v>
      </c>
    </row>
    <row r="217" spans="1:1" x14ac:dyDescent="0.25">
      <c r="A217" t="s">
        <v>1805</v>
      </c>
    </row>
    <row r="218" spans="1:1" x14ac:dyDescent="0.25">
      <c r="A218" t="s">
        <v>1815</v>
      </c>
    </row>
    <row r="219" spans="1:1" x14ac:dyDescent="0.25">
      <c r="A219" t="s">
        <v>1744</v>
      </c>
    </row>
    <row r="221" spans="1:1" x14ac:dyDescent="0.25">
      <c r="A221" t="s">
        <v>1737</v>
      </c>
    </row>
    <row r="222" spans="1:1" x14ac:dyDescent="0.25">
      <c r="A222" t="s">
        <v>1738</v>
      </c>
    </row>
    <row r="223" spans="1:1" x14ac:dyDescent="0.25">
      <c r="A223" t="s">
        <v>1816</v>
      </c>
    </row>
    <row r="224" spans="1:1" x14ac:dyDescent="0.25">
      <c r="A224" t="s">
        <v>1817</v>
      </c>
    </row>
    <row r="225" spans="1:1" x14ac:dyDescent="0.25">
      <c r="A225" t="s">
        <v>1797</v>
      </c>
    </row>
    <row r="226" spans="1:1" x14ac:dyDescent="0.25">
      <c r="A226" t="s">
        <v>1753</v>
      </c>
    </row>
    <row r="227" spans="1:1" x14ac:dyDescent="0.25">
      <c r="A227" t="s">
        <v>1740</v>
      </c>
    </row>
    <row r="228" spans="1:1" x14ac:dyDescent="0.25">
      <c r="A228" t="s">
        <v>1741</v>
      </c>
    </row>
    <row r="229" spans="1:1" x14ac:dyDescent="0.25">
      <c r="A229" t="s">
        <v>1818</v>
      </c>
    </row>
    <row r="230" spans="1:1" x14ac:dyDescent="0.25">
      <c r="A230" t="s">
        <v>1819</v>
      </c>
    </row>
    <row r="231" spans="1:1" x14ac:dyDescent="0.25">
      <c r="A231" t="s">
        <v>1744</v>
      </c>
    </row>
    <row r="233" spans="1:1" x14ac:dyDescent="0.25">
      <c r="A233" t="s">
        <v>1737</v>
      </c>
    </row>
    <row r="234" spans="1:1" x14ac:dyDescent="0.25">
      <c r="A234" t="s">
        <v>1738</v>
      </c>
    </row>
    <row r="235" spans="1:1" x14ac:dyDescent="0.25">
      <c r="A235" t="s">
        <v>1820</v>
      </c>
    </row>
    <row r="236" spans="1:1" x14ac:dyDescent="0.25">
      <c r="A236" t="s">
        <v>1821</v>
      </c>
    </row>
    <row r="237" spans="1:1" x14ac:dyDescent="0.25">
      <c r="A237" t="s">
        <v>1797</v>
      </c>
    </row>
    <row r="238" spans="1:1" x14ac:dyDescent="0.25">
      <c r="A238" t="s">
        <v>1753</v>
      </c>
    </row>
    <row r="239" spans="1:1" x14ac:dyDescent="0.25">
      <c r="A239" t="s">
        <v>1740</v>
      </c>
    </row>
    <row r="240" spans="1:1" x14ac:dyDescent="0.25">
      <c r="A240" t="s">
        <v>1741</v>
      </c>
    </row>
    <row r="241" spans="1:1" x14ac:dyDescent="0.25">
      <c r="A241" t="s">
        <v>1805</v>
      </c>
    </row>
    <row r="242" spans="1:1" x14ac:dyDescent="0.25">
      <c r="A242" t="s">
        <v>1822</v>
      </c>
    </row>
    <row r="243" spans="1:1" x14ac:dyDescent="0.25">
      <c r="A243" t="s">
        <v>1744</v>
      </c>
    </row>
    <row r="245" spans="1:1" x14ac:dyDescent="0.25">
      <c r="A245" t="s">
        <v>1737</v>
      </c>
    </row>
    <row r="246" spans="1:1" x14ac:dyDescent="0.25">
      <c r="A246" t="s">
        <v>1738</v>
      </c>
    </row>
    <row r="247" spans="1:1" x14ac:dyDescent="0.25">
      <c r="A247" t="s">
        <v>1823</v>
      </c>
    </row>
    <row r="248" spans="1:1" x14ac:dyDescent="0.25">
      <c r="A248" t="s">
        <v>1824</v>
      </c>
    </row>
    <row r="249" spans="1:1" x14ac:dyDescent="0.25">
      <c r="A249" t="s">
        <v>1797</v>
      </c>
    </row>
    <row r="250" spans="1:1" x14ac:dyDescent="0.25">
      <c r="A250" t="s">
        <v>1753</v>
      </c>
    </row>
    <row r="251" spans="1:1" x14ac:dyDescent="0.25">
      <c r="A251" t="s">
        <v>1740</v>
      </c>
    </row>
    <row r="252" spans="1:1" x14ac:dyDescent="0.25">
      <c r="A252" t="s">
        <v>1741</v>
      </c>
    </row>
    <row r="253" spans="1:1" x14ac:dyDescent="0.25">
      <c r="A253" t="s">
        <v>1805</v>
      </c>
    </row>
    <row r="254" spans="1:1" x14ac:dyDescent="0.25">
      <c r="A254" t="s">
        <v>1825</v>
      </c>
    </row>
    <row r="255" spans="1:1" x14ac:dyDescent="0.25">
      <c r="A255" t="s">
        <v>1744</v>
      </c>
    </row>
    <row r="257" spans="1:1" x14ac:dyDescent="0.25">
      <c r="A257" t="s">
        <v>1737</v>
      </c>
    </row>
    <row r="258" spans="1:1" x14ac:dyDescent="0.25">
      <c r="A258" t="s">
        <v>1738</v>
      </c>
    </row>
    <row r="259" spans="1:1" x14ac:dyDescent="0.25">
      <c r="A259" t="s">
        <v>1826</v>
      </c>
    </row>
    <row r="260" spans="1:1" x14ac:dyDescent="0.25">
      <c r="A260" t="s">
        <v>1827</v>
      </c>
    </row>
    <row r="261" spans="1:1" x14ac:dyDescent="0.25">
      <c r="A261" t="s">
        <v>1797</v>
      </c>
    </row>
    <row r="262" spans="1:1" x14ac:dyDescent="0.25">
      <c r="A262" t="s">
        <v>1753</v>
      </c>
    </row>
    <row r="263" spans="1:1" x14ac:dyDescent="0.25">
      <c r="A263" t="s">
        <v>1741</v>
      </c>
    </row>
    <row r="264" spans="1:1" x14ac:dyDescent="0.25">
      <c r="A264" t="s">
        <v>1798</v>
      </c>
    </row>
    <row r="265" spans="1:1" x14ac:dyDescent="0.25">
      <c r="A265" t="s">
        <v>1828</v>
      </c>
    </row>
    <row r="266" spans="1:1" x14ac:dyDescent="0.25">
      <c r="A266" t="s">
        <v>1744</v>
      </c>
    </row>
    <row r="268" spans="1:1" x14ac:dyDescent="0.25">
      <c r="A268" t="s">
        <v>1737</v>
      </c>
    </row>
    <row r="269" spans="1:1" x14ac:dyDescent="0.25">
      <c r="A269" t="s">
        <v>1738</v>
      </c>
    </row>
    <row r="270" spans="1:1" x14ac:dyDescent="0.25">
      <c r="A270" t="s">
        <v>1829</v>
      </c>
    </row>
    <row r="271" spans="1:1" x14ac:dyDescent="0.25">
      <c r="A271" t="s">
        <v>1830</v>
      </c>
    </row>
    <row r="272" spans="1:1" x14ac:dyDescent="0.25">
      <c r="A272" t="s">
        <v>1797</v>
      </c>
    </row>
    <row r="273" spans="1:1" x14ac:dyDescent="0.25">
      <c r="A273" t="s">
        <v>1753</v>
      </c>
    </row>
    <row r="274" spans="1:1" x14ac:dyDescent="0.25">
      <c r="A274" t="s">
        <v>1741</v>
      </c>
    </row>
    <row r="275" spans="1:1" x14ac:dyDescent="0.25">
      <c r="A275" t="s">
        <v>1798</v>
      </c>
    </row>
    <row r="276" spans="1:1" x14ac:dyDescent="0.25">
      <c r="A276" t="s">
        <v>1831</v>
      </c>
    </row>
    <row r="277" spans="1:1" x14ac:dyDescent="0.25">
      <c r="A277" t="s">
        <v>1744</v>
      </c>
    </row>
    <row r="279" spans="1:1" x14ac:dyDescent="0.25">
      <c r="A279" t="s">
        <v>1737</v>
      </c>
    </row>
    <row r="280" spans="1:1" x14ac:dyDescent="0.25">
      <c r="A280" t="s">
        <v>1738</v>
      </c>
    </row>
    <row r="281" spans="1:1" x14ac:dyDescent="0.25">
      <c r="A281" t="s">
        <v>1832</v>
      </c>
    </row>
    <row r="282" spans="1:1" x14ac:dyDescent="0.25">
      <c r="A282" t="s">
        <v>1833</v>
      </c>
    </row>
    <row r="283" spans="1:1" x14ac:dyDescent="0.25">
      <c r="A283" t="s">
        <v>1797</v>
      </c>
    </row>
    <row r="284" spans="1:1" x14ac:dyDescent="0.25">
      <c r="A284" t="s">
        <v>1753</v>
      </c>
    </row>
    <row r="285" spans="1:1" x14ac:dyDescent="0.25">
      <c r="A285" t="s">
        <v>1740</v>
      </c>
    </row>
    <row r="286" spans="1:1" x14ac:dyDescent="0.25">
      <c r="A286" t="s">
        <v>1741</v>
      </c>
    </row>
    <row r="287" spans="1:1" x14ac:dyDescent="0.25">
      <c r="A287" t="s">
        <v>1805</v>
      </c>
    </row>
    <row r="288" spans="1:1" x14ac:dyDescent="0.25">
      <c r="A288" t="s">
        <v>1834</v>
      </c>
    </row>
    <row r="289" spans="1:1" x14ac:dyDescent="0.25">
      <c r="A289" t="s">
        <v>1744</v>
      </c>
    </row>
    <row r="291" spans="1:1" x14ac:dyDescent="0.25">
      <c r="A291" t="s">
        <v>1737</v>
      </c>
    </row>
    <row r="292" spans="1:1" x14ac:dyDescent="0.25">
      <c r="A292" t="s">
        <v>1738</v>
      </c>
    </row>
    <row r="293" spans="1:1" x14ac:dyDescent="0.25">
      <c r="A293" t="s">
        <v>1835</v>
      </c>
    </row>
    <row r="294" spans="1:1" x14ac:dyDescent="0.25">
      <c r="A294" t="s">
        <v>1836</v>
      </c>
    </row>
    <row r="295" spans="1:1" x14ac:dyDescent="0.25">
      <c r="A295" t="s">
        <v>1797</v>
      </c>
    </row>
    <row r="296" spans="1:1" x14ac:dyDescent="0.25">
      <c r="A296" t="s">
        <v>1753</v>
      </c>
    </row>
    <row r="297" spans="1:1" x14ac:dyDescent="0.25">
      <c r="A297" t="s">
        <v>1740</v>
      </c>
    </row>
    <row r="298" spans="1:1" x14ac:dyDescent="0.25">
      <c r="A298" t="s">
        <v>1741</v>
      </c>
    </row>
    <row r="299" spans="1:1" x14ac:dyDescent="0.25">
      <c r="A299" t="s">
        <v>1818</v>
      </c>
    </row>
    <row r="300" spans="1:1" x14ac:dyDescent="0.25">
      <c r="A300" t="s">
        <v>1837</v>
      </c>
    </row>
    <row r="301" spans="1:1" x14ac:dyDescent="0.25">
      <c r="A301" t="s">
        <v>1744</v>
      </c>
    </row>
    <row r="303" spans="1:1" x14ac:dyDescent="0.25">
      <c r="A303" t="s">
        <v>1737</v>
      </c>
    </row>
    <row r="304" spans="1:1" x14ac:dyDescent="0.25">
      <c r="A304" t="s">
        <v>1738</v>
      </c>
    </row>
    <row r="305" spans="1:1" x14ac:dyDescent="0.25">
      <c r="A305" t="s">
        <v>1838</v>
      </c>
    </row>
    <row r="306" spans="1:1" x14ac:dyDescent="0.25">
      <c r="A306" t="s">
        <v>1839</v>
      </c>
    </row>
    <row r="307" spans="1:1" x14ac:dyDescent="0.25">
      <c r="A307" t="s">
        <v>1797</v>
      </c>
    </row>
    <row r="308" spans="1:1" x14ac:dyDescent="0.25">
      <c r="A308" t="s">
        <v>1753</v>
      </c>
    </row>
    <row r="309" spans="1:1" x14ac:dyDescent="0.25">
      <c r="A309" t="s">
        <v>1741</v>
      </c>
    </row>
    <row r="310" spans="1:1" x14ac:dyDescent="0.25">
      <c r="A310" t="s">
        <v>1798</v>
      </c>
    </row>
    <row r="311" spans="1:1" x14ac:dyDescent="0.25">
      <c r="A311" t="s">
        <v>1840</v>
      </c>
    </row>
    <row r="312" spans="1:1" x14ac:dyDescent="0.25">
      <c r="A312" t="s">
        <v>1744</v>
      </c>
    </row>
    <row r="314" spans="1:1" x14ac:dyDescent="0.25">
      <c r="A314" t="s">
        <v>1737</v>
      </c>
    </row>
    <row r="315" spans="1:1" x14ac:dyDescent="0.25">
      <c r="A315" t="s">
        <v>1738</v>
      </c>
    </row>
    <row r="316" spans="1:1" x14ac:dyDescent="0.25">
      <c r="A316" t="s">
        <v>1841</v>
      </c>
    </row>
    <row r="317" spans="1:1" x14ac:dyDescent="0.25">
      <c r="A317" t="s">
        <v>1842</v>
      </c>
    </row>
    <row r="318" spans="1:1" x14ac:dyDescent="0.25">
      <c r="A318" t="s">
        <v>1797</v>
      </c>
    </row>
    <row r="319" spans="1:1" x14ac:dyDescent="0.25">
      <c r="A319" t="s">
        <v>1753</v>
      </c>
    </row>
    <row r="320" spans="1:1" x14ac:dyDescent="0.25">
      <c r="A320" t="s">
        <v>1741</v>
      </c>
    </row>
    <row r="321" spans="1:1" x14ac:dyDescent="0.25">
      <c r="A321" t="s">
        <v>1798</v>
      </c>
    </row>
    <row r="322" spans="1:1" x14ac:dyDescent="0.25">
      <c r="A322" t="s">
        <v>1843</v>
      </c>
    </row>
    <row r="323" spans="1:1" x14ac:dyDescent="0.25">
      <c r="A323" t="s">
        <v>1744</v>
      </c>
    </row>
    <row r="325" spans="1:1" x14ac:dyDescent="0.25">
      <c r="A325" t="s">
        <v>1737</v>
      </c>
    </row>
    <row r="326" spans="1:1" x14ac:dyDescent="0.25">
      <c r="A326" t="s">
        <v>1738</v>
      </c>
    </row>
    <row r="327" spans="1:1" x14ac:dyDescent="0.25">
      <c r="A327" t="s">
        <v>1844</v>
      </c>
    </row>
    <row r="328" spans="1:1" x14ac:dyDescent="0.25">
      <c r="A328" t="s">
        <v>1845</v>
      </c>
    </row>
    <row r="329" spans="1:1" x14ac:dyDescent="0.25">
      <c r="A329" t="s">
        <v>1797</v>
      </c>
    </row>
    <row r="330" spans="1:1" x14ac:dyDescent="0.25">
      <c r="A330" t="s">
        <v>1753</v>
      </c>
    </row>
    <row r="331" spans="1:1" x14ac:dyDescent="0.25">
      <c r="A331" t="s">
        <v>1741</v>
      </c>
    </row>
    <row r="332" spans="1:1" x14ac:dyDescent="0.25">
      <c r="A332" t="s">
        <v>1798</v>
      </c>
    </row>
    <row r="333" spans="1:1" x14ac:dyDescent="0.25">
      <c r="A333" t="s">
        <v>1846</v>
      </c>
    </row>
    <row r="334" spans="1:1" x14ac:dyDescent="0.25">
      <c r="A334" t="s">
        <v>1744</v>
      </c>
    </row>
    <row r="336" spans="1:1" x14ac:dyDescent="0.25">
      <c r="A336" t="s">
        <v>1737</v>
      </c>
    </row>
    <row r="337" spans="1:1" x14ac:dyDescent="0.25">
      <c r="A337" t="s">
        <v>1738</v>
      </c>
    </row>
    <row r="338" spans="1:1" x14ac:dyDescent="0.25">
      <c r="A338" t="s">
        <v>1847</v>
      </c>
    </row>
    <row r="339" spans="1:1" x14ac:dyDescent="0.25">
      <c r="A339" t="s">
        <v>1848</v>
      </c>
    </row>
    <row r="340" spans="1:1" x14ac:dyDescent="0.25">
      <c r="A340" t="s">
        <v>1797</v>
      </c>
    </row>
    <row r="341" spans="1:1" x14ac:dyDescent="0.25">
      <c r="A341" t="s">
        <v>1753</v>
      </c>
    </row>
    <row r="342" spans="1:1" x14ac:dyDescent="0.25">
      <c r="A342" t="s">
        <v>1740</v>
      </c>
    </row>
    <row r="343" spans="1:1" x14ac:dyDescent="0.25">
      <c r="A343" t="s">
        <v>1741</v>
      </c>
    </row>
    <row r="344" spans="1:1" x14ac:dyDescent="0.25">
      <c r="A344" t="s">
        <v>1805</v>
      </c>
    </row>
    <row r="345" spans="1:1" x14ac:dyDescent="0.25">
      <c r="A345" t="s">
        <v>1849</v>
      </c>
    </row>
    <row r="346" spans="1:1" x14ac:dyDescent="0.25">
      <c r="A346" t="s">
        <v>1744</v>
      </c>
    </row>
    <row r="348" spans="1:1" x14ac:dyDescent="0.25">
      <c r="A348" t="s">
        <v>1737</v>
      </c>
    </row>
    <row r="349" spans="1:1" x14ac:dyDescent="0.25">
      <c r="A349" t="s">
        <v>1738</v>
      </c>
    </row>
    <row r="350" spans="1:1" x14ac:dyDescent="0.25">
      <c r="A350" t="s">
        <v>1850</v>
      </c>
    </row>
    <row r="351" spans="1:1" x14ac:dyDescent="0.25">
      <c r="A351" t="s">
        <v>1851</v>
      </c>
    </row>
    <row r="352" spans="1:1" x14ac:dyDescent="0.25">
      <c r="A352" t="s">
        <v>1797</v>
      </c>
    </row>
    <row r="353" spans="1:1" x14ac:dyDescent="0.25">
      <c r="A353" t="s">
        <v>1753</v>
      </c>
    </row>
    <row r="354" spans="1:1" x14ac:dyDescent="0.25">
      <c r="A354" t="s">
        <v>1740</v>
      </c>
    </row>
    <row r="355" spans="1:1" x14ac:dyDescent="0.25">
      <c r="A355" t="s">
        <v>1741</v>
      </c>
    </row>
    <row r="356" spans="1:1" x14ac:dyDescent="0.25">
      <c r="A356" t="s">
        <v>1805</v>
      </c>
    </row>
    <row r="357" spans="1:1" x14ac:dyDescent="0.25">
      <c r="A357" t="s">
        <v>1852</v>
      </c>
    </row>
    <row r="358" spans="1:1" x14ac:dyDescent="0.25">
      <c r="A358" t="s">
        <v>1744</v>
      </c>
    </row>
    <row r="360" spans="1:1" x14ac:dyDescent="0.25">
      <c r="A360" t="s">
        <v>1737</v>
      </c>
    </row>
    <row r="361" spans="1:1" x14ac:dyDescent="0.25">
      <c r="A361" t="s">
        <v>1738</v>
      </c>
    </row>
    <row r="362" spans="1:1" x14ac:dyDescent="0.25">
      <c r="A362" t="s">
        <v>1853</v>
      </c>
    </row>
    <row r="363" spans="1:1" x14ac:dyDescent="0.25">
      <c r="A363" t="s">
        <v>1854</v>
      </c>
    </row>
    <row r="364" spans="1:1" x14ac:dyDescent="0.25">
      <c r="A364" t="s">
        <v>1797</v>
      </c>
    </row>
    <row r="365" spans="1:1" x14ac:dyDescent="0.25">
      <c r="A365" t="s">
        <v>1753</v>
      </c>
    </row>
    <row r="366" spans="1:1" x14ac:dyDescent="0.25">
      <c r="A366" t="s">
        <v>1740</v>
      </c>
    </row>
    <row r="367" spans="1:1" x14ac:dyDescent="0.25">
      <c r="A367" t="s">
        <v>1741</v>
      </c>
    </row>
    <row r="368" spans="1:1" x14ac:dyDescent="0.25">
      <c r="A368" t="s">
        <v>1805</v>
      </c>
    </row>
    <row r="369" spans="1:1" x14ac:dyDescent="0.25">
      <c r="A369" t="s">
        <v>1855</v>
      </c>
    </row>
    <row r="370" spans="1:1" x14ac:dyDescent="0.25">
      <c r="A370" t="s">
        <v>1744</v>
      </c>
    </row>
    <row r="372" spans="1:1" x14ac:dyDescent="0.25">
      <c r="A372" t="s">
        <v>1737</v>
      </c>
    </row>
    <row r="373" spans="1:1" x14ac:dyDescent="0.25">
      <c r="A373" t="s">
        <v>1738</v>
      </c>
    </row>
    <row r="374" spans="1:1" x14ac:dyDescent="0.25">
      <c r="A374" t="s">
        <v>1856</v>
      </c>
    </row>
    <row r="375" spans="1:1" x14ac:dyDescent="0.25">
      <c r="A375" t="s">
        <v>1857</v>
      </c>
    </row>
    <row r="376" spans="1:1" x14ac:dyDescent="0.25">
      <c r="A376" t="s">
        <v>1797</v>
      </c>
    </row>
    <row r="377" spans="1:1" x14ac:dyDescent="0.25">
      <c r="A377" t="s">
        <v>1753</v>
      </c>
    </row>
    <row r="378" spans="1:1" x14ac:dyDescent="0.25">
      <c r="A378" t="s">
        <v>1741</v>
      </c>
    </row>
    <row r="379" spans="1:1" x14ac:dyDescent="0.25">
      <c r="A379" t="s">
        <v>1798</v>
      </c>
    </row>
    <row r="380" spans="1:1" x14ac:dyDescent="0.25">
      <c r="A380" t="s">
        <v>1858</v>
      </c>
    </row>
    <row r="381" spans="1:1" x14ac:dyDescent="0.25">
      <c r="A381" t="s">
        <v>1744</v>
      </c>
    </row>
    <row r="383" spans="1:1" x14ac:dyDescent="0.25">
      <c r="A383" t="s">
        <v>1737</v>
      </c>
    </row>
    <row r="384" spans="1:1" x14ac:dyDescent="0.25">
      <c r="A384" t="s">
        <v>1738</v>
      </c>
    </row>
    <row r="385" spans="1:1" x14ac:dyDescent="0.25">
      <c r="A385" t="s">
        <v>1859</v>
      </c>
    </row>
    <row r="386" spans="1:1" x14ac:dyDescent="0.25">
      <c r="A386" t="s">
        <v>1860</v>
      </c>
    </row>
    <row r="387" spans="1:1" x14ac:dyDescent="0.25">
      <c r="A387" t="s">
        <v>1797</v>
      </c>
    </row>
    <row r="388" spans="1:1" x14ac:dyDescent="0.25">
      <c r="A388" t="s">
        <v>1753</v>
      </c>
    </row>
    <row r="389" spans="1:1" x14ac:dyDescent="0.25">
      <c r="A389" t="s">
        <v>1740</v>
      </c>
    </row>
    <row r="390" spans="1:1" x14ac:dyDescent="0.25">
      <c r="A390" t="s">
        <v>1741</v>
      </c>
    </row>
    <row r="391" spans="1:1" x14ac:dyDescent="0.25">
      <c r="A391" t="s">
        <v>1818</v>
      </c>
    </row>
    <row r="392" spans="1:1" x14ac:dyDescent="0.25">
      <c r="A392" t="s">
        <v>1861</v>
      </c>
    </row>
    <row r="393" spans="1:1" x14ac:dyDescent="0.25">
      <c r="A393" t="s">
        <v>1744</v>
      </c>
    </row>
    <row r="395" spans="1:1" x14ac:dyDescent="0.25">
      <c r="A395" t="s">
        <v>1737</v>
      </c>
    </row>
    <row r="396" spans="1:1" x14ac:dyDescent="0.25">
      <c r="A396" t="s">
        <v>1738</v>
      </c>
    </row>
    <row r="397" spans="1:1" x14ac:dyDescent="0.25">
      <c r="A397" t="s">
        <v>1862</v>
      </c>
    </row>
    <row r="398" spans="1:1" x14ac:dyDescent="0.25">
      <c r="A398" t="s">
        <v>1863</v>
      </c>
    </row>
    <row r="399" spans="1:1" x14ac:dyDescent="0.25">
      <c r="A399" t="s">
        <v>1797</v>
      </c>
    </row>
    <row r="400" spans="1:1" x14ac:dyDescent="0.25">
      <c r="A400" t="s">
        <v>1753</v>
      </c>
    </row>
    <row r="401" spans="1:1" x14ac:dyDescent="0.25">
      <c r="A401" t="s">
        <v>1740</v>
      </c>
    </row>
    <row r="402" spans="1:1" x14ac:dyDescent="0.25">
      <c r="A402" t="s">
        <v>1741</v>
      </c>
    </row>
    <row r="403" spans="1:1" x14ac:dyDescent="0.25">
      <c r="A403" t="s">
        <v>1805</v>
      </c>
    </row>
    <row r="404" spans="1:1" x14ac:dyDescent="0.25">
      <c r="A404" t="s">
        <v>1864</v>
      </c>
    </row>
    <row r="405" spans="1:1" x14ac:dyDescent="0.25">
      <c r="A405" t="s">
        <v>1744</v>
      </c>
    </row>
    <row r="407" spans="1:1" x14ac:dyDescent="0.25">
      <c r="A407" t="s">
        <v>1737</v>
      </c>
    </row>
    <row r="408" spans="1:1" x14ac:dyDescent="0.25">
      <c r="A408" t="s">
        <v>1738</v>
      </c>
    </row>
    <row r="409" spans="1:1" x14ac:dyDescent="0.25">
      <c r="A409" t="s">
        <v>1865</v>
      </c>
    </row>
    <row r="410" spans="1:1" x14ac:dyDescent="0.25">
      <c r="A410" t="s">
        <v>1866</v>
      </c>
    </row>
    <row r="411" spans="1:1" x14ac:dyDescent="0.25">
      <c r="A411" t="s">
        <v>1797</v>
      </c>
    </row>
    <row r="412" spans="1:1" x14ac:dyDescent="0.25">
      <c r="A412" t="s">
        <v>1753</v>
      </c>
    </row>
    <row r="413" spans="1:1" x14ac:dyDescent="0.25">
      <c r="A413" t="s">
        <v>1741</v>
      </c>
    </row>
    <row r="414" spans="1:1" x14ac:dyDescent="0.25">
      <c r="A414" t="s">
        <v>1798</v>
      </c>
    </row>
    <row r="415" spans="1:1" x14ac:dyDescent="0.25">
      <c r="A415" t="s">
        <v>1867</v>
      </c>
    </row>
    <row r="416" spans="1:1" x14ac:dyDescent="0.25">
      <c r="A416" t="s">
        <v>1744</v>
      </c>
    </row>
    <row r="418" spans="1:1" x14ac:dyDescent="0.25">
      <c r="A418" t="s">
        <v>1737</v>
      </c>
    </row>
    <row r="419" spans="1:1" x14ac:dyDescent="0.25">
      <c r="A419" t="s">
        <v>1738</v>
      </c>
    </row>
    <row r="420" spans="1:1" x14ac:dyDescent="0.25">
      <c r="A420" t="s">
        <v>1868</v>
      </c>
    </row>
    <row r="421" spans="1:1" x14ac:dyDescent="0.25">
      <c r="A421" t="s">
        <v>1869</v>
      </c>
    </row>
    <row r="422" spans="1:1" x14ac:dyDescent="0.25">
      <c r="A422" t="s">
        <v>1797</v>
      </c>
    </row>
    <row r="423" spans="1:1" x14ac:dyDescent="0.25">
      <c r="A423" t="s">
        <v>1753</v>
      </c>
    </row>
    <row r="424" spans="1:1" x14ac:dyDescent="0.25">
      <c r="A424" t="s">
        <v>1741</v>
      </c>
    </row>
    <row r="425" spans="1:1" x14ac:dyDescent="0.25">
      <c r="A425" t="s">
        <v>1798</v>
      </c>
    </row>
    <row r="426" spans="1:1" x14ac:dyDescent="0.25">
      <c r="A426" t="s">
        <v>1870</v>
      </c>
    </row>
    <row r="427" spans="1:1" x14ac:dyDescent="0.25">
      <c r="A427" t="s">
        <v>1744</v>
      </c>
    </row>
    <row r="429" spans="1:1" x14ac:dyDescent="0.25">
      <c r="A429" t="s">
        <v>1737</v>
      </c>
    </row>
    <row r="430" spans="1:1" x14ac:dyDescent="0.25">
      <c r="A430" t="s">
        <v>1738</v>
      </c>
    </row>
    <row r="431" spans="1:1" x14ac:dyDescent="0.25">
      <c r="A431" t="s">
        <v>1871</v>
      </c>
    </row>
    <row r="432" spans="1:1" x14ac:dyDescent="0.25">
      <c r="A432" t="s">
        <v>1872</v>
      </c>
    </row>
    <row r="433" spans="1:1" x14ac:dyDescent="0.25">
      <c r="A433" t="s">
        <v>1797</v>
      </c>
    </row>
    <row r="434" spans="1:1" x14ac:dyDescent="0.25">
      <c r="A434" t="s">
        <v>1753</v>
      </c>
    </row>
    <row r="435" spans="1:1" x14ac:dyDescent="0.25">
      <c r="A435" t="s">
        <v>1740</v>
      </c>
    </row>
    <row r="436" spans="1:1" x14ac:dyDescent="0.25">
      <c r="A436" t="s">
        <v>1741</v>
      </c>
    </row>
    <row r="437" spans="1:1" x14ac:dyDescent="0.25">
      <c r="A437" t="s">
        <v>1805</v>
      </c>
    </row>
    <row r="438" spans="1:1" x14ac:dyDescent="0.25">
      <c r="A438" t="s">
        <v>1873</v>
      </c>
    </row>
    <row r="439" spans="1:1" x14ac:dyDescent="0.25">
      <c r="A439" t="s">
        <v>1744</v>
      </c>
    </row>
    <row r="441" spans="1:1" x14ac:dyDescent="0.25">
      <c r="A441" t="s">
        <v>1737</v>
      </c>
    </row>
    <row r="442" spans="1:1" x14ac:dyDescent="0.25">
      <c r="A442" t="s">
        <v>1738</v>
      </c>
    </row>
    <row r="443" spans="1:1" x14ac:dyDescent="0.25">
      <c r="A443" t="s">
        <v>1874</v>
      </c>
    </row>
    <row r="444" spans="1:1" x14ac:dyDescent="0.25">
      <c r="A444" t="s">
        <v>1875</v>
      </c>
    </row>
    <row r="445" spans="1:1" x14ac:dyDescent="0.25">
      <c r="A445" t="s">
        <v>1797</v>
      </c>
    </row>
    <row r="446" spans="1:1" x14ac:dyDescent="0.25">
      <c r="A446" t="s">
        <v>1753</v>
      </c>
    </row>
    <row r="447" spans="1:1" x14ac:dyDescent="0.25">
      <c r="A447" t="s">
        <v>1740</v>
      </c>
    </row>
    <row r="448" spans="1:1" x14ac:dyDescent="0.25">
      <c r="A448" t="s">
        <v>1741</v>
      </c>
    </row>
    <row r="449" spans="1:1" x14ac:dyDescent="0.25">
      <c r="A449" t="s">
        <v>1805</v>
      </c>
    </row>
    <row r="450" spans="1:1" x14ac:dyDescent="0.25">
      <c r="A450" t="s">
        <v>1876</v>
      </c>
    </row>
    <row r="451" spans="1:1" x14ac:dyDescent="0.25">
      <c r="A451" t="s">
        <v>1744</v>
      </c>
    </row>
    <row r="453" spans="1:1" x14ac:dyDescent="0.25">
      <c r="A453" t="s">
        <v>1737</v>
      </c>
    </row>
    <row r="454" spans="1:1" x14ac:dyDescent="0.25">
      <c r="A454" t="s">
        <v>1738</v>
      </c>
    </row>
    <row r="455" spans="1:1" x14ac:dyDescent="0.25">
      <c r="A455" t="s">
        <v>1877</v>
      </c>
    </row>
    <row r="456" spans="1:1" x14ac:dyDescent="0.25">
      <c r="A456" t="s">
        <v>1878</v>
      </c>
    </row>
    <row r="457" spans="1:1" x14ac:dyDescent="0.25">
      <c r="A457" t="s">
        <v>1797</v>
      </c>
    </row>
    <row r="458" spans="1:1" x14ac:dyDescent="0.25">
      <c r="A458" t="s">
        <v>1753</v>
      </c>
    </row>
    <row r="459" spans="1:1" x14ac:dyDescent="0.25">
      <c r="A459" t="s">
        <v>1741</v>
      </c>
    </row>
    <row r="460" spans="1:1" x14ac:dyDescent="0.25">
      <c r="A460" t="s">
        <v>1798</v>
      </c>
    </row>
    <row r="461" spans="1:1" x14ac:dyDescent="0.25">
      <c r="A461" t="s">
        <v>1879</v>
      </c>
    </row>
    <row r="462" spans="1:1" x14ac:dyDescent="0.25">
      <c r="A462" t="s">
        <v>1744</v>
      </c>
    </row>
    <row r="464" spans="1:1" x14ac:dyDescent="0.25">
      <c r="A464" t="s">
        <v>1737</v>
      </c>
    </row>
    <row r="465" spans="1:1" x14ac:dyDescent="0.25">
      <c r="A465" t="s">
        <v>1738</v>
      </c>
    </row>
    <row r="466" spans="1:1" x14ac:dyDescent="0.25">
      <c r="A466" t="s">
        <v>1880</v>
      </c>
    </row>
    <row r="467" spans="1:1" x14ac:dyDescent="0.25">
      <c r="A467" t="s">
        <v>1881</v>
      </c>
    </row>
    <row r="468" spans="1:1" x14ac:dyDescent="0.25">
      <c r="A468" t="s">
        <v>1882</v>
      </c>
    </row>
    <row r="469" spans="1:1" x14ac:dyDescent="0.25">
      <c r="A469" t="s">
        <v>1753</v>
      </c>
    </row>
    <row r="470" spans="1:1" x14ac:dyDescent="0.25">
      <c r="A470" t="s">
        <v>1741</v>
      </c>
    </row>
    <row r="471" spans="1:1" x14ac:dyDescent="0.25">
      <c r="A471" t="s">
        <v>1883</v>
      </c>
    </row>
    <row r="472" spans="1:1" x14ac:dyDescent="0.25">
      <c r="A472" t="s">
        <v>1884</v>
      </c>
    </row>
    <row r="473" spans="1:1" x14ac:dyDescent="0.25">
      <c r="A473" t="s">
        <v>1744</v>
      </c>
    </row>
    <row r="475" spans="1:1" x14ac:dyDescent="0.25">
      <c r="A475" t="s">
        <v>1737</v>
      </c>
    </row>
    <row r="476" spans="1:1" x14ac:dyDescent="0.25">
      <c r="A476" t="s">
        <v>1738</v>
      </c>
    </row>
    <row r="477" spans="1:1" x14ac:dyDescent="0.25">
      <c r="A477" t="s">
        <v>1885</v>
      </c>
    </row>
    <row r="478" spans="1:1" x14ac:dyDescent="0.25">
      <c r="A478" t="s">
        <v>1886</v>
      </c>
    </row>
    <row r="479" spans="1:1" x14ac:dyDescent="0.25">
      <c r="A479" t="s">
        <v>1882</v>
      </c>
    </row>
    <row r="480" spans="1:1" x14ac:dyDescent="0.25">
      <c r="A480" t="s">
        <v>1753</v>
      </c>
    </row>
    <row r="481" spans="1:1" x14ac:dyDescent="0.25">
      <c r="A481" t="s">
        <v>1741</v>
      </c>
    </row>
    <row r="482" spans="1:1" x14ac:dyDescent="0.25">
      <c r="A482" t="s">
        <v>1887</v>
      </c>
    </row>
    <row r="483" spans="1:1" x14ac:dyDescent="0.25">
      <c r="A483" t="s">
        <v>1888</v>
      </c>
    </row>
    <row r="484" spans="1:1" x14ac:dyDescent="0.25">
      <c r="A484" t="s">
        <v>1744</v>
      </c>
    </row>
    <row r="486" spans="1:1" x14ac:dyDescent="0.25">
      <c r="A486" t="s">
        <v>1737</v>
      </c>
    </row>
    <row r="487" spans="1:1" x14ac:dyDescent="0.25">
      <c r="A487" t="s">
        <v>1738</v>
      </c>
    </row>
    <row r="488" spans="1:1" x14ac:dyDescent="0.25">
      <c r="A488" t="s">
        <v>1889</v>
      </c>
    </row>
    <row r="489" spans="1:1" x14ac:dyDescent="0.25">
      <c r="A489" t="s">
        <v>1890</v>
      </c>
    </row>
    <row r="490" spans="1:1" x14ac:dyDescent="0.25">
      <c r="A490" t="s">
        <v>1752</v>
      </c>
    </row>
    <row r="491" spans="1:1" x14ac:dyDescent="0.25">
      <c r="A491" t="s">
        <v>1753</v>
      </c>
    </row>
    <row r="492" spans="1:1" x14ac:dyDescent="0.25">
      <c r="A492" t="s">
        <v>1741</v>
      </c>
    </row>
    <row r="493" spans="1:1" x14ac:dyDescent="0.25">
      <c r="A493" t="s">
        <v>1887</v>
      </c>
    </row>
    <row r="494" spans="1:1" x14ac:dyDescent="0.25">
      <c r="A494" t="s">
        <v>1891</v>
      </c>
    </row>
    <row r="495" spans="1:1" x14ac:dyDescent="0.25">
      <c r="A495" t="s">
        <v>1744</v>
      </c>
    </row>
    <row r="497" spans="1:1" x14ac:dyDescent="0.25">
      <c r="A497" t="s">
        <v>1737</v>
      </c>
    </row>
    <row r="498" spans="1:1" x14ac:dyDescent="0.25">
      <c r="A498" t="s">
        <v>1738</v>
      </c>
    </row>
    <row r="499" spans="1:1" x14ac:dyDescent="0.25">
      <c r="A499" t="s">
        <v>1892</v>
      </c>
    </row>
    <row r="500" spans="1:1" x14ac:dyDescent="0.25">
      <c r="A500" t="s">
        <v>1893</v>
      </c>
    </row>
    <row r="501" spans="1:1" x14ac:dyDescent="0.25">
      <c r="A501" t="s">
        <v>1894</v>
      </c>
    </row>
    <row r="502" spans="1:1" x14ac:dyDescent="0.25">
      <c r="A502" t="s">
        <v>1753</v>
      </c>
    </row>
    <row r="503" spans="1:1" x14ac:dyDescent="0.25">
      <c r="A503" t="s">
        <v>1741</v>
      </c>
    </row>
    <row r="504" spans="1:1" x14ac:dyDescent="0.25">
      <c r="A504" t="s">
        <v>1762</v>
      </c>
    </row>
    <row r="505" spans="1:1" x14ac:dyDescent="0.25">
      <c r="A505" t="s">
        <v>1895</v>
      </c>
    </row>
    <row r="506" spans="1:1" x14ac:dyDescent="0.25">
      <c r="A506" t="s">
        <v>1744</v>
      </c>
    </row>
    <row r="508" spans="1:1" x14ac:dyDescent="0.25">
      <c r="A508" t="s">
        <v>1737</v>
      </c>
    </row>
    <row r="509" spans="1:1" x14ac:dyDescent="0.25">
      <c r="A509" t="s">
        <v>1738</v>
      </c>
    </row>
    <row r="510" spans="1:1" x14ac:dyDescent="0.25">
      <c r="A510" t="s">
        <v>1896</v>
      </c>
    </row>
    <row r="511" spans="1:1" x14ac:dyDescent="0.25">
      <c r="A511" t="s">
        <v>1897</v>
      </c>
    </row>
    <row r="512" spans="1:1" x14ac:dyDescent="0.25">
      <c r="A512" t="s">
        <v>1894</v>
      </c>
    </row>
    <row r="513" spans="1:1" x14ac:dyDescent="0.25">
      <c r="A513" t="s">
        <v>1753</v>
      </c>
    </row>
    <row r="514" spans="1:1" x14ac:dyDescent="0.25">
      <c r="A514" t="s">
        <v>1741</v>
      </c>
    </row>
    <row r="515" spans="1:1" x14ac:dyDescent="0.25">
      <c r="A515" t="s">
        <v>1762</v>
      </c>
    </row>
    <row r="516" spans="1:1" x14ac:dyDescent="0.25">
      <c r="A516" t="s">
        <v>1898</v>
      </c>
    </row>
    <row r="517" spans="1:1" x14ac:dyDescent="0.25">
      <c r="A517" t="s">
        <v>1744</v>
      </c>
    </row>
    <row r="519" spans="1:1" x14ac:dyDescent="0.25">
      <c r="A519" t="s">
        <v>1737</v>
      </c>
    </row>
    <row r="520" spans="1:1" x14ac:dyDescent="0.25">
      <c r="A520" t="s">
        <v>1738</v>
      </c>
    </row>
    <row r="521" spans="1:1" x14ac:dyDescent="0.25">
      <c r="A521" t="s">
        <v>1899</v>
      </c>
    </row>
    <row r="522" spans="1:1" x14ac:dyDescent="0.25">
      <c r="A522" t="s">
        <v>1900</v>
      </c>
    </row>
    <row r="523" spans="1:1" x14ac:dyDescent="0.25">
      <c r="A523" t="s">
        <v>1901</v>
      </c>
    </row>
    <row r="524" spans="1:1" x14ac:dyDescent="0.25">
      <c r="A524" t="s">
        <v>1753</v>
      </c>
    </row>
    <row r="525" spans="1:1" x14ac:dyDescent="0.25">
      <c r="A525" t="s">
        <v>1741</v>
      </c>
    </row>
    <row r="526" spans="1:1" x14ac:dyDescent="0.25">
      <c r="A526" t="s">
        <v>1762</v>
      </c>
    </row>
    <row r="527" spans="1:1" x14ac:dyDescent="0.25">
      <c r="A527" t="s">
        <v>1902</v>
      </c>
    </row>
    <row r="528" spans="1:1" x14ac:dyDescent="0.25">
      <c r="A528" t="s">
        <v>1744</v>
      </c>
    </row>
    <row r="530" spans="1:1" x14ac:dyDescent="0.25">
      <c r="A530" t="s">
        <v>1737</v>
      </c>
    </row>
    <row r="531" spans="1:1" x14ac:dyDescent="0.25">
      <c r="A531" t="s">
        <v>1738</v>
      </c>
    </row>
    <row r="532" spans="1:1" x14ac:dyDescent="0.25">
      <c r="A532" t="s">
        <v>1903</v>
      </c>
    </row>
    <row r="533" spans="1:1" x14ac:dyDescent="0.25">
      <c r="A533" t="s">
        <v>1900</v>
      </c>
    </row>
    <row r="534" spans="1:1" x14ac:dyDescent="0.25">
      <c r="A534" t="s">
        <v>1901</v>
      </c>
    </row>
    <row r="535" spans="1:1" x14ac:dyDescent="0.25">
      <c r="A535" t="s">
        <v>1753</v>
      </c>
    </row>
    <row r="536" spans="1:1" x14ac:dyDescent="0.25">
      <c r="A536" t="s">
        <v>1741</v>
      </c>
    </row>
    <row r="537" spans="1:1" x14ac:dyDescent="0.25">
      <c r="A537" t="s">
        <v>1762</v>
      </c>
    </row>
    <row r="538" spans="1:1" x14ac:dyDescent="0.25">
      <c r="A538" t="s">
        <v>1904</v>
      </c>
    </row>
    <row r="539" spans="1:1" x14ac:dyDescent="0.25">
      <c r="A539" t="s">
        <v>1744</v>
      </c>
    </row>
    <row r="541" spans="1:1" x14ac:dyDescent="0.25">
      <c r="A541" t="s">
        <v>1737</v>
      </c>
    </row>
    <row r="542" spans="1:1" x14ac:dyDescent="0.25">
      <c r="A542" t="s">
        <v>1738</v>
      </c>
    </row>
    <row r="543" spans="1:1" x14ac:dyDescent="0.25">
      <c r="A543" t="s">
        <v>1905</v>
      </c>
    </row>
    <row r="544" spans="1:1" x14ac:dyDescent="0.25">
      <c r="A544" t="s">
        <v>1900</v>
      </c>
    </row>
    <row r="545" spans="1:1" x14ac:dyDescent="0.25">
      <c r="A545" t="s">
        <v>1901</v>
      </c>
    </row>
    <row r="546" spans="1:1" x14ac:dyDescent="0.25">
      <c r="A546" t="s">
        <v>1753</v>
      </c>
    </row>
    <row r="547" spans="1:1" x14ac:dyDescent="0.25">
      <c r="A547" t="s">
        <v>1741</v>
      </c>
    </row>
    <row r="548" spans="1:1" x14ac:dyDescent="0.25">
      <c r="A548" t="s">
        <v>1906</v>
      </c>
    </row>
    <row r="549" spans="1:1" x14ac:dyDescent="0.25">
      <c r="A549" t="s">
        <v>1907</v>
      </c>
    </row>
    <row r="550" spans="1:1" x14ac:dyDescent="0.25">
      <c r="A550" t="s">
        <v>1744</v>
      </c>
    </row>
    <row r="552" spans="1:1" x14ac:dyDescent="0.25">
      <c r="A552" t="s">
        <v>1737</v>
      </c>
    </row>
    <row r="553" spans="1:1" x14ac:dyDescent="0.25">
      <c r="A553" t="s">
        <v>1738</v>
      </c>
    </row>
    <row r="554" spans="1:1" x14ac:dyDescent="0.25">
      <c r="A554" t="s">
        <v>1908</v>
      </c>
    </row>
    <row r="555" spans="1:1" x14ac:dyDescent="0.25">
      <c r="A555" t="s">
        <v>1900</v>
      </c>
    </row>
    <row r="556" spans="1:1" x14ac:dyDescent="0.25">
      <c r="A556" t="s">
        <v>1901</v>
      </c>
    </row>
    <row r="557" spans="1:1" x14ac:dyDescent="0.25">
      <c r="A557" t="s">
        <v>1753</v>
      </c>
    </row>
    <row r="558" spans="1:1" x14ac:dyDescent="0.25">
      <c r="A558" t="s">
        <v>1741</v>
      </c>
    </row>
    <row r="559" spans="1:1" x14ac:dyDescent="0.25">
      <c r="A559" t="s">
        <v>1906</v>
      </c>
    </row>
    <row r="560" spans="1:1" x14ac:dyDescent="0.25">
      <c r="A560" t="s">
        <v>1909</v>
      </c>
    </row>
    <row r="561" spans="1:1" x14ac:dyDescent="0.25">
      <c r="A561" t="s">
        <v>1744</v>
      </c>
    </row>
    <row r="563" spans="1:1" x14ac:dyDescent="0.25">
      <c r="A563" t="s">
        <v>1737</v>
      </c>
    </row>
    <row r="564" spans="1:1" x14ac:dyDescent="0.25">
      <c r="A564" t="s">
        <v>1738</v>
      </c>
    </row>
    <row r="565" spans="1:1" x14ac:dyDescent="0.25">
      <c r="A565" t="s">
        <v>1910</v>
      </c>
    </row>
    <row r="566" spans="1:1" x14ac:dyDescent="0.25">
      <c r="A566" t="s">
        <v>1900</v>
      </c>
    </row>
    <row r="567" spans="1:1" x14ac:dyDescent="0.25">
      <c r="A567" t="s">
        <v>1901</v>
      </c>
    </row>
    <row r="568" spans="1:1" x14ac:dyDescent="0.25">
      <c r="A568" t="s">
        <v>1753</v>
      </c>
    </row>
    <row r="569" spans="1:1" x14ac:dyDescent="0.25">
      <c r="A569" t="s">
        <v>1741</v>
      </c>
    </row>
    <row r="570" spans="1:1" x14ac:dyDescent="0.25">
      <c r="A570" t="s">
        <v>1762</v>
      </c>
    </row>
    <row r="571" spans="1:1" x14ac:dyDescent="0.25">
      <c r="A571" t="s">
        <v>1911</v>
      </c>
    </row>
    <row r="572" spans="1:1" x14ac:dyDescent="0.25">
      <c r="A572" t="s">
        <v>1744</v>
      </c>
    </row>
    <row r="574" spans="1:1" x14ac:dyDescent="0.25">
      <c r="A574" t="s">
        <v>1737</v>
      </c>
    </row>
    <row r="575" spans="1:1" x14ac:dyDescent="0.25">
      <c r="A575" t="s">
        <v>1738</v>
      </c>
    </row>
    <row r="576" spans="1:1" x14ac:dyDescent="0.25">
      <c r="A576" t="s">
        <v>1912</v>
      </c>
    </row>
    <row r="577" spans="1:1" x14ac:dyDescent="0.25">
      <c r="A577" t="s">
        <v>1900</v>
      </c>
    </row>
    <row r="578" spans="1:1" x14ac:dyDescent="0.25">
      <c r="A578" t="s">
        <v>1901</v>
      </c>
    </row>
    <row r="579" spans="1:1" x14ac:dyDescent="0.25">
      <c r="A579" t="s">
        <v>1753</v>
      </c>
    </row>
    <row r="580" spans="1:1" x14ac:dyDescent="0.25">
      <c r="A580" t="s">
        <v>1741</v>
      </c>
    </row>
    <row r="581" spans="1:1" x14ac:dyDescent="0.25">
      <c r="A581" t="s">
        <v>1887</v>
      </c>
    </row>
    <row r="582" spans="1:1" x14ac:dyDescent="0.25">
      <c r="A582" t="s">
        <v>1913</v>
      </c>
    </row>
    <row r="583" spans="1:1" x14ac:dyDescent="0.25">
      <c r="A583" t="s">
        <v>1744</v>
      </c>
    </row>
    <row r="585" spans="1:1" x14ac:dyDescent="0.25">
      <c r="A585" t="s">
        <v>1737</v>
      </c>
    </row>
    <row r="586" spans="1:1" x14ac:dyDescent="0.25">
      <c r="A586" t="s">
        <v>1738</v>
      </c>
    </row>
    <row r="587" spans="1:1" x14ac:dyDescent="0.25">
      <c r="A587" t="s">
        <v>1914</v>
      </c>
    </row>
    <row r="588" spans="1:1" x14ac:dyDescent="0.25">
      <c r="A588" t="s">
        <v>1900</v>
      </c>
    </row>
    <row r="589" spans="1:1" x14ac:dyDescent="0.25">
      <c r="A589" t="s">
        <v>1901</v>
      </c>
    </row>
    <row r="590" spans="1:1" x14ac:dyDescent="0.25">
      <c r="A590" t="s">
        <v>1753</v>
      </c>
    </row>
    <row r="591" spans="1:1" x14ac:dyDescent="0.25">
      <c r="A591" t="s">
        <v>1741</v>
      </c>
    </row>
    <row r="592" spans="1:1" x14ac:dyDescent="0.25">
      <c r="A592" t="s">
        <v>1762</v>
      </c>
    </row>
    <row r="593" spans="1:1" x14ac:dyDescent="0.25">
      <c r="A593" t="s">
        <v>1915</v>
      </c>
    </row>
    <row r="594" spans="1:1" x14ac:dyDescent="0.25">
      <c r="A594" t="s">
        <v>1744</v>
      </c>
    </row>
    <row r="596" spans="1:1" x14ac:dyDescent="0.25">
      <c r="A596" t="s">
        <v>1737</v>
      </c>
    </row>
    <row r="597" spans="1:1" x14ac:dyDescent="0.25">
      <c r="A597" t="s">
        <v>1738</v>
      </c>
    </row>
    <row r="598" spans="1:1" x14ac:dyDescent="0.25">
      <c r="A598" t="s">
        <v>1916</v>
      </c>
    </row>
    <row r="599" spans="1:1" x14ac:dyDescent="0.25">
      <c r="A599" t="s">
        <v>1900</v>
      </c>
    </row>
    <row r="600" spans="1:1" x14ac:dyDescent="0.25">
      <c r="A600" t="s">
        <v>1901</v>
      </c>
    </row>
    <row r="601" spans="1:1" x14ac:dyDescent="0.25">
      <c r="A601" t="s">
        <v>1753</v>
      </c>
    </row>
    <row r="602" spans="1:1" x14ac:dyDescent="0.25">
      <c r="A602" t="s">
        <v>1741</v>
      </c>
    </row>
    <row r="603" spans="1:1" x14ac:dyDescent="0.25">
      <c r="A603" t="s">
        <v>1887</v>
      </c>
    </row>
    <row r="604" spans="1:1" x14ac:dyDescent="0.25">
      <c r="A604" t="s">
        <v>1917</v>
      </c>
    </row>
    <row r="605" spans="1:1" x14ac:dyDescent="0.25">
      <c r="A605" t="s">
        <v>1744</v>
      </c>
    </row>
    <row r="607" spans="1:1" x14ac:dyDescent="0.25">
      <c r="A607" t="s">
        <v>1737</v>
      </c>
    </row>
    <row r="608" spans="1:1" x14ac:dyDescent="0.25">
      <c r="A608" t="s">
        <v>1738</v>
      </c>
    </row>
    <row r="609" spans="1:1" x14ac:dyDescent="0.25">
      <c r="A609" t="s">
        <v>1918</v>
      </c>
    </row>
    <row r="610" spans="1:1" x14ac:dyDescent="0.25">
      <c r="A610" t="s">
        <v>1919</v>
      </c>
    </row>
    <row r="611" spans="1:1" x14ac:dyDescent="0.25">
      <c r="A611" t="s">
        <v>1752</v>
      </c>
    </row>
    <row r="612" spans="1:1" x14ac:dyDescent="0.25">
      <c r="A612" t="s">
        <v>1753</v>
      </c>
    </row>
    <row r="613" spans="1:1" x14ac:dyDescent="0.25">
      <c r="A613" t="s">
        <v>1741</v>
      </c>
    </row>
    <row r="614" spans="1:1" x14ac:dyDescent="0.25">
      <c r="A614" t="s">
        <v>1762</v>
      </c>
    </row>
    <row r="615" spans="1:1" x14ac:dyDescent="0.25">
      <c r="A615" t="s">
        <v>1920</v>
      </c>
    </row>
    <row r="616" spans="1:1" x14ac:dyDescent="0.25">
      <c r="A616" t="s">
        <v>1744</v>
      </c>
    </row>
    <row r="618" spans="1:1" x14ac:dyDescent="0.25">
      <c r="A618" t="s">
        <v>1737</v>
      </c>
    </row>
    <row r="619" spans="1:1" x14ac:dyDescent="0.25">
      <c r="A619" t="s">
        <v>1738</v>
      </c>
    </row>
    <row r="620" spans="1:1" x14ac:dyDescent="0.25">
      <c r="A620" t="s">
        <v>1921</v>
      </c>
    </row>
    <row r="621" spans="1:1" x14ac:dyDescent="0.25">
      <c r="A621" t="s">
        <v>1922</v>
      </c>
    </row>
    <row r="622" spans="1:1" x14ac:dyDescent="0.25">
      <c r="A622" t="s">
        <v>1901</v>
      </c>
    </row>
    <row r="623" spans="1:1" x14ac:dyDescent="0.25">
      <c r="A623" t="s">
        <v>1753</v>
      </c>
    </row>
    <row r="624" spans="1:1" x14ac:dyDescent="0.25">
      <c r="A624" t="s">
        <v>1741</v>
      </c>
    </row>
    <row r="625" spans="1:1" x14ac:dyDescent="0.25">
      <c r="A625" t="s">
        <v>1762</v>
      </c>
    </row>
    <row r="626" spans="1:1" x14ac:dyDescent="0.25">
      <c r="A626" t="s">
        <v>1923</v>
      </c>
    </row>
    <row r="627" spans="1:1" x14ac:dyDescent="0.25">
      <c r="A627" t="s">
        <v>1744</v>
      </c>
    </row>
    <row r="629" spans="1:1" x14ac:dyDescent="0.25">
      <c r="A629" t="s">
        <v>1737</v>
      </c>
    </row>
    <row r="630" spans="1:1" x14ac:dyDescent="0.25">
      <c r="A630" t="s">
        <v>1738</v>
      </c>
    </row>
    <row r="631" spans="1:1" x14ac:dyDescent="0.25">
      <c r="A631" t="s">
        <v>1924</v>
      </c>
    </row>
    <row r="632" spans="1:1" x14ac:dyDescent="0.25">
      <c r="A632" t="s">
        <v>1925</v>
      </c>
    </row>
    <row r="633" spans="1:1" x14ac:dyDescent="0.25">
      <c r="A633" t="s">
        <v>1882</v>
      </c>
    </row>
    <row r="634" spans="1:1" x14ac:dyDescent="0.25">
      <c r="A634" t="s">
        <v>1753</v>
      </c>
    </row>
    <row r="635" spans="1:1" x14ac:dyDescent="0.25">
      <c r="A635" t="s">
        <v>1741</v>
      </c>
    </row>
    <row r="636" spans="1:1" x14ac:dyDescent="0.25">
      <c r="A636" t="s">
        <v>1887</v>
      </c>
    </row>
    <row r="637" spans="1:1" x14ac:dyDescent="0.25">
      <c r="A637" t="s">
        <v>1926</v>
      </c>
    </row>
    <row r="638" spans="1:1" x14ac:dyDescent="0.25">
      <c r="A638" t="s">
        <v>1744</v>
      </c>
    </row>
    <row r="640" spans="1:1" x14ac:dyDescent="0.25">
      <c r="A640" t="s">
        <v>1737</v>
      </c>
    </row>
    <row r="641" spans="1:1" x14ac:dyDescent="0.25">
      <c r="A641" t="s">
        <v>1738</v>
      </c>
    </row>
    <row r="642" spans="1:1" x14ac:dyDescent="0.25">
      <c r="A642" t="s">
        <v>1927</v>
      </c>
    </row>
    <row r="643" spans="1:1" x14ac:dyDescent="0.25">
      <c r="A643" t="s">
        <v>1928</v>
      </c>
    </row>
    <row r="644" spans="1:1" x14ac:dyDescent="0.25">
      <c r="A644" t="s">
        <v>1929</v>
      </c>
    </row>
    <row r="645" spans="1:1" x14ac:dyDescent="0.25">
      <c r="A645" t="s">
        <v>1753</v>
      </c>
    </row>
    <row r="646" spans="1:1" x14ac:dyDescent="0.25">
      <c r="A646" t="s">
        <v>1741</v>
      </c>
    </row>
    <row r="647" spans="1:1" x14ac:dyDescent="0.25">
      <c r="A647" t="s">
        <v>1762</v>
      </c>
    </row>
    <row r="648" spans="1:1" x14ac:dyDescent="0.25">
      <c r="A648" t="s">
        <v>1930</v>
      </c>
    </row>
    <row r="649" spans="1:1" x14ac:dyDescent="0.25">
      <c r="A649" t="s">
        <v>1744</v>
      </c>
    </row>
    <row r="651" spans="1:1" x14ac:dyDescent="0.25">
      <c r="A651" t="s">
        <v>1737</v>
      </c>
    </row>
    <row r="652" spans="1:1" x14ac:dyDescent="0.25">
      <c r="A652" t="s">
        <v>1738</v>
      </c>
    </row>
    <row r="653" spans="1:1" x14ac:dyDescent="0.25">
      <c r="A653" t="s">
        <v>1931</v>
      </c>
    </row>
    <row r="654" spans="1:1" x14ac:dyDescent="0.25">
      <c r="A654" t="s">
        <v>1922</v>
      </c>
    </row>
    <row r="655" spans="1:1" x14ac:dyDescent="0.25">
      <c r="A655" t="s">
        <v>1901</v>
      </c>
    </row>
    <row r="656" spans="1:1" x14ac:dyDescent="0.25">
      <c r="A656" t="s">
        <v>1753</v>
      </c>
    </row>
    <row r="657" spans="1:1" x14ac:dyDescent="0.25">
      <c r="A657" t="s">
        <v>1741</v>
      </c>
    </row>
    <row r="658" spans="1:1" x14ac:dyDescent="0.25">
      <c r="A658" t="s">
        <v>1762</v>
      </c>
    </row>
    <row r="659" spans="1:1" x14ac:dyDescent="0.25">
      <c r="A659" t="s">
        <v>1932</v>
      </c>
    </row>
    <row r="660" spans="1:1" x14ac:dyDescent="0.25">
      <c r="A660" t="s">
        <v>1744</v>
      </c>
    </row>
    <row r="662" spans="1:1" x14ac:dyDescent="0.25">
      <c r="A662" t="s">
        <v>1737</v>
      </c>
    </row>
    <row r="663" spans="1:1" x14ac:dyDescent="0.25">
      <c r="A663" t="s">
        <v>1738</v>
      </c>
    </row>
    <row r="664" spans="1:1" x14ac:dyDescent="0.25">
      <c r="A664" t="s">
        <v>1933</v>
      </c>
    </row>
    <row r="665" spans="1:1" x14ac:dyDescent="0.25">
      <c r="A665" t="s">
        <v>1922</v>
      </c>
    </row>
    <row r="666" spans="1:1" x14ac:dyDescent="0.25">
      <c r="A666" t="s">
        <v>1901</v>
      </c>
    </row>
    <row r="667" spans="1:1" x14ac:dyDescent="0.25">
      <c r="A667" t="s">
        <v>1753</v>
      </c>
    </row>
    <row r="668" spans="1:1" x14ac:dyDescent="0.25">
      <c r="A668" t="s">
        <v>1741</v>
      </c>
    </row>
    <row r="669" spans="1:1" x14ac:dyDescent="0.25">
      <c r="A669" t="s">
        <v>1887</v>
      </c>
    </row>
    <row r="670" spans="1:1" x14ac:dyDescent="0.25">
      <c r="A670" t="s">
        <v>1934</v>
      </c>
    </row>
    <row r="671" spans="1:1" x14ac:dyDescent="0.25">
      <c r="A671" t="s">
        <v>1744</v>
      </c>
    </row>
    <row r="673" spans="1:1" x14ac:dyDescent="0.25">
      <c r="A673" t="s">
        <v>1737</v>
      </c>
    </row>
    <row r="674" spans="1:1" x14ac:dyDescent="0.25">
      <c r="A674" t="s">
        <v>1738</v>
      </c>
    </row>
    <row r="675" spans="1:1" x14ac:dyDescent="0.25">
      <c r="A675" t="s">
        <v>1935</v>
      </c>
    </row>
    <row r="676" spans="1:1" x14ac:dyDescent="0.25">
      <c r="A676" t="s">
        <v>1922</v>
      </c>
    </row>
    <row r="677" spans="1:1" x14ac:dyDescent="0.25">
      <c r="A677" t="s">
        <v>1901</v>
      </c>
    </row>
    <row r="678" spans="1:1" x14ac:dyDescent="0.25">
      <c r="A678" t="s">
        <v>1753</v>
      </c>
    </row>
    <row r="679" spans="1:1" x14ac:dyDescent="0.25">
      <c r="A679" t="s">
        <v>1741</v>
      </c>
    </row>
    <row r="680" spans="1:1" x14ac:dyDescent="0.25">
      <c r="A680" t="s">
        <v>1762</v>
      </c>
    </row>
    <row r="681" spans="1:1" x14ac:dyDescent="0.25">
      <c r="A681" t="s">
        <v>1936</v>
      </c>
    </row>
    <row r="682" spans="1:1" x14ac:dyDescent="0.25">
      <c r="A682" t="s">
        <v>1744</v>
      </c>
    </row>
    <row r="684" spans="1:1" x14ac:dyDescent="0.25">
      <c r="A684" t="s">
        <v>1737</v>
      </c>
    </row>
    <row r="685" spans="1:1" x14ac:dyDescent="0.25">
      <c r="A685" t="s">
        <v>1738</v>
      </c>
    </row>
    <row r="686" spans="1:1" x14ac:dyDescent="0.25">
      <c r="A686" t="s">
        <v>1937</v>
      </c>
    </row>
    <row r="687" spans="1:1" x14ac:dyDescent="0.25">
      <c r="A687" t="s">
        <v>1922</v>
      </c>
    </row>
    <row r="688" spans="1:1" x14ac:dyDescent="0.25">
      <c r="A688" t="s">
        <v>1901</v>
      </c>
    </row>
    <row r="689" spans="1:1" x14ac:dyDescent="0.25">
      <c r="A689" t="s">
        <v>1753</v>
      </c>
    </row>
    <row r="690" spans="1:1" x14ac:dyDescent="0.25">
      <c r="A690" t="s">
        <v>1741</v>
      </c>
    </row>
    <row r="691" spans="1:1" x14ac:dyDescent="0.25">
      <c r="A691" t="s">
        <v>1887</v>
      </c>
    </row>
    <row r="692" spans="1:1" x14ac:dyDescent="0.25">
      <c r="A692" t="s">
        <v>1938</v>
      </c>
    </row>
    <row r="693" spans="1:1" x14ac:dyDescent="0.25">
      <c r="A693" t="s">
        <v>1744</v>
      </c>
    </row>
    <row r="695" spans="1:1" x14ac:dyDescent="0.25">
      <c r="A695" t="s">
        <v>1737</v>
      </c>
    </row>
    <row r="696" spans="1:1" x14ac:dyDescent="0.25">
      <c r="A696" t="s">
        <v>1738</v>
      </c>
    </row>
    <row r="697" spans="1:1" x14ac:dyDescent="0.25">
      <c r="A697" t="s">
        <v>1939</v>
      </c>
    </row>
    <row r="698" spans="1:1" x14ac:dyDescent="0.25">
      <c r="A698" t="s">
        <v>1922</v>
      </c>
    </row>
    <row r="699" spans="1:1" x14ac:dyDescent="0.25">
      <c r="A699" t="s">
        <v>1901</v>
      </c>
    </row>
    <row r="700" spans="1:1" x14ac:dyDescent="0.25">
      <c r="A700" t="s">
        <v>1753</v>
      </c>
    </row>
    <row r="701" spans="1:1" x14ac:dyDescent="0.25">
      <c r="A701" t="s">
        <v>1741</v>
      </c>
    </row>
    <row r="702" spans="1:1" x14ac:dyDescent="0.25">
      <c r="A702" t="s">
        <v>1762</v>
      </c>
    </row>
    <row r="703" spans="1:1" x14ac:dyDescent="0.25">
      <c r="A703" t="s">
        <v>1940</v>
      </c>
    </row>
    <row r="704" spans="1:1" x14ac:dyDescent="0.25">
      <c r="A704" t="s">
        <v>1744</v>
      </c>
    </row>
    <row r="706" spans="1:1" x14ac:dyDescent="0.25">
      <c r="A706" t="s">
        <v>1737</v>
      </c>
    </row>
    <row r="707" spans="1:1" x14ac:dyDescent="0.25">
      <c r="A707" t="s">
        <v>1738</v>
      </c>
    </row>
    <row r="708" spans="1:1" x14ac:dyDescent="0.25">
      <c r="A708" t="s">
        <v>1941</v>
      </c>
    </row>
    <row r="709" spans="1:1" x14ac:dyDescent="0.25">
      <c r="A709" t="s">
        <v>1922</v>
      </c>
    </row>
    <row r="710" spans="1:1" x14ac:dyDescent="0.25">
      <c r="A710" t="s">
        <v>1901</v>
      </c>
    </row>
    <row r="711" spans="1:1" x14ac:dyDescent="0.25">
      <c r="A711" t="s">
        <v>1753</v>
      </c>
    </row>
    <row r="712" spans="1:1" x14ac:dyDescent="0.25">
      <c r="A712" t="s">
        <v>1741</v>
      </c>
    </row>
    <row r="713" spans="1:1" x14ac:dyDescent="0.25">
      <c r="A713" t="s">
        <v>1762</v>
      </c>
    </row>
    <row r="714" spans="1:1" x14ac:dyDescent="0.25">
      <c r="A714" t="s">
        <v>1942</v>
      </c>
    </row>
    <row r="715" spans="1:1" x14ac:dyDescent="0.25">
      <c r="A715" t="s">
        <v>1744</v>
      </c>
    </row>
    <row r="717" spans="1:1" x14ac:dyDescent="0.25">
      <c r="A717" t="s">
        <v>1737</v>
      </c>
    </row>
    <row r="718" spans="1:1" x14ac:dyDescent="0.25">
      <c r="A718" t="s">
        <v>1738</v>
      </c>
    </row>
    <row r="719" spans="1:1" x14ac:dyDescent="0.25">
      <c r="A719" t="s">
        <v>1943</v>
      </c>
    </row>
    <row r="720" spans="1:1" x14ac:dyDescent="0.25">
      <c r="A720" t="s">
        <v>1922</v>
      </c>
    </row>
    <row r="721" spans="1:1" x14ac:dyDescent="0.25">
      <c r="A721" t="s">
        <v>1901</v>
      </c>
    </row>
    <row r="722" spans="1:1" x14ac:dyDescent="0.25">
      <c r="A722" t="s">
        <v>1753</v>
      </c>
    </row>
    <row r="723" spans="1:1" x14ac:dyDescent="0.25">
      <c r="A723" t="s">
        <v>1741</v>
      </c>
    </row>
    <row r="724" spans="1:1" x14ac:dyDescent="0.25">
      <c r="A724" t="s">
        <v>1762</v>
      </c>
    </row>
    <row r="725" spans="1:1" x14ac:dyDescent="0.25">
      <c r="A725" t="s">
        <v>1944</v>
      </c>
    </row>
    <row r="726" spans="1:1" x14ac:dyDescent="0.25">
      <c r="A726" t="s">
        <v>1744</v>
      </c>
    </row>
    <row r="728" spans="1:1" x14ac:dyDescent="0.25">
      <c r="A728" t="s">
        <v>1737</v>
      </c>
    </row>
    <row r="729" spans="1:1" x14ac:dyDescent="0.25">
      <c r="A729" t="s">
        <v>1738</v>
      </c>
    </row>
    <row r="730" spans="1:1" x14ac:dyDescent="0.25">
      <c r="A730" t="s">
        <v>1945</v>
      </c>
    </row>
    <row r="731" spans="1:1" x14ac:dyDescent="0.25">
      <c r="A731" t="s">
        <v>1946</v>
      </c>
    </row>
    <row r="732" spans="1:1" x14ac:dyDescent="0.25">
      <c r="A732" t="s">
        <v>1882</v>
      </c>
    </row>
    <row r="733" spans="1:1" x14ac:dyDescent="0.25">
      <c r="A733" t="s">
        <v>1753</v>
      </c>
    </row>
    <row r="734" spans="1:1" x14ac:dyDescent="0.25">
      <c r="A734" t="s">
        <v>1741</v>
      </c>
    </row>
    <row r="735" spans="1:1" x14ac:dyDescent="0.25">
      <c r="A735" t="s">
        <v>1883</v>
      </c>
    </row>
    <row r="736" spans="1:1" x14ac:dyDescent="0.25">
      <c r="A736" t="s">
        <v>1947</v>
      </c>
    </row>
    <row r="737" spans="1:1" x14ac:dyDescent="0.25">
      <c r="A737" t="s">
        <v>1744</v>
      </c>
    </row>
    <row r="739" spans="1:1" x14ac:dyDescent="0.25">
      <c r="A739" t="s">
        <v>1737</v>
      </c>
    </row>
    <row r="740" spans="1:1" x14ac:dyDescent="0.25">
      <c r="A740" t="s">
        <v>1738</v>
      </c>
    </row>
    <row r="741" spans="1:1" x14ac:dyDescent="0.25">
      <c r="A741" t="s">
        <v>1948</v>
      </c>
    </row>
    <row r="742" spans="1:1" x14ac:dyDescent="0.25">
      <c r="A742" t="s">
        <v>1949</v>
      </c>
    </row>
    <row r="743" spans="1:1" x14ac:dyDescent="0.25">
      <c r="A743" t="s">
        <v>1882</v>
      </c>
    </row>
    <row r="744" spans="1:1" x14ac:dyDescent="0.25">
      <c r="A744" t="s">
        <v>1753</v>
      </c>
    </row>
    <row r="745" spans="1:1" x14ac:dyDescent="0.25">
      <c r="A745" t="s">
        <v>1741</v>
      </c>
    </row>
    <row r="746" spans="1:1" x14ac:dyDescent="0.25">
      <c r="A746" t="s">
        <v>1887</v>
      </c>
    </row>
    <row r="747" spans="1:1" x14ac:dyDescent="0.25">
      <c r="A747" t="s">
        <v>1950</v>
      </c>
    </row>
    <row r="748" spans="1:1" x14ac:dyDescent="0.25">
      <c r="A748" t="s">
        <v>1744</v>
      </c>
    </row>
    <row r="750" spans="1:1" x14ac:dyDescent="0.25">
      <c r="A750" t="s">
        <v>1737</v>
      </c>
    </row>
    <row r="751" spans="1:1" x14ac:dyDescent="0.25">
      <c r="A751" t="s">
        <v>1738</v>
      </c>
    </row>
    <row r="752" spans="1:1" x14ac:dyDescent="0.25">
      <c r="A752" t="s">
        <v>1951</v>
      </c>
    </row>
    <row r="753" spans="1:1" x14ac:dyDescent="0.25">
      <c r="A753" t="s">
        <v>1952</v>
      </c>
    </row>
    <row r="754" spans="1:1" x14ac:dyDescent="0.25">
      <c r="A754" t="s">
        <v>1752</v>
      </c>
    </row>
    <row r="755" spans="1:1" x14ac:dyDescent="0.25">
      <c r="A755" t="s">
        <v>1753</v>
      </c>
    </row>
    <row r="756" spans="1:1" x14ac:dyDescent="0.25">
      <c r="A756" t="s">
        <v>1741</v>
      </c>
    </row>
    <row r="757" spans="1:1" x14ac:dyDescent="0.25">
      <c r="A757" t="s">
        <v>1887</v>
      </c>
    </row>
    <row r="758" spans="1:1" x14ac:dyDescent="0.25">
      <c r="A758" t="s">
        <v>1953</v>
      </c>
    </row>
    <row r="759" spans="1:1" x14ac:dyDescent="0.25">
      <c r="A759" t="s">
        <v>1744</v>
      </c>
    </row>
    <row r="761" spans="1:1" x14ac:dyDescent="0.25">
      <c r="A761" t="s">
        <v>1737</v>
      </c>
    </row>
    <row r="762" spans="1:1" x14ac:dyDescent="0.25">
      <c r="A762" t="s">
        <v>1738</v>
      </c>
    </row>
    <row r="763" spans="1:1" x14ac:dyDescent="0.25">
      <c r="A763" t="s">
        <v>1954</v>
      </c>
    </row>
    <row r="764" spans="1:1" x14ac:dyDescent="0.25">
      <c r="A764" t="s">
        <v>1955</v>
      </c>
    </row>
    <row r="765" spans="1:1" x14ac:dyDescent="0.25">
      <c r="A765" t="s">
        <v>1894</v>
      </c>
    </row>
    <row r="766" spans="1:1" x14ac:dyDescent="0.25">
      <c r="A766" t="s">
        <v>1753</v>
      </c>
    </row>
    <row r="767" spans="1:1" x14ac:dyDescent="0.25">
      <c r="A767" t="s">
        <v>1741</v>
      </c>
    </row>
    <row r="768" spans="1:1" x14ac:dyDescent="0.25">
      <c r="A768" t="s">
        <v>1762</v>
      </c>
    </row>
    <row r="769" spans="1:1" x14ac:dyDescent="0.25">
      <c r="A769" t="s">
        <v>1956</v>
      </c>
    </row>
    <row r="770" spans="1:1" x14ac:dyDescent="0.25">
      <c r="A770" t="s">
        <v>1744</v>
      </c>
    </row>
    <row r="772" spans="1:1" x14ac:dyDescent="0.25">
      <c r="A772" t="s">
        <v>1737</v>
      </c>
    </row>
    <row r="773" spans="1:1" x14ac:dyDescent="0.25">
      <c r="A773" t="s">
        <v>1738</v>
      </c>
    </row>
    <row r="774" spans="1:1" x14ac:dyDescent="0.25">
      <c r="A774" t="s">
        <v>1957</v>
      </c>
    </row>
    <row r="775" spans="1:1" x14ac:dyDescent="0.25">
      <c r="A775" t="s">
        <v>1958</v>
      </c>
    </row>
    <row r="776" spans="1:1" x14ac:dyDescent="0.25">
      <c r="A776" t="s">
        <v>1894</v>
      </c>
    </row>
    <row r="777" spans="1:1" x14ac:dyDescent="0.25">
      <c r="A777" t="s">
        <v>1753</v>
      </c>
    </row>
    <row r="778" spans="1:1" x14ac:dyDescent="0.25">
      <c r="A778" t="s">
        <v>1741</v>
      </c>
    </row>
    <row r="779" spans="1:1" x14ac:dyDescent="0.25">
      <c r="A779" t="s">
        <v>1762</v>
      </c>
    </row>
    <row r="780" spans="1:1" x14ac:dyDescent="0.25">
      <c r="A780" t="s">
        <v>1959</v>
      </c>
    </row>
    <row r="781" spans="1:1" x14ac:dyDescent="0.25">
      <c r="A781" t="s">
        <v>1744</v>
      </c>
    </row>
    <row r="783" spans="1:1" x14ac:dyDescent="0.25">
      <c r="A783" t="s">
        <v>1737</v>
      </c>
    </row>
    <row r="784" spans="1:1" x14ac:dyDescent="0.25">
      <c r="A784" t="s">
        <v>1738</v>
      </c>
    </row>
    <row r="785" spans="1:1" x14ac:dyDescent="0.25">
      <c r="A785" t="s">
        <v>1960</v>
      </c>
    </row>
    <row r="786" spans="1:1" x14ac:dyDescent="0.25">
      <c r="A786" t="s">
        <v>1961</v>
      </c>
    </row>
    <row r="787" spans="1:1" x14ac:dyDescent="0.25">
      <c r="A787" t="s">
        <v>1962</v>
      </c>
    </row>
    <row r="788" spans="1:1" x14ac:dyDescent="0.25">
      <c r="A788" t="s">
        <v>1753</v>
      </c>
    </row>
    <row r="789" spans="1:1" x14ac:dyDescent="0.25">
      <c r="A789" t="s">
        <v>1741</v>
      </c>
    </row>
    <row r="790" spans="1:1" x14ac:dyDescent="0.25">
      <c r="A790" t="s">
        <v>1762</v>
      </c>
    </row>
    <row r="791" spans="1:1" x14ac:dyDescent="0.25">
      <c r="A791" t="s">
        <v>1963</v>
      </c>
    </row>
    <row r="792" spans="1:1" x14ac:dyDescent="0.25">
      <c r="A792" t="s">
        <v>1744</v>
      </c>
    </row>
    <row r="794" spans="1:1" x14ac:dyDescent="0.25">
      <c r="A794" t="s">
        <v>1737</v>
      </c>
    </row>
    <row r="795" spans="1:1" x14ac:dyDescent="0.25">
      <c r="A795" t="s">
        <v>1738</v>
      </c>
    </row>
    <row r="796" spans="1:1" x14ac:dyDescent="0.25">
      <c r="A796" t="s">
        <v>1964</v>
      </c>
    </row>
    <row r="797" spans="1:1" x14ac:dyDescent="0.25">
      <c r="A797" t="s">
        <v>1965</v>
      </c>
    </row>
    <row r="798" spans="1:1" x14ac:dyDescent="0.25">
      <c r="A798" t="s">
        <v>1962</v>
      </c>
    </row>
    <row r="799" spans="1:1" x14ac:dyDescent="0.25">
      <c r="A799" t="s">
        <v>1753</v>
      </c>
    </row>
    <row r="800" spans="1:1" x14ac:dyDescent="0.25">
      <c r="A800" t="s">
        <v>1741</v>
      </c>
    </row>
    <row r="801" spans="1:1" x14ac:dyDescent="0.25">
      <c r="A801" t="s">
        <v>1887</v>
      </c>
    </row>
    <row r="802" spans="1:1" x14ac:dyDescent="0.25">
      <c r="A802" t="s">
        <v>1966</v>
      </c>
    </row>
    <row r="803" spans="1:1" x14ac:dyDescent="0.25">
      <c r="A803" t="s">
        <v>1744</v>
      </c>
    </row>
    <row r="805" spans="1:1" x14ac:dyDescent="0.25">
      <c r="A805" t="s">
        <v>1737</v>
      </c>
    </row>
    <row r="806" spans="1:1" x14ac:dyDescent="0.25">
      <c r="A806" t="s">
        <v>1738</v>
      </c>
    </row>
    <row r="807" spans="1:1" x14ac:dyDescent="0.25">
      <c r="A807" t="s">
        <v>1967</v>
      </c>
    </row>
    <row r="808" spans="1:1" x14ac:dyDescent="0.25">
      <c r="A808" t="s">
        <v>1968</v>
      </c>
    </row>
    <row r="809" spans="1:1" x14ac:dyDescent="0.25">
      <c r="A809" t="s">
        <v>1962</v>
      </c>
    </row>
    <row r="810" spans="1:1" x14ac:dyDescent="0.25">
      <c r="A810" t="s">
        <v>1753</v>
      </c>
    </row>
    <row r="811" spans="1:1" x14ac:dyDescent="0.25">
      <c r="A811" t="s">
        <v>1741</v>
      </c>
    </row>
    <row r="812" spans="1:1" x14ac:dyDescent="0.25">
      <c r="A812" t="s">
        <v>1762</v>
      </c>
    </row>
    <row r="813" spans="1:1" x14ac:dyDescent="0.25">
      <c r="A813" t="s">
        <v>1969</v>
      </c>
    </row>
    <row r="814" spans="1:1" x14ac:dyDescent="0.25">
      <c r="A814" t="s">
        <v>1744</v>
      </c>
    </row>
    <row r="816" spans="1:1" x14ac:dyDescent="0.25">
      <c r="A816" t="s">
        <v>1737</v>
      </c>
    </row>
    <row r="817" spans="1:1" x14ac:dyDescent="0.25">
      <c r="A817" t="s">
        <v>1738</v>
      </c>
    </row>
    <row r="818" spans="1:1" x14ac:dyDescent="0.25">
      <c r="A818" t="s">
        <v>1970</v>
      </c>
    </row>
    <row r="819" spans="1:1" x14ac:dyDescent="0.25">
      <c r="A819" t="s">
        <v>1968</v>
      </c>
    </row>
    <row r="820" spans="1:1" x14ac:dyDescent="0.25">
      <c r="A820" t="s">
        <v>1962</v>
      </c>
    </row>
    <row r="821" spans="1:1" x14ac:dyDescent="0.25">
      <c r="A821" t="s">
        <v>1753</v>
      </c>
    </row>
    <row r="822" spans="1:1" x14ac:dyDescent="0.25">
      <c r="A822" t="s">
        <v>1741</v>
      </c>
    </row>
    <row r="823" spans="1:1" x14ac:dyDescent="0.25">
      <c r="A823" t="s">
        <v>1762</v>
      </c>
    </row>
    <row r="824" spans="1:1" x14ac:dyDescent="0.25">
      <c r="A824" t="s">
        <v>1971</v>
      </c>
    </row>
    <row r="825" spans="1:1" x14ac:dyDescent="0.25">
      <c r="A825" t="s">
        <v>1744</v>
      </c>
    </row>
    <row r="827" spans="1:1" x14ac:dyDescent="0.25">
      <c r="A827" t="s">
        <v>1737</v>
      </c>
    </row>
    <row r="828" spans="1:1" x14ac:dyDescent="0.25">
      <c r="A828" t="s">
        <v>1738</v>
      </c>
    </row>
    <row r="829" spans="1:1" x14ac:dyDescent="0.25">
      <c r="A829" t="s">
        <v>1972</v>
      </c>
    </row>
    <row r="830" spans="1:1" x14ac:dyDescent="0.25">
      <c r="A830" t="s">
        <v>1968</v>
      </c>
    </row>
    <row r="831" spans="1:1" x14ac:dyDescent="0.25">
      <c r="A831" t="s">
        <v>1962</v>
      </c>
    </row>
    <row r="832" spans="1:1" x14ac:dyDescent="0.25">
      <c r="A832" t="s">
        <v>1753</v>
      </c>
    </row>
    <row r="833" spans="1:1" x14ac:dyDescent="0.25">
      <c r="A833" t="s">
        <v>1741</v>
      </c>
    </row>
    <row r="834" spans="1:1" x14ac:dyDescent="0.25">
      <c r="A834" t="s">
        <v>1887</v>
      </c>
    </row>
    <row r="835" spans="1:1" x14ac:dyDescent="0.25">
      <c r="A835" t="s">
        <v>1973</v>
      </c>
    </row>
    <row r="836" spans="1:1" x14ac:dyDescent="0.25">
      <c r="A836" t="s">
        <v>1744</v>
      </c>
    </row>
    <row r="838" spans="1:1" x14ac:dyDescent="0.25">
      <c r="A838" t="s">
        <v>1737</v>
      </c>
    </row>
    <row r="839" spans="1:1" x14ac:dyDescent="0.25">
      <c r="A839" t="s">
        <v>1738</v>
      </c>
    </row>
    <row r="840" spans="1:1" x14ac:dyDescent="0.25">
      <c r="A840" t="s">
        <v>1974</v>
      </c>
    </row>
    <row r="841" spans="1:1" x14ac:dyDescent="0.25">
      <c r="A841" t="s">
        <v>1968</v>
      </c>
    </row>
    <row r="842" spans="1:1" x14ac:dyDescent="0.25">
      <c r="A842" t="s">
        <v>1962</v>
      </c>
    </row>
    <row r="843" spans="1:1" x14ac:dyDescent="0.25">
      <c r="A843" t="s">
        <v>1753</v>
      </c>
    </row>
    <row r="844" spans="1:1" x14ac:dyDescent="0.25">
      <c r="A844" t="s">
        <v>1741</v>
      </c>
    </row>
    <row r="845" spans="1:1" x14ac:dyDescent="0.25">
      <c r="A845" t="s">
        <v>1887</v>
      </c>
    </row>
    <row r="846" spans="1:1" x14ac:dyDescent="0.25">
      <c r="A846" t="s">
        <v>1975</v>
      </c>
    </row>
    <row r="847" spans="1:1" x14ac:dyDescent="0.25">
      <c r="A847" t="s">
        <v>1744</v>
      </c>
    </row>
    <row r="849" spans="1:1" x14ac:dyDescent="0.25">
      <c r="A849" t="s">
        <v>1737</v>
      </c>
    </row>
    <row r="850" spans="1:1" x14ac:dyDescent="0.25">
      <c r="A850" t="s">
        <v>1738</v>
      </c>
    </row>
    <row r="851" spans="1:1" x14ac:dyDescent="0.25">
      <c r="A851" t="s">
        <v>1976</v>
      </c>
    </row>
    <row r="852" spans="1:1" x14ac:dyDescent="0.25">
      <c r="A852" t="s">
        <v>1968</v>
      </c>
    </row>
    <row r="853" spans="1:1" x14ac:dyDescent="0.25">
      <c r="A853" t="s">
        <v>1962</v>
      </c>
    </row>
    <row r="854" spans="1:1" x14ac:dyDescent="0.25">
      <c r="A854" t="s">
        <v>1753</v>
      </c>
    </row>
    <row r="855" spans="1:1" x14ac:dyDescent="0.25">
      <c r="A855" t="s">
        <v>1741</v>
      </c>
    </row>
    <row r="856" spans="1:1" x14ac:dyDescent="0.25">
      <c r="A856" t="s">
        <v>1762</v>
      </c>
    </row>
    <row r="857" spans="1:1" x14ac:dyDescent="0.25">
      <c r="A857" t="s">
        <v>1977</v>
      </c>
    </row>
    <row r="858" spans="1:1" x14ac:dyDescent="0.25">
      <c r="A858" t="s">
        <v>1744</v>
      </c>
    </row>
    <row r="860" spans="1:1" x14ac:dyDescent="0.25">
      <c r="A860" t="s">
        <v>1737</v>
      </c>
    </row>
    <row r="861" spans="1:1" x14ac:dyDescent="0.25">
      <c r="A861" t="s">
        <v>1738</v>
      </c>
    </row>
    <row r="862" spans="1:1" x14ac:dyDescent="0.25">
      <c r="A862" t="s">
        <v>1978</v>
      </c>
    </row>
    <row r="863" spans="1:1" x14ac:dyDescent="0.25">
      <c r="A863" t="s">
        <v>1968</v>
      </c>
    </row>
    <row r="864" spans="1:1" x14ac:dyDescent="0.25">
      <c r="A864" t="s">
        <v>1962</v>
      </c>
    </row>
    <row r="865" spans="1:1" x14ac:dyDescent="0.25">
      <c r="A865" t="s">
        <v>1753</v>
      </c>
    </row>
    <row r="866" spans="1:1" x14ac:dyDescent="0.25">
      <c r="A866" t="s">
        <v>1741</v>
      </c>
    </row>
    <row r="867" spans="1:1" x14ac:dyDescent="0.25">
      <c r="A867" t="s">
        <v>1887</v>
      </c>
    </row>
    <row r="868" spans="1:1" x14ac:dyDescent="0.25">
      <c r="A868" t="s">
        <v>1979</v>
      </c>
    </row>
    <row r="869" spans="1:1" x14ac:dyDescent="0.25">
      <c r="A869" t="s">
        <v>1744</v>
      </c>
    </row>
    <row r="871" spans="1:1" x14ac:dyDescent="0.25">
      <c r="A871" t="s">
        <v>1737</v>
      </c>
    </row>
    <row r="872" spans="1:1" x14ac:dyDescent="0.25">
      <c r="A872" t="s">
        <v>1738</v>
      </c>
    </row>
    <row r="873" spans="1:1" x14ac:dyDescent="0.25">
      <c r="A873" t="s">
        <v>1980</v>
      </c>
    </row>
    <row r="874" spans="1:1" x14ac:dyDescent="0.25">
      <c r="A874" t="s">
        <v>1968</v>
      </c>
    </row>
    <row r="875" spans="1:1" x14ac:dyDescent="0.25">
      <c r="A875" t="s">
        <v>1962</v>
      </c>
    </row>
    <row r="876" spans="1:1" x14ac:dyDescent="0.25">
      <c r="A876" t="s">
        <v>1753</v>
      </c>
    </row>
    <row r="877" spans="1:1" x14ac:dyDescent="0.25">
      <c r="A877" t="s">
        <v>1741</v>
      </c>
    </row>
    <row r="878" spans="1:1" x14ac:dyDescent="0.25">
      <c r="A878" t="s">
        <v>1762</v>
      </c>
    </row>
    <row r="879" spans="1:1" x14ac:dyDescent="0.25">
      <c r="A879" t="s">
        <v>1981</v>
      </c>
    </row>
    <row r="880" spans="1:1" x14ac:dyDescent="0.25">
      <c r="A880" t="s">
        <v>1744</v>
      </c>
    </row>
    <row r="882" spans="1:1" x14ac:dyDescent="0.25">
      <c r="A882" t="s">
        <v>1737</v>
      </c>
    </row>
    <row r="883" spans="1:1" x14ac:dyDescent="0.25">
      <c r="A883" t="s">
        <v>1738</v>
      </c>
    </row>
    <row r="884" spans="1:1" x14ac:dyDescent="0.25">
      <c r="A884" t="s">
        <v>1982</v>
      </c>
    </row>
    <row r="885" spans="1:1" x14ac:dyDescent="0.25">
      <c r="A885" t="s">
        <v>1968</v>
      </c>
    </row>
    <row r="886" spans="1:1" x14ac:dyDescent="0.25">
      <c r="A886" t="s">
        <v>1962</v>
      </c>
    </row>
    <row r="887" spans="1:1" x14ac:dyDescent="0.25">
      <c r="A887" t="s">
        <v>1753</v>
      </c>
    </row>
    <row r="888" spans="1:1" x14ac:dyDescent="0.25">
      <c r="A888" t="s">
        <v>1741</v>
      </c>
    </row>
    <row r="889" spans="1:1" x14ac:dyDescent="0.25">
      <c r="A889" t="s">
        <v>1887</v>
      </c>
    </row>
    <row r="890" spans="1:1" x14ac:dyDescent="0.25">
      <c r="A890" t="s">
        <v>1983</v>
      </c>
    </row>
    <row r="891" spans="1:1" x14ac:dyDescent="0.25">
      <c r="A891" t="s">
        <v>1744</v>
      </c>
    </row>
    <row r="893" spans="1:1" x14ac:dyDescent="0.25">
      <c r="A893" t="s">
        <v>1737</v>
      </c>
    </row>
    <row r="894" spans="1:1" x14ac:dyDescent="0.25">
      <c r="A894" t="s">
        <v>1738</v>
      </c>
    </row>
    <row r="895" spans="1:1" x14ac:dyDescent="0.25">
      <c r="A895" t="s">
        <v>1984</v>
      </c>
    </row>
    <row r="896" spans="1:1" x14ac:dyDescent="0.25">
      <c r="A896" t="s">
        <v>1985</v>
      </c>
    </row>
    <row r="897" spans="1:1" x14ac:dyDescent="0.25">
      <c r="A897" t="s">
        <v>1986</v>
      </c>
    </row>
    <row r="898" spans="1:1" x14ac:dyDescent="0.25">
      <c r="A898" t="s">
        <v>1753</v>
      </c>
    </row>
    <row r="899" spans="1:1" x14ac:dyDescent="0.25">
      <c r="A899" t="s">
        <v>1741</v>
      </c>
    </row>
    <row r="900" spans="1:1" x14ac:dyDescent="0.25">
      <c r="A900" t="s">
        <v>1762</v>
      </c>
    </row>
    <row r="901" spans="1:1" x14ac:dyDescent="0.25">
      <c r="A901" t="s">
        <v>1987</v>
      </c>
    </row>
    <row r="902" spans="1:1" x14ac:dyDescent="0.25">
      <c r="A902" t="s">
        <v>1744</v>
      </c>
    </row>
    <row r="904" spans="1:1" x14ac:dyDescent="0.25">
      <c r="A904" t="s">
        <v>1737</v>
      </c>
    </row>
    <row r="905" spans="1:1" x14ac:dyDescent="0.25">
      <c r="A905" t="s">
        <v>1738</v>
      </c>
    </row>
    <row r="906" spans="1:1" x14ac:dyDescent="0.25">
      <c r="A906" t="s">
        <v>1988</v>
      </c>
    </row>
    <row r="907" spans="1:1" x14ac:dyDescent="0.25">
      <c r="A907" t="s">
        <v>1989</v>
      </c>
    </row>
    <row r="908" spans="1:1" x14ac:dyDescent="0.25">
      <c r="A908" t="s">
        <v>1990</v>
      </c>
    </row>
    <row r="909" spans="1:1" x14ac:dyDescent="0.25">
      <c r="A909" t="s">
        <v>1753</v>
      </c>
    </row>
    <row r="910" spans="1:1" x14ac:dyDescent="0.25">
      <c r="A910" t="s">
        <v>1741</v>
      </c>
    </row>
    <row r="911" spans="1:1" x14ac:dyDescent="0.25">
      <c r="A911" t="s">
        <v>1762</v>
      </c>
    </row>
    <row r="912" spans="1:1" x14ac:dyDescent="0.25">
      <c r="A912" t="s">
        <v>1991</v>
      </c>
    </row>
    <row r="913" spans="1:1" x14ac:dyDescent="0.25">
      <c r="A913" t="s">
        <v>1744</v>
      </c>
    </row>
    <row r="915" spans="1:1" x14ac:dyDescent="0.25">
      <c r="A915" t="s">
        <v>1737</v>
      </c>
    </row>
    <row r="916" spans="1:1" x14ac:dyDescent="0.25">
      <c r="A916" t="s">
        <v>1738</v>
      </c>
    </row>
    <row r="917" spans="1:1" x14ac:dyDescent="0.25">
      <c r="A917" t="s">
        <v>1992</v>
      </c>
    </row>
    <row r="918" spans="1:1" x14ac:dyDescent="0.25">
      <c r="A918" t="s">
        <v>1993</v>
      </c>
    </row>
    <row r="919" spans="1:1" x14ac:dyDescent="0.25">
      <c r="A919" t="s">
        <v>1994</v>
      </c>
    </row>
    <row r="920" spans="1:1" x14ac:dyDescent="0.25">
      <c r="A920" t="s">
        <v>1753</v>
      </c>
    </row>
    <row r="921" spans="1:1" x14ac:dyDescent="0.25">
      <c r="A921" t="s">
        <v>1741</v>
      </c>
    </row>
    <row r="922" spans="1:1" x14ac:dyDescent="0.25">
      <c r="A922" t="s">
        <v>1995</v>
      </c>
    </row>
    <row r="923" spans="1:1" x14ac:dyDescent="0.25">
      <c r="A923" t="s">
        <v>1996</v>
      </c>
    </row>
    <row r="924" spans="1:1" x14ac:dyDescent="0.25">
      <c r="A924" t="s">
        <v>1744</v>
      </c>
    </row>
    <row r="926" spans="1:1" x14ac:dyDescent="0.25">
      <c r="A926" t="s">
        <v>1737</v>
      </c>
    </row>
    <row r="927" spans="1:1" x14ac:dyDescent="0.25">
      <c r="A927" t="s">
        <v>1738</v>
      </c>
    </row>
    <row r="928" spans="1:1" x14ac:dyDescent="0.25">
      <c r="A928" t="s">
        <v>1997</v>
      </c>
    </row>
    <row r="929" spans="1:1" x14ac:dyDescent="0.25">
      <c r="A929" t="s">
        <v>1998</v>
      </c>
    </row>
    <row r="930" spans="1:1" x14ac:dyDescent="0.25">
      <c r="A930" t="s">
        <v>1752</v>
      </c>
    </row>
    <row r="931" spans="1:1" x14ac:dyDescent="0.25">
      <c r="A931" t="s">
        <v>1753</v>
      </c>
    </row>
    <row r="932" spans="1:1" x14ac:dyDescent="0.25">
      <c r="A932" t="s">
        <v>1741</v>
      </c>
    </row>
    <row r="933" spans="1:1" x14ac:dyDescent="0.25">
      <c r="A933" t="s">
        <v>1762</v>
      </c>
    </row>
    <row r="934" spans="1:1" x14ac:dyDescent="0.25">
      <c r="A934" t="s">
        <v>1999</v>
      </c>
    </row>
    <row r="935" spans="1:1" x14ac:dyDescent="0.25">
      <c r="A935" t="s">
        <v>1744</v>
      </c>
    </row>
    <row r="937" spans="1:1" x14ac:dyDescent="0.25">
      <c r="A937" t="s">
        <v>1737</v>
      </c>
    </row>
    <row r="938" spans="1:1" x14ac:dyDescent="0.25">
      <c r="A938" t="s">
        <v>1738</v>
      </c>
    </row>
    <row r="939" spans="1:1" x14ac:dyDescent="0.25">
      <c r="A939" t="s">
        <v>2000</v>
      </c>
    </row>
    <row r="940" spans="1:1" x14ac:dyDescent="0.25">
      <c r="A940" t="s">
        <v>2001</v>
      </c>
    </row>
    <row r="941" spans="1:1" x14ac:dyDescent="0.25">
      <c r="A941" t="s">
        <v>2002</v>
      </c>
    </row>
    <row r="942" spans="1:1" x14ac:dyDescent="0.25">
      <c r="A942" t="s">
        <v>1753</v>
      </c>
    </row>
    <row r="943" spans="1:1" x14ac:dyDescent="0.25">
      <c r="A943" t="s">
        <v>1741</v>
      </c>
    </row>
    <row r="944" spans="1:1" x14ac:dyDescent="0.25">
      <c r="A944" t="s">
        <v>1887</v>
      </c>
    </row>
    <row r="945" spans="1:1" x14ac:dyDescent="0.25">
      <c r="A945" t="s">
        <v>2003</v>
      </c>
    </row>
    <row r="946" spans="1:1" x14ac:dyDescent="0.25">
      <c r="A946" t="s">
        <v>1744</v>
      </c>
    </row>
    <row r="948" spans="1:1" x14ac:dyDescent="0.25">
      <c r="A948" t="s">
        <v>1737</v>
      </c>
    </row>
    <row r="949" spans="1:1" x14ac:dyDescent="0.25">
      <c r="A949" t="s">
        <v>1738</v>
      </c>
    </row>
    <row r="950" spans="1:1" x14ac:dyDescent="0.25">
      <c r="A950" t="s">
        <v>2004</v>
      </c>
    </row>
    <row r="951" spans="1:1" x14ac:dyDescent="0.25">
      <c r="A951" t="s">
        <v>2005</v>
      </c>
    </row>
    <row r="952" spans="1:1" x14ac:dyDescent="0.25">
      <c r="A952" t="s">
        <v>2006</v>
      </c>
    </row>
    <row r="953" spans="1:1" x14ac:dyDescent="0.25">
      <c r="A953" t="s">
        <v>1753</v>
      </c>
    </row>
    <row r="954" spans="1:1" x14ac:dyDescent="0.25">
      <c r="A954" t="s">
        <v>1741</v>
      </c>
    </row>
    <row r="955" spans="1:1" x14ac:dyDescent="0.25">
      <c r="A955" t="s">
        <v>1762</v>
      </c>
    </row>
    <row r="956" spans="1:1" x14ac:dyDescent="0.25">
      <c r="A956" t="s">
        <v>2007</v>
      </c>
    </row>
    <row r="957" spans="1:1" x14ac:dyDescent="0.25">
      <c r="A957" t="s">
        <v>1744</v>
      </c>
    </row>
    <row r="959" spans="1:1" x14ac:dyDescent="0.25">
      <c r="A959" t="s">
        <v>1737</v>
      </c>
    </row>
    <row r="960" spans="1:1" x14ac:dyDescent="0.25">
      <c r="A960" t="s">
        <v>1738</v>
      </c>
    </row>
    <row r="961" spans="1:1" x14ac:dyDescent="0.25">
      <c r="A961" t="s">
        <v>2008</v>
      </c>
    </row>
    <row r="962" spans="1:1" x14ac:dyDescent="0.25">
      <c r="A962" t="s">
        <v>2009</v>
      </c>
    </row>
    <row r="963" spans="1:1" x14ac:dyDescent="0.25">
      <c r="A963" t="s">
        <v>2010</v>
      </c>
    </row>
    <row r="964" spans="1:1" x14ac:dyDescent="0.25">
      <c r="A964" t="s">
        <v>1753</v>
      </c>
    </row>
    <row r="965" spans="1:1" x14ac:dyDescent="0.25">
      <c r="A965" t="s">
        <v>1741</v>
      </c>
    </row>
    <row r="966" spans="1:1" x14ac:dyDescent="0.25">
      <c r="A966" t="s">
        <v>2011</v>
      </c>
    </row>
    <row r="967" spans="1:1" x14ac:dyDescent="0.25">
      <c r="A967" t="s">
        <v>2012</v>
      </c>
    </row>
    <row r="968" spans="1:1" x14ac:dyDescent="0.25">
      <c r="A968" t="s">
        <v>1744</v>
      </c>
    </row>
    <row r="970" spans="1:1" x14ac:dyDescent="0.25">
      <c r="A970" t="s">
        <v>1737</v>
      </c>
    </row>
    <row r="971" spans="1:1" x14ac:dyDescent="0.25">
      <c r="A971" t="s">
        <v>1738</v>
      </c>
    </row>
    <row r="972" spans="1:1" x14ac:dyDescent="0.25">
      <c r="A972" t="s">
        <v>2013</v>
      </c>
    </row>
    <row r="973" spans="1:1" x14ac:dyDescent="0.25">
      <c r="A973" t="s">
        <v>2014</v>
      </c>
    </row>
    <row r="974" spans="1:1" x14ac:dyDescent="0.25">
      <c r="A974" t="s">
        <v>2010</v>
      </c>
    </row>
    <row r="975" spans="1:1" x14ac:dyDescent="0.25">
      <c r="A975" t="s">
        <v>1753</v>
      </c>
    </row>
    <row r="976" spans="1:1" x14ac:dyDescent="0.25">
      <c r="A976" t="s">
        <v>1741</v>
      </c>
    </row>
    <row r="977" spans="1:1" x14ac:dyDescent="0.25">
      <c r="A977" t="s">
        <v>1762</v>
      </c>
    </row>
    <row r="978" spans="1:1" x14ac:dyDescent="0.25">
      <c r="A978" t="s">
        <v>2015</v>
      </c>
    </row>
    <row r="979" spans="1:1" x14ac:dyDescent="0.25">
      <c r="A979" t="s">
        <v>1744</v>
      </c>
    </row>
    <row r="981" spans="1:1" x14ac:dyDescent="0.25">
      <c r="A981" t="s">
        <v>1737</v>
      </c>
    </row>
    <row r="982" spans="1:1" x14ac:dyDescent="0.25">
      <c r="A982" t="s">
        <v>1738</v>
      </c>
    </row>
    <row r="983" spans="1:1" x14ac:dyDescent="0.25">
      <c r="A983" t="s">
        <v>2016</v>
      </c>
    </row>
    <row r="984" spans="1:1" x14ac:dyDescent="0.25">
      <c r="A984" t="s">
        <v>2017</v>
      </c>
    </row>
    <row r="985" spans="1:1" x14ac:dyDescent="0.25">
      <c r="A985" t="s">
        <v>1797</v>
      </c>
    </row>
    <row r="986" spans="1:1" x14ac:dyDescent="0.25">
      <c r="A986" t="s">
        <v>1753</v>
      </c>
    </row>
    <row r="987" spans="1:1" x14ac:dyDescent="0.25">
      <c r="A987" t="s">
        <v>1741</v>
      </c>
    </row>
    <row r="988" spans="1:1" x14ac:dyDescent="0.25">
      <c r="A988" t="s">
        <v>1762</v>
      </c>
    </row>
    <row r="989" spans="1:1" x14ac:dyDescent="0.25">
      <c r="A989" t="s">
        <v>2018</v>
      </c>
    </row>
    <row r="990" spans="1:1" x14ac:dyDescent="0.25">
      <c r="A990" t="s">
        <v>1744</v>
      </c>
    </row>
    <row r="992" spans="1:1" x14ac:dyDescent="0.25">
      <c r="A992" t="s">
        <v>1737</v>
      </c>
    </row>
    <row r="993" spans="1:1" x14ac:dyDescent="0.25">
      <c r="A993" t="s">
        <v>1738</v>
      </c>
    </row>
    <row r="994" spans="1:1" x14ac:dyDescent="0.25">
      <c r="A994" t="s">
        <v>2019</v>
      </c>
    </row>
    <row r="995" spans="1:1" x14ac:dyDescent="0.25">
      <c r="A995" t="s">
        <v>2020</v>
      </c>
    </row>
    <row r="996" spans="1:1" x14ac:dyDescent="0.25">
      <c r="A996" t="s">
        <v>2021</v>
      </c>
    </row>
    <row r="997" spans="1:1" x14ac:dyDescent="0.25">
      <c r="A997" t="s">
        <v>1753</v>
      </c>
    </row>
    <row r="998" spans="1:1" x14ac:dyDescent="0.25">
      <c r="A998" t="s">
        <v>1741</v>
      </c>
    </row>
    <row r="999" spans="1:1" x14ac:dyDescent="0.25">
      <c r="A999" t="s">
        <v>2022</v>
      </c>
    </row>
    <row r="1000" spans="1:1" x14ac:dyDescent="0.25">
      <c r="A1000" t="s">
        <v>2023</v>
      </c>
    </row>
    <row r="1001" spans="1:1" x14ac:dyDescent="0.25">
      <c r="A1001" t="s">
        <v>1744</v>
      </c>
    </row>
    <row r="1003" spans="1:1" x14ac:dyDescent="0.25">
      <c r="A1003" t="s">
        <v>1737</v>
      </c>
    </row>
    <row r="1004" spans="1:1" x14ac:dyDescent="0.25">
      <c r="A1004" t="s">
        <v>1738</v>
      </c>
    </row>
    <row r="1005" spans="1:1" x14ac:dyDescent="0.25">
      <c r="A1005" t="s">
        <v>2024</v>
      </c>
    </row>
    <row r="1006" spans="1:1" x14ac:dyDescent="0.25">
      <c r="A1006" t="s">
        <v>2025</v>
      </c>
    </row>
    <row r="1007" spans="1:1" x14ac:dyDescent="0.25">
      <c r="A1007" t="s">
        <v>1990</v>
      </c>
    </row>
    <row r="1008" spans="1:1" x14ac:dyDescent="0.25">
      <c r="A1008" t="s">
        <v>1753</v>
      </c>
    </row>
    <row r="1009" spans="1:1" x14ac:dyDescent="0.25">
      <c r="A1009" t="s">
        <v>1741</v>
      </c>
    </row>
    <row r="1010" spans="1:1" x14ac:dyDescent="0.25">
      <c r="A1010" t="s">
        <v>1887</v>
      </c>
    </row>
    <row r="1011" spans="1:1" x14ac:dyDescent="0.25">
      <c r="A1011" t="s">
        <v>2026</v>
      </c>
    </row>
    <row r="1012" spans="1:1" x14ac:dyDescent="0.25">
      <c r="A1012" t="s">
        <v>1744</v>
      </c>
    </row>
    <row r="1014" spans="1:1" x14ac:dyDescent="0.25">
      <c r="A1014" t="s">
        <v>1737</v>
      </c>
    </row>
    <row r="1015" spans="1:1" x14ac:dyDescent="0.25">
      <c r="A1015" t="s">
        <v>1738</v>
      </c>
    </row>
    <row r="1016" spans="1:1" x14ac:dyDescent="0.25">
      <c r="A1016" t="s">
        <v>2027</v>
      </c>
    </row>
    <row r="1017" spans="1:1" x14ac:dyDescent="0.25">
      <c r="A1017" t="s">
        <v>2028</v>
      </c>
    </row>
    <row r="1018" spans="1:1" x14ac:dyDescent="0.25">
      <c r="A1018" t="s">
        <v>1990</v>
      </c>
    </row>
    <row r="1019" spans="1:1" x14ac:dyDescent="0.25">
      <c r="A1019" t="s">
        <v>1753</v>
      </c>
    </row>
    <row r="1020" spans="1:1" x14ac:dyDescent="0.25">
      <c r="A1020" t="s">
        <v>1741</v>
      </c>
    </row>
    <row r="1021" spans="1:1" x14ac:dyDescent="0.25">
      <c r="A1021" t="s">
        <v>1887</v>
      </c>
    </row>
    <row r="1022" spans="1:1" x14ac:dyDescent="0.25">
      <c r="A1022" t="s">
        <v>2029</v>
      </c>
    </row>
    <row r="1023" spans="1:1" x14ac:dyDescent="0.25">
      <c r="A1023" t="s">
        <v>1744</v>
      </c>
    </row>
    <row r="1025" spans="1:1" x14ac:dyDescent="0.25">
      <c r="A1025" t="s">
        <v>1737</v>
      </c>
    </row>
    <row r="1026" spans="1:1" x14ac:dyDescent="0.25">
      <c r="A1026" t="s">
        <v>1738</v>
      </c>
    </row>
    <row r="1027" spans="1:1" x14ac:dyDescent="0.25">
      <c r="A1027" t="s">
        <v>2030</v>
      </c>
    </row>
    <row r="1028" spans="1:1" x14ac:dyDescent="0.25">
      <c r="A1028" t="s">
        <v>2031</v>
      </c>
    </row>
    <row r="1029" spans="1:1" x14ac:dyDescent="0.25">
      <c r="A1029" t="s">
        <v>1990</v>
      </c>
    </row>
    <row r="1030" spans="1:1" x14ac:dyDescent="0.25">
      <c r="A1030" t="s">
        <v>1753</v>
      </c>
    </row>
    <row r="1031" spans="1:1" x14ac:dyDescent="0.25">
      <c r="A1031" t="s">
        <v>1741</v>
      </c>
    </row>
    <row r="1032" spans="1:1" x14ac:dyDescent="0.25">
      <c r="A1032" t="s">
        <v>1887</v>
      </c>
    </row>
    <row r="1033" spans="1:1" x14ac:dyDescent="0.25">
      <c r="A1033" t="s">
        <v>2032</v>
      </c>
    </row>
    <row r="1034" spans="1:1" x14ac:dyDescent="0.25">
      <c r="A1034" t="s">
        <v>1744</v>
      </c>
    </row>
    <row r="1036" spans="1:1" x14ac:dyDescent="0.25">
      <c r="A1036" t="s">
        <v>1737</v>
      </c>
    </row>
    <row r="1037" spans="1:1" x14ac:dyDescent="0.25">
      <c r="A1037" t="s">
        <v>1738</v>
      </c>
    </row>
    <row r="1038" spans="1:1" x14ac:dyDescent="0.25">
      <c r="A1038" t="s">
        <v>2033</v>
      </c>
    </row>
    <row r="1039" spans="1:1" x14ac:dyDescent="0.25">
      <c r="A1039" t="s">
        <v>2034</v>
      </c>
    </row>
    <row r="1040" spans="1:1" x14ac:dyDescent="0.25">
      <c r="A1040" t="s">
        <v>1990</v>
      </c>
    </row>
    <row r="1041" spans="1:1" x14ac:dyDescent="0.25">
      <c r="A1041" t="s">
        <v>1753</v>
      </c>
    </row>
    <row r="1042" spans="1:1" x14ac:dyDescent="0.25">
      <c r="A1042" t="s">
        <v>1741</v>
      </c>
    </row>
    <row r="1043" spans="1:1" x14ac:dyDescent="0.25">
      <c r="A1043" t="s">
        <v>1887</v>
      </c>
    </row>
    <row r="1044" spans="1:1" x14ac:dyDescent="0.25">
      <c r="A1044" t="s">
        <v>2035</v>
      </c>
    </row>
    <row r="1045" spans="1:1" x14ac:dyDescent="0.25">
      <c r="A1045" t="s">
        <v>1744</v>
      </c>
    </row>
    <row r="1047" spans="1:1" x14ac:dyDescent="0.25">
      <c r="A1047" t="s">
        <v>1737</v>
      </c>
    </row>
    <row r="1048" spans="1:1" x14ac:dyDescent="0.25">
      <c r="A1048" t="s">
        <v>1738</v>
      </c>
    </row>
    <row r="1049" spans="1:1" x14ac:dyDescent="0.25">
      <c r="A1049" t="s">
        <v>2036</v>
      </c>
    </row>
    <row r="1050" spans="1:1" x14ac:dyDescent="0.25">
      <c r="A1050" t="s">
        <v>2037</v>
      </c>
    </row>
    <row r="1051" spans="1:1" x14ac:dyDescent="0.25">
      <c r="A1051" t="s">
        <v>1990</v>
      </c>
    </row>
    <row r="1052" spans="1:1" x14ac:dyDescent="0.25">
      <c r="A1052" t="s">
        <v>1753</v>
      </c>
    </row>
    <row r="1053" spans="1:1" x14ac:dyDescent="0.25">
      <c r="A1053" t="s">
        <v>1741</v>
      </c>
    </row>
    <row r="1054" spans="1:1" x14ac:dyDescent="0.25">
      <c r="A1054" t="s">
        <v>1887</v>
      </c>
    </row>
    <row r="1055" spans="1:1" x14ac:dyDescent="0.25">
      <c r="A1055" t="s">
        <v>2038</v>
      </c>
    </row>
    <row r="1056" spans="1:1" x14ac:dyDescent="0.25">
      <c r="A1056" t="s">
        <v>1744</v>
      </c>
    </row>
    <row r="1058" spans="1:1" x14ac:dyDescent="0.25">
      <c r="A1058" t="s">
        <v>1737</v>
      </c>
    </row>
    <row r="1059" spans="1:1" x14ac:dyDescent="0.25">
      <c r="A1059" t="s">
        <v>1738</v>
      </c>
    </row>
    <row r="1060" spans="1:1" x14ac:dyDescent="0.25">
      <c r="A1060" t="s">
        <v>2039</v>
      </c>
    </row>
    <row r="1061" spans="1:1" x14ac:dyDescent="0.25">
      <c r="A1061" t="s">
        <v>2040</v>
      </c>
    </row>
    <row r="1062" spans="1:1" x14ac:dyDescent="0.25">
      <c r="A1062" t="s">
        <v>2041</v>
      </c>
    </row>
    <row r="1063" spans="1:1" x14ac:dyDescent="0.25">
      <c r="A1063" t="s">
        <v>1753</v>
      </c>
    </row>
    <row r="1064" spans="1:1" x14ac:dyDescent="0.25">
      <c r="A1064" t="s">
        <v>1741</v>
      </c>
    </row>
    <row r="1065" spans="1:1" x14ac:dyDescent="0.25">
      <c r="A1065" t="s">
        <v>1887</v>
      </c>
    </row>
    <row r="1066" spans="1:1" x14ac:dyDescent="0.25">
      <c r="A1066" t="s">
        <v>2042</v>
      </c>
    </row>
    <row r="1067" spans="1:1" x14ac:dyDescent="0.25">
      <c r="A1067" t="s">
        <v>1744</v>
      </c>
    </row>
    <row r="1069" spans="1:1" x14ac:dyDescent="0.25">
      <c r="A1069" t="s">
        <v>1737</v>
      </c>
    </row>
    <row r="1070" spans="1:1" x14ac:dyDescent="0.25">
      <c r="A1070" t="s">
        <v>1738</v>
      </c>
    </row>
    <row r="1071" spans="1:1" x14ac:dyDescent="0.25">
      <c r="A1071" t="s">
        <v>2043</v>
      </c>
    </row>
    <row r="1072" spans="1:1" x14ac:dyDescent="0.25">
      <c r="A1072" t="s">
        <v>2044</v>
      </c>
    </row>
    <row r="1073" spans="1:1" x14ac:dyDescent="0.25">
      <c r="A1073" t="s">
        <v>2041</v>
      </c>
    </row>
    <row r="1074" spans="1:1" x14ac:dyDescent="0.25">
      <c r="A1074" t="s">
        <v>1753</v>
      </c>
    </row>
    <row r="1075" spans="1:1" x14ac:dyDescent="0.25">
      <c r="A1075" t="s">
        <v>1740</v>
      </c>
    </row>
    <row r="1076" spans="1:1" x14ac:dyDescent="0.25">
      <c r="A1076" t="s">
        <v>1741</v>
      </c>
    </row>
    <row r="1077" spans="1:1" x14ac:dyDescent="0.25">
      <c r="A1077" t="s">
        <v>2045</v>
      </c>
    </row>
    <row r="1078" spans="1:1" x14ac:dyDescent="0.25">
      <c r="A1078" t="s">
        <v>2046</v>
      </c>
    </row>
    <row r="1079" spans="1:1" x14ac:dyDescent="0.25">
      <c r="A1079" t="s">
        <v>1744</v>
      </c>
    </row>
    <row r="1081" spans="1:1" x14ac:dyDescent="0.25">
      <c r="A1081" t="s">
        <v>1737</v>
      </c>
    </row>
    <row r="1082" spans="1:1" x14ac:dyDescent="0.25">
      <c r="A1082" t="s">
        <v>1738</v>
      </c>
    </row>
    <row r="1083" spans="1:1" x14ac:dyDescent="0.25">
      <c r="A1083" t="s">
        <v>2047</v>
      </c>
    </row>
    <row r="1084" spans="1:1" x14ac:dyDescent="0.25">
      <c r="A1084" t="s">
        <v>2040</v>
      </c>
    </row>
    <row r="1085" spans="1:1" x14ac:dyDescent="0.25">
      <c r="A1085" t="s">
        <v>2041</v>
      </c>
    </row>
    <row r="1086" spans="1:1" x14ac:dyDescent="0.25">
      <c r="A1086" t="s">
        <v>1753</v>
      </c>
    </row>
    <row r="1087" spans="1:1" x14ac:dyDescent="0.25">
      <c r="A1087" t="s">
        <v>1741</v>
      </c>
    </row>
    <row r="1088" spans="1:1" x14ac:dyDescent="0.25">
      <c r="A1088" t="s">
        <v>1887</v>
      </c>
    </row>
    <row r="1089" spans="1:1" x14ac:dyDescent="0.25">
      <c r="A1089" t="s">
        <v>2048</v>
      </c>
    </row>
    <row r="1090" spans="1:1" x14ac:dyDescent="0.25">
      <c r="A1090" t="s">
        <v>1744</v>
      </c>
    </row>
    <row r="1092" spans="1:1" x14ac:dyDescent="0.25">
      <c r="A1092" t="s">
        <v>1737</v>
      </c>
    </row>
    <row r="1093" spans="1:1" x14ac:dyDescent="0.25">
      <c r="A1093" t="s">
        <v>1738</v>
      </c>
    </row>
    <row r="1094" spans="1:1" x14ac:dyDescent="0.25">
      <c r="A1094" t="s">
        <v>2049</v>
      </c>
    </row>
    <row r="1095" spans="1:1" x14ac:dyDescent="0.25">
      <c r="A1095" t="s">
        <v>2044</v>
      </c>
    </row>
    <row r="1096" spans="1:1" x14ac:dyDescent="0.25">
      <c r="A1096" t="s">
        <v>2041</v>
      </c>
    </row>
    <row r="1097" spans="1:1" x14ac:dyDescent="0.25">
      <c r="A1097" t="s">
        <v>1753</v>
      </c>
    </row>
    <row r="1098" spans="1:1" x14ac:dyDescent="0.25">
      <c r="A1098" t="s">
        <v>1740</v>
      </c>
    </row>
    <row r="1099" spans="1:1" x14ac:dyDescent="0.25">
      <c r="A1099" t="s">
        <v>1741</v>
      </c>
    </row>
    <row r="1100" spans="1:1" x14ac:dyDescent="0.25">
      <c r="A1100" t="s">
        <v>2050</v>
      </c>
    </row>
    <row r="1101" spans="1:1" x14ac:dyDescent="0.25">
      <c r="A1101" t="s">
        <v>2051</v>
      </c>
    </row>
    <row r="1102" spans="1:1" x14ac:dyDescent="0.25">
      <c r="A1102" t="s">
        <v>1744</v>
      </c>
    </row>
    <row r="1104" spans="1:1" x14ac:dyDescent="0.25">
      <c r="A1104" t="s">
        <v>1737</v>
      </c>
    </row>
    <row r="1105" spans="1:1" x14ac:dyDescent="0.25">
      <c r="A1105" t="s">
        <v>1738</v>
      </c>
    </row>
    <row r="1106" spans="1:1" x14ac:dyDescent="0.25">
      <c r="A1106" t="s">
        <v>2052</v>
      </c>
    </row>
    <row r="1107" spans="1:1" x14ac:dyDescent="0.25">
      <c r="A1107" t="s">
        <v>2040</v>
      </c>
    </row>
    <row r="1108" spans="1:1" x14ac:dyDescent="0.25">
      <c r="A1108" t="s">
        <v>2041</v>
      </c>
    </row>
    <row r="1109" spans="1:1" x14ac:dyDescent="0.25">
      <c r="A1109" t="s">
        <v>1753</v>
      </c>
    </row>
    <row r="1110" spans="1:1" x14ac:dyDescent="0.25">
      <c r="A1110" t="s">
        <v>1741</v>
      </c>
    </row>
    <row r="1111" spans="1:1" x14ac:dyDescent="0.25">
      <c r="A1111" t="s">
        <v>1887</v>
      </c>
    </row>
    <row r="1112" spans="1:1" x14ac:dyDescent="0.25">
      <c r="A1112" t="s">
        <v>2053</v>
      </c>
    </row>
    <row r="1113" spans="1:1" x14ac:dyDescent="0.25">
      <c r="A1113" t="s">
        <v>1744</v>
      </c>
    </row>
    <row r="1115" spans="1:1" x14ac:dyDescent="0.25">
      <c r="A1115" t="s">
        <v>1737</v>
      </c>
    </row>
    <row r="1116" spans="1:1" x14ac:dyDescent="0.25">
      <c r="A1116" t="s">
        <v>1738</v>
      </c>
    </row>
    <row r="1117" spans="1:1" x14ac:dyDescent="0.25">
      <c r="A1117" t="s">
        <v>2054</v>
      </c>
    </row>
    <row r="1118" spans="1:1" x14ac:dyDescent="0.25">
      <c r="A1118" t="s">
        <v>2044</v>
      </c>
    </row>
    <row r="1119" spans="1:1" x14ac:dyDescent="0.25">
      <c r="A1119" t="s">
        <v>2041</v>
      </c>
    </row>
    <row r="1120" spans="1:1" x14ac:dyDescent="0.25">
      <c r="A1120" t="s">
        <v>1753</v>
      </c>
    </row>
    <row r="1121" spans="1:1" x14ac:dyDescent="0.25">
      <c r="A1121" t="s">
        <v>1740</v>
      </c>
    </row>
    <row r="1122" spans="1:1" x14ac:dyDescent="0.25">
      <c r="A1122" t="s">
        <v>1741</v>
      </c>
    </row>
    <row r="1123" spans="1:1" x14ac:dyDescent="0.25">
      <c r="A1123" t="s">
        <v>2045</v>
      </c>
    </row>
    <row r="1124" spans="1:1" x14ac:dyDescent="0.25">
      <c r="A1124" t="s">
        <v>2055</v>
      </c>
    </row>
    <row r="1125" spans="1:1" x14ac:dyDescent="0.25">
      <c r="A1125" t="s">
        <v>1744</v>
      </c>
    </row>
    <row r="1127" spans="1:1" x14ac:dyDescent="0.25">
      <c r="A1127" t="s">
        <v>1737</v>
      </c>
    </row>
    <row r="1128" spans="1:1" x14ac:dyDescent="0.25">
      <c r="A1128" t="s">
        <v>1738</v>
      </c>
    </row>
    <row r="1129" spans="1:1" x14ac:dyDescent="0.25">
      <c r="A1129" t="s">
        <v>2056</v>
      </c>
    </row>
    <row r="1130" spans="1:1" x14ac:dyDescent="0.25">
      <c r="A1130" t="s">
        <v>2040</v>
      </c>
    </row>
    <row r="1131" spans="1:1" x14ac:dyDescent="0.25">
      <c r="A1131" t="s">
        <v>2041</v>
      </c>
    </row>
    <row r="1132" spans="1:1" x14ac:dyDescent="0.25">
      <c r="A1132" t="s">
        <v>1753</v>
      </c>
    </row>
    <row r="1133" spans="1:1" x14ac:dyDescent="0.25">
      <c r="A1133" t="s">
        <v>1741</v>
      </c>
    </row>
    <row r="1134" spans="1:1" x14ac:dyDescent="0.25">
      <c r="A1134" t="s">
        <v>1887</v>
      </c>
    </row>
    <row r="1135" spans="1:1" x14ac:dyDescent="0.25">
      <c r="A1135" t="s">
        <v>2057</v>
      </c>
    </row>
    <row r="1136" spans="1:1" x14ac:dyDescent="0.25">
      <c r="A1136" t="s">
        <v>1744</v>
      </c>
    </row>
    <row r="1138" spans="1:1" x14ac:dyDescent="0.25">
      <c r="A1138" t="s">
        <v>1737</v>
      </c>
    </row>
    <row r="1139" spans="1:1" x14ac:dyDescent="0.25">
      <c r="A1139" t="s">
        <v>1738</v>
      </c>
    </row>
    <row r="1140" spans="1:1" x14ac:dyDescent="0.25">
      <c r="A1140" t="s">
        <v>2058</v>
      </c>
    </row>
    <row r="1141" spans="1:1" x14ac:dyDescent="0.25">
      <c r="A1141" t="s">
        <v>2044</v>
      </c>
    </row>
    <row r="1142" spans="1:1" x14ac:dyDescent="0.25">
      <c r="A1142" t="s">
        <v>2041</v>
      </c>
    </row>
    <row r="1143" spans="1:1" x14ac:dyDescent="0.25">
      <c r="A1143" t="s">
        <v>1753</v>
      </c>
    </row>
    <row r="1144" spans="1:1" x14ac:dyDescent="0.25">
      <c r="A1144" t="s">
        <v>1740</v>
      </c>
    </row>
    <row r="1145" spans="1:1" x14ac:dyDescent="0.25">
      <c r="A1145" t="s">
        <v>1741</v>
      </c>
    </row>
    <row r="1146" spans="1:1" x14ac:dyDescent="0.25">
      <c r="A1146" t="s">
        <v>2045</v>
      </c>
    </row>
    <row r="1147" spans="1:1" x14ac:dyDescent="0.25">
      <c r="A1147" t="s">
        <v>2059</v>
      </c>
    </row>
    <row r="1148" spans="1:1" x14ac:dyDescent="0.25">
      <c r="A1148" t="s">
        <v>1744</v>
      </c>
    </row>
    <row r="1150" spans="1:1" x14ac:dyDescent="0.25">
      <c r="A1150" t="s">
        <v>1737</v>
      </c>
    </row>
    <row r="1151" spans="1:1" x14ac:dyDescent="0.25">
      <c r="A1151" t="s">
        <v>1738</v>
      </c>
    </row>
    <row r="1152" spans="1:1" x14ac:dyDescent="0.25">
      <c r="A1152" t="s">
        <v>2060</v>
      </c>
    </row>
    <row r="1153" spans="1:1" x14ac:dyDescent="0.25">
      <c r="A1153" t="s">
        <v>2061</v>
      </c>
    </row>
    <row r="1154" spans="1:1" x14ac:dyDescent="0.25">
      <c r="A1154" t="s">
        <v>1929</v>
      </c>
    </row>
    <row r="1155" spans="1:1" x14ac:dyDescent="0.25">
      <c r="A1155" t="s">
        <v>1753</v>
      </c>
    </row>
    <row r="1156" spans="1:1" x14ac:dyDescent="0.25">
      <c r="A1156" t="s">
        <v>1741</v>
      </c>
    </row>
    <row r="1157" spans="1:1" x14ac:dyDescent="0.25">
      <c r="A1157" t="s">
        <v>1887</v>
      </c>
    </row>
    <row r="1158" spans="1:1" x14ac:dyDescent="0.25">
      <c r="A1158" t="s">
        <v>2062</v>
      </c>
    </row>
    <row r="1159" spans="1:1" x14ac:dyDescent="0.25">
      <c r="A1159" t="s">
        <v>1744</v>
      </c>
    </row>
    <row r="1161" spans="1:1" x14ac:dyDescent="0.25">
      <c r="A1161" t="s">
        <v>1737</v>
      </c>
    </row>
    <row r="1162" spans="1:1" x14ac:dyDescent="0.25">
      <c r="A1162" t="s">
        <v>1738</v>
      </c>
    </row>
    <row r="1163" spans="1:1" x14ac:dyDescent="0.25">
      <c r="A1163" t="s">
        <v>2063</v>
      </c>
    </row>
    <row r="1164" spans="1:1" x14ac:dyDescent="0.25">
      <c r="A1164" t="s">
        <v>2064</v>
      </c>
    </row>
    <row r="1165" spans="1:1" x14ac:dyDescent="0.25">
      <c r="A1165" t="s">
        <v>1929</v>
      </c>
    </row>
    <row r="1166" spans="1:1" x14ac:dyDescent="0.25">
      <c r="A1166" t="s">
        <v>1753</v>
      </c>
    </row>
    <row r="1167" spans="1:1" x14ac:dyDescent="0.25">
      <c r="A1167" t="s">
        <v>1741</v>
      </c>
    </row>
    <row r="1168" spans="1:1" x14ac:dyDescent="0.25">
      <c r="A1168" t="s">
        <v>1887</v>
      </c>
    </row>
    <row r="1169" spans="1:1" x14ac:dyDescent="0.25">
      <c r="A1169" t="s">
        <v>2065</v>
      </c>
    </row>
    <row r="1170" spans="1:1" x14ac:dyDescent="0.25">
      <c r="A1170" t="s">
        <v>1744</v>
      </c>
    </row>
    <row r="1172" spans="1:1" x14ac:dyDescent="0.25">
      <c r="A1172" t="s">
        <v>1737</v>
      </c>
    </row>
    <row r="1173" spans="1:1" x14ac:dyDescent="0.25">
      <c r="A1173" t="s">
        <v>1738</v>
      </c>
    </row>
    <row r="1174" spans="1:1" x14ac:dyDescent="0.25">
      <c r="A1174" t="s">
        <v>2066</v>
      </c>
    </row>
    <row r="1175" spans="1:1" x14ac:dyDescent="0.25">
      <c r="A1175" t="s">
        <v>2067</v>
      </c>
    </row>
    <row r="1176" spans="1:1" x14ac:dyDescent="0.25">
      <c r="A1176" t="s">
        <v>1990</v>
      </c>
    </row>
    <row r="1177" spans="1:1" x14ac:dyDescent="0.25">
      <c r="A1177" t="s">
        <v>1753</v>
      </c>
    </row>
    <row r="1178" spans="1:1" x14ac:dyDescent="0.25">
      <c r="A1178" t="s">
        <v>1741</v>
      </c>
    </row>
    <row r="1179" spans="1:1" x14ac:dyDescent="0.25">
      <c r="A1179" t="s">
        <v>1887</v>
      </c>
    </row>
    <row r="1180" spans="1:1" x14ac:dyDescent="0.25">
      <c r="A1180" t="s">
        <v>2068</v>
      </c>
    </row>
    <row r="1181" spans="1:1" x14ac:dyDescent="0.25">
      <c r="A1181" t="s">
        <v>1744</v>
      </c>
    </row>
    <row r="1183" spans="1:1" x14ac:dyDescent="0.25">
      <c r="A1183" t="s">
        <v>1737</v>
      </c>
    </row>
    <row r="1184" spans="1:1" x14ac:dyDescent="0.25">
      <c r="A1184" t="s">
        <v>1738</v>
      </c>
    </row>
    <row r="1185" spans="1:1" x14ac:dyDescent="0.25">
      <c r="A1185" t="s">
        <v>2069</v>
      </c>
    </row>
    <row r="1186" spans="1:1" x14ac:dyDescent="0.25">
      <c r="A1186" t="s">
        <v>2070</v>
      </c>
    </row>
    <row r="1187" spans="1:1" x14ac:dyDescent="0.25">
      <c r="A1187" t="s">
        <v>1990</v>
      </c>
    </row>
    <row r="1188" spans="1:1" x14ac:dyDescent="0.25">
      <c r="A1188" t="s">
        <v>1753</v>
      </c>
    </row>
    <row r="1189" spans="1:1" x14ac:dyDescent="0.25">
      <c r="A1189" t="s">
        <v>1741</v>
      </c>
    </row>
    <row r="1190" spans="1:1" x14ac:dyDescent="0.25">
      <c r="A1190" t="s">
        <v>1887</v>
      </c>
    </row>
    <row r="1191" spans="1:1" x14ac:dyDescent="0.25">
      <c r="A1191" t="s">
        <v>2071</v>
      </c>
    </row>
    <row r="1192" spans="1:1" x14ac:dyDescent="0.25">
      <c r="A1192" t="s">
        <v>1744</v>
      </c>
    </row>
    <row r="1194" spans="1:1" x14ac:dyDescent="0.25">
      <c r="A1194" t="s">
        <v>1737</v>
      </c>
    </row>
    <row r="1195" spans="1:1" x14ac:dyDescent="0.25">
      <c r="A1195" t="s">
        <v>1738</v>
      </c>
    </row>
    <row r="1196" spans="1:1" x14ac:dyDescent="0.25">
      <c r="A1196" t="s">
        <v>2072</v>
      </c>
    </row>
    <row r="1197" spans="1:1" x14ac:dyDescent="0.25">
      <c r="A1197" t="s">
        <v>2073</v>
      </c>
    </row>
    <row r="1198" spans="1:1" x14ac:dyDescent="0.25">
      <c r="A1198" t="s">
        <v>1986</v>
      </c>
    </row>
    <row r="1199" spans="1:1" x14ac:dyDescent="0.25">
      <c r="A1199" t="s">
        <v>1753</v>
      </c>
    </row>
    <row r="1200" spans="1:1" x14ac:dyDescent="0.25">
      <c r="A1200" t="s">
        <v>1741</v>
      </c>
    </row>
    <row r="1201" spans="1:1" x14ac:dyDescent="0.25">
      <c r="A1201" t="s">
        <v>1762</v>
      </c>
    </row>
    <row r="1202" spans="1:1" x14ac:dyDescent="0.25">
      <c r="A1202" t="s">
        <v>2074</v>
      </c>
    </row>
    <row r="1203" spans="1:1" x14ac:dyDescent="0.25">
      <c r="A1203" t="s">
        <v>1744</v>
      </c>
    </row>
    <row r="1205" spans="1:1" x14ac:dyDescent="0.25">
      <c r="A1205" t="s">
        <v>1737</v>
      </c>
    </row>
    <row r="1206" spans="1:1" x14ac:dyDescent="0.25">
      <c r="A1206" t="s">
        <v>1738</v>
      </c>
    </row>
    <row r="1207" spans="1:1" x14ac:dyDescent="0.25">
      <c r="A1207" t="s">
        <v>2075</v>
      </c>
    </row>
    <row r="1208" spans="1:1" x14ac:dyDescent="0.25">
      <c r="A1208" t="s">
        <v>2076</v>
      </c>
    </row>
    <row r="1209" spans="1:1" x14ac:dyDescent="0.25">
      <c r="A1209" t="s">
        <v>2077</v>
      </c>
    </row>
    <row r="1210" spans="1:1" x14ac:dyDescent="0.25">
      <c r="A1210" t="s">
        <v>1753</v>
      </c>
    </row>
    <row r="1211" spans="1:1" x14ac:dyDescent="0.25">
      <c r="A1211" t="s">
        <v>1741</v>
      </c>
    </row>
    <row r="1212" spans="1:1" x14ac:dyDescent="0.25">
      <c r="A1212" t="s">
        <v>1762</v>
      </c>
    </row>
    <row r="1213" spans="1:1" x14ac:dyDescent="0.25">
      <c r="A1213" t="s">
        <v>2078</v>
      </c>
    </row>
    <row r="1214" spans="1:1" x14ac:dyDescent="0.25">
      <c r="A1214" t="s">
        <v>1744</v>
      </c>
    </row>
    <row r="1216" spans="1:1" x14ac:dyDescent="0.25">
      <c r="A1216" t="s">
        <v>1737</v>
      </c>
    </row>
    <row r="1217" spans="1:1" x14ac:dyDescent="0.25">
      <c r="A1217" t="s">
        <v>1738</v>
      </c>
    </row>
    <row r="1218" spans="1:1" x14ac:dyDescent="0.25">
      <c r="A1218" t="s">
        <v>2079</v>
      </c>
    </row>
    <row r="1219" spans="1:1" x14ac:dyDescent="0.25">
      <c r="A1219" t="s">
        <v>2080</v>
      </c>
    </row>
    <row r="1220" spans="1:1" x14ac:dyDescent="0.25">
      <c r="A1220" t="s">
        <v>2081</v>
      </c>
    </row>
    <row r="1221" spans="1:1" x14ac:dyDescent="0.25">
      <c r="A1221" t="s">
        <v>1753</v>
      </c>
    </row>
    <row r="1222" spans="1:1" x14ac:dyDescent="0.25">
      <c r="A1222" t="s">
        <v>1741</v>
      </c>
    </row>
    <row r="1223" spans="1:1" x14ac:dyDescent="0.25">
      <c r="A1223" t="s">
        <v>1762</v>
      </c>
    </row>
    <row r="1224" spans="1:1" x14ac:dyDescent="0.25">
      <c r="A1224" t="s">
        <v>2082</v>
      </c>
    </row>
    <row r="1225" spans="1:1" x14ac:dyDescent="0.25">
      <c r="A1225" t="s">
        <v>1744</v>
      </c>
    </row>
    <row r="1227" spans="1:1" x14ac:dyDescent="0.25">
      <c r="A1227" t="s">
        <v>1737</v>
      </c>
    </row>
    <row r="1228" spans="1:1" x14ac:dyDescent="0.25">
      <c r="A1228" t="s">
        <v>1738</v>
      </c>
    </row>
    <row r="1229" spans="1:1" x14ac:dyDescent="0.25">
      <c r="A1229" t="s">
        <v>2083</v>
      </c>
    </row>
    <row r="1230" spans="1:1" x14ac:dyDescent="0.25">
      <c r="A1230" t="s">
        <v>2084</v>
      </c>
    </row>
    <row r="1231" spans="1:1" x14ac:dyDescent="0.25">
      <c r="A1231" t="s">
        <v>2081</v>
      </c>
    </row>
    <row r="1232" spans="1:1" x14ac:dyDescent="0.25">
      <c r="A1232" t="s">
        <v>1753</v>
      </c>
    </row>
    <row r="1233" spans="1:1" x14ac:dyDescent="0.25">
      <c r="A1233" t="s">
        <v>1741</v>
      </c>
    </row>
    <row r="1234" spans="1:1" x14ac:dyDescent="0.25">
      <c r="A1234" t="s">
        <v>1887</v>
      </c>
    </row>
    <row r="1235" spans="1:1" x14ac:dyDescent="0.25">
      <c r="A1235" t="s">
        <v>2085</v>
      </c>
    </row>
    <row r="1236" spans="1:1" x14ac:dyDescent="0.25">
      <c r="A1236" t="s">
        <v>1744</v>
      </c>
    </row>
    <row r="1238" spans="1:1" x14ac:dyDescent="0.25">
      <c r="A1238" t="s">
        <v>1737</v>
      </c>
    </row>
    <row r="1239" spans="1:1" x14ac:dyDescent="0.25">
      <c r="A1239" t="s">
        <v>1738</v>
      </c>
    </row>
    <row r="1240" spans="1:1" x14ac:dyDescent="0.25">
      <c r="A1240" t="s">
        <v>2086</v>
      </c>
    </row>
    <row r="1241" spans="1:1" x14ac:dyDescent="0.25">
      <c r="A1241" t="s">
        <v>2087</v>
      </c>
    </row>
    <row r="1242" spans="1:1" x14ac:dyDescent="0.25">
      <c r="A1242" t="s">
        <v>2081</v>
      </c>
    </row>
    <row r="1243" spans="1:1" x14ac:dyDescent="0.25">
      <c r="A1243" t="s">
        <v>1753</v>
      </c>
    </row>
    <row r="1244" spans="1:1" x14ac:dyDescent="0.25">
      <c r="A1244" t="s">
        <v>1741</v>
      </c>
    </row>
    <row r="1245" spans="1:1" x14ac:dyDescent="0.25">
      <c r="A1245" t="s">
        <v>1887</v>
      </c>
    </row>
    <row r="1246" spans="1:1" x14ac:dyDescent="0.25">
      <c r="A1246" t="s">
        <v>2088</v>
      </c>
    </row>
    <row r="1247" spans="1:1" x14ac:dyDescent="0.25">
      <c r="A1247" t="s">
        <v>1744</v>
      </c>
    </row>
    <row r="1249" spans="1:1" x14ac:dyDescent="0.25">
      <c r="A1249" t="s">
        <v>1737</v>
      </c>
    </row>
    <row r="1250" spans="1:1" x14ac:dyDescent="0.25">
      <c r="A1250" t="s">
        <v>1738</v>
      </c>
    </row>
    <row r="1251" spans="1:1" x14ac:dyDescent="0.25">
      <c r="A1251" t="s">
        <v>2089</v>
      </c>
    </row>
    <row r="1252" spans="1:1" x14ac:dyDescent="0.25">
      <c r="A1252" t="s">
        <v>2090</v>
      </c>
    </row>
    <row r="1253" spans="1:1" x14ac:dyDescent="0.25">
      <c r="A1253" t="s">
        <v>2091</v>
      </c>
    </row>
    <row r="1254" spans="1:1" x14ac:dyDescent="0.25">
      <c r="A1254" t="s">
        <v>1753</v>
      </c>
    </row>
    <row r="1255" spans="1:1" x14ac:dyDescent="0.25">
      <c r="A1255" t="s">
        <v>1741</v>
      </c>
    </row>
    <row r="1256" spans="1:1" x14ac:dyDescent="0.25">
      <c r="A1256" t="s">
        <v>1887</v>
      </c>
    </row>
    <row r="1257" spans="1:1" x14ac:dyDescent="0.25">
      <c r="A1257" t="s">
        <v>2092</v>
      </c>
    </row>
    <row r="1258" spans="1:1" x14ac:dyDescent="0.25">
      <c r="A1258" t="s">
        <v>1744</v>
      </c>
    </row>
    <row r="1260" spans="1:1" x14ac:dyDescent="0.25">
      <c r="A1260" t="s">
        <v>1737</v>
      </c>
    </row>
    <row r="1261" spans="1:1" x14ac:dyDescent="0.25">
      <c r="A1261" t="s">
        <v>1738</v>
      </c>
    </row>
    <row r="1262" spans="1:1" x14ac:dyDescent="0.25">
      <c r="A1262" t="s">
        <v>2093</v>
      </c>
    </row>
    <row r="1263" spans="1:1" x14ac:dyDescent="0.25">
      <c r="A1263" t="s">
        <v>2094</v>
      </c>
    </row>
    <row r="1264" spans="1:1" x14ac:dyDescent="0.25">
      <c r="A1264" t="s">
        <v>2091</v>
      </c>
    </row>
    <row r="1265" spans="1:1" x14ac:dyDescent="0.25">
      <c r="A1265" t="s">
        <v>1753</v>
      </c>
    </row>
    <row r="1266" spans="1:1" x14ac:dyDescent="0.25">
      <c r="A1266" t="s">
        <v>1741</v>
      </c>
    </row>
    <row r="1267" spans="1:1" x14ac:dyDescent="0.25">
      <c r="A1267" t="s">
        <v>1887</v>
      </c>
    </row>
    <row r="1268" spans="1:1" x14ac:dyDescent="0.25">
      <c r="A1268" t="s">
        <v>2095</v>
      </c>
    </row>
    <row r="1269" spans="1:1" x14ac:dyDescent="0.25">
      <c r="A1269" t="s">
        <v>1744</v>
      </c>
    </row>
    <row r="1271" spans="1:1" x14ac:dyDescent="0.25">
      <c r="A1271" t="s">
        <v>1737</v>
      </c>
    </row>
    <row r="1272" spans="1:1" x14ac:dyDescent="0.25">
      <c r="A1272" t="s">
        <v>1738</v>
      </c>
    </row>
    <row r="1273" spans="1:1" x14ac:dyDescent="0.25">
      <c r="A1273" t="s">
        <v>2096</v>
      </c>
    </row>
    <row r="1274" spans="1:1" x14ac:dyDescent="0.25">
      <c r="A1274" t="s">
        <v>2097</v>
      </c>
    </row>
    <row r="1275" spans="1:1" x14ac:dyDescent="0.25">
      <c r="A1275" t="s">
        <v>2081</v>
      </c>
    </row>
    <row r="1276" spans="1:1" x14ac:dyDescent="0.25">
      <c r="A1276" t="s">
        <v>1753</v>
      </c>
    </row>
    <row r="1277" spans="1:1" x14ac:dyDescent="0.25">
      <c r="A1277" t="s">
        <v>1741</v>
      </c>
    </row>
    <row r="1278" spans="1:1" x14ac:dyDescent="0.25">
      <c r="A1278" t="s">
        <v>1995</v>
      </c>
    </row>
    <row r="1279" spans="1:1" x14ac:dyDescent="0.25">
      <c r="A1279" t="s">
        <v>2098</v>
      </c>
    </row>
    <row r="1280" spans="1:1" x14ac:dyDescent="0.25">
      <c r="A1280" t="s">
        <v>1744</v>
      </c>
    </row>
    <row r="1282" spans="1:1" x14ac:dyDescent="0.25">
      <c r="A1282" t="s">
        <v>1737</v>
      </c>
    </row>
    <row r="1283" spans="1:1" x14ac:dyDescent="0.25">
      <c r="A1283" t="s">
        <v>1738</v>
      </c>
    </row>
    <row r="1284" spans="1:1" x14ac:dyDescent="0.25">
      <c r="A1284" t="s">
        <v>2099</v>
      </c>
    </row>
    <row r="1285" spans="1:1" x14ac:dyDescent="0.25">
      <c r="A1285" t="s">
        <v>2100</v>
      </c>
    </row>
    <row r="1286" spans="1:1" x14ac:dyDescent="0.25">
      <c r="A1286" t="s">
        <v>2081</v>
      </c>
    </row>
    <row r="1287" spans="1:1" x14ac:dyDescent="0.25">
      <c r="A1287" t="s">
        <v>1753</v>
      </c>
    </row>
    <row r="1288" spans="1:1" x14ac:dyDescent="0.25">
      <c r="A1288" t="s">
        <v>1741</v>
      </c>
    </row>
    <row r="1289" spans="1:1" x14ac:dyDescent="0.25">
      <c r="A1289" t="s">
        <v>1762</v>
      </c>
    </row>
    <row r="1290" spans="1:1" x14ac:dyDescent="0.25">
      <c r="A1290" t="s">
        <v>2101</v>
      </c>
    </row>
    <row r="1291" spans="1:1" x14ac:dyDescent="0.25">
      <c r="A1291" t="s">
        <v>1744</v>
      </c>
    </row>
    <row r="1293" spans="1:1" x14ac:dyDescent="0.25">
      <c r="A1293" t="s">
        <v>1737</v>
      </c>
    </row>
    <row r="1294" spans="1:1" x14ac:dyDescent="0.25">
      <c r="A1294" t="s">
        <v>1738</v>
      </c>
    </row>
    <row r="1295" spans="1:1" x14ac:dyDescent="0.25">
      <c r="A1295" t="s">
        <v>2102</v>
      </c>
    </row>
    <row r="1296" spans="1:1" x14ac:dyDescent="0.25">
      <c r="A1296" t="s">
        <v>2103</v>
      </c>
    </row>
    <row r="1297" spans="1:1" x14ac:dyDescent="0.25">
      <c r="A1297" t="s">
        <v>2104</v>
      </c>
    </row>
    <row r="1298" spans="1:1" x14ac:dyDescent="0.25">
      <c r="A1298" t="s">
        <v>1753</v>
      </c>
    </row>
    <row r="1299" spans="1:1" x14ac:dyDescent="0.25">
      <c r="A1299" t="s">
        <v>1741</v>
      </c>
    </row>
    <row r="1300" spans="1:1" x14ac:dyDescent="0.25">
      <c r="A1300" t="s">
        <v>1887</v>
      </c>
    </row>
    <row r="1301" spans="1:1" x14ac:dyDescent="0.25">
      <c r="A1301" t="s">
        <v>2105</v>
      </c>
    </row>
    <row r="1302" spans="1:1" x14ac:dyDescent="0.25">
      <c r="A1302" t="s">
        <v>1744</v>
      </c>
    </row>
    <row r="1304" spans="1:1" x14ac:dyDescent="0.25">
      <c r="A1304" t="s">
        <v>1737</v>
      </c>
    </row>
    <row r="1305" spans="1:1" x14ac:dyDescent="0.25">
      <c r="A1305" t="s">
        <v>1738</v>
      </c>
    </row>
    <row r="1306" spans="1:1" x14ac:dyDescent="0.25">
      <c r="A1306" t="s">
        <v>2106</v>
      </c>
    </row>
    <row r="1307" spans="1:1" x14ac:dyDescent="0.25">
      <c r="A1307" t="s">
        <v>2107</v>
      </c>
    </row>
    <row r="1308" spans="1:1" x14ac:dyDescent="0.25">
      <c r="A1308" t="s">
        <v>2104</v>
      </c>
    </row>
    <row r="1309" spans="1:1" x14ac:dyDescent="0.25">
      <c r="A1309" t="s">
        <v>1753</v>
      </c>
    </row>
    <row r="1310" spans="1:1" x14ac:dyDescent="0.25">
      <c r="A1310" t="s">
        <v>1741</v>
      </c>
    </row>
    <row r="1311" spans="1:1" x14ac:dyDescent="0.25">
      <c r="A1311" t="s">
        <v>1887</v>
      </c>
    </row>
    <row r="1312" spans="1:1" x14ac:dyDescent="0.25">
      <c r="A1312" t="s">
        <v>2108</v>
      </c>
    </row>
    <row r="1313" spans="1:1" x14ac:dyDescent="0.25">
      <c r="A1313" t="s">
        <v>1744</v>
      </c>
    </row>
    <row r="1315" spans="1:1" x14ac:dyDescent="0.25">
      <c r="A1315" t="s">
        <v>1737</v>
      </c>
    </row>
    <row r="1316" spans="1:1" x14ac:dyDescent="0.25">
      <c r="A1316" t="s">
        <v>1738</v>
      </c>
    </row>
    <row r="1317" spans="1:1" x14ac:dyDescent="0.25">
      <c r="A1317" t="s">
        <v>2109</v>
      </c>
    </row>
    <row r="1318" spans="1:1" x14ac:dyDescent="0.25">
      <c r="A1318" t="s">
        <v>2110</v>
      </c>
    </row>
    <row r="1319" spans="1:1" x14ac:dyDescent="0.25">
      <c r="A1319" t="s">
        <v>2081</v>
      </c>
    </row>
    <row r="1320" spans="1:1" x14ac:dyDescent="0.25">
      <c r="A1320" t="s">
        <v>1753</v>
      </c>
    </row>
    <row r="1321" spans="1:1" x14ac:dyDescent="0.25">
      <c r="A1321" t="s">
        <v>1741</v>
      </c>
    </row>
    <row r="1322" spans="1:1" x14ac:dyDescent="0.25">
      <c r="A1322" t="s">
        <v>2111</v>
      </c>
    </row>
    <row r="1323" spans="1:1" x14ac:dyDescent="0.25">
      <c r="A1323" t="s">
        <v>2112</v>
      </c>
    </row>
    <row r="1324" spans="1:1" x14ac:dyDescent="0.25">
      <c r="A1324" t="s">
        <v>1744</v>
      </c>
    </row>
    <row r="1326" spans="1:1" x14ac:dyDescent="0.25">
      <c r="A1326" t="s">
        <v>1737</v>
      </c>
    </row>
    <row r="1327" spans="1:1" x14ac:dyDescent="0.25">
      <c r="A1327" t="s">
        <v>1738</v>
      </c>
    </row>
    <row r="1328" spans="1:1" x14ac:dyDescent="0.25">
      <c r="A1328" t="s">
        <v>2113</v>
      </c>
    </row>
    <row r="1329" spans="1:1" x14ac:dyDescent="0.25">
      <c r="A1329" t="s">
        <v>2114</v>
      </c>
    </row>
    <row r="1330" spans="1:1" x14ac:dyDescent="0.25">
      <c r="A1330" t="s">
        <v>2081</v>
      </c>
    </row>
    <row r="1331" spans="1:1" x14ac:dyDescent="0.25">
      <c r="A1331" t="s">
        <v>1753</v>
      </c>
    </row>
    <row r="1332" spans="1:1" x14ac:dyDescent="0.25">
      <c r="A1332" t="s">
        <v>1741</v>
      </c>
    </row>
    <row r="1333" spans="1:1" x14ac:dyDescent="0.25">
      <c r="A1333" t="s">
        <v>1887</v>
      </c>
    </row>
    <row r="1334" spans="1:1" x14ac:dyDescent="0.25">
      <c r="A1334" t="s">
        <v>2115</v>
      </c>
    </row>
    <row r="1335" spans="1:1" x14ac:dyDescent="0.25">
      <c r="A1335" t="s">
        <v>1744</v>
      </c>
    </row>
    <row r="1337" spans="1:1" x14ac:dyDescent="0.25">
      <c r="A1337" t="s">
        <v>1737</v>
      </c>
    </row>
    <row r="1338" spans="1:1" x14ac:dyDescent="0.25">
      <c r="A1338" t="s">
        <v>1738</v>
      </c>
    </row>
    <row r="1339" spans="1:1" x14ac:dyDescent="0.25">
      <c r="A1339" t="s">
        <v>2116</v>
      </c>
    </row>
    <row r="1340" spans="1:1" x14ac:dyDescent="0.25">
      <c r="A1340" t="s">
        <v>2117</v>
      </c>
    </row>
    <row r="1341" spans="1:1" x14ac:dyDescent="0.25">
      <c r="A1341" t="s">
        <v>2081</v>
      </c>
    </row>
    <row r="1342" spans="1:1" x14ac:dyDescent="0.25">
      <c r="A1342" t="s">
        <v>1753</v>
      </c>
    </row>
    <row r="1343" spans="1:1" x14ac:dyDescent="0.25">
      <c r="A1343" t="s">
        <v>1741</v>
      </c>
    </row>
    <row r="1344" spans="1:1" x14ac:dyDescent="0.25">
      <c r="A1344" t="s">
        <v>1762</v>
      </c>
    </row>
    <row r="1345" spans="1:1" x14ac:dyDescent="0.25">
      <c r="A1345" t="s">
        <v>2118</v>
      </c>
    </row>
    <row r="1346" spans="1:1" x14ac:dyDescent="0.25">
      <c r="A1346" t="s">
        <v>1744</v>
      </c>
    </row>
    <row r="1348" spans="1:1" x14ac:dyDescent="0.25">
      <c r="A1348" t="s">
        <v>1737</v>
      </c>
    </row>
    <row r="1349" spans="1:1" x14ac:dyDescent="0.25">
      <c r="A1349" t="s">
        <v>1738</v>
      </c>
    </row>
    <row r="1350" spans="1:1" x14ac:dyDescent="0.25">
      <c r="A1350" t="s">
        <v>2119</v>
      </c>
    </row>
    <row r="1351" spans="1:1" x14ac:dyDescent="0.25">
      <c r="A1351" t="s">
        <v>2120</v>
      </c>
    </row>
    <row r="1352" spans="1:1" x14ac:dyDescent="0.25">
      <c r="A1352" t="s">
        <v>2081</v>
      </c>
    </row>
    <row r="1353" spans="1:1" x14ac:dyDescent="0.25">
      <c r="A1353" t="s">
        <v>1753</v>
      </c>
    </row>
    <row r="1354" spans="1:1" x14ac:dyDescent="0.25">
      <c r="A1354" t="s">
        <v>1741</v>
      </c>
    </row>
    <row r="1355" spans="1:1" x14ac:dyDescent="0.25">
      <c r="A1355" t="s">
        <v>1762</v>
      </c>
    </row>
    <row r="1356" spans="1:1" x14ac:dyDescent="0.25">
      <c r="A1356" t="s">
        <v>2121</v>
      </c>
    </row>
    <row r="1357" spans="1:1" x14ac:dyDescent="0.25">
      <c r="A1357" t="s">
        <v>1744</v>
      </c>
    </row>
    <row r="1359" spans="1:1" x14ac:dyDescent="0.25">
      <c r="A1359" t="s">
        <v>1737</v>
      </c>
    </row>
    <row r="1360" spans="1:1" x14ac:dyDescent="0.25">
      <c r="A1360" t="s">
        <v>1738</v>
      </c>
    </row>
    <row r="1361" spans="1:1" x14ac:dyDescent="0.25">
      <c r="A1361" t="s">
        <v>2122</v>
      </c>
    </row>
    <row r="1362" spans="1:1" x14ac:dyDescent="0.25">
      <c r="A1362" t="s">
        <v>2123</v>
      </c>
    </row>
    <row r="1363" spans="1:1" x14ac:dyDescent="0.25">
      <c r="A1363" t="s">
        <v>2081</v>
      </c>
    </row>
    <row r="1364" spans="1:1" x14ac:dyDescent="0.25">
      <c r="A1364" t="s">
        <v>1753</v>
      </c>
    </row>
    <row r="1365" spans="1:1" x14ac:dyDescent="0.25">
      <c r="A1365" t="s">
        <v>1741</v>
      </c>
    </row>
    <row r="1366" spans="1:1" x14ac:dyDescent="0.25">
      <c r="A1366" t="s">
        <v>1762</v>
      </c>
    </row>
    <row r="1367" spans="1:1" x14ac:dyDescent="0.25">
      <c r="A1367" t="s">
        <v>2124</v>
      </c>
    </row>
    <row r="1368" spans="1:1" x14ac:dyDescent="0.25">
      <c r="A1368" t="s">
        <v>1744</v>
      </c>
    </row>
    <row r="1370" spans="1:1" x14ac:dyDescent="0.25">
      <c r="A1370" t="s">
        <v>1737</v>
      </c>
    </row>
    <row r="1371" spans="1:1" x14ac:dyDescent="0.25">
      <c r="A1371" t="s">
        <v>1738</v>
      </c>
    </row>
    <row r="1372" spans="1:1" x14ac:dyDescent="0.25">
      <c r="A1372" t="s">
        <v>2125</v>
      </c>
    </row>
    <row r="1373" spans="1:1" x14ac:dyDescent="0.25">
      <c r="A1373" t="s">
        <v>2126</v>
      </c>
    </row>
    <row r="1374" spans="1:1" x14ac:dyDescent="0.25">
      <c r="A1374" t="s">
        <v>1990</v>
      </c>
    </row>
    <row r="1375" spans="1:1" x14ac:dyDescent="0.25">
      <c r="A1375" t="s">
        <v>1753</v>
      </c>
    </row>
    <row r="1376" spans="1:1" x14ac:dyDescent="0.25">
      <c r="A1376" t="s">
        <v>1741</v>
      </c>
    </row>
    <row r="1377" spans="1:1" x14ac:dyDescent="0.25">
      <c r="A1377" t="s">
        <v>1887</v>
      </c>
    </row>
    <row r="1378" spans="1:1" x14ac:dyDescent="0.25">
      <c r="A1378" t="s">
        <v>2127</v>
      </c>
    </row>
    <row r="1379" spans="1:1" x14ac:dyDescent="0.25">
      <c r="A1379" t="s">
        <v>1744</v>
      </c>
    </row>
    <row r="1381" spans="1:1" x14ac:dyDescent="0.25">
      <c r="A1381" t="s">
        <v>1737</v>
      </c>
    </row>
    <row r="1382" spans="1:1" x14ac:dyDescent="0.25">
      <c r="A1382" t="s">
        <v>1738</v>
      </c>
    </row>
    <row r="1383" spans="1:1" x14ac:dyDescent="0.25">
      <c r="A1383" t="s">
        <v>2128</v>
      </c>
    </row>
    <row r="1384" spans="1:1" x14ac:dyDescent="0.25">
      <c r="A1384" t="s">
        <v>2129</v>
      </c>
    </row>
    <row r="1385" spans="1:1" x14ac:dyDescent="0.25">
      <c r="A1385" t="s">
        <v>1990</v>
      </c>
    </row>
    <row r="1386" spans="1:1" x14ac:dyDescent="0.25">
      <c r="A1386" t="s">
        <v>1753</v>
      </c>
    </row>
    <row r="1387" spans="1:1" x14ac:dyDescent="0.25">
      <c r="A1387" t="s">
        <v>1741</v>
      </c>
    </row>
    <row r="1388" spans="1:1" x14ac:dyDescent="0.25">
      <c r="A1388" t="s">
        <v>2130</v>
      </c>
    </row>
    <row r="1389" spans="1:1" x14ac:dyDescent="0.25">
      <c r="A1389" t="s">
        <v>2131</v>
      </c>
    </row>
    <row r="1390" spans="1:1" x14ac:dyDescent="0.25">
      <c r="A1390" t="s">
        <v>1744</v>
      </c>
    </row>
    <row r="1392" spans="1:1" x14ac:dyDescent="0.25">
      <c r="A1392" t="s">
        <v>1737</v>
      </c>
    </row>
    <row r="1393" spans="1:1" x14ac:dyDescent="0.25">
      <c r="A1393" t="s">
        <v>1738</v>
      </c>
    </row>
    <row r="1394" spans="1:1" x14ac:dyDescent="0.25">
      <c r="A1394" t="s">
        <v>2132</v>
      </c>
    </row>
    <row r="1395" spans="1:1" x14ac:dyDescent="0.25">
      <c r="A1395" t="s">
        <v>2133</v>
      </c>
    </row>
    <row r="1396" spans="1:1" x14ac:dyDescent="0.25">
      <c r="A1396" t="s">
        <v>1929</v>
      </c>
    </row>
    <row r="1397" spans="1:1" x14ac:dyDescent="0.25">
      <c r="A1397" t="s">
        <v>1753</v>
      </c>
    </row>
    <row r="1398" spans="1:1" x14ac:dyDescent="0.25">
      <c r="A1398" t="s">
        <v>1741</v>
      </c>
    </row>
    <row r="1399" spans="1:1" x14ac:dyDescent="0.25">
      <c r="A1399" t="s">
        <v>1762</v>
      </c>
    </row>
    <row r="1400" spans="1:1" x14ac:dyDescent="0.25">
      <c r="A1400" t="s">
        <v>2134</v>
      </c>
    </row>
    <row r="1401" spans="1:1" x14ac:dyDescent="0.25">
      <c r="A1401" t="s">
        <v>1744</v>
      </c>
    </row>
    <row r="1403" spans="1:1" x14ac:dyDescent="0.25">
      <c r="A1403" t="s">
        <v>1737</v>
      </c>
    </row>
    <row r="1404" spans="1:1" x14ac:dyDescent="0.25">
      <c r="A1404" t="s">
        <v>1738</v>
      </c>
    </row>
    <row r="1405" spans="1:1" x14ac:dyDescent="0.25">
      <c r="A1405" t="s">
        <v>2135</v>
      </c>
    </row>
    <row r="1406" spans="1:1" x14ac:dyDescent="0.25">
      <c r="A1406" t="s">
        <v>1741</v>
      </c>
    </row>
    <row r="1407" spans="1:1" x14ac:dyDescent="0.25">
      <c r="A1407" t="s">
        <v>1762</v>
      </c>
    </row>
    <row r="1408" spans="1:1" x14ac:dyDescent="0.25">
      <c r="A1408" t="s">
        <v>2136</v>
      </c>
    </row>
    <row r="1409" spans="1:1" x14ac:dyDescent="0.25">
      <c r="A1409" t="s">
        <v>1744</v>
      </c>
    </row>
    <row r="1411" spans="1:1" x14ac:dyDescent="0.25">
      <c r="A1411" t="s">
        <v>1737</v>
      </c>
    </row>
    <row r="1412" spans="1:1" x14ac:dyDescent="0.25">
      <c r="A1412" t="s">
        <v>1738</v>
      </c>
    </row>
    <row r="1413" spans="1:1" x14ac:dyDescent="0.25">
      <c r="A1413" t="s">
        <v>2137</v>
      </c>
    </row>
    <row r="1414" spans="1:1" x14ac:dyDescent="0.25">
      <c r="A1414" t="s">
        <v>1741</v>
      </c>
    </row>
    <row r="1415" spans="1:1" x14ac:dyDescent="0.25">
      <c r="A1415" t="s">
        <v>1762</v>
      </c>
    </row>
    <row r="1416" spans="1:1" x14ac:dyDescent="0.25">
      <c r="A1416" t="s">
        <v>2138</v>
      </c>
    </row>
    <row r="1417" spans="1:1" x14ac:dyDescent="0.25">
      <c r="A1417" t="s">
        <v>1744</v>
      </c>
    </row>
    <row r="1419" spans="1:1" x14ac:dyDescent="0.25">
      <c r="A1419" t="s">
        <v>1737</v>
      </c>
    </row>
    <row r="1420" spans="1:1" x14ac:dyDescent="0.25">
      <c r="A1420" t="s">
        <v>1738</v>
      </c>
    </row>
    <row r="1421" spans="1:1" x14ac:dyDescent="0.25">
      <c r="A1421" t="s">
        <v>2139</v>
      </c>
    </row>
    <row r="1422" spans="1:1" x14ac:dyDescent="0.25">
      <c r="A1422" t="s">
        <v>1741</v>
      </c>
    </row>
    <row r="1423" spans="1:1" x14ac:dyDescent="0.25">
      <c r="A1423" t="s">
        <v>1762</v>
      </c>
    </row>
    <row r="1424" spans="1:1" x14ac:dyDescent="0.25">
      <c r="A1424" t="s">
        <v>2140</v>
      </c>
    </row>
    <row r="1425" spans="1:1" x14ac:dyDescent="0.25">
      <c r="A1425" t="s">
        <v>1744</v>
      </c>
    </row>
    <row r="1427" spans="1:1" x14ac:dyDescent="0.25">
      <c r="A1427" t="s">
        <v>1737</v>
      </c>
    </row>
    <row r="1428" spans="1:1" x14ac:dyDescent="0.25">
      <c r="A1428" t="s">
        <v>1738</v>
      </c>
    </row>
    <row r="1429" spans="1:1" x14ac:dyDescent="0.25">
      <c r="A1429" t="s">
        <v>2141</v>
      </c>
    </row>
    <row r="1430" spans="1:1" x14ac:dyDescent="0.25">
      <c r="A1430" t="s">
        <v>1741</v>
      </c>
    </row>
    <row r="1431" spans="1:1" x14ac:dyDescent="0.25">
      <c r="A1431" t="s">
        <v>1762</v>
      </c>
    </row>
    <row r="1432" spans="1:1" x14ac:dyDescent="0.25">
      <c r="A1432" t="s">
        <v>2142</v>
      </c>
    </row>
    <row r="1433" spans="1:1" x14ac:dyDescent="0.25">
      <c r="A1433" t="s">
        <v>1744</v>
      </c>
    </row>
    <row r="1435" spans="1:1" x14ac:dyDescent="0.25">
      <c r="A1435" t="s">
        <v>1737</v>
      </c>
    </row>
    <row r="1436" spans="1:1" x14ac:dyDescent="0.25">
      <c r="A1436" t="s">
        <v>1738</v>
      </c>
    </row>
    <row r="1437" spans="1:1" x14ac:dyDescent="0.25">
      <c r="A1437" t="s">
        <v>2143</v>
      </c>
    </row>
    <row r="1438" spans="1:1" x14ac:dyDescent="0.25">
      <c r="A1438" t="s">
        <v>1741</v>
      </c>
    </row>
    <row r="1439" spans="1:1" x14ac:dyDescent="0.25">
      <c r="A1439" t="s">
        <v>1762</v>
      </c>
    </row>
    <row r="1440" spans="1:1" x14ac:dyDescent="0.25">
      <c r="A1440" t="s">
        <v>2144</v>
      </c>
    </row>
    <row r="1441" spans="1:1" x14ac:dyDescent="0.25">
      <c r="A1441" t="s">
        <v>1744</v>
      </c>
    </row>
    <row r="1443" spans="1:1" x14ac:dyDescent="0.25">
      <c r="A1443" t="s">
        <v>1737</v>
      </c>
    </row>
    <row r="1444" spans="1:1" x14ac:dyDescent="0.25">
      <c r="A1444" t="s">
        <v>1738</v>
      </c>
    </row>
    <row r="1445" spans="1:1" x14ac:dyDescent="0.25">
      <c r="A1445" t="s">
        <v>2145</v>
      </c>
    </row>
    <row r="1446" spans="1:1" x14ac:dyDescent="0.25">
      <c r="A1446" t="s">
        <v>1741</v>
      </c>
    </row>
    <row r="1447" spans="1:1" x14ac:dyDescent="0.25">
      <c r="A1447" t="s">
        <v>1762</v>
      </c>
    </row>
    <row r="1448" spans="1:1" x14ac:dyDescent="0.25">
      <c r="A1448" t="s">
        <v>2146</v>
      </c>
    </row>
    <row r="1449" spans="1:1" x14ac:dyDescent="0.25">
      <c r="A1449" t="s">
        <v>1744</v>
      </c>
    </row>
    <row r="1451" spans="1:1" x14ac:dyDescent="0.25">
      <c r="A1451" t="s">
        <v>1737</v>
      </c>
    </row>
    <row r="1452" spans="1:1" x14ac:dyDescent="0.25">
      <c r="A1452" t="s">
        <v>1738</v>
      </c>
    </row>
    <row r="1453" spans="1:1" x14ac:dyDescent="0.25">
      <c r="A1453" t="s">
        <v>2147</v>
      </c>
    </row>
    <row r="1454" spans="1:1" x14ac:dyDescent="0.25">
      <c r="A1454" t="s">
        <v>1741</v>
      </c>
    </row>
    <row r="1455" spans="1:1" x14ac:dyDescent="0.25">
      <c r="A1455" t="s">
        <v>1762</v>
      </c>
    </row>
    <row r="1456" spans="1:1" x14ac:dyDescent="0.25">
      <c r="A1456" t="s">
        <v>2148</v>
      </c>
    </row>
    <row r="1457" spans="1:1" x14ac:dyDescent="0.25">
      <c r="A1457" t="s">
        <v>1744</v>
      </c>
    </row>
    <row r="1459" spans="1:1" x14ac:dyDescent="0.25">
      <c r="A1459" t="s">
        <v>1737</v>
      </c>
    </row>
    <row r="1460" spans="1:1" x14ac:dyDescent="0.25">
      <c r="A1460" t="s">
        <v>1738</v>
      </c>
    </row>
    <row r="1461" spans="1:1" x14ac:dyDescent="0.25">
      <c r="A1461" t="s">
        <v>2149</v>
      </c>
    </row>
    <row r="1462" spans="1:1" x14ac:dyDescent="0.25">
      <c r="A1462" t="s">
        <v>1741</v>
      </c>
    </row>
    <row r="1463" spans="1:1" x14ac:dyDescent="0.25">
      <c r="A1463" t="s">
        <v>1762</v>
      </c>
    </row>
    <row r="1464" spans="1:1" x14ac:dyDescent="0.25">
      <c r="A1464" t="s">
        <v>2150</v>
      </c>
    </row>
    <row r="1465" spans="1:1" x14ac:dyDescent="0.25">
      <c r="A1465" t="s">
        <v>1744</v>
      </c>
    </row>
    <row r="1467" spans="1:1" x14ac:dyDescent="0.25">
      <c r="A1467" t="s">
        <v>1737</v>
      </c>
    </row>
    <row r="1468" spans="1:1" x14ac:dyDescent="0.25">
      <c r="A1468" t="s">
        <v>1738</v>
      </c>
    </row>
    <row r="1469" spans="1:1" x14ac:dyDescent="0.25">
      <c r="A1469" t="s">
        <v>2151</v>
      </c>
    </row>
    <row r="1470" spans="1:1" x14ac:dyDescent="0.25">
      <c r="A1470" t="s">
        <v>1741</v>
      </c>
    </row>
    <row r="1471" spans="1:1" x14ac:dyDescent="0.25">
      <c r="A1471" t="s">
        <v>1762</v>
      </c>
    </row>
    <row r="1472" spans="1:1" x14ac:dyDescent="0.25">
      <c r="A1472" t="s">
        <v>2152</v>
      </c>
    </row>
    <row r="1473" spans="1:1" x14ac:dyDescent="0.25">
      <c r="A1473" t="s">
        <v>1744</v>
      </c>
    </row>
    <row r="1475" spans="1:1" x14ac:dyDescent="0.25">
      <c r="A1475" t="s">
        <v>1737</v>
      </c>
    </row>
    <row r="1476" spans="1:1" x14ac:dyDescent="0.25">
      <c r="A1476" t="s">
        <v>1738</v>
      </c>
    </row>
    <row r="1477" spans="1:1" x14ac:dyDescent="0.25">
      <c r="A1477" t="s">
        <v>2153</v>
      </c>
    </row>
    <row r="1478" spans="1:1" x14ac:dyDescent="0.25">
      <c r="A1478" t="s">
        <v>1741</v>
      </c>
    </row>
    <row r="1479" spans="1:1" x14ac:dyDescent="0.25">
      <c r="A1479" t="s">
        <v>1762</v>
      </c>
    </row>
    <row r="1480" spans="1:1" x14ac:dyDescent="0.25">
      <c r="A1480" t="s">
        <v>2154</v>
      </c>
    </row>
    <row r="1481" spans="1:1" x14ac:dyDescent="0.25">
      <c r="A1481" t="s">
        <v>1744</v>
      </c>
    </row>
    <row r="1483" spans="1:1" x14ac:dyDescent="0.25">
      <c r="A1483" t="s">
        <v>1737</v>
      </c>
    </row>
    <row r="1484" spans="1:1" x14ac:dyDescent="0.25">
      <c r="A1484" t="s">
        <v>1738</v>
      </c>
    </row>
    <row r="1485" spans="1:1" x14ac:dyDescent="0.25">
      <c r="A1485" t="s">
        <v>2155</v>
      </c>
    </row>
    <row r="1486" spans="1:1" x14ac:dyDescent="0.25">
      <c r="A1486" t="s">
        <v>1741</v>
      </c>
    </row>
    <row r="1487" spans="1:1" x14ac:dyDescent="0.25">
      <c r="A1487" t="s">
        <v>1762</v>
      </c>
    </row>
    <row r="1488" spans="1:1" x14ac:dyDescent="0.25">
      <c r="A1488" t="s">
        <v>2156</v>
      </c>
    </row>
    <row r="1489" spans="1:1" x14ac:dyDescent="0.25">
      <c r="A1489" t="s">
        <v>1744</v>
      </c>
    </row>
    <row r="1491" spans="1:1" x14ac:dyDescent="0.25">
      <c r="A1491" t="s">
        <v>1737</v>
      </c>
    </row>
    <row r="1492" spans="1:1" x14ac:dyDescent="0.25">
      <c r="A1492" t="s">
        <v>1738</v>
      </c>
    </row>
    <row r="1493" spans="1:1" x14ac:dyDescent="0.25">
      <c r="A1493" t="s">
        <v>2157</v>
      </c>
    </row>
    <row r="1494" spans="1:1" x14ac:dyDescent="0.25">
      <c r="A1494" t="s">
        <v>1741</v>
      </c>
    </row>
    <row r="1495" spans="1:1" x14ac:dyDescent="0.25">
      <c r="A1495" t="s">
        <v>1762</v>
      </c>
    </row>
    <row r="1496" spans="1:1" x14ac:dyDescent="0.25">
      <c r="A1496" t="s">
        <v>2158</v>
      </c>
    </row>
    <row r="1497" spans="1:1" x14ac:dyDescent="0.25">
      <c r="A1497" t="s">
        <v>1744</v>
      </c>
    </row>
    <row r="1499" spans="1:1" x14ac:dyDescent="0.25">
      <c r="A1499" t="s">
        <v>1737</v>
      </c>
    </row>
    <row r="1500" spans="1:1" x14ac:dyDescent="0.25">
      <c r="A1500" t="s">
        <v>1738</v>
      </c>
    </row>
    <row r="1501" spans="1:1" x14ac:dyDescent="0.25">
      <c r="A1501" t="s">
        <v>2159</v>
      </c>
    </row>
    <row r="1502" spans="1:1" x14ac:dyDescent="0.25">
      <c r="A1502" t="s">
        <v>1741</v>
      </c>
    </row>
    <row r="1503" spans="1:1" x14ac:dyDescent="0.25">
      <c r="A1503" t="s">
        <v>1762</v>
      </c>
    </row>
    <row r="1504" spans="1:1" x14ac:dyDescent="0.25">
      <c r="A1504" t="s">
        <v>2160</v>
      </c>
    </row>
    <row r="1505" spans="1:1" x14ac:dyDescent="0.25">
      <c r="A1505" t="s">
        <v>1744</v>
      </c>
    </row>
    <row r="1507" spans="1:1" x14ac:dyDescent="0.25">
      <c r="A1507" t="s">
        <v>1737</v>
      </c>
    </row>
    <row r="1508" spans="1:1" x14ac:dyDescent="0.25">
      <c r="A1508" t="s">
        <v>1738</v>
      </c>
    </row>
    <row r="1509" spans="1:1" x14ac:dyDescent="0.25">
      <c r="A1509" t="s">
        <v>2161</v>
      </c>
    </row>
    <row r="1510" spans="1:1" x14ac:dyDescent="0.25">
      <c r="A1510" t="s">
        <v>2162</v>
      </c>
    </row>
    <row r="1511" spans="1:1" x14ac:dyDescent="0.25">
      <c r="A1511" t="s">
        <v>2163</v>
      </c>
    </row>
    <row r="1512" spans="1:1" x14ac:dyDescent="0.25">
      <c r="A1512" t="s">
        <v>1753</v>
      </c>
    </row>
    <row r="1513" spans="1:1" x14ac:dyDescent="0.25">
      <c r="A1513" t="s">
        <v>1741</v>
      </c>
    </row>
    <row r="1514" spans="1:1" x14ac:dyDescent="0.25">
      <c r="A1514" t="s">
        <v>1762</v>
      </c>
    </row>
    <row r="1515" spans="1:1" x14ac:dyDescent="0.25">
      <c r="A1515" t="s">
        <v>2164</v>
      </c>
    </row>
    <row r="1516" spans="1:1" x14ac:dyDescent="0.25">
      <c r="A1516" t="s">
        <v>1744</v>
      </c>
    </row>
    <row r="1518" spans="1:1" x14ac:dyDescent="0.25">
      <c r="A1518" t="s">
        <v>1737</v>
      </c>
    </row>
    <row r="1519" spans="1:1" x14ac:dyDescent="0.25">
      <c r="A1519" t="s">
        <v>1738</v>
      </c>
    </row>
    <row r="1520" spans="1:1" x14ac:dyDescent="0.25">
      <c r="A1520" t="s">
        <v>2165</v>
      </c>
    </row>
    <row r="1521" spans="1:1" x14ac:dyDescent="0.25">
      <c r="A1521" t="s">
        <v>2166</v>
      </c>
    </row>
    <row r="1522" spans="1:1" x14ac:dyDescent="0.25">
      <c r="A1522" t="s">
        <v>2081</v>
      </c>
    </row>
    <row r="1523" spans="1:1" x14ac:dyDescent="0.25">
      <c r="A1523" t="s">
        <v>1753</v>
      </c>
    </row>
    <row r="1524" spans="1:1" x14ac:dyDescent="0.25">
      <c r="A1524" t="s">
        <v>1741</v>
      </c>
    </row>
    <row r="1525" spans="1:1" x14ac:dyDescent="0.25">
      <c r="A1525" t="s">
        <v>1762</v>
      </c>
    </row>
    <row r="1526" spans="1:1" x14ac:dyDescent="0.25">
      <c r="A1526" t="s">
        <v>2167</v>
      </c>
    </row>
    <row r="1527" spans="1:1" x14ac:dyDescent="0.25">
      <c r="A1527" t="s">
        <v>1744</v>
      </c>
    </row>
    <row r="1529" spans="1:1" x14ac:dyDescent="0.25">
      <c r="A1529" t="s">
        <v>1737</v>
      </c>
    </row>
    <row r="1530" spans="1:1" x14ac:dyDescent="0.25">
      <c r="A1530" t="s">
        <v>1738</v>
      </c>
    </row>
    <row r="1531" spans="1:1" x14ac:dyDescent="0.25">
      <c r="A1531" t="s">
        <v>2168</v>
      </c>
    </row>
    <row r="1532" spans="1:1" x14ac:dyDescent="0.25">
      <c r="A1532" t="s">
        <v>2169</v>
      </c>
    </row>
    <row r="1533" spans="1:1" x14ac:dyDescent="0.25">
      <c r="A1533" t="s">
        <v>2077</v>
      </c>
    </row>
    <row r="1534" spans="1:1" x14ac:dyDescent="0.25">
      <c r="A1534" t="s">
        <v>1753</v>
      </c>
    </row>
    <row r="1535" spans="1:1" x14ac:dyDescent="0.25">
      <c r="A1535" t="s">
        <v>1741</v>
      </c>
    </row>
    <row r="1536" spans="1:1" x14ac:dyDescent="0.25">
      <c r="A1536" t="s">
        <v>1762</v>
      </c>
    </row>
    <row r="1537" spans="1:1" x14ac:dyDescent="0.25">
      <c r="A1537" t="s">
        <v>2170</v>
      </c>
    </row>
    <row r="1538" spans="1:1" x14ac:dyDescent="0.25">
      <c r="A1538" t="s">
        <v>1744</v>
      </c>
    </row>
    <row r="1540" spans="1:1" x14ac:dyDescent="0.25">
      <c r="A1540" t="s">
        <v>1737</v>
      </c>
    </row>
    <row r="1541" spans="1:1" x14ac:dyDescent="0.25">
      <c r="A1541" t="s">
        <v>1738</v>
      </c>
    </row>
    <row r="1542" spans="1:1" x14ac:dyDescent="0.25">
      <c r="A1542" t="s">
        <v>2171</v>
      </c>
    </row>
    <row r="1543" spans="1:1" x14ac:dyDescent="0.25">
      <c r="A1543" t="s">
        <v>2172</v>
      </c>
    </row>
    <row r="1544" spans="1:1" x14ac:dyDescent="0.25">
      <c r="A1544" t="s">
        <v>2173</v>
      </c>
    </row>
    <row r="1545" spans="1:1" x14ac:dyDescent="0.25">
      <c r="A1545" t="s">
        <v>1753</v>
      </c>
    </row>
    <row r="1546" spans="1:1" x14ac:dyDescent="0.25">
      <c r="A1546" t="s">
        <v>1741</v>
      </c>
    </row>
    <row r="1547" spans="1:1" x14ac:dyDescent="0.25">
      <c r="A1547" t="s">
        <v>1762</v>
      </c>
    </row>
    <row r="1548" spans="1:1" x14ac:dyDescent="0.25">
      <c r="A1548" t="s">
        <v>2174</v>
      </c>
    </row>
    <row r="1549" spans="1:1" x14ac:dyDescent="0.25">
      <c r="A1549" t="s">
        <v>1744</v>
      </c>
    </row>
    <row r="1551" spans="1:1" x14ac:dyDescent="0.25">
      <c r="A1551" t="s">
        <v>1737</v>
      </c>
    </row>
    <row r="1552" spans="1:1" x14ac:dyDescent="0.25">
      <c r="A1552" t="s">
        <v>1738</v>
      </c>
    </row>
    <row r="1553" spans="1:1" x14ac:dyDescent="0.25">
      <c r="A1553" t="s">
        <v>2175</v>
      </c>
    </row>
    <row r="1554" spans="1:1" x14ac:dyDescent="0.25">
      <c r="A1554" t="s">
        <v>2176</v>
      </c>
    </row>
    <row r="1555" spans="1:1" x14ac:dyDescent="0.25">
      <c r="A1555" t="s">
        <v>1990</v>
      </c>
    </row>
    <row r="1556" spans="1:1" x14ac:dyDescent="0.25">
      <c r="A1556" t="s">
        <v>1753</v>
      </c>
    </row>
    <row r="1557" spans="1:1" x14ac:dyDescent="0.25">
      <c r="A1557" t="s">
        <v>1741</v>
      </c>
    </row>
    <row r="1558" spans="1:1" x14ac:dyDescent="0.25">
      <c r="A1558" t="s">
        <v>1887</v>
      </c>
    </row>
    <row r="1559" spans="1:1" x14ac:dyDescent="0.25">
      <c r="A1559" t="s">
        <v>2177</v>
      </c>
    </row>
    <row r="1560" spans="1:1" x14ac:dyDescent="0.25">
      <c r="A1560" t="s">
        <v>1744</v>
      </c>
    </row>
    <row r="1562" spans="1:1" x14ac:dyDescent="0.25">
      <c r="A1562" t="s">
        <v>1737</v>
      </c>
    </row>
    <row r="1563" spans="1:1" x14ac:dyDescent="0.25">
      <c r="A1563" t="s">
        <v>1738</v>
      </c>
    </row>
    <row r="1564" spans="1:1" x14ac:dyDescent="0.25">
      <c r="A1564" t="s">
        <v>2178</v>
      </c>
    </row>
    <row r="1565" spans="1:1" x14ac:dyDescent="0.25">
      <c r="A1565" t="s">
        <v>2179</v>
      </c>
    </row>
    <row r="1566" spans="1:1" x14ac:dyDescent="0.25">
      <c r="A1566" t="s">
        <v>1990</v>
      </c>
    </row>
    <row r="1567" spans="1:1" x14ac:dyDescent="0.25">
      <c r="A1567" t="s">
        <v>1753</v>
      </c>
    </row>
    <row r="1568" spans="1:1" x14ac:dyDescent="0.25">
      <c r="A1568" t="s">
        <v>1741</v>
      </c>
    </row>
    <row r="1569" spans="1:1" x14ac:dyDescent="0.25">
      <c r="A1569" t="s">
        <v>1887</v>
      </c>
    </row>
    <row r="1570" spans="1:1" x14ac:dyDescent="0.25">
      <c r="A1570" t="s">
        <v>2180</v>
      </c>
    </row>
    <row r="1571" spans="1:1" x14ac:dyDescent="0.25">
      <c r="A1571" t="s">
        <v>1744</v>
      </c>
    </row>
    <row r="1573" spans="1:1" x14ac:dyDescent="0.25">
      <c r="A1573" t="s">
        <v>1737</v>
      </c>
    </row>
    <row r="1574" spans="1:1" x14ac:dyDescent="0.25">
      <c r="A1574" t="s">
        <v>1738</v>
      </c>
    </row>
    <row r="1575" spans="1:1" x14ac:dyDescent="0.25">
      <c r="A1575" t="s">
        <v>2181</v>
      </c>
    </row>
    <row r="1576" spans="1:1" x14ac:dyDescent="0.25">
      <c r="A1576" t="s">
        <v>2182</v>
      </c>
    </row>
    <row r="1577" spans="1:1" x14ac:dyDescent="0.25">
      <c r="A1577" t="s">
        <v>1990</v>
      </c>
    </row>
    <row r="1578" spans="1:1" x14ac:dyDescent="0.25">
      <c r="A1578" t="s">
        <v>1753</v>
      </c>
    </row>
    <row r="1579" spans="1:1" x14ac:dyDescent="0.25">
      <c r="A1579" t="s">
        <v>1741</v>
      </c>
    </row>
    <row r="1580" spans="1:1" x14ac:dyDescent="0.25">
      <c r="A1580" t="s">
        <v>1887</v>
      </c>
    </row>
    <row r="1581" spans="1:1" x14ac:dyDescent="0.25">
      <c r="A1581" t="s">
        <v>2183</v>
      </c>
    </row>
    <row r="1582" spans="1:1" x14ac:dyDescent="0.25">
      <c r="A1582" t="s">
        <v>1744</v>
      </c>
    </row>
    <row r="1584" spans="1:1" x14ac:dyDescent="0.25">
      <c r="A1584" t="s">
        <v>1737</v>
      </c>
    </row>
    <row r="1585" spans="1:1" x14ac:dyDescent="0.25">
      <c r="A1585" t="s">
        <v>1738</v>
      </c>
    </row>
    <row r="1586" spans="1:1" x14ac:dyDescent="0.25">
      <c r="A1586" t="s">
        <v>2184</v>
      </c>
    </row>
    <row r="1587" spans="1:1" x14ac:dyDescent="0.25">
      <c r="A1587" t="s">
        <v>2185</v>
      </c>
    </row>
    <row r="1588" spans="1:1" x14ac:dyDescent="0.25">
      <c r="A1588" t="s">
        <v>1990</v>
      </c>
    </row>
    <row r="1589" spans="1:1" x14ac:dyDescent="0.25">
      <c r="A1589" t="s">
        <v>1753</v>
      </c>
    </row>
    <row r="1590" spans="1:1" x14ac:dyDescent="0.25">
      <c r="A1590" t="s">
        <v>1741</v>
      </c>
    </row>
    <row r="1591" spans="1:1" x14ac:dyDescent="0.25">
      <c r="A1591" t="s">
        <v>1762</v>
      </c>
    </row>
    <row r="1592" spans="1:1" x14ac:dyDescent="0.25">
      <c r="A1592" t="s">
        <v>2186</v>
      </c>
    </row>
    <row r="1593" spans="1:1" x14ac:dyDescent="0.25">
      <c r="A1593" t="s">
        <v>1744</v>
      </c>
    </row>
    <row r="1595" spans="1:1" x14ac:dyDescent="0.25">
      <c r="A1595" t="s">
        <v>1737</v>
      </c>
    </row>
    <row r="1596" spans="1:1" x14ac:dyDescent="0.25">
      <c r="A1596" t="s">
        <v>1738</v>
      </c>
    </row>
    <row r="1597" spans="1:1" x14ac:dyDescent="0.25">
      <c r="A1597" t="s">
        <v>2187</v>
      </c>
    </row>
    <row r="1598" spans="1:1" x14ac:dyDescent="0.25">
      <c r="A1598" t="s">
        <v>2188</v>
      </c>
    </row>
    <row r="1599" spans="1:1" x14ac:dyDescent="0.25">
      <c r="A1599" t="s">
        <v>1929</v>
      </c>
    </row>
    <row r="1600" spans="1:1" x14ac:dyDescent="0.25">
      <c r="A1600" t="s">
        <v>1753</v>
      </c>
    </row>
    <row r="1601" spans="1:1" x14ac:dyDescent="0.25">
      <c r="A1601" t="s">
        <v>1741</v>
      </c>
    </row>
    <row r="1602" spans="1:1" x14ac:dyDescent="0.25">
      <c r="A1602" t="s">
        <v>1762</v>
      </c>
    </row>
    <row r="1603" spans="1:1" x14ac:dyDescent="0.25">
      <c r="A1603" t="s">
        <v>2189</v>
      </c>
    </row>
    <row r="1604" spans="1:1" x14ac:dyDescent="0.25">
      <c r="A1604" t="s">
        <v>1744</v>
      </c>
    </row>
    <row r="1606" spans="1:1" x14ac:dyDescent="0.25">
      <c r="A1606" t="s">
        <v>1737</v>
      </c>
    </row>
    <row r="1607" spans="1:1" x14ac:dyDescent="0.25">
      <c r="A1607" t="s">
        <v>1738</v>
      </c>
    </row>
    <row r="1608" spans="1:1" x14ac:dyDescent="0.25">
      <c r="A1608" t="s">
        <v>2190</v>
      </c>
    </row>
    <row r="1609" spans="1:1" x14ac:dyDescent="0.25">
      <c r="A1609" t="s">
        <v>2191</v>
      </c>
    </row>
    <row r="1610" spans="1:1" x14ac:dyDescent="0.25">
      <c r="A1610" t="s">
        <v>2010</v>
      </c>
    </row>
    <row r="1611" spans="1:1" x14ac:dyDescent="0.25">
      <c r="A1611" t="s">
        <v>1753</v>
      </c>
    </row>
    <row r="1612" spans="1:1" x14ac:dyDescent="0.25">
      <c r="A1612" t="s">
        <v>1741</v>
      </c>
    </row>
    <row r="1613" spans="1:1" x14ac:dyDescent="0.25">
      <c r="A1613" t="s">
        <v>2130</v>
      </c>
    </row>
    <row r="1614" spans="1:1" x14ac:dyDescent="0.25">
      <c r="A1614" t="s">
        <v>2192</v>
      </c>
    </row>
    <row r="1615" spans="1:1" x14ac:dyDescent="0.25">
      <c r="A1615" t="s">
        <v>1744</v>
      </c>
    </row>
    <row r="1617" spans="1:1" x14ac:dyDescent="0.25">
      <c r="A1617" t="s">
        <v>1737</v>
      </c>
    </row>
    <row r="1618" spans="1:1" x14ac:dyDescent="0.25">
      <c r="A1618" t="s">
        <v>1738</v>
      </c>
    </row>
    <row r="1619" spans="1:1" x14ac:dyDescent="0.25">
      <c r="A1619" t="s">
        <v>2193</v>
      </c>
    </row>
    <row r="1620" spans="1:1" x14ac:dyDescent="0.25">
      <c r="A1620" t="s">
        <v>2194</v>
      </c>
    </row>
    <row r="1621" spans="1:1" x14ac:dyDescent="0.25">
      <c r="A1621" t="s">
        <v>2195</v>
      </c>
    </row>
    <row r="1622" spans="1:1" x14ac:dyDescent="0.25">
      <c r="A1622" t="s">
        <v>1753</v>
      </c>
    </row>
    <row r="1623" spans="1:1" x14ac:dyDescent="0.25">
      <c r="A1623" t="s">
        <v>1741</v>
      </c>
    </row>
    <row r="1624" spans="1:1" x14ac:dyDescent="0.25">
      <c r="A1624" t="s">
        <v>1762</v>
      </c>
    </row>
    <row r="1625" spans="1:1" x14ac:dyDescent="0.25">
      <c r="A1625" t="s">
        <v>2196</v>
      </c>
    </row>
    <row r="1626" spans="1:1" x14ac:dyDescent="0.25">
      <c r="A1626" t="s">
        <v>1744</v>
      </c>
    </row>
    <row r="1628" spans="1:1" x14ac:dyDescent="0.25">
      <c r="A1628" t="s">
        <v>1737</v>
      </c>
    </row>
    <row r="1629" spans="1:1" x14ac:dyDescent="0.25">
      <c r="A1629" t="s">
        <v>1738</v>
      </c>
    </row>
    <row r="1630" spans="1:1" x14ac:dyDescent="0.25">
      <c r="A1630" t="s">
        <v>2197</v>
      </c>
    </row>
    <row r="1631" spans="1:1" x14ac:dyDescent="0.25">
      <c r="A1631" t="s">
        <v>2198</v>
      </c>
    </row>
    <row r="1632" spans="1:1" x14ac:dyDescent="0.25">
      <c r="A1632" t="s">
        <v>2199</v>
      </c>
    </row>
    <row r="1633" spans="1:1" x14ac:dyDescent="0.25">
      <c r="A1633" t="s">
        <v>1753</v>
      </c>
    </row>
    <row r="1634" spans="1:1" x14ac:dyDescent="0.25">
      <c r="A1634" t="s">
        <v>1741</v>
      </c>
    </row>
    <row r="1635" spans="1:1" x14ac:dyDescent="0.25">
      <c r="A1635" t="s">
        <v>1762</v>
      </c>
    </row>
    <row r="1636" spans="1:1" x14ac:dyDescent="0.25">
      <c r="A1636" t="s">
        <v>2200</v>
      </c>
    </row>
    <row r="1637" spans="1:1" x14ac:dyDescent="0.25">
      <c r="A1637" t="s">
        <v>1744</v>
      </c>
    </row>
    <row r="1639" spans="1:1" x14ac:dyDescent="0.25">
      <c r="A1639" t="s">
        <v>1737</v>
      </c>
    </row>
    <row r="1640" spans="1:1" x14ac:dyDescent="0.25">
      <c r="A1640" t="s">
        <v>1738</v>
      </c>
    </row>
    <row r="1641" spans="1:1" x14ac:dyDescent="0.25">
      <c r="A1641" t="s">
        <v>2201</v>
      </c>
    </row>
    <row r="1642" spans="1:1" x14ac:dyDescent="0.25">
      <c r="A1642" t="s">
        <v>2202</v>
      </c>
    </row>
    <row r="1643" spans="1:1" x14ac:dyDescent="0.25">
      <c r="A1643" t="s">
        <v>1990</v>
      </c>
    </row>
    <row r="1644" spans="1:1" x14ac:dyDescent="0.25">
      <c r="A1644" t="s">
        <v>1753</v>
      </c>
    </row>
    <row r="1645" spans="1:1" x14ac:dyDescent="0.25">
      <c r="A1645" t="s">
        <v>1741</v>
      </c>
    </row>
    <row r="1646" spans="1:1" x14ac:dyDescent="0.25">
      <c r="A1646" t="s">
        <v>1762</v>
      </c>
    </row>
    <row r="1647" spans="1:1" x14ac:dyDescent="0.25">
      <c r="A1647" t="s">
        <v>2203</v>
      </c>
    </row>
    <row r="1648" spans="1:1" x14ac:dyDescent="0.25">
      <c r="A1648" t="s">
        <v>1744</v>
      </c>
    </row>
    <row r="1650" spans="1:1" x14ac:dyDescent="0.25">
      <c r="A1650" t="s">
        <v>1737</v>
      </c>
    </row>
    <row r="1651" spans="1:1" x14ac:dyDescent="0.25">
      <c r="A1651" t="s">
        <v>1738</v>
      </c>
    </row>
    <row r="1652" spans="1:1" x14ac:dyDescent="0.25">
      <c r="A1652" t="s">
        <v>2204</v>
      </c>
    </row>
    <row r="1653" spans="1:1" x14ac:dyDescent="0.25">
      <c r="A1653" t="s">
        <v>2205</v>
      </c>
    </row>
    <row r="1654" spans="1:1" x14ac:dyDescent="0.25">
      <c r="A1654" t="s">
        <v>2010</v>
      </c>
    </row>
    <row r="1655" spans="1:1" x14ac:dyDescent="0.25">
      <c r="A1655" t="s">
        <v>1753</v>
      </c>
    </row>
    <row r="1656" spans="1:1" x14ac:dyDescent="0.25">
      <c r="A1656" t="s">
        <v>1741</v>
      </c>
    </row>
    <row r="1657" spans="1:1" x14ac:dyDescent="0.25">
      <c r="A1657" t="s">
        <v>1762</v>
      </c>
    </row>
    <row r="1658" spans="1:1" x14ac:dyDescent="0.25">
      <c r="A1658" t="s">
        <v>2206</v>
      </c>
    </row>
    <row r="1659" spans="1:1" x14ac:dyDescent="0.25">
      <c r="A1659" t="s">
        <v>1744</v>
      </c>
    </row>
    <row r="1661" spans="1:1" x14ac:dyDescent="0.25">
      <c r="A1661" t="s">
        <v>1737</v>
      </c>
    </row>
    <row r="1662" spans="1:1" x14ac:dyDescent="0.25">
      <c r="A1662" t="s">
        <v>1738</v>
      </c>
    </row>
    <row r="1663" spans="1:1" x14ac:dyDescent="0.25">
      <c r="A1663" t="s">
        <v>2207</v>
      </c>
    </row>
    <row r="1664" spans="1:1" x14ac:dyDescent="0.25">
      <c r="A1664" t="s">
        <v>2208</v>
      </c>
    </row>
    <row r="1665" spans="1:1" x14ac:dyDescent="0.25">
      <c r="A1665" t="s">
        <v>2209</v>
      </c>
    </row>
    <row r="1666" spans="1:1" x14ac:dyDescent="0.25">
      <c r="A1666" t="s">
        <v>1753</v>
      </c>
    </row>
    <row r="1667" spans="1:1" x14ac:dyDescent="0.25">
      <c r="A1667" t="s">
        <v>1741</v>
      </c>
    </row>
    <row r="1668" spans="1:1" x14ac:dyDescent="0.25">
      <c r="A1668" t="s">
        <v>1762</v>
      </c>
    </row>
    <row r="1669" spans="1:1" x14ac:dyDescent="0.25">
      <c r="A1669" t="s">
        <v>2210</v>
      </c>
    </row>
    <row r="1670" spans="1:1" x14ac:dyDescent="0.25">
      <c r="A1670" t="s">
        <v>1744</v>
      </c>
    </row>
    <row r="1672" spans="1:1" x14ac:dyDescent="0.25">
      <c r="A1672" t="s">
        <v>1737</v>
      </c>
    </row>
    <row r="1673" spans="1:1" x14ac:dyDescent="0.25">
      <c r="A1673" t="s">
        <v>1738</v>
      </c>
    </row>
    <row r="1674" spans="1:1" x14ac:dyDescent="0.25">
      <c r="A1674" t="s">
        <v>2211</v>
      </c>
    </row>
    <row r="1675" spans="1:1" x14ac:dyDescent="0.25">
      <c r="A1675" t="s">
        <v>2212</v>
      </c>
    </row>
    <row r="1676" spans="1:1" x14ac:dyDescent="0.25">
      <c r="A1676" t="s">
        <v>2209</v>
      </c>
    </row>
    <row r="1677" spans="1:1" x14ac:dyDescent="0.25">
      <c r="A1677" t="s">
        <v>1753</v>
      </c>
    </row>
    <row r="1678" spans="1:1" x14ac:dyDescent="0.25">
      <c r="A1678" t="s">
        <v>1741</v>
      </c>
    </row>
    <row r="1679" spans="1:1" x14ac:dyDescent="0.25">
      <c r="A1679" t="s">
        <v>2130</v>
      </c>
    </row>
    <row r="1680" spans="1:1" x14ac:dyDescent="0.25">
      <c r="A1680" t="s">
        <v>2213</v>
      </c>
    </row>
    <row r="1681" spans="1:1" x14ac:dyDescent="0.25">
      <c r="A1681" t="s">
        <v>1744</v>
      </c>
    </row>
    <row r="1683" spans="1:1" x14ac:dyDescent="0.25">
      <c r="A1683" t="s">
        <v>1737</v>
      </c>
    </row>
    <row r="1684" spans="1:1" x14ac:dyDescent="0.25">
      <c r="A1684" t="s">
        <v>1738</v>
      </c>
    </row>
    <row r="1685" spans="1:1" x14ac:dyDescent="0.25">
      <c r="A1685" t="s">
        <v>2214</v>
      </c>
    </row>
    <row r="1686" spans="1:1" x14ac:dyDescent="0.25">
      <c r="A1686" t="s">
        <v>2215</v>
      </c>
    </row>
    <row r="1687" spans="1:1" x14ac:dyDescent="0.25">
      <c r="A1687" t="s">
        <v>2209</v>
      </c>
    </row>
    <row r="1688" spans="1:1" x14ac:dyDescent="0.25">
      <c r="A1688" t="s">
        <v>1753</v>
      </c>
    </row>
    <row r="1689" spans="1:1" x14ac:dyDescent="0.25">
      <c r="A1689" t="s">
        <v>1741</v>
      </c>
    </row>
    <row r="1690" spans="1:1" x14ac:dyDescent="0.25">
      <c r="A1690" t="s">
        <v>1762</v>
      </c>
    </row>
    <row r="1691" spans="1:1" x14ac:dyDescent="0.25">
      <c r="A1691" t="s">
        <v>2216</v>
      </c>
    </row>
    <row r="1692" spans="1:1" x14ac:dyDescent="0.25">
      <c r="A1692" t="s">
        <v>1744</v>
      </c>
    </row>
    <row r="1694" spans="1:1" x14ac:dyDescent="0.25">
      <c r="A1694" t="s">
        <v>1737</v>
      </c>
    </row>
    <row r="1695" spans="1:1" x14ac:dyDescent="0.25">
      <c r="A1695" t="s">
        <v>1738</v>
      </c>
    </row>
    <row r="1696" spans="1:1" x14ac:dyDescent="0.25">
      <c r="A1696" t="s">
        <v>2217</v>
      </c>
    </row>
    <row r="1697" spans="1:1" x14ac:dyDescent="0.25">
      <c r="A1697" t="s">
        <v>2218</v>
      </c>
    </row>
    <row r="1698" spans="1:1" x14ac:dyDescent="0.25">
      <c r="A1698" t="s">
        <v>2209</v>
      </c>
    </row>
    <row r="1699" spans="1:1" x14ac:dyDescent="0.25">
      <c r="A1699" t="s">
        <v>1753</v>
      </c>
    </row>
    <row r="1700" spans="1:1" x14ac:dyDescent="0.25">
      <c r="A1700" t="s">
        <v>1741</v>
      </c>
    </row>
    <row r="1701" spans="1:1" x14ac:dyDescent="0.25">
      <c r="A1701" t="s">
        <v>2219</v>
      </c>
    </row>
    <row r="1702" spans="1:1" x14ac:dyDescent="0.25">
      <c r="A1702" t="s">
        <v>2220</v>
      </c>
    </row>
    <row r="1703" spans="1:1" x14ac:dyDescent="0.25">
      <c r="A1703" t="s">
        <v>1744</v>
      </c>
    </row>
    <row r="1705" spans="1:1" x14ac:dyDescent="0.25">
      <c r="A1705" t="s">
        <v>1737</v>
      </c>
    </row>
    <row r="1706" spans="1:1" x14ac:dyDescent="0.25">
      <c r="A1706" t="s">
        <v>1738</v>
      </c>
    </row>
    <row r="1707" spans="1:1" x14ac:dyDescent="0.25">
      <c r="A1707" t="s">
        <v>2221</v>
      </c>
    </row>
    <row r="1708" spans="1:1" x14ac:dyDescent="0.25">
      <c r="A1708" t="s">
        <v>2222</v>
      </c>
    </row>
    <row r="1709" spans="1:1" x14ac:dyDescent="0.25">
      <c r="A1709" t="s">
        <v>2223</v>
      </c>
    </row>
    <row r="1710" spans="1:1" x14ac:dyDescent="0.25">
      <c r="A1710" t="s">
        <v>1753</v>
      </c>
    </row>
    <row r="1711" spans="1:1" x14ac:dyDescent="0.25">
      <c r="A1711" t="s">
        <v>1741</v>
      </c>
    </row>
    <row r="1712" spans="1:1" x14ac:dyDescent="0.25">
      <c r="A1712" t="s">
        <v>1762</v>
      </c>
    </row>
    <row r="1713" spans="1:1" x14ac:dyDescent="0.25">
      <c r="A1713" t="s">
        <v>2224</v>
      </c>
    </row>
    <row r="1714" spans="1:1" x14ac:dyDescent="0.25">
      <c r="A1714" t="s">
        <v>1744</v>
      </c>
    </row>
    <row r="1716" spans="1:1" x14ac:dyDescent="0.25">
      <c r="A1716" t="s">
        <v>1737</v>
      </c>
    </row>
    <row r="1717" spans="1:1" x14ac:dyDescent="0.25">
      <c r="A1717" t="s">
        <v>1738</v>
      </c>
    </row>
    <row r="1718" spans="1:1" x14ac:dyDescent="0.25">
      <c r="A1718" t="s">
        <v>2225</v>
      </c>
    </row>
    <row r="1719" spans="1:1" x14ac:dyDescent="0.25">
      <c r="A1719" t="s">
        <v>2226</v>
      </c>
    </row>
    <row r="1720" spans="1:1" x14ac:dyDescent="0.25">
      <c r="A1720" t="s">
        <v>1990</v>
      </c>
    </row>
    <row r="1721" spans="1:1" x14ac:dyDescent="0.25">
      <c r="A1721" t="s">
        <v>1753</v>
      </c>
    </row>
    <row r="1722" spans="1:1" x14ac:dyDescent="0.25">
      <c r="A1722" t="s">
        <v>1741</v>
      </c>
    </row>
    <row r="1723" spans="1:1" x14ac:dyDescent="0.25">
      <c r="A1723" t="s">
        <v>1887</v>
      </c>
    </row>
    <row r="1724" spans="1:1" x14ac:dyDescent="0.25">
      <c r="A1724" t="s">
        <v>2227</v>
      </c>
    </row>
    <row r="1725" spans="1:1" x14ac:dyDescent="0.25">
      <c r="A1725" t="s">
        <v>1744</v>
      </c>
    </row>
    <row r="1727" spans="1:1" x14ac:dyDescent="0.25">
      <c r="A1727" t="s">
        <v>1737</v>
      </c>
    </row>
    <row r="1728" spans="1:1" x14ac:dyDescent="0.25">
      <c r="A1728" t="s">
        <v>1738</v>
      </c>
    </row>
    <row r="1729" spans="1:1" x14ac:dyDescent="0.25">
      <c r="A1729" t="s">
        <v>2228</v>
      </c>
    </row>
    <row r="1730" spans="1:1" x14ac:dyDescent="0.25">
      <c r="A1730" t="s">
        <v>2229</v>
      </c>
    </row>
    <row r="1731" spans="1:1" x14ac:dyDescent="0.25">
      <c r="A1731" t="s">
        <v>1990</v>
      </c>
    </row>
    <row r="1732" spans="1:1" x14ac:dyDescent="0.25">
      <c r="A1732" t="s">
        <v>1753</v>
      </c>
    </row>
    <row r="1733" spans="1:1" x14ac:dyDescent="0.25">
      <c r="A1733" t="s">
        <v>1741</v>
      </c>
    </row>
    <row r="1734" spans="1:1" x14ac:dyDescent="0.25">
      <c r="A1734" t="s">
        <v>1887</v>
      </c>
    </row>
    <row r="1735" spans="1:1" x14ac:dyDescent="0.25">
      <c r="A1735" t="s">
        <v>2230</v>
      </c>
    </row>
    <row r="1736" spans="1:1" x14ac:dyDescent="0.25">
      <c r="A1736" t="s">
        <v>1744</v>
      </c>
    </row>
    <row r="1738" spans="1:1" x14ac:dyDescent="0.25">
      <c r="A1738" t="s">
        <v>1737</v>
      </c>
    </row>
    <row r="1739" spans="1:1" x14ac:dyDescent="0.25">
      <c r="A1739" t="s">
        <v>1738</v>
      </c>
    </row>
    <row r="1740" spans="1:1" x14ac:dyDescent="0.25">
      <c r="A1740" t="s">
        <v>2231</v>
      </c>
    </row>
    <row r="1741" spans="1:1" x14ac:dyDescent="0.25">
      <c r="A1741" t="s">
        <v>2232</v>
      </c>
    </row>
    <row r="1742" spans="1:1" x14ac:dyDescent="0.25">
      <c r="A1742" t="s">
        <v>1990</v>
      </c>
    </row>
    <row r="1743" spans="1:1" x14ac:dyDescent="0.25">
      <c r="A1743" t="s">
        <v>1753</v>
      </c>
    </row>
    <row r="1744" spans="1:1" x14ac:dyDescent="0.25">
      <c r="A1744" t="s">
        <v>1741</v>
      </c>
    </row>
    <row r="1745" spans="1:1" x14ac:dyDescent="0.25">
      <c r="A1745" t="s">
        <v>1887</v>
      </c>
    </row>
    <row r="1746" spans="1:1" x14ac:dyDescent="0.25">
      <c r="A1746" t="s">
        <v>2233</v>
      </c>
    </row>
    <row r="1747" spans="1:1" x14ac:dyDescent="0.25">
      <c r="A1747" t="s">
        <v>1744</v>
      </c>
    </row>
    <row r="1749" spans="1:1" x14ac:dyDescent="0.25">
      <c r="A1749" t="s">
        <v>1737</v>
      </c>
    </row>
    <row r="1750" spans="1:1" x14ac:dyDescent="0.25">
      <c r="A1750" t="s">
        <v>1738</v>
      </c>
    </row>
    <row r="1751" spans="1:1" x14ac:dyDescent="0.25">
      <c r="A1751" t="s">
        <v>2234</v>
      </c>
    </row>
    <row r="1752" spans="1:1" x14ac:dyDescent="0.25">
      <c r="A1752" t="s">
        <v>2235</v>
      </c>
    </row>
    <row r="1753" spans="1:1" x14ac:dyDescent="0.25">
      <c r="A1753" t="s">
        <v>1990</v>
      </c>
    </row>
    <row r="1754" spans="1:1" x14ac:dyDescent="0.25">
      <c r="A1754" t="s">
        <v>1753</v>
      </c>
    </row>
    <row r="1755" spans="1:1" x14ac:dyDescent="0.25">
      <c r="A1755" t="s">
        <v>1741</v>
      </c>
    </row>
    <row r="1756" spans="1:1" x14ac:dyDescent="0.25">
      <c r="A1756" t="s">
        <v>1887</v>
      </c>
    </row>
    <row r="1757" spans="1:1" x14ac:dyDescent="0.25">
      <c r="A1757" t="s">
        <v>2236</v>
      </c>
    </row>
    <row r="1758" spans="1:1" x14ac:dyDescent="0.25">
      <c r="A1758" t="s">
        <v>1744</v>
      </c>
    </row>
    <row r="1760" spans="1:1" x14ac:dyDescent="0.25">
      <c r="A1760" t="s">
        <v>1737</v>
      </c>
    </row>
    <row r="1761" spans="1:1" x14ac:dyDescent="0.25">
      <c r="A1761" t="s">
        <v>1738</v>
      </c>
    </row>
    <row r="1762" spans="1:1" x14ac:dyDescent="0.25">
      <c r="A1762" t="s">
        <v>2237</v>
      </c>
    </row>
    <row r="1763" spans="1:1" x14ac:dyDescent="0.25">
      <c r="A1763" t="s">
        <v>2238</v>
      </c>
    </row>
    <row r="1764" spans="1:1" x14ac:dyDescent="0.25">
      <c r="A1764" t="s">
        <v>1986</v>
      </c>
    </row>
    <row r="1765" spans="1:1" x14ac:dyDescent="0.25">
      <c r="A1765" t="s">
        <v>1753</v>
      </c>
    </row>
    <row r="1766" spans="1:1" x14ac:dyDescent="0.25">
      <c r="A1766" t="s">
        <v>1741</v>
      </c>
    </row>
    <row r="1767" spans="1:1" x14ac:dyDescent="0.25">
      <c r="A1767" t="s">
        <v>1762</v>
      </c>
    </row>
    <row r="1768" spans="1:1" x14ac:dyDescent="0.25">
      <c r="A1768" t="s">
        <v>2239</v>
      </c>
    </row>
    <row r="1769" spans="1:1" x14ac:dyDescent="0.25">
      <c r="A1769" t="s">
        <v>1744</v>
      </c>
    </row>
    <row r="1771" spans="1:1" x14ac:dyDescent="0.25">
      <c r="A1771" t="s">
        <v>1737</v>
      </c>
    </row>
    <row r="1772" spans="1:1" x14ac:dyDescent="0.25">
      <c r="A1772" t="s">
        <v>1738</v>
      </c>
    </row>
    <row r="1773" spans="1:1" x14ac:dyDescent="0.25">
      <c r="A1773" t="s">
        <v>2240</v>
      </c>
    </row>
    <row r="1774" spans="1:1" x14ac:dyDescent="0.25">
      <c r="A1774" t="s">
        <v>2241</v>
      </c>
    </row>
    <row r="1775" spans="1:1" x14ac:dyDescent="0.25">
      <c r="A1775" t="s">
        <v>2021</v>
      </c>
    </row>
    <row r="1776" spans="1:1" x14ac:dyDescent="0.25">
      <c r="A1776" t="s">
        <v>1753</v>
      </c>
    </row>
    <row r="1777" spans="1:1" x14ac:dyDescent="0.25">
      <c r="A1777" t="s">
        <v>1741</v>
      </c>
    </row>
    <row r="1778" spans="1:1" x14ac:dyDescent="0.25">
      <c r="A1778" t="s">
        <v>2242</v>
      </c>
    </row>
    <row r="1779" spans="1:1" x14ac:dyDescent="0.25">
      <c r="A1779" t="s">
        <v>2243</v>
      </c>
    </row>
    <row r="1780" spans="1:1" x14ac:dyDescent="0.25">
      <c r="A1780" t="s">
        <v>1744</v>
      </c>
    </row>
    <row r="1782" spans="1:1" x14ac:dyDescent="0.25">
      <c r="A1782" t="s">
        <v>1737</v>
      </c>
    </row>
    <row r="1783" spans="1:1" x14ac:dyDescent="0.25">
      <c r="A1783" t="s">
        <v>1738</v>
      </c>
    </row>
    <row r="1784" spans="1:1" x14ac:dyDescent="0.25">
      <c r="A1784" t="s">
        <v>2244</v>
      </c>
    </row>
    <row r="1785" spans="1:1" x14ac:dyDescent="0.25">
      <c r="A1785" t="s">
        <v>2245</v>
      </c>
    </row>
    <row r="1786" spans="1:1" x14ac:dyDescent="0.25">
      <c r="A1786" t="s">
        <v>2010</v>
      </c>
    </row>
    <row r="1787" spans="1:1" x14ac:dyDescent="0.25">
      <c r="A1787" t="s">
        <v>1753</v>
      </c>
    </row>
    <row r="1788" spans="1:1" x14ac:dyDescent="0.25">
      <c r="A1788" t="s">
        <v>1741</v>
      </c>
    </row>
    <row r="1789" spans="1:1" x14ac:dyDescent="0.25">
      <c r="A1789" t="s">
        <v>1762</v>
      </c>
    </row>
    <row r="1790" spans="1:1" x14ac:dyDescent="0.25">
      <c r="A1790" t="s">
        <v>2246</v>
      </c>
    </row>
    <row r="1791" spans="1:1" x14ac:dyDescent="0.25">
      <c r="A1791" t="s">
        <v>1744</v>
      </c>
    </row>
    <row r="1793" spans="1:1" x14ac:dyDescent="0.25">
      <c r="A1793" t="s">
        <v>1737</v>
      </c>
    </row>
    <row r="1794" spans="1:1" x14ac:dyDescent="0.25">
      <c r="A1794" t="s">
        <v>1738</v>
      </c>
    </row>
    <row r="1795" spans="1:1" x14ac:dyDescent="0.25">
      <c r="A1795" t="s">
        <v>2247</v>
      </c>
    </row>
    <row r="1796" spans="1:1" x14ac:dyDescent="0.25">
      <c r="A1796" t="s">
        <v>2248</v>
      </c>
    </row>
    <row r="1797" spans="1:1" x14ac:dyDescent="0.25">
      <c r="A1797" t="s">
        <v>1990</v>
      </c>
    </row>
    <row r="1798" spans="1:1" x14ac:dyDescent="0.25">
      <c r="A1798" t="s">
        <v>1753</v>
      </c>
    </row>
    <row r="1799" spans="1:1" x14ac:dyDescent="0.25">
      <c r="A1799" t="s">
        <v>1741</v>
      </c>
    </row>
    <row r="1800" spans="1:1" x14ac:dyDescent="0.25">
      <c r="A1800" t="s">
        <v>1887</v>
      </c>
    </row>
    <row r="1801" spans="1:1" x14ac:dyDescent="0.25">
      <c r="A1801" t="s">
        <v>2249</v>
      </c>
    </row>
    <row r="1802" spans="1:1" x14ac:dyDescent="0.25">
      <c r="A1802" t="s">
        <v>1744</v>
      </c>
    </row>
    <row r="1804" spans="1:1" x14ac:dyDescent="0.25">
      <c r="A1804" t="s">
        <v>1737</v>
      </c>
    </row>
    <row r="1805" spans="1:1" x14ac:dyDescent="0.25">
      <c r="A1805" t="s">
        <v>1738</v>
      </c>
    </row>
    <row r="1806" spans="1:1" x14ac:dyDescent="0.25">
      <c r="A1806" t="s">
        <v>2250</v>
      </c>
    </row>
    <row r="1807" spans="1:1" x14ac:dyDescent="0.25">
      <c r="A1807" t="s">
        <v>2251</v>
      </c>
    </row>
    <row r="1808" spans="1:1" x14ac:dyDescent="0.25">
      <c r="A1808" t="s">
        <v>1929</v>
      </c>
    </row>
    <row r="1809" spans="1:1" x14ac:dyDescent="0.25">
      <c r="A1809" t="s">
        <v>1753</v>
      </c>
    </row>
    <row r="1810" spans="1:1" x14ac:dyDescent="0.25">
      <c r="A1810" t="s">
        <v>1741</v>
      </c>
    </row>
    <row r="1811" spans="1:1" x14ac:dyDescent="0.25">
      <c r="A1811" t="s">
        <v>1762</v>
      </c>
    </row>
    <row r="1812" spans="1:1" x14ac:dyDescent="0.25">
      <c r="A1812" t="s">
        <v>2252</v>
      </c>
    </row>
    <row r="1813" spans="1:1" x14ac:dyDescent="0.25">
      <c r="A1813" t="s">
        <v>1744</v>
      </c>
    </row>
    <row r="1815" spans="1:1" x14ac:dyDescent="0.25">
      <c r="A1815" t="s">
        <v>1737</v>
      </c>
    </row>
    <row r="1816" spans="1:1" x14ac:dyDescent="0.25">
      <c r="A1816" t="s">
        <v>1738</v>
      </c>
    </row>
    <row r="1817" spans="1:1" x14ac:dyDescent="0.25">
      <c r="A1817" t="s">
        <v>2253</v>
      </c>
    </row>
    <row r="1818" spans="1:1" x14ac:dyDescent="0.25">
      <c r="A1818" t="s">
        <v>2254</v>
      </c>
    </row>
    <row r="1819" spans="1:1" x14ac:dyDescent="0.25">
      <c r="A1819" t="s">
        <v>1929</v>
      </c>
    </row>
    <row r="1820" spans="1:1" x14ac:dyDescent="0.25">
      <c r="A1820" t="s">
        <v>1753</v>
      </c>
    </row>
    <row r="1821" spans="1:1" x14ac:dyDescent="0.25">
      <c r="A1821" t="s">
        <v>1741</v>
      </c>
    </row>
    <row r="1822" spans="1:1" x14ac:dyDescent="0.25">
      <c r="A1822" t="s">
        <v>1762</v>
      </c>
    </row>
    <row r="1823" spans="1:1" x14ac:dyDescent="0.25">
      <c r="A1823" t="s">
        <v>2255</v>
      </c>
    </row>
    <row r="1824" spans="1:1" x14ac:dyDescent="0.25">
      <c r="A1824" t="s">
        <v>1744</v>
      </c>
    </row>
    <row r="1826" spans="1:1" x14ac:dyDescent="0.25">
      <c r="A1826" t="s">
        <v>1737</v>
      </c>
    </row>
    <row r="1827" spans="1:1" x14ac:dyDescent="0.25">
      <c r="A1827" t="s">
        <v>1738</v>
      </c>
    </row>
    <row r="1828" spans="1:1" x14ac:dyDescent="0.25">
      <c r="A1828" t="s">
        <v>2256</v>
      </c>
    </row>
    <row r="1829" spans="1:1" x14ac:dyDescent="0.25">
      <c r="A1829" t="s">
        <v>2257</v>
      </c>
    </row>
    <row r="1830" spans="1:1" x14ac:dyDescent="0.25">
      <c r="A1830" t="s">
        <v>1929</v>
      </c>
    </row>
    <row r="1831" spans="1:1" x14ac:dyDescent="0.25">
      <c r="A1831" t="s">
        <v>1753</v>
      </c>
    </row>
    <row r="1832" spans="1:1" x14ac:dyDescent="0.25">
      <c r="A1832" t="s">
        <v>1741</v>
      </c>
    </row>
    <row r="1833" spans="1:1" x14ac:dyDescent="0.25">
      <c r="A1833" t="s">
        <v>1762</v>
      </c>
    </row>
    <row r="1834" spans="1:1" x14ac:dyDescent="0.25">
      <c r="A1834" t="s">
        <v>2258</v>
      </c>
    </row>
    <row r="1835" spans="1:1" x14ac:dyDescent="0.25">
      <c r="A1835" t="s">
        <v>1744</v>
      </c>
    </row>
    <row r="1837" spans="1:1" x14ac:dyDescent="0.25">
      <c r="A1837" t="s">
        <v>1737</v>
      </c>
    </row>
    <row r="1838" spans="1:1" x14ac:dyDescent="0.25">
      <c r="A1838" t="s">
        <v>1738</v>
      </c>
    </row>
    <row r="1839" spans="1:1" x14ac:dyDescent="0.25">
      <c r="A1839" t="s">
        <v>2259</v>
      </c>
    </row>
    <row r="1840" spans="1:1" x14ac:dyDescent="0.25">
      <c r="A1840" t="s">
        <v>2260</v>
      </c>
    </row>
    <row r="1841" spans="1:1" x14ac:dyDescent="0.25">
      <c r="A1841" t="s">
        <v>1929</v>
      </c>
    </row>
    <row r="1842" spans="1:1" x14ac:dyDescent="0.25">
      <c r="A1842" t="s">
        <v>1753</v>
      </c>
    </row>
    <row r="1843" spans="1:1" x14ac:dyDescent="0.25">
      <c r="A1843" t="s">
        <v>1741</v>
      </c>
    </row>
    <row r="1844" spans="1:1" x14ac:dyDescent="0.25">
      <c r="A1844" t="s">
        <v>1762</v>
      </c>
    </row>
    <row r="1845" spans="1:1" x14ac:dyDescent="0.25">
      <c r="A1845" t="s">
        <v>2261</v>
      </c>
    </row>
    <row r="1846" spans="1:1" x14ac:dyDescent="0.25">
      <c r="A1846" t="s">
        <v>1744</v>
      </c>
    </row>
    <row r="1848" spans="1:1" x14ac:dyDescent="0.25">
      <c r="A1848" t="s">
        <v>1737</v>
      </c>
    </row>
    <row r="1849" spans="1:1" x14ac:dyDescent="0.25">
      <c r="A1849" t="s">
        <v>1738</v>
      </c>
    </row>
    <row r="1850" spans="1:1" x14ac:dyDescent="0.25">
      <c r="A1850" t="s">
        <v>2262</v>
      </c>
    </row>
    <row r="1851" spans="1:1" x14ac:dyDescent="0.25">
      <c r="A1851" t="s">
        <v>2263</v>
      </c>
    </row>
    <row r="1852" spans="1:1" x14ac:dyDescent="0.25">
      <c r="A1852" t="s">
        <v>1929</v>
      </c>
    </row>
    <row r="1853" spans="1:1" x14ac:dyDescent="0.25">
      <c r="A1853" t="s">
        <v>1753</v>
      </c>
    </row>
    <row r="1854" spans="1:1" x14ac:dyDescent="0.25">
      <c r="A1854" t="s">
        <v>1741</v>
      </c>
    </row>
    <row r="1855" spans="1:1" x14ac:dyDescent="0.25">
      <c r="A1855" t="s">
        <v>1762</v>
      </c>
    </row>
    <row r="1856" spans="1:1" x14ac:dyDescent="0.25">
      <c r="A1856" t="s">
        <v>2264</v>
      </c>
    </row>
    <row r="1857" spans="1:1" x14ac:dyDescent="0.25">
      <c r="A1857" t="s">
        <v>1744</v>
      </c>
    </row>
    <row r="1859" spans="1:1" x14ac:dyDescent="0.25">
      <c r="A1859" t="s">
        <v>1737</v>
      </c>
    </row>
    <row r="1860" spans="1:1" x14ac:dyDescent="0.25">
      <c r="A1860" t="s">
        <v>1738</v>
      </c>
    </row>
    <row r="1861" spans="1:1" x14ac:dyDescent="0.25">
      <c r="A1861" t="s">
        <v>2265</v>
      </c>
    </row>
    <row r="1862" spans="1:1" x14ac:dyDescent="0.25">
      <c r="A1862" t="s">
        <v>1741</v>
      </c>
    </row>
    <row r="1863" spans="1:1" x14ac:dyDescent="0.25">
      <c r="A1863" t="s">
        <v>2266</v>
      </c>
    </row>
    <row r="1864" spans="1:1" x14ac:dyDescent="0.25">
      <c r="A1864" t="s">
        <v>2267</v>
      </c>
    </row>
    <row r="1865" spans="1:1" x14ac:dyDescent="0.25">
      <c r="A1865" t="s">
        <v>1744</v>
      </c>
    </row>
    <row r="1867" spans="1:1" x14ac:dyDescent="0.25">
      <c r="A1867" t="s">
        <v>1737</v>
      </c>
    </row>
    <row r="1868" spans="1:1" x14ac:dyDescent="0.25">
      <c r="A1868" t="s">
        <v>1738</v>
      </c>
    </row>
    <row r="1869" spans="1:1" x14ac:dyDescent="0.25">
      <c r="A1869" t="s">
        <v>2268</v>
      </c>
    </row>
    <row r="1870" spans="1:1" x14ac:dyDescent="0.25">
      <c r="A1870" t="s">
        <v>1741</v>
      </c>
    </row>
    <row r="1871" spans="1:1" x14ac:dyDescent="0.25">
      <c r="A1871" t="s">
        <v>1762</v>
      </c>
    </row>
    <row r="1872" spans="1:1" x14ac:dyDescent="0.25">
      <c r="A1872" t="s">
        <v>2269</v>
      </c>
    </row>
    <row r="1873" spans="1:1" x14ac:dyDescent="0.25">
      <c r="A1873" t="s">
        <v>1744</v>
      </c>
    </row>
    <row r="1875" spans="1:1" x14ac:dyDescent="0.25">
      <c r="A1875" t="s">
        <v>1737</v>
      </c>
    </row>
    <row r="1876" spans="1:1" x14ac:dyDescent="0.25">
      <c r="A1876" t="s">
        <v>1738</v>
      </c>
    </row>
    <row r="1877" spans="1:1" x14ac:dyDescent="0.25">
      <c r="A1877" t="s">
        <v>2270</v>
      </c>
    </row>
    <row r="1878" spans="1:1" x14ac:dyDescent="0.25">
      <c r="A1878" t="s">
        <v>2271</v>
      </c>
    </row>
    <row r="1879" spans="1:1" x14ac:dyDescent="0.25">
      <c r="A1879" t="s">
        <v>1990</v>
      </c>
    </row>
    <row r="1880" spans="1:1" x14ac:dyDescent="0.25">
      <c r="A1880" t="s">
        <v>1753</v>
      </c>
    </row>
    <row r="1881" spans="1:1" x14ac:dyDescent="0.25">
      <c r="A1881" t="s">
        <v>1741</v>
      </c>
    </row>
    <row r="1882" spans="1:1" x14ac:dyDescent="0.25">
      <c r="A1882" t="s">
        <v>1887</v>
      </c>
    </row>
    <row r="1883" spans="1:1" x14ac:dyDescent="0.25">
      <c r="A1883" t="s">
        <v>2272</v>
      </c>
    </row>
    <row r="1884" spans="1:1" x14ac:dyDescent="0.25">
      <c r="A1884" t="s">
        <v>1744</v>
      </c>
    </row>
    <row r="1886" spans="1:1" x14ac:dyDescent="0.25">
      <c r="A1886" t="s">
        <v>1737</v>
      </c>
    </row>
    <row r="1887" spans="1:1" x14ac:dyDescent="0.25">
      <c r="A1887" t="s">
        <v>1738</v>
      </c>
    </row>
    <row r="1888" spans="1:1" x14ac:dyDescent="0.25">
      <c r="A1888" t="s">
        <v>2273</v>
      </c>
    </row>
    <row r="1889" spans="1:1" x14ac:dyDescent="0.25">
      <c r="A1889" t="s">
        <v>2274</v>
      </c>
    </row>
    <row r="1890" spans="1:1" x14ac:dyDescent="0.25">
      <c r="A1890" t="s">
        <v>1929</v>
      </c>
    </row>
    <row r="1891" spans="1:1" x14ac:dyDescent="0.25">
      <c r="A1891" t="s">
        <v>1753</v>
      </c>
    </row>
    <row r="1892" spans="1:1" x14ac:dyDescent="0.25">
      <c r="A1892" t="s">
        <v>1741</v>
      </c>
    </row>
    <row r="1893" spans="1:1" x14ac:dyDescent="0.25">
      <c r="A1893" t="s">
        <v>1762</v>
      </c>
    </row>
    <row r="1894" spans="1:1" x14ac:dyDescent="0.25">
      <c r="A1894" t="s">
        <v>2275</v>
      </c>
    </row>
    <row r="1895" spans="1:1" x14ac:dyDescent="0.25">
      <c r="A1895" t="s">
        <v>1744</v>
      </c>
    </row>
    <row r="1897" spans="1:1" x14ac:dyDescent="0.25">
      <c r="A1897" t="s">
        <v>1737</v>
      </c>
    </row>
    <row r="1898" spans="1:1" x14ac:dyDescent="0.25">
      <c r="A1898" t="s">
        <v>1738</v>
      </c>
    </row>
    <row r="1899" spans="1:1" x14ac:dyDescent="0.25">
      <c r="A1899" t="s">
        <v>2276</v>
      </c>
    </row>
    <row r="1900" spans="1:1" x14ac:dyDescent="0.25">
      <c r="A1900" t="s">
        <v>2277</v>
      </c>
    </row>
    <row r="1901" spans="1:1" x14ac:dyDescent="0.25">
      <c r="A1901" t="s">
        <v>1962</v>
      </c>
    </row>
    <row r="1902" spans="1:1" x14ac:dyDescent="0.25">
      <c r="A1902" t="s">
        <v>1753</v>
      </c>
    </row>
    <row r="1903" spans="1:1" x14ac:dyDescent="0.25">
      <c r="A1903" t="s">
        <v>1741</v>
      </c>
    </row>
    <row r="1904" spans="1:1" x14ac:dyDescent="0.25">
      <c r="A1904" t="s">
        <v>1762</v>
      </c>
    </row>
    <row r="1905" spans="1:1" x14ac:dyDescent="0.25">
      <c r="A1905" t="s">
        <v>2278</v>
      </c>
    </row>
    <row r="1906" spans="1:1" x14ac:dyDescent="0.25">
      <c r="A1906" t="s">
        <v>1744</v>
      </c>
    </row>
    <row r="1908" spans="1:1" x14ac:dyDescent="0.25">
      <c r="A1908" t="s">
        <v>1737</v>
      </c>
    </row>
    <row r="1909" spans="1:1" x14ac:dyDescent="0.25">
      <c r="A1909" t="s">
        <v>1738</v>
      </c>
    </row>
    <row r="1910" spans="1:1" x14ac:dyDescent="0.25">
      <c r="A1910" t="s">
        <v>2279</v>
      </c>
    </row>
    <row r="1911" spans="1:1" x14ac:dyDescent="0.25">
      <c r="A1911" t="s">
        <v>2280</v>
      </c>
    </row>
    <row r="1912" spans="1:1" x14ac:dyDescent="0.25">
      <c r="A1912" t="s">
        <v>2010</v>
      </c>
    </row>
    <row r="1913" spans="1:1" x14ac:dyDescent="0.25">
      <c r="A1913" t="s">
        <v>1753</v>
      </c>
    </row>
    <row r="1914" spans="1:1" x14ac:dyDescent="0.25">
      <c r="A1914" t="s">
        <v>1741</v>
      </c>
    </row>
    <row r="1915" spans="1:1" x14ac:dyDescent="0.25">
      <c r="A1915" t="s">
        <v>2011</v>
      </c>
    </row>
    <row r="1916" spans="1:1" x14ac:dyDescent="0.25">
      <c r="A1916" t="s">
        <v>2281</v>
      </c>
    </row>
    <row r="1917" spans="1:1" x14ac:dyDescent="0.25">
      <c r="A1917" t="s">
        <v>1744</v>
      </c>
    </row>
    <row r="1919" spans="1:1" x14ac:dyDescent="0.25">
      <c r="A1919" t="s">
        <v>1737</v>
      </c>
    </row>
    <row r="1920" spans="1:1" x14ac:dyDescent="0.25">
      <c r="A1920" t="s">
        <v>1738</v>
      </c>
    </row>
    <row r="1921" spans="1:1" x14ac:dyDescent="0.25">
      <c r="A1921" t="s">
        <v>2282</v>
      </c>
    </row>
    <row r="1922" spans="1:1" x14ac:dyDescent="0.25">
      <c r="A1922" t="s">
        <v>2283</v>
      </c>
    </row>
    <row r="1923" spans="1:1" x14ac:dyDescent="0.25">
      <c r="A1923" t="s">
        <v>1962</v>
      </c>
    </row>
    <row r="1924" spans="1:1" x14ac:dyDescent="0.25">
      <c r="A1924" t="s">
        <v>1753</v>
      </c>
    </row>
    <row r="1925" spans="1:1" x14ac:dyDescent="0.25">
      <c r="A1925" t="s">
        <v>1741</v>
      </c>
    </row>
    <row r="1926" spans="1:1" x14ac:dyDescent="0.25">
      <c r="A1926" t="s">
        <v>1762</v>
      </c>
    </row>
    <row r="1927" spans="1:1" x14ac:dyDescent="0.25">
      <c r="A1927" t="s">
        <v>2284</v>
      </c>
    </row>
    <row r="1928" spans="1:1" x14ac:dyDescent="0.25">
      <c r="A1928" t="s">
        <v>1744</v>
      </c>
    </row>
    <row r="1930" spans="1:1" x14ac:dyDescent="0.25">
      <c r="A1930" t="s">
        <v>1737</v>
      </c>
    </row>
    <row r="1931" spans="1:1" x14ac:dyDescent="0.25">
      <c r="A1931" t="s">
        <v>1738</v>
      </c>
    </row>
    <row r="1932" spans="1:1" x14ac:dyDescent="0.25">
      <c r="A1932" t="s">
        <v>2285</v>
      </c>
    </row>
    <row r="1933" spans="1:1" x14ac:dyDescent="0.25">
      <c r="A1933" t="s">
        <v>2286</v>
      </c>
    </row>
    <row r="1934" spans="1:1" x14ac:dyDescent="0.25">
      <c r="A1934" t="s">
        <v>2002</v>
      </c>
    </row>
    <row r="1935" spans="1:1" x14ac:dyDescent="0.25">
      <c r="A1935" t="s">
        <v>1753</v>
      </c>
    </row>
    <row r="1936" spans="1:1" x14ac:dyDescent="0.25">
      <c r="A1936" t="s">
        <v>1741</v>
      </c>
    </row>
    <row r="1937" spans="1:1" x14ac:dyDescent="0.25">
      <c r="A1937" t="s">
        <v>1887</v>
      </c>
    </row>
    <row r="1938" spans="1:1" x14ac:dyDescent="0.25">
      <c r="A1938" t="s">
        <v>2287</v>
      </c>
    </row>
    <row r="1939" spans="1:1" x14ac:dyDescent="0.25">
      <c r="A1939" t="s">
        <v>1744</v>
      </c>
    </row>
    <row r="1941" spans="1:1" x14ac:dyDescent="0.25">
      <c r="A1941" t="s">
        <v>1737</v>
      </c>
    </row>
    <row r="1942" spans="1:1" x14ac:dyDescent="0.25">
      <c r="A1942" t="s">
        <v>1738</v>
      </c>
    </row>
    <row r="1943" spans="1:1" x14ac:dyDescent="0.25">
      <c r="A1943" t="s">
        <v>2288</v>
      </c>
    </row>
    <row r="1944" spans="1:1" x14ac:dyDescent="0.25">
      <c r="A1944" t="s">
        <v>2289</v>
      </c>
    </row>
    <row r="1945" spans="1:1" x14ac:dyDescent="0.25">
      <c r="A1945" t="s">
        <v>2290</v>
      </c>
    </row>
    <row r="1946" spans="1:1" x14ac:dyDescent="0.25">
      <c r="A1946" t="s">
        <v>1753</v>
      </c>
    </row>
    <row r="1947" spans="1:1" x14ac:dyDescent="0.25">
      <c r="A1947" t="s">
        <v>1741</v>
      </c>
    </row>
    <row r="1948" spans="1:1" x14ac:dyDescent="0.25">
      <c r="A1948" t="s">
        <v>1887</v>
      </c>
    </row>
    <row r="1949" spans="1:1" x14ac:dyDescent="0.25">
      <c r="A1949" t="s">
        <v>2291</v>
      </c>
    </row>
    <row r="1950" spans="1:1" x14ac:dyDescent="0.25">
      <c r="A1950" t="s">
        <v>1744</v>
      </c>
    </row>
    <row r="1952" spans="1:1" x14ac:dyDescent="0.25">
      <c r="A1952" t="s">
        <v>1737</v>
      </c>
    </row>
    <row r="1953" spans="1:1" x14ac:dyDescent="0.25">
      <c r="A1953" t="s">
        <v>1738</v>
      </c>
    </row>
    <row r="1954" spans="1:1" x14ac:dyDescent="0.25">
      <c r="A1954" t="s">
        <v>2292</v>
      </c>
    </row>
    <row r="1955" spans="1:1" x14ac:dyDescent="0.25">
      <c r="A1955" t="s">
        <v>2293</v>
      </c>
    </row>
    <row r="1956" spans="1:1" x14ac:dyDescent="0.25">
      <c r="A1956" t="s">
        <v>1962</v>
      </c>
    </row>
    <row r="1957" spans="1:1" x14ac:dyDescent="0.25">
      <c r="A1957" t="s">
        <v>1753</v>
      </c>
    </row>
    <row r="1958" spans="1:1" x14ac:dyDescent="0.25">
      <c r="A1958" t="s">
        <v>1741</v>
      </c>
    </row>
    <row r="1959" spans="1:1" x14ac:dyDescent="0.25">
      <c r="A1959" t="s">
        <v>2294</v>
      </c>
    </row>
    <row r="1960" spans="1:1" x14ac:dyDescent="0.25">
      <c r="A1960" t="s">
        <v>2295</v>
      </c>
    </row>
    <row r="1961" spans="1:1" x14ac:dyDescent="0.25">
      <c r="A1961" t="s">
        <v>1744</v>
      </c>
    </row>
    <row r="1963" spans="1:1" x14ac:dyDescent="0.25">
      <c r="A1963" t="s">
        <v>1737</v>
      </c>
    </row>
    <row r="1964" spans="1:1" x14ac:dyDescent="0.25">
      <c r="A1964" t="s">
        <v>1738</v>
      </c>
    </row>
    <row r="1965" spans="1:1" x14ac:dyDescent="0.25">
      <c r="A1965" t="s">
        <v>2296</v>
      </c>
    </row>
    <row r="1966" spans="1:1" x14ac:dyDescent="0.25">
      <c r="A1966" t="s">
        <v>2297</v>
      </c>
    </row>
    <row r="1967" spans="1:1" x14ac:dyDescent="0.25">
      <c r="A1967" t="s">
        <v>1990</v>
      </c>
    </row>
    <row r="1968" spans="1:1" x14ac:dyDescent="0.25">
      <c r="A1968" t="s">
        <v>1753</v>
      </c>
    </row>
    <row r="1969" spans="1:1" x14ac:dyDescent="0.25">
      <c r="A1969" t="s">
        <v>1741</v>
      </c>
    </row>
    <row r="1970" spans="1:1" x14ac:dyDescent="0.25">
      <c r="A1970" t="s">
        <v>1887</v>
      </c>
    </row>
    <row r="1971" spans="1:1" x14ac:dyDescent="0.25">
      <c r="A1971" t="s">
        <v>2298</v>
      </c>
    </row>
    <row r="1972" spans="1:1" x14ac:dyDescent="0.25">
      <c r="A1972" t="s">
        <v>1744</v>
      </c>
    </row>
    <row r="1974" spans="1:1" x14ac:dyDescent="0.25">
      <c r="A1974" t="s">
        <v>1737</v>
      </c>
    </row>
    <row r="1975" spans="1:1" x14ac:dyDescent="0.25">
      <c r="A1975" t="s">
        <v>1738</v>
      </c>
    </row>
    <row r="1976" spans="1:1" x14ac:dyDescent="0.25">
      <c r="A1976" t="s">
        <v>2299</v>
      </c>
    </row>
    <row r="1977" spans="1:1" x14ac:dyDescent="0.25">
      <c r="A1977" t="s">
        <v>2300</v>
      </c>
    </row>
    <row r="1978" spans="1:1" x14ac:dyDescent="0.25">
      <c r="A1978" t="s">
        <v>2301</v>
      </c>
    </row>
    <row r="1979" spans="1:1" x14ac:dyDescent="0.25">
      <c r="A1979" t="s">
        <v>1753</v>
      </c>
    </row>
    <row r="1980" spans="1:1" x14ac:dyDescent="0.25">
      <c r="A1980" t="s">
        <v>1741</v>
      </c>
    </row>
    <row r="1981" spans="1:1" x14ac:dyDescent="0.25">
      <c r="A1981" t="s">
        <v>1762</v>
      </c>
    </row>
    <row r="1982" spans="1:1" x14ac:dyDescent="0.25">
      <c r="A1982" t="s">
        <v>2302</v>
      </c>
    </row>
    <row r="1983" spans="1:1" x14ac:dyDescent="0.25">
      <c r="A1983" t="s">
        <v>1744</v>
      </c>
    </row>
    <row r="1985" spans="1:1" x14ac:dyDescent="0.25">
      <c r="A1985" t="s">
        <v>1737</v>
      </c>
    </row>
    <row r="1986" spans="1:1" x14ac:dyDescent="0.25">
      <c r="A1986" t="s">
        <v>1738</v>
      </c>
    </row>
    <row r="1987" spans="1:1" x14ac:dyDescent="0.25">
      <c r="A1987" t="s">
        <v>2303</v>
      </c>
    </row>
    <row r="1988" spans="1:1" x14ac:dyDescent="0.25">
      <c r="A1988" t="s">
        <v>2304</v>
      </c>
    </row>
    <row r="1989" spans="1:1" x14ac:dyDescent="0.25">
      <c r="A1989" t="s">
        <v>2209</v>
      </c>
    </row>
    <row r="1990" spans="1:1" x14ac:dyDescent="0.25">
      <c r="A1990" t="s">
        <v>1753</v>
      </c>
    </row>
    <row r="1991" spans="1:1" x14ac:dyDescent="0.25">
      <c r="A1991" t="s">
        <v>1741</v>
      </c>
    </row>
    <row r="1992" spans="1:1" x14ac:dyDescent="0.25">
      <c r="A1992" t="s">
        <v>1887</v>
      </c>
    </row>
    <row r="1993" spans="1:1" x14ac:dyDescent="0.25">
      <c r="A1993" t="s">
        <v>2305</v>
      </c>
    </row>
    <row r="1994" spans="1:1" x14ac:dyDescent="0.25">
      <c r="A1994" t="s">
        <v>1744</v>
      </c>
    </row>
    <row r="1996" spans="1:1" x14ac:dyDescent="0.25">
      <c r="A1996" t="s">
        <v>1737</v>
      </c>
    </row>
    <row r="1997" spans="1:1" x14ac:dyDescent="0.25">
      <c r="A1997" t="s">
        <v>1738</v>
      </c>
    </row>
    <row r="1998" spans="1:1" x14ac:dyDescent="0.25">
      <c r="A1998" t="s">
        <v>2306</v>
      </c>
    </row>
    <row r="1999" spans="1:1" x14ac:dyDescent="0.25">
      <c r="A1999" t="s">
        <v>2307</v>
      </c>
    </row>
    <row r="2000" spans="1:1" x14ac:dyDescent="0.25">
      <c r="A2000" t="s">
        <v>2209</v>
      </c>
    </row>
    <row r="2001" spans="1:1" x14ac:dyDescent="0.25">
      <c r="A2001" t="s">
        <v>1753</v>
      </c>
    </row>
    <row r="2002" spans="1:1" x14ac:dyDescent="0.25">
      <c r="A2002" t="s">
        <v>1741</v>
      </c>
    </row>
    <row r="2003" spans="1:1" x14ac:dyDescent="0.25">
      <c r="A2003" t="s">
        <v>1887</v>
      </c>
    </row>
    <row r="2004" spans="1:1" x14ac:dyDescent="0.25">
      <c r="A2004" t="s">
        <v>2308</v>
      </c>
    </row>
    <row r="2005" spans="1:1" x14ac:dyDescent="0.25">
      <c r="A2005" t="s">
        <v>1744</v>
      </c>
    </row>
    <row r="2007" spans="1:1" x14ac:dyDescent="0.25">
      <c r="A2007" t="s">
        <v>1737</v>
      </c>
    </row>
    <row r="2008" spans="1:1" x14ac:dyDescent="0.25">
      <c r="A2008" t="s">
        <v>1738</v>
      </c>
    </row>
    <row r="2009" spans="1:1" x14ac:dyDescent="0.25">
      <c r="A2009" t="s">
        <v>2309</v>
      </c>
    </row>
    <row r="2010" spans="1:1" x14ac:dyDescent="0.25">
      <c r="A2010" t="s">
        <v>2310</v>
      </c>
    </row>
    <row r="2011" spans="1:1" x14ac:dyDescent="0.25">
      <c r="A2011" t="s">
        <v>2209</v>
      </c>
    </row>
    <row r="2012" spans="1:1" x14ac:dyDescent="0.25">
      <c r="A2012" t="s">
        <v>1753</v>
      </c>
    </row>
    <row r="2013" spans="1:1" x14ac:dyDescent="0.25">
      <c r="A2013" t="s">
        <v>1741</v>
      </c>
    </row>
    <row r="2014" spans="1:1" x14ac:dyDescent="0.25">
      <c r="A2014" t="s">
        <v>1887</v>
      </c>
    </row>
    <row r="2015" spans="1:1" x14ac:dyDescent="0.25">
      <c r="A2015" t="s">
        <v>2311</v>
      </c>
    </row>
    <row r="2016" spans="1:1" x14ac:dyDescent="0.25">
      <c r="A2016" t="s">
        <v>1744</v>
      </c>
    </row>
    <row r="2018" spans="1:1" x14ac:dyDescent="0.25">
      <c r="A2018" t="s">
        <v>1737</v>
      </c>
    </row>
    <row r="2019" spans="1:1" x14ac:dyDescent="0.25">
      <c r="A2019" t="s">
        <v>1738</v>
      </c>
    </row>
    <row r="2020" spans="1:1" x14ac:dyDescent="0.25">
      <c r="A2020" t="s">
        <v>2312</v>
      </c>
    </row>
    <row r="2021" spans="1:1" x14ac:dyDescent="0.25">
      <c r="A2021" t="s">
        <v>2313</v>
      </c>
    </row>
    <row r="2022" spans="1:1" x14ac:dyDescent="0.25">
      <c r="A2022" t="s">
        <v>2209</v>
      </c>
    </row>
    <row r="2023" spans="1:1" x14ac:dyDescent="0.25">
      <c r="A2023" t="s">
        <v>1753</v>
      </c>
    </row>
    <row r="2024" spans="1:1" x14ac:dyDescent="0.25">
      <c r="A2024" t="s">
        <v>1741</v>
      </c>
    </row>
    <row r="2025" spans="1:1" x14ac:dyDescent="0.25">
      <c r="A2025" t="s">
        <v>1887</v>
      </c>
    </row>
    <row r="2026" spans="1:1" x14ac:dyDescent="0.25">
      <c r="A2026" t="s">
        <v>2314</v>
      </c>
    </row>
    <row r="2027" spans="1:1" x14ac:dyDescent="0.25">
      <c r="A2027" t="s">
        <v>1744</v>
      </c>
    </row>
    <row r="2029" spans="1:1" x14ac:dyDescent="0.25">
      <c r="A2029" t="s">
        <v>1737</v>
      </c>
    </row>
    <row r="2030" spans="1:1" x14ac:dyDescent="0.25">
      <c r="A2030" t="s">
        <v>1738</v>
      </c>
    </row>
    <row r="2031" spans="1:1" x14ac:dyDescent="0.25">
      <c r="A2031" t="s">
        <v>2315</v>
      </c>
    </row>
    <row r="2032" spans="1:1" x14ac:dyDescent="0.25">
      <c r="A2032" t="s">
        <v>2316</v>
      </c>
    </row>
    <row r="2033" spans="1:1" x14ac:dyDescent="0.25">
      <c r="A2033" t="s">
        <v>2209</v>
      </c>
    </row>
    <row r="2034" spans="1:1" x14ac:dyDescent="0.25">
      <c r="A2034" t="s">
        <v>1753</v>
      </c>
    </row>
    <row r="2035" spans="1:1" x14ac:dyDescent="0.25">
      <c r="A2035" t="s">
        <v>1741</v>
      </c>
    </row>
    <row r="2036" spans="1:1" x14ac:dyDescent="0.25">
      <c r="A2036" t="s">
        <v>1887</v>
      </c>
    </row>
    <row r="2037" spans="1:1" x14ac:dyDescent="0.25">
      <c r="A2037" t="s">
        <v>2317</v>
      </c>
    </row>
    <row r="2038" spans="1:1" x14ac:dyDescent="0.25">
      <c r="A2038" t="s">
        <v>1744</v>
      </c>
    </row>
    <row r="2040" spans="1:1" x14ac:dyDescent="0.25">
      <c r="A2040" t="s">
        <v>1737</v>
      </c>
    </row>
    <row r="2041" spans="1:1" x14ac:dyDescent="0.25">
      <c r="A2041" t="s">
        <v>1738</v>
      </c>
    </row>
    <row r="2042" spans="1:1" x14ac:dyDescent="0.25">
      <c r="A2042" t="s">
        <v>2318</v>
      </c>
    </row>
    <row r="2043" spans="1:1" x14ac:dyDescent="0.25">
      <c r="A2043" t="s">
        <v>2319</v>
      </c>
    </row>
    <row r="2044" spans="1:1" x14ac:dyDescent="0.25">
      <c r="A2044" t="s">
        <v>2320</v>
      </c>
    </row>
    <row r="2045" spans="1:1" x14ac:dyDescent="0.25">
      <c r="A2045" t="s">
        <v>1753</v>
      </c>
    </row>
    <row r="2046" spans="1:1" x14ac:dyDescent="0.25">
      <c r="A2046" t="s">
        <v>1741</v>
      </c>
    </row>
    <row r="2047" spans="1:1" x14ac:dyDescent="0.25">
      <c r="A2047" t="s">
        <v>1762</v>
      </c>
    </row>
    <row r="2048" spans="1:1" x14ac:dyDescent="0.25">
      <c r="A2048" t="s">
        <v>2321</v>
      </c>
    </row>
    <row r="2049" spans="1:1" x14ac:dyDescent="0.25">
      <c r="A2049" t="s">
        <v>1744</v>
      </c>
    </row>
    <row r="2051" spans="1:1" x14ac:dyDescent="0.25">
      <c r="A2051" t="s">
        <v>1737</v>
      </c>
    </row>
    <row r="2052" spans="1:1" x14ac:dyDescent="0.25">
      <c r="A2052" t="s">
        <v>1738</v>
      </c>
    </row>
    <row r="2053" spans="1:1" x14ac:dyDescent="0.25">
      <c r="A2053" t="s">
        <v>2322</v>
      </c>
    </row>
    <row r="2054" spans="1:1" x14ac:dyDescent="0.25">
      <c r="A2054" t="s">
        <v>2323</v>
      </c>
    </row>
    <row r="2055" spans="1:1" x14ac:dyDescent="0.25">
      <c r="A2055" t="s">
        <v>2324</v>
      </c>
    </row>
    <row r="2056" spans="1:1" x14ac:dyDescent="0.25">
      <c r="A2056" t="s">
        <v>1753</v>
      </c>
    </row>
    <row r="2057" spans="1:1" x14ac:dyDescent="0.25">
      <c r="A2057" t="s">
        <v>1741</v>
      </c>
    </row>
    <row r="2058" spans="1:1" x14ac:dyDescent="0.25">
      <c r="A2058" t="s">
        <v>1762</v>
      </c>
    </row>
    <row r="2059" spans="1:1" x14ac:dyDescent="0.25">
      <c r="A2059" t="s">
        <v>2325</v>
      </c>
    </row>
    <row r="2060" spans="1:1" x14ac:dyDescent="0.25">
      <c r="A2060" t="s">
        <v>1744</v>
      </c>
    </row>
    <row r="2062" spans="1:1" x14ac:dyDescent="0.25">
      <c r="A2062" t="s">
        <v>1737</v>
      </c>
    </row>
    <row r="2063" spans="1:1" x14ac:dyDescent="0.25">
      <c r="A2063" t="s">
        <v>1738</v>
      </c>
    </row>
    <row r="2064" spans="1:1" x14ac:dyDescent="0.25">
      <c r="A2064" t="s">
        <v>2326</v>
      </c>
    </row>
    <row r="2065" spans="1:1" x14ac:dyDescent="0.25">
      <c r="A2065" t="s">
        <v>2327</v>
      </c>
    </row>
    <row r="2066" spans="1:1" x14ac:dyDescent="0.25">
      <c r="A2066" t="s">
        <v>1990</v>
      </c>
    </row>
    <row r="2067" spans="1:1" x14ac:dyDescent="0.25">
      <c r="A2067" t="s">
        <v>1753</v>
      </c>
    </row>
    <row r="2068" spans="1:1" x14ac:dyDescent="0.25">
      <c r="A2068" t="s">
        <v>1741</v>
      </c>
    </row>
    <row r="2069" spans="1:1" x14ac:dyDescent="0.25">
      <c r="A2069" t="s">
        <v>1887</v>
      </c>
    </row>
    <row r="2070" spans="1:1" x14ac:dyDescent="0.25">
      <c r="A2070" t="s">
        <v>2328</v>
      </c>
    </row>
    <row r="2071" spans="1:1" x14ac:dyDescent="0.25">
      <c r="A2071" t="s">
        <v>1744</v>
      </c>
    </row>
    <row r="2073" spans="1:1" x14ac:dyDescent="0.25">
      <c r="A2073" t="s">
        <v>1737</v>
      </c>
    </row>
    <row r="2074" spans="1:1" x14ac:dyDescent="0.25">
      <c r="A2074" t="s">
        <v>1738</v>
      </c>
    </row>
    <row r="2075" spans="1:1" x14ac:dyDescent="0.25">
      <c r="A2075" t="s">
        <v>2329</v>
      </c>
    </row>
    <row r="2076" spans="1:1" x14ac:dyDescent="0.25">
      <c r="A2076" t="s">
        <v>2330</v>
      </c>
    </row>
    <row r="2077" spans="1:1" x14ac:dyDescent="0.25">
      <c r="A2077" t="s">
        <v>1990</v>
      </c>
    </row>
    <row r="2078" spans="1:1" x14ac:dyDescent="0.25">
      <c r="A2078" t="s">
        <v>1753</v>
      </c>
    </row>
    <row r="2079" spans="1:1" x14ac:dyDescent="0.25">
      <c r="A2079" t="s">
        <v>1741</v>
      </c>
    </row>
    <row r="2080" spans="1:1" x14ac:dyDescent="0.25">
      <c r="A2080" t="s">
        <v>1887</v>
      </c>
    </row>
    <row r="2081" spans="1:1" x14ac:dyDescent="0.25">
      <c r="A2081" t="s">
        <v>2331</v>
      </c>
    </row>
    <row r="2082" spans="1:1" x14ac:dyDescent="0.25">
      <c r="A2082" t="s">
        <v>1744</v>
      </c>
    </row>
    <row r="2084" spans="1:1" x14ac:dyDescent="0.25">
      <c r="A2084" t="s">
        <v>1737</v>
      </c>
    </row>
    <row r="2085" spans="1:1" x14ac:dyDescent="0.25">
      <c r="A2085" t="s">
        <v>1738</v>
      </c>
    </row>
    <row r="2086" spans="1:1" x14ac:dyDescent="0.25">
      <c r="A2086" t="s">
        <v>2332</v>
      </c>
    </row>
    <row r="2087" spans="1:1" x14ac:dyDescent="0.25">
      <c r="A2087" t="s">
        <v>2333</v>
      </c>
    </row>
    <row r="2088" spans="1:1" x14ac:dyDescent="0.25">
      <c r="A2088" t="s">
        <v>1929</v>
      </c>
    </row>
    <row r="2089" spans="1:1" x14ac:dyDescent="0.25">
      <c r="A2089" t="s">
        <v>1753</v>
      </c>
    </row>
    <row r="2090" spans="1:1" x14ac:dyDescent="0.25">
      <c r="A2090" t="s">
        <v>1741</v>
      </c>
    </row>
    <row r="2091" spans="1:1" x14ac:dyDescent="0.25">
      <c r="A2091" t="s">
        <v>1762</v>
      </c>
    </row>
    <row r="2092" spans="1:1" x14ac:dyDescent="0.25">
      <c r="A2092" t="s">
        <v>2334</v>
      </c>
    </row>
    <row r="2093" spans="1:1" x14ac:dyDescent="0.25">
      <c r="A2093" t="s">
        <v>1744</v>
      </c>
    </row>
    <row r="2095" spans="1:1" x14ac:dyDescent="0.25">
      <c r="A2095" t="s">
        <v>1737</v>
      </c>
    </row>
    <row r="2096" spans="1:1" x14ac:dyDescent="0.25">
      <c r="A2096" t="s">
        <v>1738</v>
      </c>
    </row>
    <row r="2097" spans="1:1" x14ac:dyDescent="0.25">
      <c r="A2097" t="s">
        <v>2335</v>
      </c>
    </row>
    <row r="2098" spans="1:1" x14ac:dyDescent="0.25">
      <c r="A2098" t="s">
        <v>2336</v>
      </c>
    </row>
    <row r="2099" spans="1:1" x14ac:dyDescent="0.25">
      <c r="A2099" t="s">
        <v>2021</v>
      </c>
    </row>
    <row r="2100" spans="1:1" x14ac:dyDescent="0.25">
      <c r="A2100" t="s">
        <v>1753</v>
      </c>
    </row>
    <row r="2101" spans="1:1" x14ac:dyDescent="0.25">
      <c r="A2101" t="s">
        <v>1741</v>
      </c>
    </row>
    <row r="2102" spans="1:1" x14ac:dyDescent="0.25">
      <c r="A2102" t="s">
        <v>1887</v>
      </c>
    </row>
    <row r="2103" spans="1:1" x14ac:dyDescent="0.25">
      <c r="A2103" t="s">
        <v>2337</v>
      </c>
    </row>
    <row r="2104" spans="1:1" x14ac:dyDescent="0.25">
      <c r="A2104" t="s">
        <v>1744</v>
      </c>
    </row>
    <row r="2106" spans="1:1" x14ac:dyDescent="0.25">
      <c r="A2106" t="s">
        <v>1737</v>
      </c>
    </row>
    <row r="2107" spans="1:1" x14ac:dyDescent="0.25">
      <c r="A2107" t="s">
        <v>1738</v>
      </c>
    </row>
    <row r="2108" spans="1:1" x14ac:dyDescent="0.25">
      <c r="A2108" t="s">
        <v>2338</v>
      </c>
    </row>
    <row r="2109" spans="1:1" x14ac:dyDescent="0.25">
      <c r="A2109" t="s">
        <v>2339</v>
      </c>
    </row>
    <row r="2110" spans="1:1" x14ac:dyDescent="0.25">
      <c r="A2110" t="s">
        <v>2021</v>
      </c>
    </row>
    <row r="2111" spans="1:1" x14ac:dyDescent="0.25">
      <c r="A2111" t="s">
        <v>1753</v>
      </c>
    </row>
    <row r="2112" spans="1:1" x14ac:dyDescent="0.25">
      <c r="A2112" t="s">
        <v>1741</v>
      </c>
    </row>
    <row r="2113" spans="1:1" x14ac:dyDescent="0.25">
      <c r="A2113" t="s">
        <v>1887</v>
      </c>
    </row>
    <row r="2114" spans="1:1" x14ac:dyDescent="0.25">
      <c r="A2114" t="s">
        <v>2340</v>
      </c>
    </row>
    <row r="2115" spans="1:1" x14ac:dyDescent="0.25">
      <c r="A2115" t="s">
        <v>1744</v>
      </c>
    </row>
    <row r="2117" spans="1:1" x14ac:dyDescent="0.25">
      <c r="A2117" t="s">
        <v>1737</v>
      </c>
    </row>
    <row r="2118" spans="1:1" x14ac:dyDescent="0.25">
      <c r="A2118" t="s">
        <v>1738</v>
      </c>
    </row>
    <row r="2119" spans="1:1" x14ac:dyDescent="0.25">
      <c r="A2119" t="s">
        <v>2341</v>
      </c>
    </row>
    <row r="2120" spans="1:1" x14ac:dyDescent="0.25">
      <c r="A2120" t="s">
        <v>2342</v>
      </c>
    </row>
    <row r="2121" spans="1:1" x14ac:dyDescent="0.25">
      <c r="A2121" t="s">
        <v>2021</v>
      </c>
    </row>
    <row r="2122" spans="1:1" x14ac:dyDescent="0.25">
      <c r="A2122" t="s">
        <v>1753</v>
      </c>
    </row>
    <row r="2123" spans="1:1" x14ac:dyDescent="0.25">
      <c r="A2123" t="s">
        <v>1741</v>
      </c>
    </row>
    <row r="2124" spans="1:1" x14ac:dyDescent="0.25">
      <c r="A2124" t="s">
        <v>1887</v>
      </c>
    </row>
    <row r="2125" spans="1:1" x14ac:dyDescent="0.25">
      <c r="A2125" t="s">
        <v>2343</v>
      </c>
    </row>
    <row r="2126" spans="1:1" x14ac:dyDescent="0.25">
      <c r="A2126" t="s">
        <v>1744</v>
      </c>
    </row>
    <row r="2128" spans="1:1" x14ac:dyDescent="0.25">
      <c r="A2128" t="s">
        <v>1737</v>
      </c>
    </row>
    <row r="2129" spans="1:1" x14ac:dyDescent="0.25">
      <c r="A2129" t="s">
        <v>1738</v>
      </c>
    </row>
    <row r="2130" spans="1:1" x14ac:dyDescent="0.25">
      <c r="A2130" t="s">
        <v>2344</v>
      </c>
    </row>
    <row r="2131" spans="1:1" x14ac:dyDescent="0.25">
      <c r="A2131" t="s">
        <v>2345</v>
      </c>
    </row>
    <row r="2132" spans="1:1" x14ac:dyDescent="0.25">
      <c r="A2132" t="s">
        <v>2021</v>
      </c>
    </row>
    <row r="2133" spans="1:1" x14ac:dyDescent="0.25">
      <c r="A2133" t="s">
        <v>1753</v>
      </c>
    </row>
    <row r="2134" spans="1:1" x14ac:dyDescent="0.25">
      <c r="A2134" t="s">
        <v>1741</v>
      </c>
    </row>
    <row r="2135" spans="1:1" x14ac:dyDescent="0.25">
      <c r="A2135" t="s">
        <v>1887</v>
      </c>
    </row>
    <row r="2136" spans="1:1" x14ac:dyDescent="0.25">
      <c r="A2136" t="s">
        <v>2346</v>
      </c>
    </row>
    <row r="2137" spans="1:1" x14ac:dyDescent="0.25">
      <c r="A2137" t="s">
        <v>1744</v>
      </c>
    </row>
    <row r="2139" spans="1:1" x14ac:dyDescent="0.25">
      <c r="A2139" t="s">
        <v>1737</v>
      </c>
    </row>
    <row r="2140" spans="1:1" x14ac:dyDescent="0.25">
      <c r="A2140" t="s">
        <v>1738</v>
      </c>
    </row>
    <row r="2141" spans="1:1" x14ac:dyDescent="0.25">
      <c r="A2141" t="s">
        <v>2347</v>
      </c>
    </row>
    <row r="2142" spans="1:1" x14ac:dyDescent="0.25">
      <c r="A2142" t="s">
        <v>2348</v>
      </c>
    </row>
    <row r="2143" spans="1:1" x14ac:dyDescent="0.25">
      <c r="A2143" t="s">
        <v>2021</v>
      </c>
    </row>
    <row r="2144" spans="1:1" x14ac:dyDescent="0.25">
      <c r="A2144" t="s">
        <v>1753</v>
      </c>
    </row>
    <row r="2145" spans="1:1" x14ac:dyDescent="0.25">
      <c r="A2145" t="s">
        <v>1741</v>
      </c>
    </row>
    <row r="2146" spans="1:1" x14ac:dyDescent="0.25">
      <c r="A2146" t="s">
        <v>1762</v>
      </c>
    </row>
    <row r="2147" spans="1:1" x14ac:dyDescent="0.25">
      <c r="A2147" t="s">
        <v>2349</v>
      </c>
    </row>
    <row r="2148" spans="1:1" x14ac:dyDescent="0.25">
      <c r="A2148" t="s">
        <v>1744</v>
      </c>
    </row>
    <row r="2150" spans="1:1" x14ac:dyDescent="0.25">
      <c r="A2150" t="s">
        <v>1737</v>
      </c>
    </row>
    <row r="2151" spans="1:1" x14ac:dyDescent="0.25">
      <c r="A2151" t="s">
        <v>1738</v>
      </c>
    </row>
    <row r="2152" spans="1:1" x14ac:dyDescent="0.25">
      <c r="A2152" t="s">
        <v>2350</v>
      </c>
    </row>
    <row r="2153" spans="1:1" x14ac:dyDescent="0.25">
      <c r="A2153" t="s">
        <v>2351</v>
      </c>
    </row>
    <row r="2154" spans="1:1" x14ac:dyDescent="0.25">
      <c r="A2154" t="s">
        <v>2077</v>
      </c>
    </row>
    <row r="2155" spans="1:1" x14ac:dyDescent="0.25">
      <c r="A2155" t="s">
        <v>1753</v>
      </c>
    </row>
    <row r="2156" spans="1:1" x14ac:dyDescent="0.25">
      <c r="A2156" t="s">
        <v>1741</v>
      </c>
    </row>
    <row r="2157" spans="1:1" x14ac:dyDescent="0.25">
      <c r="A2157" t="s">
        <v>1762</v>
      </c>
    </row>
    <row r="2158" spans="1:1" x14ac:dyDescent="0.25">
      <c r="A2158" t="s">
        <v>2352</v>
      </c>
    </row>
    <row r="2159" spans="1:1" x14ac:dyDescent="0.25">
      <c r="A2159" t="s">
        <v>1744</v>
      </c>
    </row>
    <row r="2161" spans="1:1" x14ac:dyDescent="0.25">
      <c r="A2161" t="s">
        <v>1737</v>
      </c>
    </row>
    <row r="2162" spans="1:1" x14ac:dyDescent="0.25">
      <c r="A2162" t="s">
        <v>1738</v>
      </c>
    </row>
    <row r="2163" spans="1:1" x14ac:dyDescent="0.25">
      <c r="A2163" t="s">
        <v>2353</v>
      </c>
    </row>
    <row r="2164" spans="1:1" x14ac:dyDescent="0.25">
      <c r="A2164" t="s">
        <v>1741</v>
      </c>
    </row>
    <row r="2165" spans="1:1" x14ac:dyDescent="0.25">
      <c r="A2165" t="s">
        <v>1887</v>
      </c>
    </row>
    <row r="2166" spans="1:1" x14ac:dyDescent="0.25">
      <c r="A2166" t="s">
        <v>2354</v>
      </c>
    </row>
    <row r="2167" spans="1:1" x14ac:dyDescent="0.25">
      <c r="A2167" t="s">
        <v>1744</v>
      </c>
    </row>
    <row r="2169" spans="1:1" x14ac:dyDescent="0.25">
      <c r="A2169" t="s">
        <v>1737</v>
      </c>
    </row>
    <row r="2170" spans="1:1" x14ac:dyDescent="0.25">
      <c r="A2170" t="s">
        <v>1738</v>
      </c>
    </row>
    <row r="2171" spans="1:1" x14ac:dyDescent="0.25">
      <c r="A2171" t="s">
        <v>2355</v>
      </c>
    </row>
    <row r="2172" spans="1:1" x14ac:dyDescent="0.25">
      <c r="A2172" t="s">
        <v>1741</v>
      </c>
    </row>
    <row r="2173" spans="1:1" x14ac:dyDescent="0.25">
      <c r="A2173" t="s">
        <v>1762</v>
      </c>
    </row>
    <row r="2174" spans="1:1" x14ac:dyDescent="0.25">
      <c r="A2174" t="s">
        <v>2356</v>
      </c>
    </row>
    <row r="2175" spans="1:1" x14ac:dyDescent="0.25">
      <c r="A2175" t="s">
        <v>1744</v>
      </c>
    </row>
    <row r="2177" spans="1:1" x14ac:dyDescent="0.25">
      <c r="A2177" t="s">
        <v>1737</v>
      </c>
    </row>
    <row r="2178" spans="1:1" x14ac:dyDescent="0.25">
      <c r="A2178" t="s">
        <v>1738</v>
      </c>
    </row>
    <row r="2179" spans="1:1" x14ac:dyDescent="0.25">
      <c r="A2179" t="s">
        <v>2357</v>
      </c>
    </row>
    <row r="2180" spans="1:1" x14ac:dyDescent="0.25">
      <c r="A2180" t="s">
        <v>2358</v>
      </c>
    </row>
    <row r="2181" spans="1:1" x14ac:dyDescent="0.25">
      <c r="A2181" t="s">
        <v>2021</v>
      </c>
    </row>
    <row r="2182" spans="1:1" x14ac:dyDescent="0.25">
      <c r="A2182" t="s">
        <v>1753</v>
      </c>
    </row>
    <row r="2183" spans="1:1" x14ac:dyDescent="0.25">
      <c r="A2183" t="s">
        <v>1741</v>
      </c>
    </row>
    <row r="2184" spans="1:1" x14ac:dyDescent="0.25">
      <c r="A2184" t="s">
        <v>1887</v>
      </c>
    </row>
    <row r="2185" spans="1:1" x14ac:dyDescent="0.25">
      <c r="A2185" t="s">
        <v>2359</v>
      </c>
    </row>
    <row r="2186" spans="1:1" x14ac:dyDescent="0.25">
      <c r="A2186" t="s">
        <v>1744</v>
      </c>
    </row>
    <row r="2188" spans="1:1" x14ac:dyDescent="0.25">
      <c r="A2188" t="s">
        <v>1737</v>
      </c>
    </row>
    <row r="2189" spans="1:1" x14ac:dyDescent="0.25">
      <c r="A2189" t="s">
        <v>1738</v>
      </c>
    </row>
    <row r="2190" spans="1:1" x14ac:dyDescent="0.25">
      <c r="A2190" t="s">
        <v>2360</v>
      </c>
    </row>
    <row r="2191" spans="1:1" x14ac:dyDescent="0.25">
      <c r="A2191" t="s">
        <v>2361</v>
      </c>
    </row>
    <row r="2192" spans="1:1" x14ac:dyDescent="0.25">
      <c r="A2192" t="s">
        <v>2301</v>
      </c>
    </row>
    <row r="2193" spans="1:1" x14ac:dyDescent="0.25">
      <c r="A2193" t="s">
        <v>1753</v>
      </c>
    </row>
    <row r="2194" spans="1:1" x14ac:dyDescent="0.25">
      <c r="A2194" t="s">
        <v>1741</v>
      </c>
    </row>
    <row r="2195" spans="1:1" x14ac:dyDescent="0.25">
      <c r="A2195" t="s">
        <v>1762</v>
      </c>
    </row>
    <row r="2196" spans="1:1" x14ac:dyDescent="0.25">
      <c r="A2196" t="s">
        <v>2362</v>
      </c>
    </row>
    <row r="2197" spans="1:1" x14ac:dyDescent="0.25">
      <c r="A2197" t="s">
        <v>1744</v>
      </c>
    </row>
    <row r="2199" spans="1:1" x14ac:dyDescent="0.25">
      <c r="A2199" t="s">
        <v>1737</v>
      </c>
    </row>
    <row r="2200" spans="1:1" x14ac:dyDescent="0.25">
      <c r="A2200" t="s">
        <v>1738</v>
      </c>
    </row>
    <row r="2201" spans="1:1" x14ac:dyDescent="0.25">
      <c r="A2201" t="s">
        <v>2363</v>
      </c>
    </row>
    <row r="2202" spans="1:1" x14ac:dyDescent="0.25">
      <c r="A2202" t="s">
        <v>2364</v>
      </c>
    </row>
    <row r="2203" spans="1:1" x14ac:dyDescent="0.25">
      <c r="A2203" t="s">
        <v>2010</v>
      </c>
    </row>
    <row r="2204" spans="1:1" x14ac:dyDescent="0.25">
      <c r="A2204" t="s">
        <v>1753</v>
      </c>
    </row>
    <row r="2205" spans="1:1" x14ac:dyDescent="0.25">
      <c r="A2205" t="s">
        <v>1741</v>
      </c>
    </row>
    <row r="2206" spans="1:1" x14ac:dyDescent="0.25">
      <c r="A2206" t="s">
        <v>1762</v>
      </c>
    </row>
    <row r="2207" spans="1:1" x14ac:dyDescent="0.25">
      <c r="A2207" t="s">
        <v>2365</v>
      </c>
    </row>
    <row r="2208" spans="1:1" x14ac:dyDescent="0.25">
      <c r="A2208" t="s">
        <v>1744</v>
      </c>
    </row>
    <row r="2210" spans="1:1" x14ac:dyDescent="0.25">
      <c r="A2210" t="s">
        <v>1737</v>
      </c>
    </row>
    <row r="2211" spans="1:1" x14ac:dyDescent="0.25">
      <c r="A2211" t="s">
        <v>1738</v>
      </c>
    </row>
    <row r="2212" spans="1:1" x14ac:dyDescent="0.25">
      <c r="A2212" t="s">
        <v>2366</v>
      </c>
    </row>
    <row r="2213" spans="1:1" x14ac:dyDescent="0.25">
      <c r="A2213" t="s">
        <v>2367</v>
      </c>
    </row>
    <row r="2214" spans="1:1" x14ac:dyDescent="0.25">
      <c r="A2214" t="s">
        <v>2301</v>
      </c>
    </row>
    <row r="2215" spans="1:1" x14ac:dyDescent="0.25">
      <c r="A2215" t="s">
        <v>1753</v>
      </c>
    </row>
    <row r="2216" spans="1:1" x14ac:dyDescent="0.25">
      <c r="A2216" t="s">
        <v>1741</v>
      </c>
    </row>
    <row r="2217" spans="1:1" x14ac:dyDescent="0.25">
      <c r="A2217" t="s">
        <v>1762</v>
      </c>
    </row>
    <row r="2218" spans="1:1" x14ac:dyDescent="0.25">
      <c r="A2218" t="s">
        <v>2368</v>
      </c>
    </row>
    <row r="2219" spans="1:1" x14ac:dyDescent="0.25">
      <c r="A2219" t="s">
        <v>1744</v>
      </c>
    </row>
    <row r="2221" spans="1:1" x14ac:dyDescent="0.25">
      <c r="A2221" t="s">
        <v>1737</v>
      </c>
    </row>
    <row r="2222" spans="1:1" x14ac:dyDescent="0.25">
      <c r="A2222" t="s">
        <v>1738</v>
      </c>
    </row>
    <row r="2223" spans="1:1" x14ac:dyDescent="0.25">
      <c r="A2223" t="s">
        <v>2369</v>
      </c>
    </row>
    <row r="2224" spans="1:1" x14ac:dyDescent="0.25">
      <c r="A2224" t="s">
        <v>2370</v>
      </c>
    </row>
    <row r="2225" spans="1:1" x14ac:dyDescent="0.25">
      <c r="A2225" t="s">
        <v>2371</v>
      </c>
    </row>
    <row r="2226" spans="1:1" x14ac:dyDescent="0.25">
      <c r="A2226" t="s">
        <v>1753</v>
      </c>
    </row>
    <row r="2227" spans="1:1" x14ac:dyDescent="0.25">
      <c r="A2227" t="s">
        <v>1741</v>
      </c>
    </row>
    <row r="2228" spans="1:1" x14ac:dyDescent="0.25">
      <c r="A2228" t="s">
        <v>2372</v>
      </c>
    </row>
    <row r="2229" spans="1:1" x14ac:dyDescent="0.25">
      <c r="A2229" t="s">
        <v>2373</v>
      </c>
    </row>
    <row r="2230" spans="1:1" x14ac:dyDescent="0.25">
      <c r="A2230" t="s">
        <v>1744</v>
      </c>
    </row>
    <row r="2232" spans="1:1" x14ac:dyDescent="0.25">
      <c r="A2232" t="s">
        <v>1737</v>
      </c>
    </row>
    <row r="2233" spans="1:1" x14ac:dyDescent="0.25">
      <c r="A2233" t="s">
        <v>1738</v>
      </c>
    </row>
    <row r="2234" spans="1:1" x14ac:dyDescent="0.25">
      <c r="A2234" t="s">
        <v>2374</v>
      </c>
    </row>
    <row r="2235" spans="1:1" x14ac:dyDescent="0.25">
      <c r="A2235" t="s">
        <v>2375</v>
      </c>
    </row>
    <row r="2236" spans="1:1" x14ac:dyDescent="0.25">
      <c r="A2236" t="s">
        <v>2376</v>
      </c>
    </row>
    <row r="2237" spans="1:1" x14ac:dyDescent="0.25">
      <c r="A2237" t="s">
        <v>1753</v>
      </c>
    </row>
    <row r="2238" spans="1:1" x14ac:dyDescent="0.25">
      <c r="A2238" t="s">
        <v>1741</v>
      </c>
    </row>
    <row r="2239" spans="1:1" x14ac:dyDescent="0.25">
      <c r="A2239" t="s">
        <v>1887</v>
      </c>
    </row>
    <row r="2240" spans="1:1" x14ac:dyDescent="0.25">
      <c r="A2240" t="s">
        <v>2377</v>
      </c>
    </row>
    <row r="2241" spans="1:1" x14ac:dyDescent="0.25">
      <c r="A2241" t="s">
        <v>1744</v>
      </c>
    </row>
    <row r="2243" spans="1:1" x14ac:dyDescent="0.25">
      <c r="A2243" t="s">
        <v>1737</v>
      </c>
    </row>
    <row r="2244" spans="1:1" x14ac:dyDescent="0.25">
      <c r="A2244" t="s">
        <v>1738</v>
      </c>
    </row>
    <row r="2245" spans="1:1" x14ac:dyDescent="0.25">
      <c r="A2245" t="s">
        <v>2378</v>
      </c>
    </row>
    <row r="2246" spans="1:1" x14ac:dyDescent="0.25">
      <c r="A2246" t="s">
        <v>2379</v>
      </c>
    </row>
    <row r="2247" spans="1:1" x14ac:dyDescent="0.25">
      <c r="A2247" t="s">
        <v>2290</v>
      </c>
    </row>
    <row r="2248" spans="1:1" x14ac:dyDescent="0.25">
      <c r="A2248" t="s">
        <v>1753</v>
      </c>
    </row>
    <row r="2249" spans="1:1" x14ac:dyDescent="0.25">
      <c r="A2249" t="s">
        <v>1741</v>
      </c>
    </row>
    <row r="2250" spans="1:1" x14ac:dyDescent="0.25">
      <c r="A2250" t="s">
        <v>1887</v>
      </c>
    </row>
    <row r="2251" spans="1:1" x14ac:dyDescent="0.25">
      <c r="A2251" t="s">
        <v>2380</v>
      </c>
    </row>
    <row r="2252" spans="1:1" x14ac:dyDescent="0.25">
      <c r="A2252" t="s">
        <v>1744</v>
      </c>
    </row>
    <row r="2254" spans="1:1" x14ac:dyDescent="0.25">
      <c r="A2254" t="s">
        <v>1737</v>
      </c>
    </row>
    <row r="2255" spans="1:1" x14ac:dyDescent="0.25">
      <c r="A2255" t="s">
        <v>1738</v>
      </c>
    </row>
    <row r="2256" spans="1:1" x14ac:dyDescent="0.25">
      <c r="A2256" t="s">
        <v>2381</v>
      </c>
    </row>
    <row r="2257" spans="1:1" x14ac:dyDescent="0.25">
      <c r="A2257" t="s">
        <v>2382</v>
      </c>
    </row>
    <row r="2258" spans="1:1" x14ac:dyDescent="0.25">
      <c r="A2258" t="s">
        <v>1990</v>
      </c>
    </row>
    <row r="2259" spans="1:1" x14ac:dyDescent="0.25">
      <c r="A2259" t="s">
        <v>1753</v>
      </c>
    </row>
    <row r="2260" spans="1:1" x14ac:dyDescent="0.25">
      <c r="A2260" t="s">
        <v>1741</v>
      </c>
    </row>
    <row r="2261" spans="1:1" x14ac:dyDescent="0.25">
      <c r="A2261" t="s">
        <v>2242</v>
      </c>
    </row>
    <row r="2262" spans="1:1" x14ac:dyDescent="0.25">
      <c r="A2262" t="s">
        <v>2383</v>
      </c>
    </row>
    <row r="2263" spans="1:1" x14ac:dyDescent="0.25">
      <c r="A2263" t="s">
        <v>1744</v>
      </c>
    </row>
    <row r="2265" spans="1:1" x14ac:dyDescent="0.25">
      <c r="A2265" t="s">
        <v>1737</v>
      </c>
    </row>
    <row r="2266" spans="1:1" x14ac:dyDescent="0.25">
      <c r="A2266" t="s">
        <v>1738</v>
      </c>
    </row>
    <row r="2267" spans="1:1" x14ac:dyDescent="0.25">
      <c r="A2267" t="s">
        <v>2384</v>
      </c>
    </row>
    <row r="2268" spans="1:1" x14ac:dyDescent="0.25">
      <c r="A2268" t="s">
        <v>2385</v>
      </c>
    </row>
    <row r="2269" spans="1:1" x14ac:dyDescent="0.25">
      <c r="A2269" t="s">
        <v>1990</v>
      </c>
    </row>
    <row r="2270" spans="1:1" x14ac:dyDescent="0.25">
      <c r="A2270" t="s">
        <v>1753</v>
      </c>
    </row>
    <row r="2271" spans="1:1" x14ac:dyDescent="0.25">
      <c r="A2271" t="s">
        <v>1741</v>
      </c>
    </row>
    <row r="2272" spans="1:1" x14ac:dyDescent="0.25">
      <c r="A2272" t="s">
        <v>1887</v>
      </c>
    </row>
    <row r="2273" spans="1:1" x14ac:dyDescent="0.25">
      <c r="A2273" t="s">
        <v>2386</v>
      </c>
    </row>
    <row r="2274" spans="1:1" x14ac:dyDescent="0.25">
      <c r="A2274" t="s">
        <v>1744</v>
      </c>
    </row>
    <row r="2276" spans="1:1" x14ac:dyDescent="0.25">
      <c r="A2276" t="s">
        <v>1737</v>
      </c>
    </row>
    <row r="2277" spans="1:1" x14ac:dyDescent="0.25">
      <c r="A2277" t="s">
        <v>1738</v>
      </c>
    </row>
    <row r="2278" spans="1:1" x14ac:dyDescent="0.25">
      <c r="A2278" t="s">
        <v>2387</v>
      </c>
    </row>
    <row r="2279" spans="1:1" x14ac:dyDescent="0.25">
      <c r="A2279" t="s">
        <v>1741</v>
      </c>
    </row>
    <row r="2280" spans="1:1" x14ac:dyDescent="0.25">
      <c r="A2280" t="s">
        <v>1762</v>
      </c>
    </row>
    <row r="2281" spans="1:1" x14ac:dyDescent="0.25">
      <c r="A2281" t="s">
        <v>2388</v>
      </c>
    </row>
    <row r="2282" spans="1:1" x14ac:dyDescent="0.25">
      <c r="A2282" t="s">
        <v>1744</v>
      </c>
    </row>
    <row r="2284" spans="1:1" x14ac:dyDescent="0.25">
      <c r="A2284" t="s">
        <v>1737</v>
      </c>
    </row>
    <row r="2285" spans="1:1" x14ac:dyDescent="0.25">
      <c r="A2285" t="s">
        <v>1738</v>
      </c>
    </row>
    <row r="2286" spans="1:1" x14ac:dyDescent="0.25">
      <c r="A2286" t="s">
        <v>2389</v>
      </c>
    </row>
    <row r="2287" spans="1:1" x14ac:dyDescent="0.25">
      <c r="A2287" t="s">
        <v>1741</v>
      </c>
    </row>
    <row r="2288" spans="1:1" x14ac:dyDescent="0.25">
      <c r="A2288" t="s">
        <v>1762</v>
      </c>
    </row>
    <row r="2289" spans="1:1" x14ac:dyDescent="0.25">
      <c r="A2289" t="s">
        <v>2390</v>
      </c>
    </row>
    <row r="2290" spans="1:1" x14ac:dyDescent="0.25">
      <c r="A2290" t="s">
        <v>1744</v>
      </c>
    </row>
    <row r="2292" spans="1:1" x14ac:dyDescent="0.25">
      <c r="A2292" t="s">
        <v>1737</v>
      </c>
    </row>
    <row r="2293" spans="1:1" x14ac:dyDescent="0.25">
      <c r="A2293" t="s">
        <v>1738</v>
      </c>
    </row>
    <row r="2294" spans="1:1" x14ac:dyDescent="0.25">
      <c r="A2294" t="s">
        <v>2391</v>
      </c>
    </row>
    <row r="2295" spans="1:1" x14ac:dyDescent="0.25">
      <c r="A2295" t="s">
        <v>2392</v>
      </c>
    </row>
    <row r="2296" spans="1:1" x14ac:dyDescent="0.25">
      <c r="A2296" t="s">
        <v>1929</v>
      </c>
    </row>
    <row r="2297" spans="1:1" x14ac:dyDescent="0.25">
      <c r="A2297" t="s">
        <v>1753</v>
      </c>
    </row>
    <row r="2298" spans="1:1" x14ac:dyDescent="0.25">
      <c r="A2298" t="s">
        <v>1741</v>
      </c>
    </row>
    <row r="2299" spans="1:1" x14ac:dyDescent="0.25">
      <c r="A2299" t="s">
        <v>1887</v>
      </c>
    </row>
    <row r="2300" spans="1:1" x14ac:dyDescent="0.25">
      <c r="A2300" t="s">
        <v>2393</v>
      </c>
    </row>
    <row r="2301" spans="1:1" x14ac:dyDescent="0.25">
      <c r="A2301" t="s">
        <v>1744</v>
      </c>
    </row>
    <row r="2303" spans="1:1" x14ac:dyDescent="0.25">
      <c r="A2303" t="s">
        <v>1737</v>
      </c>
    </row>
    <row r="2304" spans="1:1" x14ac:dyDescent="0.25">
      <c r="A2304" t="s">
        <v>1738</v>
      </c>
    </row>
    <row r="2305" spans="1:1" x14ac:dyDescent="0.25">
      <c r="A2305" t="s">
        <v>2394</v>
      </c>
    </row>
    <row r="2306" spans="1:1" x14ac:dyDescent="0.25">
      <c r="A2306" t="s">
        <v>2395</v>
      </c>
    </row>
    <row r="2307" spans="1:1" x14ac:dyDescent="0.25">
      <c r="A2307" t="s">
        <v>2376</v>
      </c>
    </row>
    <row r="2308" spans="1:1" x14ac:dyDescent="0.25">
      <c r="A2308" t="s">
        <v>1753</v>
      </c>
    </row>
    <row r="2309" spans="1:1" x14ac:dyDescent="0.25">
      <c r="A2309" t="s">
        <v>1741</v>
      </c>
    </row>
    <row r="2310" spans="1:1" x14ac:dyDescent="0.25">
      <c r="A2310" t="s">
        <v>2130</v>
      </c>
    </row>
    <row r="2311" spans="1:1" x14ac:dyDescent="0.25">
      <c r="A2311" t="s">
        <v>2396</v>
      </c>
    </row>
    <row r="2312" spans="1:1" x14ac:dyDescent="0.25">
      <c r="A2312" t="s">
        <v>1744</v>
      </c>
    </row>
    <row r="2314" spans="1:1" x14ac:dyDescent="0.25">
      <c r="A2314" t="s">
        <v>1737</v>
      </c>
    </row>
    <row r="2315" spans="1:1" x14ac:dyDescent="0.25">
      <c r="A2315" t="s">
        <v>1738</v>
      </c>
    </row>
    <row r="2316" spans="1:1" x14ac:dyDescent="0.25">
      <c r="A2316" t="s">
        <v>2397</v>
      </c>
    </row>
    <row r="2317" spans="1:1" x14ac:dyDescent="0.25">
      <c r="A2317" t="s">
        <v>2398</v>
      </c>
    </row>
    <row r="2318" spans="1:1" x14ac:dyDescent="0.25">
      <c r="A2318" t="s">
        <v>1777</v>
      </c>
    </row>
    <row r="2319" spans="1:1" x14ac:dyDescent="0.25">
      <c r="A2319" t="s">
        <v>1753</v>
      </c>
    </row>
    <row r="2320" spans="1:1" x14ac:dyDescent="0.25">
      <c r="A2320" t="s">
        <v>1741</v>
      </c>
    </row>
    <row r="2321" spans="1:1" x14ac:dyDescent="0.25">
      <c r="A2321" t="s">
        <v>1887</v>
      </c>
    </row>
    <row r="2322" spans="1:1" x14ac:dyDescent="0.25">
      <c r="A2322" t="s">
        <v>2399</v>
      </c>
    </row>
    <row r="2323" spans="1:1" x14ac:dyDescent="0.25">
      <c r="A2323" t="s">
        <v>1744</v>
      </c>
    </row>
    <row r="2325" spans="1:1" x14ac:dyDescent="0.25">
      <c r="A2325" t="s">
        <v>1737</v>
      </c>
    </row>
    <row r="2326" spans="1:1" x14ac:dyDescent="0.25">
      <c r="A2326" t="s">
        <v>1738</v>
      </c>
    </row>
    <row r="2327" spans="1:1" x14ac:dyDescent="0.25">
      <c r="A2327" t="s">
        <v>2400</v>
      </c>
    </row>
    <row r="2328" spans="1:1" x14ac:dyDescent="0.25">
      <c r="A2328" t="s">
        <v>1741</v>
      </c>
    </row>
    <row r="2329" spans="1:1" x14ac:dyDescent="0.25">
      <c r="A2329" t="s">
        <v>1887</v>
      </c>
    </row>
    <row r="2330" spans="1:1" x14ac:dyDescent="0.25">
      <c r="A2330" t="s">
        <v>2401</v>
      </c>
    </row>
    <row r="2331" spans="1:1" x14ac:dyDescent="0.25">
      <c r="A2331" t="s">
        <v>1744</v>
      </c>
    </row>
    <row r="2333" spans="1:1" x14ac:dyDescent="0.25">
      <c r="A2333" t="s">
        <v>1737</v>
      </c>
    </row>
    <row r="2334" spans="1:1" x14ac:dyDescent="0.25">
      <c r="A2334" t="s">
        <v>1738</v>
      </c>
    </row>
    <row r="2335" spans="1:1" x14ac:dyDescent="0.25">
      <c r="A2335" t="s">
        <v>2402</v>
      </c>
    </row>
    <row r="2336" spans="1:1" x14ac:dyDescent="0.25">
      <c r="A2336" t="s">
        <v>1741</v>
      </c>
    </row>
    <row r="2337" spans="1:1" x14ac:dyDescent="0.25">
      <c r="A2337" t="s">
        <v>2403</v>
      </c>
    </row>
    <row r="2338" spans="1:1" x14ac:dyDescent="0.25">
      <c r="A2338" t="s">
        <v>2404</v>
      </c>
    </row>
    <row r="2339" spans="1:1" x14ac:dyDescent="0.25">
      <c r="A2339" t="s">
        <v>1744</v>
      </c>
    </row>
    <row r="2341" spans="1:1" x14ac:dyDescent="0.25">
      <c r="A2341" t="s">
        <v>1737</v>
      </c>
    </row>
    <row r="2342" spans="1:1" x14ac:dyDescent="0.25">
      <c r="A2342" t="s">
        <v>1738</v>
      </c>
    </row>
    <row r="2343" spans="1:1" x14ac:dyDescent="0.25">
      <c r="A2343" t="s">
        <v>2405</v>
      </c>
    </row>
    <row r="2344" spans="1:1" x14ac:dyDescent="0.25">
      <c r="A2344" t="s">
        <v>2406</v>
      </c>
    </row>
    <row r="2345" spans="1:1" x14ac:dyDescent="0.25">
      <c r="A2345" t="s">
        <v>2041</v>
      </c>
    </row>
    <row r="2346" spans="1:1" x14ac:dyDescent="0.25">
      <c r="A2346" t="s">
        <v>1753</v>
      </c>
    </row>
    <row r="2347" spans="1:1" x14ac:dyDescent="0.25">
      <c r="A2347" t="s">
        <v>1740</v>
      </c>
    </row>
    <row r="2348" spans="1:1" x14ac:dyDescent="0.25">
      <c r="A2348" t="s">
        <v>1741</v>
      </c>
    </row>
    <row r="2349" spans="1:1" x14ac:dyDescent="0.25">
      <c r="A2349" t="s">
        <v>2407</v>
      </c>
    </row>
    <row r="2350" spans="1:1" x14ac:dyDescent="0.25">
      <c r="A2350" t="s">
        <v>2408</v>
      </c>
    </row>
    <row r="2351" spans="1:1" x14ac:dyDescent="0.25">
      <c r="A2351" t="s">
        <v>1744</v>
      </c>
    </row>
    <row r="2353" spans="1:1" x14ac:dyDescent="0.25">
      <c r="A2353" t="s">
        <v>1737</v>
      </c>
    </row>
    <row r="2354" spans="1:1" x14ac:dyDescent="0.25">
      <c r="A2354" t="s">
        <v>1738</v>
      </c>
    </row>
    <row r="2355" spans="1:1" x14ac:dyDescent="0.25">
      <c r="A2355" t="s">
        <v>2409</v>
      </c>
    </row>
    <row r="2356" spans="1:1" x14ac:dyDescent="0.25">
      <c r="A2356" t="s">
        <v>2410</v>
      </c>
    </row>
    <row r="2357" spans="1:1" x14ac:dyDescent="0.25">
      <c r="A2357" t="s">
        <v>2411</v>
      </c>
    </row>
    <row r="2358" spans="1:1" x14ac:dyDescent="0.25">
      <c r="A2358" t="s">
        <v>1753</v>
      </c>
    </row>
    <row r="2359" spans="1:1" x14ac:dyDescent="0.25">
      <c r="A2359" t="s">
        <v>1741</v>
      </c>
    </row>
    <row r="2360" spans="1:1" x14ac:dyDescent="0.25">
      <c r="A2360" t="s">
        <v>2130</v>
      </c>
    </row>
    <row r="2361" spans="1:1" x14ac:dyDescent="0.25">
      <c r="A2361" t="s">
        <v>2412</v>
      </c>
    </row>
    <row r="2362" spans="1:1" x14ac:dyDescent="0.25">
      <c r="A2362" t="s">
        <v>1744</v>
      </c>
    </row>
    <row r="2364" spans="1:1" x14ac:dyDescent="0.25">
      <c r="A2364" t="s">
        <v>1737</v>
      </c>
    </row>
    <row r="2365" spans="1:1" x14ac:dyDescent="0.25">
      <c r="A2365" t="s">
        <v>1738</v>
      </c>
    </row>
    <row r="2366" spans="1:1" x14ac:dyDescent="0.25">
      <c r="A2366" t="s">
        <v>2413</v>
      </c>
    </row>
    <row r="2367" spans="1:1" x14ac:dyDescent="0.25">
      <c r="A2367" t="s">
        <v>2414</v>
      </c>
    </row>
    <row r="2368" spans="1:1" x14ac:dyDescent="0.25">
      <c r="A2368" t="s">
        <v>2411</v>
      </c>
    </row>
    <row r="2369" spans="1:1" x14ac:dyDescent="0.25">
      <c r="A2369" t="s">
        <v>1753</v>
      </c>
    </row>
    <row r="2370" spans="1:1" x14ac:dyDescent="0.25">
      <c r="A2370" t="s">
        <v>1741</v>
      </c>
    </row>
    <row r="2371" spans="1:1" x14ac:dyDescent="0.25">
      <c r="A2371" t="s">
        <v>2130</v>
      </c>
    </row>
    <row r="2372" spans="1:1" x14ac:dyDescent="0.25">
      <c r="A2372" t="s">
        <v>2415</v>
      </c>
    </row>
    <row r="2373" spans="1:1" x14ac:dyDescent="0.25">
      <c r="A2373" t="s">
        <v>1744</v>
      </c>
    </row>
    <row r="2375" spans="1:1" x14ac:dyDescent="0.25">
      <c r="A2375" t="s">
        <v>1737</v>
      </c>
    </row>
    <row r="2376" spans="1:1" x14ac:dyDescent="0.25">
      <c r="A2376" t="s">
        <v>1738</v>
      </c>
    </row>
    <row r="2377" spans="1:1" x14ac:dyDescent="0.25">
      <c r="A2377" t="s">
        <v>2416</v>
      </c>
    </row>
    <row r="2378" spans="1:1" x14ac:dyDescent="0.25">
      <c r="A2378" t="s">
        <v>2417</v>
      </c>
    </row>
    <row r="2379" spans="1:1" x14ac:dyDescent="0.25">
      <c r="A2379" t="s">
        <v>2376</v>
      </c>
    </row>
    <row r="2380" spans="1:1" x14ac:dyDescent="0.25">
      <c r="A2380" t="s">
        <v>1753</v>
      </c>
    </row>
    <row r="2381" spans="1:1" x14ac:dyDescent="0.25">
      <c r="A2381" t="s">
        <v>1741</v>
      </c>
    </row>
    <row r="2382" spans="1:1" x14ac:dyDescent="0.25">
      <c r="A2382" t="s">
        <v>1887</v>
      </c>
    </row>
    <row r="2383" spans="1:1" x14ac:dyDescent="0.25">
      <c r="A2383" t="s">
        <v>2418</v>
      </c>
    </row>
    <row r="2384" spans="1:1" x14ac:dyDescent="0.25">
      <c r="A2384" t="s">
        <v>1744</v>
      </c>
    </row>
    <row r="2386" spans="1:1" x14ac:dyDescent="0.25">
      <c r="A2386" t="s">
        <v>1737</v>
      </c>
    </row>
    <row r="2387" spans="1:1" x14ac:dyDescent="0.25">
      <c r="A2387" t="s">
        <v>1738</v>
      </c>
    </row>
    <row r="2388" spans="1:1" x14ac:dyDescent="0.25">
      <c r="A2388" t="s">
        <v>2419</v>
      </c>
    </row>
    <row r="2389" spans="1:1" x14ac:dyDescent="0.25">
      <c r="A2389" t="s">
        <v>2420</v>
      </c>
    </row>
    <row r="2390" spans="1:1" x14ac:dyDescent="0.25">
      <c r="A2390" t="s">
        <v>2421</v>
      </c>
    </row>
    <row r="2391" spans="1:1" x14ac:dyDescent="0.25">
      <c r="A2391" t="s">
        <v>1753</v>
      </c>
    </row>
    <row r="2392" spans="1:1" x14ac:dyDescent="0.25">
      <c r="A2392" t="s">
        <v>1741</v>
      </c>
    </row>
    <row r="2393" spans="1:1" x14ac:dyDescent="0.25">
      <c r="A2393" t="s">
        <v>1762</v>
      </c>
    </row>
    <row r="2394" spans="1:1" x14ac:dyDescent="0.25">
      <c r="A2394" t="s">
        <v>2422</v>
      </c>
    </row>
    <row r="2395" spans="1:1" x14ac:dyDescent="0.25">
      <c r="A2395" t="s">
        <v>1744</v>
      </c>
    </row>
    <row r="2397" spans="1:1" x14ac:dyDescent="0.25">
      <c r="A2397" t="s">
        <v>1737</v>
      </c>
    </row>
    <row r="2398" spans="1:1" x14ac:dyDescent="0.25">
      <c r="A2398" t="s">
        <v>1738</v>
      </c>
    </row>
    <row r="2399" spans="1:1" x14ac:dyDescent="0.25">
      <c r="A2399" t="s">
        <v>2423</v>
      </c>
    </row>
    <row r="2400" spans="1:1" x14ac:dyDescent="0.25">
      <c r="A2400" t="s">
        <v>2424</v>
      </c>
    </row>
    <row r="2401" spans="1:1" x14ac:dyDescent="0.25">
      <c r="A2401" t="s">
        <v>1929</v>
      </c>
    </row>
    <row r="2402" spans="1:1" x14ac:dyDescent="0.25">
      <c r="A2402" t="s">
        <v>1753</v>
      </c>
    </row>
    <row r="2403" spans="1:1" x14ac:dyDescent="0.25">
      <c r="A2403" t="s">
        <v>1741</v>
      </c>
    </row>
    <row r="2404" spans="1:1" x14ac:dyDescent="0.25">
      <c r="A2404" t="s">
        <v>1762</v>
      </c>
    </row>
    <row r="2405" spans="1:1" x14ac:dyDescent="0.25">
      <c r="A2405" t="s">
        <v>2425</v>
      </c>
    </row>
    <row r="2406" spans="1:1" x14ac:dyDescent="0.25">
      <c r="A2406" t="s">
        <v>1744</v>
      </c>
    </row>
    <row r="2408" spans="1:1" x14ac:dyDescent="0.25">
      <c r="A2408" t="s">
        <v>1737</v>
      </c>
    </row>
    <row r="2409" spans="1:1" x14ac:dyDescent="0.25">
      <c r="A2409" t="s">
        <v>1738</v>
      </c>
    </row>
    <row r="2410" spans="1:1" x14ac:dyDescent="0.25">
      <c r="A2410" t="s">
        <v>2426</v>
      </c>
    </row>
    <row r="2411" spans="1:1" x14ac:dyDescent="0.25">
      <c r="A2411" t="s">
        <v>2427</v>
      </c>
    </row>
    <row r="2412" spans="1:1" x14ac:dyDescent="0.25">
      <c r="A2412" t="s">
        <v>2421</v>
      </c>
    </row>
    <row r="2413" spans="1:1" x14ac:dyDescent="0.25">
      <c r="A2413" t="s">
        <v>1753</v>
      </c>
    </row>
    <row r="2414" spans="1:1" x14ac:dyDescent="0.25">
      <c r="A2414" t="s">
        <v>1741</v>
      </c>
    </row>
    <row r="2415" spans="1:1" x14ac:dyDescent="0.25">
      <c r="A2415" t="s">
        <v>1887</v>
      </c>
    </row>
    <row r="2416" spans="1:1" x14ac:dyDescent="0.25">
      <c r="A2416" t="s">
        <v>2428</v>
      </c>
    </row>
    <row r="2417" spans="1:1" x14ac:dyDescent="0.25">
      <c r="A2417" t="s">
        <v>1744</v>
      </c>
    </row>
    <row r="2419" spans="1:1" x14ac:dyDescent="0.25">
      <c r="A2419" t="s">
        <v>1737</v>
      </c>
    </row>
    <row r="2420" spans="1:1" x14ac:dyDescent="0.25">
      <c r="A2420" t="s">
        <v>1738</v>
      </c>
    </row>
    <row r="2421" spans="1:1" x14ac:dyDescent="0.25">
      <c r="A2421" t="s">
        <v>2429</v>
      </c>
    </row>
    <row r="2422" spans="1:1" x14ac:dyDescent="0.25">
      <c r="A2422" t="s">
        <v>2430</v>
      </c>
    </row>
    <row r="2423" spans="1:1" x14ac:dyDescent="0.25">
      <c r="A2423" t="s">
        <v>1990</v>
      </c>
    </row>
    <row r="2424" spans="1:1" x14ac:dyDescent="0.25">
      <c r="A2424" t="s">
        <v>1753</v>
      </c>
    </row>
    <row r="2425" spans="1:1" x14ac:dyDescent="0.25">
      <c r="A2425" t="s">
        <v>1741</v>
      </c>
    </row>
    <row r="2426" spans="1:1" x14ac:dyDescent="0.25">
      <c r="A2426" t="s">
        <v>1887</v>
      </c>
    </row>
    <row r="2427" spans="1:1" x14ac:dyDescent="0.25">
      <c r="A2427" t="s">
        <v>2431</v>
      </c>
    </row>
    <row r="2428" spans="1:1" x14ac:dyDescent="0.25">
      <c r="A2428" t="s">
        <v>1744</v>
      </c>
    </row>
    <row r="2430" spans="1:1" x14ac:dyDescent="0.25">
      <c r="A2430" t="s">
        <v>1737</v>
      </c>
    </row>
    <row r="2431" spans="1:1" x14ac:dyDescent="0.25">
      <c r="A2431" t="s">
        <v>1738</v>
      </c>
    </row>
    <row r="2432" spans="1:1" x14ac:dyDescent="0.25">
      <c r="A2432" t="s">
        <v>2432</v>
      </c>
    </row>
    <row r="2433" spans="1:1" x14ac:dyDescent="0.25">
      <c r="A2433" t="s">
        <v>2433</v>
      </c>
    </row>
    <row r="2434" spans="1:1" x14ac:dyDescent="0.25">
      <c r="A2434" t="s">
        <v>2290</v>
      </c>
    </row>
    <row r="2435" spans="1:1" x14ac:dyDescent="0.25">
      <c r="A2435" t="s">
        <v>1753</v>
      </c>
    </row>
    <row r="2436" spans="1:1" x14ac:dyDescent="0.25">
      <c r="A2436" t="s">
        <v>1741</v>
      </c>
    </row>
    <row r="2437" spans="1:1" x14ac:dyDescent="0.25">
      <c r="A2437" t="s">
        <v>1762</v>
      </c>
    </row>
    <row r="2438" spans="1:1" x14ac:dyDescent="0.25">
      <c r="A2438" t="s">
        <v>2434</v>
      </c>
    </row>
    <row r="2439" spans="1:1" x14ac:dyDescent="0.25">
      <c r="A2439" t="s">
        <v>1744</v>
      </c>
    </row>
    <row r="2441" spans="1:1" x14ac:dyDescent="0.25">
      <c r="A2441" t="s">
        <v>1737</v>
      </c>
    </row>
    <row r="2442" spans="1:1" x14ac:dyDescent="0.25">
      <c r="A2442" t="s">
        <v>1738</v>
      </c>
    </row>
    <row r="2443" spans="1:1" x14ac:dyDescent="0.25">
      <c r="A2443" t="s">
        <v>2435</v>
      </c>
    </row>
    <row r="2444" spans="1:1" x14ac:dyDescent="0.25">
      <c r="A2444" t="s">
        <v>1740</v>
      </c>
    </row>
    <row r="2445" spans="1:1" x14ac:dyDescent="0.25">
      <c r="A2445" t="s">
        <v>1741</v>
      </c>
    </row>
    <row r="2446" spans="1:1" x14ac:dyDescent="0.25">
      <c r="A2446" t="s">
        <v>2436</v>
      </c>
    </row>
    <row r="2447" spans="1:1" x14ac:dyDescent="0.25">
      <c r="A2447" t="s">
        <v>2437</v>
      </c>
    </row>
    <row r="2448" spans="1:1" x14ac:dyDescent="0.25">
      <c r="A2448" t="s">
        <v>1744</v>
      </c>
    </row>
    <row r="2450" spans="1:1" x14ac:dyDescent="0.25">
      <c r="A2450" t="s">
        <v>1737</v>
      </c>
    </row>
    <row r="2451" spans="1:1" x14ac:dyDescent="0.25">
      <c r="A2451" t="s">
        <v>1738</v>
      </c>
    </row>
    <row r="2452" spans="1:1" x14ac:dyDescent="0.25">
      <c r="A2452" t="s">
        <v>2438</v>
      </c>
    </row>
    <row r="2453" spans="1:1" x14ac:dyDescent="0.25">
      <c r="A2453" t="s">
        <v>1740</v>
      </c>
    </row>
    <row r="2454" spans="1:1" x14ac:dyDescent="0.25">
      <c r="A2454" t="s">
        <v>1741</v>
      </c>
    </row>
    <row r="2455" spans="1:1" x14ac:dyDescent="0.25">
      <c r="A2455" t="s">
        <v>2436</v>
      </c>
    </row>
    <row r="2456" spans="1:1" x14ac:dyDescent="0.25">
      <c r="A2456" t="s">
        <v>2439</v>
      </c>
    </row>
    <row r="2457" spans="1:1" x14ac:dyDescent="0.25">
      <c r="A2457" t="s">
        <v>1744</v>
      </c>
    </row>
    <row r="2459" spans="1:1" x14ac:dyDescent="0.25">
      <c r="A2459" t="s">
        <v>1737</v>
      </c>
    </row>
    <row r="2460" spans="1:1" x14ac:dyDescent="0.25">
      <c r="A2460" t="s">
        <v>1738</v>
      </c>
    </row>
    <row r="2461" spans="1:1" x14ac:dyDescent="0.25">
      <c r="A2461" t="s">
        <v>2440</v>
      </c>
    </row>
    <row r="2462" spans="1:1" x14ac:dyDescent="0.25">
      <c r="A2462" t="s">
        <v>2441</v>
      </c>
    </row>
    <row r="2463" spans="1:1" x14ac:dyDescent="0.25">
      <c r="A2463" t="s">
        <v>2376</v>
      </c>
    </row>
    <row r="2464" spans="1:1" x14ac:dyDescent="0.25">
      <c r="A2464" t="s">
        <v>1753</v>
      </c>
    </row>
    <row r="2465" spans="1:1" x14ac:dyDescent="0.25">
      <c r="A2465" t="s">
        <v>1741</v>
      </c>
    </row>
    <row r="2466" spans="1:1" x14ac:dyDescent="0.25">
      <c r="A2466" t="s">
        <v>2219</v>
      </c>
    </row>
    <row r="2467" spans="1:1" x14ac:dyDescent="0.25">
      <c r="A2467" t="s">
        <v>2442</v>
      </c>
    </row>
    <row r="2468" spans="1:1" x14ac:dyDescent="0.25">
      <c r="A2468" t="s">
        <v>1744</v>
      </c>
    </row>
    <row r="2470" spans="1:1" x14ac:dyDescent="0.25">
      <c r="A2470" t="s">
        <v>1737</v>
      </c>
    </row>
    <row r="2471" spans="1:1" x14ac:dyDescent="0.25">
      <c r="A2471" t="s">
        <v>1738</v>
      </c>
    </row>
    <row r="2472" spans="1:1" x14ac:dyDescent="0.25">
      <c r="A2472" t="s">
        <v>2443</v>
      </c>
    </row>
    <row r="2473" spans="1:1" x14ac:dyDescent="0.25">
      <c r="A2473" t="s">
        <v>2444</v>
      </c>
    </row>
    <row r="2474" spans="1:1" x14ac:dyDescent="0.25">
      <c r="A2474" t="s">
        <v>2445</v>
      </c>
    </row>
    <row r="2475" spans="1:1" x14ac:dyDescent="0.25">
      <c r="A2475" t="s">
        <v>1753</v>
      </c>
    </row>
    <row r="2476" spans="1:1" x14ac:dyDescent="0.25">
      <c r="A2476" t="s">
        <v>1741</v>
      </c>
    </row>
    <row r="2477" spans="1:1" x14ac:dyDescent="0.25">
      <c r="A2477" t="s">
        <v>1762</v>
      </c>
    </row>
    <row r="2478" spans="1:1" x14ac:dyDescent="0.25">
      <c r="A2478" t="s">
        <v>2446</v>
      </c>
    </row>
    <row r="2479" spans="1:1" x14ac:dyDescent="0.25">
      <c r="A2479" t="s">
        <v>1744</v>
      </c>
    </row>
    <row r="2481" spans="1:1" x14ac:dyDescent="0.25">
      <c r="A2481" t="s">
        <v>1737</v>
      </c>
    </row>
    <row r="2482" spans="1:1" x14ac:dyDescent="0.25">
      <c r="A2482" t="s">
        <v>1738</v>
      </c>
    </row>
    <row r="2483" spans="1:1" x14ac:dyDescent="0.25">
      <c r="A2483" t="s">
        <v>2447</v>
      </c>
    </row>
    <row r="2484" spans="1:1" x14ac:dyDescent="0.25">
      <c r="A2484" t="s">
        <v>2448</v>
      </c>
    </row>
    <row r="2485" spans="1:1" x14ac:dyDescent="0.25">
      <c r="A2485" t="s">
        <v>1990</v>
      </c>
    </row>
    <row r="2486" spans="1:1" x14ac:dyDescent="0.25">
      <c r="A2486" t="s">
        <v>1753</v>
      </c>
    </row>
    <row r="2487" spans="1:1" x14ac:dyDescent="0.25">
      <c r="A2487" t="s">
        <v>1741</v>
      </c>
    </row>
    <row r="2488" spans="1:1" x14ac:dyDescent="0.25">
      <c r="A2488" t="s">
        <v>1887</v>
      </c>
    </row>
    <row r="2489" spans="1:1" x14ac:dyDescent="0.25">
      <c r="A2489" t="s">
        <v>2449</v>
      </c>
    </row>
    <row r="2490" spans="1:1" x14ac:dyDescent="0.25">
      <c r="A2490" t="s">
        <v>1744</v>
      </c>
    </row>
    <row r="2492" spans="1:1" x14ac:dyDescent="0.25">
      <c r="A2492" t="s">
        <v>1737</v>
      </c>
    </row>
    <row r="2493" spans="1:1" x14ac:dyDescent="0.25">
      <c r="A2493" t="s">
        <v>1738</v>
      </c>
    </row>
    <row r="2494" spans="1:1" x14ac:dyDescent="0.25">
      <c r="A2494" t="s">
        <v>2450</v>
      </c>
    </row>
    <row r="2495" spans="1:1" x14ac:dyDescent="0.25">
      <c r="A2495" t="s">
        <v>2451</v>
      </c>
    </row>
    <row r="2496" spans="1:1" x14ac:dyDescent="0.25">
      <c r="A2496" t="s">
        <v>2010</v>
      </c>
    </row>
    <row r="2497" spans="1:1" x14ac:dyDescent="0.25">
      <c r="A2497" t="s">
        <v>1753</v>
      </c>
    </row>
    <row r="2498" spans="1:1" x14ac:dyDescent="0.25">
      <c r="A2498" t="s">
        <v>1741</v>
      </c>
    </row>
    <row r="2499" spans="1:1" x14ac:dyDescent="0.25">
      <c r="A2499" t="s">
        <v>1887</v>
      </c>
    </row>
    <row r="2500" spans="1:1" x14ac:dyDescent="0.25">
      <c r="A2500" t="s">
        <v>2452</v>
      </c>
    </row>
    <row r="2501" spans="1:1" x14ac:dyDescent="0.25">
      <c r="A2501" t="s">
        <v>1744</v>
      </c>
    </row>
    <row r="2503" spans="1:1" x14ac:dyDescent="0.25">
      <c r="A2503" t="s">
        <v>1737</v>
      </c>
    </row>
    <row r="2504" spans="1:1" x14ac:dyDescent="0.25">
      <c r="A2504" t="s">
        <v>1738</v>
      </c>
    </row>
    <row r="2505" spans="1:1" x14ac:dyDescent="0.25">
      <c r="A2505" t="s">
        <v>2453</v>
      </c>
    </row>
    <row r="2506" spans="1:1" x14ac:dyDescent="0.25">
      <c r="A2506" t="s">
        <v>2454</v>
      </c>
    </row>
    <row r="2507" spans="1:1" x14ac:dyDescent="0.25">
      <c r="A2507" t="s">
        <v>1990</v>
      </c>
    </row>
    <row r="2508" spans="1:1" x14ac:dyDescent="0.25">
      <c r="A2508" t="s">
        <v>1753</v>
      </c>
    </row>
    <row r="2509" spans="1:1" x14ac:dyDescent="0.25">
      <c r="A2509" t="s">
        <v>1741</v>
      </c>
    </row>
    <row r="2510" spans="1:1" x14ac:dyDescent="0.25">
      <c r="A2510" t="s">
        <v>2455</v>
      </c>
    </row>
    <row r="2511" spans="1:1" x14ac:dyDescent="0.25">
      <c r="A2511" t="s">
        <v>2456</v>
      </c>
    </row>
    <row r="2512" spans="1:1" x14ac:dyDescent="0.25">
      <c r="A2512" t="s">
        <v>1744</v>
      </c>
    </row>
    <row r="2514" spans="1:1" x14ac:dyDescent="0.25">
      <c r="A2514" t="s">
        <v>1737</v>
      </c>
    </row>
    <row r="2515" spans="1:1" x14ac:dyDescent="0.25">
      <c r="A2515" t="s">
        <v>1738</v>
      </c>
    </row>
    <row r="2516" spans="1:1" x14ac:dyDescent="0.25">
      <c r="A2516" t="s">
        <v>2457</v>
      </c>
    </row>
    <row r="2517" spans="1:1" x14ac:dyDescent="0.25">
      <c r="A2517" t="s">
        <v>2458</v>
      </c>
    </row>
    <row r="2518" spans="1:1" x14ac:dyDescent="0.25">
      <c r="A2518" t="s">
        <v>1990</v>
      </c>
    </row>
    <row r="2519" spans="1:1" x14ac:dyDescent="0.25">
      <c r="A2519" t="s">
        <v>1753</v>
      </c>
    </row>
    <row r="2520" spans="1:1" x14ac:dyDescent="0.25">
      <c r="A2520" t="s">
        <v>1741</v>
      </c>
    </row>
    <row r="2521" spans="1:1" x14ac:dyDescent="0.25">
      <c r="A2521" t="s">
        <v>1887</v>
      </c>
    </row>
    <row r="2522" spans="1:1" x14ac:dyDescent="0.25">
      <c r="A2522" t="s">
        <v>2459</v>
      </c>
    </row>
    <row r="2523" spans="1:1" x14ac:dyDescent="0.25">
      <c r="A2523" t="s">
        <v>1744</v>
      </c>
    </row>
    <row r="2525" spans="1:1" x14ac:dyDescent="0.25">
      <c r="A2525" t="s">
        <v>1737</v>
      </c>
    </row>
    <row r="2526" spans="1:1" x14ac:dyDescent="0.25">
      <c r="A2526" t="s">
        <v>1738</v>
      </c>
    </row>
    <row r="2527" spans="1:1" x14ac:dyDescent="0.25">
      <c r="A2527" t="s">
        <v>2460</v>
      </c>
    </row>
    <row r="2528" spans="1:1" x14ac:dyDescent="0.25">
      <c r="A2528" t="s">
        <v>2461</v>
      </c>
    </row>
    <row r="2529" spans="1:1" x14ac:dyDescent="0.25">
      <c r="A2529" t="s">
        <v>1797</v>
      </c>
    </row>
    <row r="2530" spans="1:1" x14ac:dyDescent="0.25">
      <c r="A2530" t="s">
        <v>1753</v>
      </c>
    </row>
    <row r="2531" spans="1:1" x14ac:dyDescent="0.25">
      <c r="A2531" t="s">
        <v>1741</v>
      </c>
    </row>
    <row r="2532" spans="1:1" x14ac:dyDescent="0.25">
      <c r="A2532" t="s">
        <v>1762</v>
      </c>
    </row>
    <row r="2533" spans="1:1" x14ac:dyDescent="0.25">
      <c r="A2533" t="s">
        <v>2462</v>
      </c>
    </row>
    <row r="2534" spans="1:1" x14ac:dyDescent="0.25">
      <c r="A2534" t="s">
        <v>1744</v>
      </c>
    </row>
    <row r="2536" spans="1:1" x14ac:dyDescent="0.25">
      <c r="A2536" t="s">
        <v>1737</v>
      </c>
    </row>
    <row r="2537" spans="1:1" x14ac:dyDescent="0.25">
      <c r="A2537" t="s">
        <v>1738</v>
      </c>
    </row>
    <row r="2538" spans="1:1" x14ac:dyDescent="0.25">
      <c r="A2538" t="s">
        <v>2463</v>
      </c>
    </row>
    <row r="2539" spans="1:1" x14ac:dyDescent="0.25">
      <c r="A2539" t="s">
        <v>2464</v>
      </c>
    </row>
    <row r="2540" spans="1:1" x14ac:dyDescent="0.25">
      <c r="A2540" t="s">
        <v>1797</v>
      </c>
    </row>
    <row r="2541" spans="1:1" x14ac:dyDescent="0.25">
      <c r="A2541" t="s">
        <v>1753</v>
      </c>
    </row>
    <row r="2542" spans="1:1" x14ac:dyDescent="0.25">
      <c r="A2542" t="s">
        <v>1741</v>
      </c>
    </row>
    <row r="2543" spans="1:1" x14ac:dyDescent="0.25">
      <c r="A2543" t="s">
        <v>1762</v>
      </c>
    </row>
    <row r="2544" spans="1:1" x14ac:dyDescent="0.25">
      <c r="A2544" t="s">
        <v>2465</v>
      </c>
    </row>
    <row r="2545" spans="1:1" x14ac:dyDescent="0.25">
      <c r="A2545" t="s">
        <v>1744</v>
      </c>
    </row>
    <row r="2547" spans="1:1" x14ac:dyDescent="0.25">
      <c r="A2547" t="s">
        <v>1737</v>
      </c>
    </row>
    <row r="2548" spans="1:1" x14ac:dyDescent="0.25">
      <c r="A2548" t="s">
        <v>1738</v>
      </c>
    </row>
    <row r="2549" spans="1:1" x14ac:dyDescent="0.25">
      <c r="A2549" t="s">
        <v>2466</v>
      </c>
    </row>
    <row r="2550" spans="1:1" x14ac:dyDescent="0.25">
      <c r="A2550" t="s">
        <v>2467</v>
      </c>
    </row>
    <row r="2551" spans="1:1" x14ac:dyDescent="0.25">
      <c r="A2551" t="s">
        <v>1797</v>
      </c>
    </row>
    <row r="2552" spans="1:1" x14ac:dyDescent="0.25">
      <c r="A2552" t="s">
        <v>1753</v>
      </c>
    </row>
    <row r="2553" spans="1:1" x14ac:dyDescent="0.25">
      <c r="A2553" t="s">
        <v>1741</v>
      </c>
    </row>
    <row r="2554" spans="1:1" x14ac:dyDescent="0.25">
      <c r="A2554" t="s">
        <v>1762</v>
      </c>
    </row>
    <row r="2555" spans="1:1" x14ac:dyDescent="0.25">
      <c r="A2555" t="s">
        <v>2468</v>
      </c>
    </row>
    <row r="2556" spans="1:1" x14ac:dyDescent="0.25">
      <c r="A2556" t="s">
        <v>1744</v>
      </c>
    </row>
    <row r="2558" spans="1:1" x14ac:dyDescent="0.25">
      <c r="A2558" t="s">
        <v>1737</v>
      </c>
    </row>
    <row r="2559" spans="1:1" x14ac:dyDescent="0.25">
      <c r="A2559" t="s">
        <v>1738</v>
      </c>
    </row>
    <row r="2560" spans="1:1" x14ac:dyDescent="0.25">
      <c r="A2560" t="s">
        <v>2469</v>
      </c>
    </row>
    <row r="2561" spans="1:1" x14ac:dyDescent="0.25">
      <c r="A2561" t="s">
        <v>2470</v>
      </c>
    </row>
    <row r="2562" spans="1:1" x14ac:dyDescent="0.25">
      <c r="A2562" t="s">
        <v>2471</v>
      </c>
    </row>
    <row r="2563" spans="1:1" x14ac:dyDescent="0.25">
      <c r="A2563" t="s">
        <v>1753</v>
      </c>
    </row>
    <row r="2564" spans="1:1" x14ac:dyDescent="0.25">
      <c r="A2564" t="s">
        <v>1741</v>
      </c>
    </row>
    <row r="2565" spans="1:1" x14ac:dyDescent="0.25">
      <c r="A2565" t="s">
        <v>1762</v>
      </c>
    </row>
    <row r="2566" spans="1:1" x14ac:dyDescent="0.25">
      <c r="A2566" t="s">
        <v>2472</v>
      </c>
    </row>
    <row r="2567" spans="1:1" x14ac:dyDescent="0.25">
      <c r="A2567" t="s">
        <v>1744</v>
      </c>
    </row>
    <row r="2569" spans="1:1" x14ac:dyDescent="0.25">
      <c r="A2569" t="s">
        <v>1737</v>
      </c>
    </row>
    <row r="2570" spans="1:1" x14ac:dyDescent="0.25">
      <c r="A2570" t="s">
        <v>1738</v>
      </c>
    </row>
    <row r="2571" spans="1:1" x14ac:dyDescent="0.25">
      <c r="A2571" t="s">
        <v>2473</v>
      </c>
    </row>
    <row r="2572" spans="1:1" x14ac:dyDescent="0.25">
      <c r="A2572" t="s">
        <v>2474</v>
      </c>
    </row>
    <row r="2573" spans="1:1" x14ac:dyDescent="0.25">
      <c r="A2573" t="s">
        <v>1990</v>
      </c>
    </row>
    <row r="2574" spans="1:1" x14ac:dyDescent="0.25">
      <c r="A2574" t="s">
        <v>1753</v>
      </c>
    </row>
    <row r="2575" spans="1:1" x14ac:dyDescent="0.25">
      <c r="A2575" t="s">
        <v>1741</v>
      </c>
    </row>
    <row r="2576" spans="1:1" x14ac:dyDescent="0.25">
      <c r="A2576" t="s">
        <v>1887</v>
      </c>
    </row>
    <row r="2577" spans="1:1" x14ac:dyDescent="0.25">
      <c r="A2577" t="s">
        <v>2475</v>
      </c>
    </row>
    <row r="2578" spans="1:1" x14ac:dyDescent="0.25">
      <c r="A2578" t="s">
        <v>1744</v>
      </c>
    </row>
    <row r="2580" spans="1:1" x14ac:dyDescent="0.25">
      <c r="A2580" t="s">
        <v>1737</v>
      </c>
    </row>
    <row r="2581" spans="1:1" x14ac:dyDescent="0.25">
      <c r="A2581" t="s">
        <v>1738</v>
      </c>
    </row>
    <row r="2582" spans="1:1" x14ac:dyDescent="0.25">
      <c r="A2582" t="s">
        <v>2476</v>
      </c>
    </row>
    <row r="2583" spans="1:1" x14ac:dyDescent="0.25">
      <c r="A2583" t="s">
        <v>2477</v>
      </c>
    </row>
    <row r="2584" spans="1:1" x14ac:dyDescent="0.25">
      <c r="A2584" t="s">
        <v>1990</v>
      </c>
    </row>
    <row r="2585" spans="1:1" x14ac:dyDescent="0.25">
      <c r="A2585" t="s">
        <v>1753</v>
      </c>
    </row>
    <row r="2586" spans="1:1" x14ac:dyDescent="0.25">
      <c r="A2586" t="s">
        <v>1741</v>
      </c>
    </row>
    <row r="2587" spans="1:1" x14ac:dyDescent="0.25">
      <c r="A2587" t="s">
        <v>2478</v>
      </c>
    </row>
    <row r="2588" spans="1:1" x14ac:dyDescent="0.25">
      <c r="A2588" t="s">
        <v>2479</v>
      </c>
    </row>
    <row r="2589" spans="1:1" x14ac:dyDescent="0.25">
      <c r="A2589" t="s">
        <v>1744</v>
      </c>
    </row>
    <row r="2591" spans="1:1" x14ac:dyDescent="0.25">
      <c r="A2591" t="s">
        <v>1737</v>
      </c>
    </row>
    <row r="2592" spans="1:1" x14ac:dyDescent="0.25">
      <c r="A2592" t="s">
        <v>1738</v>
      </c>
    </row>
    <row r="2593" spans="1:1" x14ac:dyDescent="0.25">
      <c r="A2593" t="s">
        <v>2480</v>
      </c>
    </row>
    <row r="2594" spans="1:1" x14ac:dyDescent="0.25">
      <c r="A2594" t="s">
        <v>2481</v>
      </c>
    </row>
    <row r="2595" spans="1:1" x14ac:dyDescent="0.25">
      <c r="A2595" t="s">
        <v>2471</v>
      </c>
    </row>
    <row r="2596" spans="1:1" x14ac:dyDescent="0.25">
      <c r="A2596" t="s">
        <v>1753</v>
      </c>
    </row>
    <row r="2597" spans="1:1" x14ac:dyDescent="0.25">
      <c r="A2597" t="s">
        <v>1740</v>
      </c>
    </row>
    <row r="2598" spans="1:1" x14ac:dyDescent="0.25">
      <c r="A2598" t="s">
        <v>1741</v>
      </c>
    </row>
    <row r="2599" spans="1:1" x14ac:dyDescent="0.25">
      <c r="A2599" t="s">
        <v>2482</v>
      </c>
    </row>
    <row r="2600" spans="1:1" x14ac:dyDescent="0.25">
      <c r="A2600" t="s">
        <v>2483</v>
      </c>
    </row>
    <row r="2601" spans="1:1" x14ac:dyDescent="0.25">
      <c r="A2601" t="s">
        <v>1744</v>
      </c>
    </row>
    <row r="2603" spans="1:1" x14ac:dyDescent="0.25">
      <c r="A2603" t="s">
        <v>1737</v>
      </c>
    </row>
    <row r="2604" spans="1:1" x14ac:dyDescent="0.25">
      <c r="A2604" t="s">
        <v>1738</v>
      </c>
    </row>
    <row r="2605" spans="1:1" x14ac:dyDescent="0.25">
      <c r="A2605" t="s">
        <v>2484</v>
      </c>
    </row>
    <row r="2606" spans="1:1" x14ac:dyDescent="0.25">
      <c r="A2606" t="s">
        <v>2485</v>
      </c>
    </row>
    <row r="2607" spans="1:1" x14ac:dyDescent="0.25">
      <c r="A2607" t="s">
        <v>1797</v>
      </c>
    </row>
    <row r="2608" spans="1:1" x14ac:dyDescent="0.25">
      <c r="A2608" t="s">
        <v>1753</v>
      </c>
    </row>
    <row r="2609" spans="1:1" x14ac:dyDescent="0.25">
      <c r="A2609" t="s">
        <v>1741</v>
      </c>
    </row>
    <row r="2610" spans="1:1" x14ac:dyDescent="0.25">
      <c r="A2610" t="s">
        <v>1762</v>
      </c>
    </row>
    <row r="2611" spans="1:1" x14ac:dyDescent="0.25">
      <c r="A2611" t="s">
        <v>2486</v>
      </c>
    </row>
    <row r="2612" spans="1:1" x14ac:dyDescent="0.25">
      <c r="A2612" t="s">
        <v>1744</v>
      </c>
    </row>
    <row r="2614" spans="1:1" x14ac:dyDescent="0.25">
      <c r="A2614" t="s">
        <v>1737</v>
      </c>
    </row>
    <row r="2615" spans="1:1" x14ac:dyDescent="0.25">
      <c r="A2615" t="s">
        <v>1738</v>
      </c>
    </row>
    <row r="2616" spans="1:1" x14ac:dyDescent="0.25">
      <c r="A2616" t="s">
        <v>2487</v>
      </c>
    </row>
    <row r="2617" spans="1:1" x14ac:dyDescent="0.25">
      <c r="A2617" t="s">
        <v>2488</v>
      </c>
    </row>
    <row r="2618" spans="1:1" x14ac:dyDescent="0.25">
      <c r="A2618" t="s">
        <v>1797</v>
      </c>
    </row>
    <row r="2619" spans="1:1" x14ac:dyDescent="0.25">
      <c r="A2619" t="s">
        <v>1753</v>
      </c>
    </row>
    <row r="2620" spans="1:1" x14ac:dyDescent="0.25">
      <c r="A2620" t="s">
        <v>1741</v>
      </c>
    </row>
    <row r="2621" spans="1:1" x14ac:dyDescent="0.25">
      <c r="A2621" t="s">
        <v>1762</v>
      </c>
    </row>
    <row r="2622" spans="1:1" x14ac:dyDescent="0.25">
      <c r="A2622" t="s">
        <v>2489</v>
      </c>
    </row>
    <row r="2623" spans="1:1" x14ac:dyDescent="0.25">
      <c r="A2623" t="s">
        <v>1744</v>
      </c>
    </row>
    <row r="2625" spans="1:1" x14ac:dyDescent="0.25">
      <c r="A2625" t="s">
        <v>1737</v>
      </c>
    </row>
    <row r="2626" spans="1:1" x14ac:dyDescent="0.25">
      <c r="A2626" t="s">
        <v>1738</v>
      </c>
    </row>
    <row r="2627" spans="1:1" x14ac:dyDescent="0.25">
      <c r="A2627" t="s">
        <v>2490</v>
      </c>
    </row>
    <row r="2628" spans="1:1" x14ac:dyDescent="0.25">
      <c r="A2628" t="s">
        <v>2491</v>
      </c>
    </row>
    <row r="2629" spans="1:1" x14ac:dyDescent="0.25">
      <c r="A2629" t="s">
        <v>1797</v>
      </c>
    </row>
    <row r="2630" spans="1:1" x14ac:dyDescent="0.25">
      <c r="A2630" t="s">
        <v>1753</v>
      </c>
    </row>
    <row r="2631" spans="1:1" x14ac:dyDescent="0.25">
      <c r="A2631" t="s">
        <v>1741</v>
      </c>
    </row>
    <row r="2632" spans="1:1" x14ac:dyDescent="0.25">
      <c r="A2632" t="s">
        <v>1762</v>
      </c>
    </row>
    <row r="2633" spans="1:1" x14ac:dyDescent="0.25">
      <c r="A2633" t="s">
        <v>2492</v>
      </c>
    </row>
    <row r="2634" spans="1:1" x14ac:dyDescent="0.25">
      <c r="A2634" t="s">
        <v>1744</v>
      </c>
    </row>
    <row r="2636" spans="1:1" x14ac:dyDescent="0.25">
      <c r="A2636" t="s">
        <v>1737</v>
      </c>
    </row>
    <row r="2637" spans="1:1" x14ac:dyDescent="0.25">
      <c r="A2637" t="s">
        <v>1738</v>
      </c>
    </row>
    <row r="2638" spans="1:1" x14ac:dyDescent="0.25">
      <c r="A2638" t="s">
        <v>2493</v>
      </c>
    </row>
    <row r="2639" spans="1:1" x14ac:dyDescent="0.25">
      <c r="A2639" t="s">
        <v>2494</v>
      </c>
    </row>
    <row r="2640" spans="1:1" x14ac:dyDescent="0.25">
      <c r="A2640" t="s">
        <v>2010</v>
      </c>
    </row>
    <row r="2641" spans="1:1" x14ac:dyDescent="0.25">
      <c r="A2641" t="s">
        <v>1753</v>
      </c>
    </row>
    <row r="2642" spans="1:1" x14ac:dyDescent="0.25">
      <c r="A2642" t="s">
        <v>1741</v>
      </c>
    </row>
    <row r="2643" spans="1:1" x14ac:dyDescent="0.25">
      <c r="A2643" t="s">
        <v>1887</v>
      </c>
    </row>
    <row r="2644" spans="1:1" x14ac:dyDescent="0.25">
      <c r="A2644" t="s">
        <v>2495</v>
      </c>
    </row>
    <row r="2645" spans="1:1" x14ac:dyDescent="0.25">
      <c r="A2645" t="s">
        <v>1744</v>
      </c>
    </row>
    <row r="2647" spans="1:1" x14ac:dyDescent="0.25">
      <c r="A2647" t="s">
        <v>1737</v>
      </c>
    </row>
    <row r="2648" spans="1:1" x14ac:dyDescent="0.25">
      <c r="A2648" t="s">
        <v>1738</v>
      </c>
    </row>
    <row r="2649" spans="1:1" x14ac:dyDescent="0.25">
      <c r="A2649" t="s">
        <v>2496</v>
      </c>
    </row>
    <row r="2650" spans="1:1" x14ac:dyDescent="0.25">
      <c r="A2650" t="s">
        <v>2497</v>
      </c>
    </row>
    <row r="2651" spans="1:1" x14ac:dyDescent="0.25">
      <c r="A2651" t="s">
        <v>1990</v>
      </c>
    </row>
    <row r="2652" spans="1:1" x14ac:dyDescent="0.25">
      <c r="A2652" t="s">
        <v>1753</v>
      </c>
    </row>
    <row r="2653" spans="1:1" x14ac:dyDescent="0.25">
      <c r="A2653" t="s">
        <v>1741</v>
      </c>
    </row>
    <row r="2654" spans="1:1" x14ac:dyDescent="0.25">
      <c r="A2654" t="s">
        <v>1887</v>
      </c>
    </row>
    <row r="2655" spans="1:1" x14ac:dyDescent="0.25">
      <c r="A2655" t="s">
        <v>2498</v>
      </c>
    </row>
    <row r="2656" spans="1:1" x14ac:dyDescent="0.25">
      <c r="A2656" t="s">
        <v>1744</v>
      </c>
    </row>
    <row r="2658" spans="1:1" x14ac:dyDescent="0.25">
      <c r="A2658" t="s">
        <v>1737</v>
      </c>
    </row>
    <row r="2659" spans="1:1" x14ac:dyDescent="0.25">
      <c r="A2659" t="s">
        <v>1738</v>
      </c>
    </row>
    <row r="2660" spans="1:1" x14ac:dyDescent="0.25">
      <c r="A2660" t="s">
        <v>2499</v>
      </c>
    </row>
    <row r="2661" spans="1:1" x14ac:dyDescent="0.25">
      <c r="A2661" t="s">
        <v>2477</v>
      </c>
    </row>
    <row r="2662" spans="1:1" x14ac:dyDescent="0.25">
      <c r="A2662" t="s">
        <v>1990</v>
      </c>
    </row>
    <row r="2663" spans="1:1" x14ac:dyDescent="0.25">
      <c r="A2663" t="s">
        <v>1753</v>
      </c>
    </row>
    <row r="2664" spans="1:1" x14ac:dyDescent="0.25">
      <c r="A2664" t="s">
        <v>1741</v>
      </c>
    </row>
    <row r="2665" spans="1:1" x14ac:dyDescent="0.25">
      <c r="A2665" t="s">
        <v>2478</v>
      </c>
    </row>
    <row r="2666" spans="1:1" x14ac:dyDescent="0.25">
      <c r="A2666" t="s">
        <v>2500</v>
      </c>
    </row>
    <row r="2667" spans="1:1" x14ac:dyDescent="0.25">
      <c r="A2667" t="s">
        <v>1744</v>
      </c>
    </row>
    <row r="2669" spans="1:1" x14ac:dyDescent="0.25">
      <c r="A2669" t="s">
        <v>1737</v>
      </c>
    </row>
    <row r="2670" spans="1:1" x14ac:dyDescent="0.25">
      <c r="A2670" t="s">
        <v>1738</v>
      </c>
    </row>
    <row r="2671" spans="1:1" x14ac:dyDescent="0.25">
      <c r="A2671" t="s">
        <v>2501</v>
      </c>
    </row>
    <row r="2672" spans="1:1" x14ac:dyDescent="0.25">
      <c r="A2672" t="s">
        <v>2502</v>
      </c>
    </row>
    <row r="2673" spans="1:1" x14ac:dyDescent="0.25">
      <c r="A2673" t="s">
        <v>2209</v>
      </c>
    </row>
    <row r="2674" spans="1:1" x14ac:dyDescent="0.25">
      <c r="A2674" t="s">
        <v>1753</v>
      </c>
    </row>
    <row r="2675" spans="1:1" x14ac:dyDescent="0.25">
      <c r="A2675" t="s">
        <v>1741</v>
      </c>
    </row>
    <row r="2676" spans="1:1" x14ac:dyDescent="0.25">
      <c r="A2676" t="s">
        <v>1762</v>
      </c>
    </row>
    <row r="2677" spans="1:1" x14ac:dyDescent="0.25">
      <c r="A2677" t="s">
        <v>2503</v>
      </c>
    </row>
    <row r="2678" spans="1:1" x14ac:dyDescent="0.25">
      <c r="A2678" t="s">
        <v>1744</v>
      </c>
    </row>
    <row r="2680" spans="1:1" x14ac:dyDescent="0.25">
      <c r="A2680" t="s">
        <v>1737</v>
      </c>
    </row>
    <row r="2681" spans="1:1" x14ac:dyDescent="0.25">
      <c r="A2681" t="s">
        <v>1738</v>
      </c>
    </row>
    <row r="2682" spans="1:1" x14ac:dyDescent="0.25">
      <c r="A2682" t="s">
        <v>2504</v>
      </c>
    </row>
    <row r="2683" spans="1:1" x14ac:dyDescent="0.25">
      <c r="A2683" t="s">
        <v>2505</v>
      </c>
    </row>
    <row r="2684" spans="1:1" x14ac:dyDescent="0.25">
      <c r="A2684" t="s">
        <v>2376</v>
      </c>
    </row>
    <row r="2685" spans="1:1" x14ac:dyDescent="0.25">
      <c r="A2685" t="s">
        <v>1753</v>
      </c>
    </row>
    <row r="2686" spans="1:1" x14ac:dyDescent="0.25">
      <c r="A2686" t="s">
        <v>1741</v>
      </c>
    </row>
    <row r="2687" spans="1:1" x14ac:dyDescent="0.25">
      <c r="A2687" t="s">
        <v>2130</v>
      </c>
    </row>
    <row r="2688" spans="1:1" x14ac:dyDescent="0.25">
      <c r="A2688" t="s">
        <v>2506</v>
      </c>
    </row>
    <row r="2689" spans="1:1" x14ac:dyDescent="0.25">
      <c r="A2689" t="s">
        <v>1744</v>
      </c>
    </row>
    <row r="2691" spans="1:1" x14ac:dyDescent="0.25">
      <c r="A2691" t="s">
        <v>1737</v>
      </c>
    </row>
    <row r="2692" spans="1:1" x14ac:dyDescent="0.25">
      <c r="A2692" t="s">
        <v>1738</v>
      </c>
    </row>
    <row r="2693" spans="1:1" x14ac:dyDescent="0.25">
      <c r="A2693" t="s">
        <v>2507</v>
      </c>
    </row>
    <row r="2694" spans="1:1" x14ac:dyDescent="0.25">
      <c r="A2694" t="s">
        <v>2508</v>
      </c>
    </row>
    <row r="2695" spans="1:1" x14ac:dyDescent="0.25">
      <c r="A2695" t="s">
        <v>2091</v>
      </c>
    </row>
    <row r="2696" spans="1:1" x14ac:dyDescent="0.25">
      <c r="A2696" t="s">
        <v>1753</v>
      </c>
    </row>
    <row r="2697" spans="1:1" x14ac:dyDescent="0.25">
      <c r="A2697" t="s">
        <v>1741</v>
      </c>
    </row>
    <row r="2698" spans="1:1" x14ac:dyDescent="0.25">
      <c r="A2698" t="s">
        <v>1762</v>
      </c>
    </row>
    <row r="2699" spans="1:1" x14ac:dyDescent="0.25">
      <c r="A2699" t="s">
        <v>2509</v>
      </c>
    </row>
    <row r="2700" spans="1:1" x14ac:dyDescent="0.25">
      <c r="A2700" t="s">
        <v>1744</v>
      </c>
    </row>
    <row r="2702" spans="1:1" x14ac:dyDescent="0.25">
      <c r="A2702" t="s">
        <v>1737</v>
      </c>
    </row>
    <row r="2703" spans="1:1" x14ac:dyDescent="0.25">
      <c r="A2703" t="s">
        <v>1738</v>
      </c>
    </row>
    <row r="2704" spans="1:1" x14ac:dyDescent="0.25">
      <c r="A2704" t="s">
        <v>2510</v>
      </c>
    </row>
    <row r="2705" spans="1:1" x14ac:dyDescent="0.25">
      <c r="A2705" t="s">
        <v>2511</v>
      </c>
    </row>
    <row r="2706" spans="1:1" x14ac:dyDescent="0.25">
      <c r="A2706" t="s">
        <v>1929</v>
      </c>
    </row>
    <row r="2707" spans="1:1" x14ac:dyDescent="0.25">
      <c r="A2707" t="s">
        <v>1753</v>
      </c>
    </row>
    <row r="2708" spans="1:1" x14ac:dyDescent="0.25">
      <c r="A2708" t="s">
        <v>1741</v>
      </c>
    </row>
    <row r="2709" spans="1:1" x14ac:dyDescent="0.25">
      <c r="A2709" t="s">
        <v>1762</v>
      </c>
    </row>
    <row r="2710" spans="1:1" x14ac:dyDescent="0.25">
      <c r="A2710" t="s">
        <v>2512</v>
      </c>
    </row>
    <row r="2711" spans="1:1" x14ac:dyDescent="0.25">
      <c r="A2711" t="s">
        <v>1744</v>
      </c>
    </row>
    <row r="2713" spans="1:1" x14ac:dyDescent="0.25">
      <c r="A2713" t="s">
        <v>1737</v>
      </c>
    </row>
    <row r="2714" spans="1:1" x14ac:dyDescent="0.25">
      <c r="A2714" t="s">
        <v>1738</v>
      </c>
    </row>
    <row r="2715" spans="1:1" x14ac:dyDescent="0.25">
      <c r="A2715" t="s">
        <v>2513</v>
      </c>
    </row>
    <row r="2716" spans="1:1" x14ac:dyDescent="0.25">
      <c r="A2716" t="s">
        <v>2514</v>
      </c>
    </row>
    <row r="2717" spans="1:1" x14ac:dyDescent="0.25">
      <c r="A2717" t="s">
        <v>2515</v>
      </c>
    </row>
    <row r="2718" spans="1:1" x14ac:dyDescent="0.25">
      <c r="A2718" t="s">
        <v>1753</v>
      </c>
    </row>
    <row r="2719" spans="1:1" x14ac:dyDescent="0.25">
      <c r="A2719" t="s">
        <v>1741</v>
      </c>
    </row>
    <row r="2720" spans="1:1" x14ac:dyDescent="0.25">
      <c r="A2720" t="s">
        <v>1887</v>
      </c>
    </row>
    <row r="2721" spans="1:1" x14ac:dyDescent="0.25">
      <c r="A2721" t="s">
        <v>2516</v>
      </c>
    </row>
    <row r="2722" spans="1:1" x14ac:dyDescent="0.25">
      <c r="A2722" t="s">
        <v>1744</v>
      </c>
    </row>
    <row r="2724" spans="1:1" x14ac:dyDescent="0.25">
      <c r="A2724" t="s">
        <v>1737</v>
      </c>
    </row>
    <row r="2725" spans="1:1" x14ac:dyDescent="0.25">
      <c r="A2725" t="s">
        <v>1738</v>
      </c>
    </row>
    <row r="2726" spans="1:1" x14ac:dyDescent="0.25">
      <c r="A2726" t="s">
        <v>2517</v>
      </c>
    </row>
    <row r="2727" spans="1:1" x14ac:dyDescent="0.25">
      <c r="A2727" t="s">
        <v>2518</v>
      </c>
    </row>
    <row r="2728" spans="1:1" x14ac:dyDescent="0.25">
      <c r="A2728" t="s">
        <v>2006</v>
      </c>
    </row>
    <row r="2729" spans="1:1" x14ac:dyDescent="0.25">
      <c r="A2729" t="s">
        <v>1753</v>
      </c>
    </row>
    <row r="2730" spans="1:1" x14ac:dyDescent="0.25">
      <c r="A2730" t="s">
        <v>1741</v>
      </c>
    </row>
    <row r="2731" spans="1:1" x14ac:dyDescent="0.25">
      <c r="A2731" t="s">
        <v>1887</v>
      </c>
    </row>
    <row r="2732" spans="1:1" x14ac:dyDescent="0.25">
      <c r="A2732" t="s">
        <v>2519</v>
      </c>
    </row>
    <row r="2733" spans="1:1" x14ac:dyDescent="0.25">
      <c r="A2733" t="s">
        <v>1744</v>
      </c>
    </row>
    <row r="2735" spans="1:1" x14ac:dyDescent="0.25">
      <c r="A2735" t="s">
        <v>1737</v>
      </c>
    </row>
    <row r="2736" spans="1:1" x14ac:dyDescent="0.25">
      <c r="A2736" t="s">
        <v>1738</v>
      </c>
    </row>
    <row r="2737" spans="1:1" x14ac:dyDescent="0.25">
      <c r="A2737" t="s">
        <v>2520</v>
      </c>
    </row>
    <row r="2738" spans="1:1" x14ac:dyDescent="0.25">
      <c r="A2738" t="s">
        <v>2521</v>
      </c>
    </row>
    <row r="2739" spans="1:1" x14ac:dyDescent="0.25">
      <c r="A2739" t="s">
        <v>1929</v>
      </c>
    </row>
    <row r="2740" spans="1:1" x14ac:dyDescent="0.25">
      <c r="A2740" t="s">
        <v>1753</v>
      </c>
    </row>
    <row r="2741" spans="1:1" x14ac:dyDescent="0.25">
      <c r="A2741" t="s">
        <v>1741</v>
      </c>
    </row>
    <row r="2742" spans="1:1" x14ac:dyDescent="0.25">
      <c r="A2742" t="s">
        <v>1762</v>
      </c>
    </row>
    <row r="2743" spans="1:1" x14ac:dyDescent="0.25">
      <c r="A2743" t="s">
        <v>2522</v>
      </c>
    </row>
    <row r="2744" spans="1:1" x14ac:dyDescent="0.25">
      <c r="A2744" t="s">
        <v>1744</v>
      </c>
    </row>
    <row r="2746" spans="1:1" x14ac:dyDescent="0.25">
      <c r="A2746" t="s">
        <v>1737</v>
      </c>
    </row>
    <row r="2747" spans="1:1" x14ac:dyDescent="0.25">
      <c r="A2747" t="s">
        <v>1738</v>
      </c>
    </row>
    <row r="2748" spans="1:1" x14ac:dyDescent="0.25">
      <c r="A2748" t="s">
        <v>2523</v>
      </c>
    </row>
    <row r="2749" spans="1:1" x14ac:dyDescent="0.25">
      <c r="A2749" t="s">
        <v>2524</v>
      </c>
    </row>
    <row r="2750" spans="1:1" x14ac:dyDescent="0.25">
      <c r="A2750" t="s">
        <v>2006</v>
      </c>
    </row>
    <row r="2751" spans="1:1" x14ac:dyDescent="0.25">
      <c r="A2751" t="s">
        <v>1753</v>
      </c>
    </row>
    <row r="2752" spans="1:1" x14ac:dyDescent="0.25">
      <c r="A2752" t="s">
        <v>1741</v>
      </c>
    </row>
    <row r="2753" spans="1:1" x14ac:dyDescent="0.25">
      <c r="A2753" t="s">
        <v>1887</v>
      </c>
    </row>
    <row r="2754" spans="1:1" x14ac:dyDescent="0.25">
      <c r="A2754" t="s">
        <v>2525</v>
      </c>
    </row>
    <row r="2755" spans="1:1" x14ac:dyDescent="0.25">
      <c r="A2755" t="s">
        <v>1744</v>
      </c>
    </row>
    <row r="2757" spans="1:1" x14ac:dyDescent="0.25">
      <c r="A2757" t="s">
        <v>1737</v>
      </c>
    </row>
    <row r="2758" spans="1:1" x14ac:dyDescent="0.25">
      <c r="A2758" t="s">
        <v>1738</v>
      </c>
    </row>
    <row r="2759" spans="1:1" x14ac:dyDescent="0.25">
      <c r="A2759" t="s">
        <v>2526</v>
      </c>
    </row>
    <row r="2760" spans="1:1" x14ac:dyDescent="0.25">
      <c r="A2760" t="s">
        <v>2524</v>
      </c>
    </row>
    <row r="2761" spans="1:1" x14ac:dyDescent="0.25">
      <c r="A2761" t="s">
        <v>2006</v>
      </c>
    </row>
    <row r="2762" spans="1:1" x14ac:dyDescent="0.25">
      <c r="A2762" t="s">
        <v>1753</v>
      </c>
    </row>
    <row r="2763" spans="1:1" x14ac:dyDescent="0.25">
      <c r="A2763" t="s">
        <v>1741</v>
      </c>
    </row>
    <row r="2764" spans="1:1" x14ac:dyDescent="0.25">
      <c r="A2764" t="s">
        <v>1887</v>
      </c>
    </row>
    <row r="2765" spans="1:1" x14ac:dyDescent="0.25">
      <c r="A2765" t="s">
        <v>2527</v>
      </c>
    </row>
    <row r="2766" spans="1:1" x14ac:dyDescent="0.25">
      <c r="A2766" t="s">
        <v>1744</v>
      </c>
    </row>
    <row r="2768" spans="1:1" x14ac:dyDescent="0.25">
      <c r="A2768" t="s">
        <v>1737</v>
      </c>
    </row>
    <row r="2769" spans="1:1" x14ac:dyDescent="0.25">
      <c r="A2769" t="s">
        <v>1738</v>
      </c>
    </row>
    <row r="2770" spans="1:1" x14ac:dyDescent="0.25">
      <c r="A2770" t="s">
        <v>2528</v>
      </c>
    </row>
    <row r="2771" spans="1:1" x14ac:dyDescent="0.25">
      <c r="A2771" t="s">
        <v>2529</v>
      </c>
    </row>
    <row r="2772" spans="1:1" x14ac:dyDescent="0.25">
      <c r="A2772" t="s">
        <v>2006</v>
      </c>
    </row>
    <row r="2773" spans="1:1" x14ac:dyDescent="0.25">
      <c r="A2773" t="s">
        <v>1753</v>
      </c>
    </row>
    <row r="2774" spans="1:1" x14ac:dyDescent="0.25">
      <c r="A2774" t="s">
        <v>1741</v>
      </c>
    </row>
    <row r="2775" spans="1:1" x14ac:dyDescent="0.25">
      <c r="A2775" t="s">
        <v>2530</v>
      </c>
    </row>
    <row r="2776" spans="1:1" x14ac:dyDescent="0.25">
      <c r="A2776" t="s">
        <v>2531</v>
      </c>
    </row>
    <row r="2777" spans="1:1" x14ac:dyDescent="0.25">
      <c r="A2777" t="s">
        <v>1744</v>
      </c>
    </row>
    <row r="2779" spans="1:1" x14ac:dyDescent="0.25">
      <c r="A2779" t="s">
        <v>1737</v>
      </c>
    </row>
    <row r="2780" spans="1:1" x14ac:dyDescent="0.25">
      <c r="A2780" t="s">
        <v>1738</v>
      </c>
    </row>
    <row r="2781" spans="1:1" x14ac:dyDescent="0.25">
      <c r="A2781" t="s">
        <v>2532</v>
      </c>
    </row>
    <row r="2782" spans="1:1" x14ac:dyDescent="0.25">
      <c r="A2782" t="s">
        <v>2529</v>
      </c>
    </row>
    <row r="2783" spans="1:1" x14ac:dyDescent="0.25">
      <c r="A2783" t="s">
        <v>2533</v>
      </c>
    </row>
    <row r="2784" spans="1:1" x14ac:dyDescent="0.25">
      <c r="A2784" t="s">
        <v>1753</v>
      </c>
    </row>
    <row r="2785" spans="1:1" x14ac:dyDescent="0.25">
      <c r="A2785" t="s">
        <v>1741</v>
      </c>
    </row>
    <row r="2786" spans="1:1" x14ac:dyDescent="0.25">
      <c r="A2786" t="s">
        <v>2011</v>
      </c>
    </row>
    <row r="2787" spans="1:1" x14ac:dyDescent="0.25">
      <c r="A2787" t="s">
        <v>2534</v>
      </c>
    </row>
    <row r="2788" spans="1:1" x14ac:dyDescent="0.25">
      <c r="A2788" t="s">
        <v>1744</v>
      </c>
    </row>
    <row r="2790" spans="1:1" x14ac:dyDescent="0.25">
      <c r="A2790" t="s">
        <v>1737</v>
      </c>
    </row>
    <row r="2791" spans="1:1" x14ac:dyDescent="0.25">
      <c r="A2791" t="s">
        <v>1738</v>
      </c>
    </row>
    <row r="2792" spans="1:1" x14ac:dyDescent="0.25">
      <c r="A2792" t="s">
        <v>2535</v>
      </c>
    </row>
    <row r="2793" spans="1:1" x14ac:dyDescent="0.25">
      <c r="A2793" t="s">
        <v>2536</v>
      </c>
    </row>
    <row r="2794" spans="1:1" x14ac:dyDescent="0.25">
      <c r="A2794" t="s">
        <v>2006</v>
      </c>
    </row>
    <row r="2795" spans="1:1" x14ac:dyDescent="0.25">
      <c r="A2795" t="s">
        <v>1753</v>
      </c>
    </row>
    <row r="2796" spans="1:1" x14ac:dyDescent="0.25">
      <c r="A2796" t="s">
        <v>1741</v>
      </c>
    </row>
    <row r="2797" spans="1:1" x14ac:dyDescent="0.25">
      <c r="A2797" t="s">
        <v>1887</v>
      </c>
    </row>
    <row r="2798" spans="1:1" x14ac:dyDescent="0.25">
      <c r="A2798" t="s">
        <v>2537</v>
      </c>
    </row>
    <row r="2799" spans="1:1" x14ac:dyDescent="0.25">
      <c r="A2799" t="s">
        <v>1744</v>
      </c>
    </row>
    <row r="2801" spans="1:1" x14ac:dyDescent="0.25">
      <c r="A2801" t="s">
        <v>1737</v>
      </c>
    </row>
    <row r="2802" spans="1:1" x14ac:dyDescent="0.25">
      <c r="A2802" t="s">
        <v>1738</v>
      </c>
    </row>
    <row r="2803" spans="1:1" x14ac:dyDescent="0.25">
      <c r="A2803" t="s">
        <v>2538</v>
      </c>
    </row>
    <row r="2804" spans="1:1" x14ac:dyDescent="0.25">
      <c r="A2804" t="s">
        <v>2539</v>
      </c>
    </row>
    <row r="2805" spans="1:1" x14ac:dyDescent="0.25">
      <c r="A2805" t="s">
        <v>2006</v>
      </c>
    </row>
    <row r="2806" spans="1:1" x14ac:dyDescent="0.25">
      <c r="A2806" t="s">
        <v>1753</v>
      </c>
    </row>
    <row r="2807" spans="1:1" x14ac:dyDescent="0.25">
      <c r="A2807" t="s">
        <v>1741</v>
      </c>
    </row>
    <row r="2808" spans="1:1" x14ac:dyDescent="0.25">
      <c r="A2808" t="s">
        <v>1762</v>
      </c>
    </row>
    <row r="2809" spans="1:1" x14ac:dyDescent="0.25">
      <c r="A2809" t="s">
        <v>2540</v>
      </c>
    </row>
    <row r="2810" spans="1:1" x14ac:dyDescent="0.25">
      <c r="A2810" t="s">
        <v>1744</v>
      </c>
    </row>
    <row r="2812" spans="1:1" x14ac:dyDescent="0.25">
      <c r="A2812" t="s">
        <v>1737</v>
      </c>
    </row>
    <row r="2813" spans="1:1" x14ac:dyDescent="0.25">
      <c r="A2813" t="s">
        <v>1738</v>
      </c>
    </row>
    <row r="2814" spans="1:1" x14ac:dyDescent="0.25">
      <c r="A2814" t="s">
        <v>2541</v>
      </c>
    </row>
    <row r="2815" spans="1:1" x14ac:dyDescent="0.25">
      <c r="A2815" t="s">
        <v>2542</v>
      </c>
    </row>
    <row r="2816" spans="1:1" x14ac:dyDescent="0.25">
      <c r="A2816" t="s">
        <v>1929</v>
      </c>
    </row>
    <row r="2817" spans="1:1" x14ac:dyDescent="0.25">
      <c r="A2817" t="s">
        <v>1753</v>
      </c>
    </row>
    <row r="2818" spans="1:1" x14ac:dyDescent="0.25">
      <c r="A2818" t="s">
        <v>1741</v>
      </c>
    </row>
    <row r="2819" spans="1:1" x14ac:dyDescent="0.25">
      <c r="A2819" t="s">
        <v>2219</v>
      </c>
    </row>
    <row r="2820" spans="1:1" x14ac:dyDescent="0.25">
      <c r="A2820" t="s">
        <v>2543</v>
      </c>
    </row>
    <row r="2821" spans="1:1" x14ac:dyDescent="0.25">
      <c r="A2821" t="s">
        <v>1744</v>
      </c>
    </row>
    <row r="2823" spans="1:1" x14ac:dyDescent="0.25">
      <c r="A2823" t="s">
        <v>1737</v>
      </c>
    </row>
    <row r="2824" spans="1:1" x14ac:dyDescent="0.25">
      <c r="A2824" t="s">
        <v>1738</v>
      </c>
    </row>
    <row r="2825" spans="1:1" x14ac:dyDescent="0.25">
      <c r="A2825" t="s">
        <v>2544</v>
      </c>
    </row>
    <row r="2826" spans="1:1" x14ac:dyDescent="0.25">
      <c r="A2826" t="s">
        <v>2545</v>
      </c>
    </row>
    <row r="2827" spans="1:1" x14ac:dyDescent="0.25">
      <c r="A2827" t="s">
        <v>2546</v>
      </c>
    </row>
    <row r="2828" spans="1:1" x14ac:dyDescent="0.25">
      <c r="A2828" t="s">
        <v>1753</v>
      </c>
    </row>
    <row r="2829" spans="1:1" x14ac:dyDescent="0.25">
      <c r="A2829" t="s">
        <v>1741</v>
      </c>
    </row>
    <row r="2830" spans="1:1" x14ac:dyDescent="0.25">
      <c r="A2830" t="s">
        <v>1762</v>
      </c>
    </row>
    <row r="2831" spans="1:1" x14ac:dyDescent="0.25">
      <c r="A2831" t="s">
        <v>2547</v>
      </c>
    </row>
    <row r="2832" spans="1:1" x14ac:dyDescent="0.25">
      <c r="A2832" t="s">
        <v>1744</v>
      </c>
    </row>
    <row r="2834" spans="1:1" x14ac:dyDescent="0.25">
      <c r="A2834" t="s">
        <v>1737</v>
      </c>
    </row>
    <row r="2835" spans="1:1" x14ac:dyDescent="0.25">
      <c r="A2835" t="s">
        <v>1738</v>
      </c>
    </row>
    <row r="2836" spans="1:1" x14ac:dyDescent="0.25">
      <c r="A2836" t="s">
        <v>2548</v>
      </c>
    </row>
    <row r="2837" spans="1:1" x14ac:dyDescent="0.25">
      <c r="A2837" t="s">
        <v>2549</v>
      </c>
    </row>
    <row r="2838" spans="1:1" x14ac:dyDescent="0.25">
      <c r="A2838" t="s">
        <v>2376</v>
      </c>
    </row>
    <row r="2839" spans="1:1" x14ac:dyDescent="0.25">
      <c r="A2839" t="s">
        <v>1753</v>
      </c>
    </row>
    <row r="2840" spans="1:1" x14ac:dyDescent="0.25">
      <c r="A2840" t="s">
        <v>1741</v>
      </c>
    </row>
    <row r="2841" spans="1:1" x14ac:dyDescent="0.25">
      <c r="A2841" t="s">
        <v>1887</v>
      </c>
    </row>
    <row r="2842" spans="1:1" x14ac:dyDescent="0.25">
      <c r="A2842" t="s">
        <v>2550</v>
      </c>
    </row>
    <row r="2843" spans="1:1" x14ac:dyDescent="0.25">
      <c r="A2843" t="s">
        <v>1744</v>
      </c>
    </row>
    <row r="2845" spans="1:1" x14ac:dyDescent="0.25">
      <c r="A2845" t="s">
        <v>1737</v>
      </c>
    </row>
    <row r="2846" spans="1:1" x14ac:dyDescent="0.25">
      <c r="A2846" t="s">
        <v>1738</v>
      </c>
    </row>
    <row r="2847" spans="1:1" x14ac:dyDescent="0.25">
      <c r="A2847" t="s">
        <v>2551</v>
      </c>
    </row>
    <row r="2848" spans="1:1" x14ac:dyDescent="0.25">
      <c r="A2848" t="s">
        <v>2552</v>
      </c>
    </row>
    <row r="2849" spans="1:1" x14ac:dyDescent="0.25">
      <c r="A2849" t="s">
        <v>2376</v>
      </c>
    </row>
    <row r="2850" spans="1:1" x14ac:dyDescent="0.25">
      <c r="A2850" t="s">
        <v>1753</v>
      </c>
    </row>
    <row r="2851" spans="1:1" x14ac:dyDescent="0.25">
      <c r="A2851" t="s">
        <v>1741</v>
      </c>
    </row>
    <row r="2852" spans="1:1" x14ac:dyDescent="0.25">
      <c r="A2852" t="s">
        <v>1887</v>
      </c>
    </row>
    <row r="2853" spans="1:1" x14ac:dyDescent="0.25">
      <c r="A2853" t="s">
        <v>2553</v>
      </c>
    </row>
    <row r="2854" spans="1:1" x14ac:dyDescent="0.25">
      <c r="A2854" t="s">
        <v>1744</v>
      </c>
    </row>
    <row r="2856" spans="1:1" x14ac:dyDescent="0.25">
      <c r="A2856" t="s">
        <v>1737</v>
      </c>
    </row>
    <row r="2857" spans="1:1" x14ac:dyDescent="0.25">
      <c r="A2857" t="s">
        <v>1738</v>
      </c>
    </row>
    <row r="2858" spans="1:1" x14ac:dyDescent="0.25">
      <c r="A2858" t="s">
        <v>2554</v>
      </c>
    </row>
    <row r="2859" spans="1:1" x14ac:dyDescent="0.25">
      <c r="A2859" t="s">
        <v>2555</v>
      </c>
    </row>
    <row r="2860" spans="1:1" x14ac:dyDescent="0.25">
      <c r="A2860" t="s">
        <v>1990</v>
      </c>
    </row>
    <row r="2861" spans="1:1" x14ac:dyDescent="0.25">
      <c r="A2861" t="s">
        <v>1753</v>
      </c>
    </row>
    <row r="2862" spans="1:1" x14ac:dyDescent="0.25">
      <c r="A2862" t="s">
        <v>1741</v>
      </c>
    </row>
    <row r="2863" spans="1:1" x14ac:dyDescent="0.25">
      <c r="A2863" t="s">
        <v>1887</v>
      </c>
    </row>
    <row r="2864" spans="1:1" x14ac:dyDescent="0.25">
      <c r="A2864" t="s">
        <v>2556</v>
      </c>
    </row>
    <row r="2865" spans="1:1" x14ac:dyDescent="0.25">
      <c r="A2865" t="s">
        <v>1744</v>
      </c>
    </row>
    <row r="2867" spans="1:1" x14ac:dyDescent="0.25">
      <c r="A2867" t="s">
        <v>1737</v>
      </c>
    </row>
    <row r="2868" spans="1:1" x14ac:dyDescent="0.25">
      <c r="A2868" t="s">
        <v>1738</v>
      </c>
    </row>
    <row r="2869" spans="1:1" x14ac:dyDescent="0.25">
      <c r="A2869" t="s">
        <v>2557</v>
      </c>
    </row>
    <row r="2870" spans="1:1" x14ac:dyDescent="0.25">
      <c r="A2870" t="s">
        <v>2558</v>
      </c>
    </row>
    <row r="2871" spans="1:1" x14ac:dyDescent="0.25">
      <c r="A2871" t="s">
        <v>2376</v>
      </c>
    </row>
    <row r="2872" spans="1:1" x14ac:dyDescent="0.25">
      <c r="A2872" t="s">
        <v>1753</v>
      </c>
    </row>
    <row r="2873" spans="1:1" x14ac:dyDescent="0.25">
      <c r="A2873" t="s">
        <v>1741</v>
      </c>
    </row>
    <row r="2874" spans="1:1" x14ac:dyDescent="0.25">
      <c r="A2874" t="s">
        <v>2403</v>
      </c>
    </row>
    <row r="2875" spans="1:1" x14ac:dyDescent="0.25">
      <c r="A2875" t="s">
        <v>2559</v>
      </c>
    </row>
    <row r="2876" spans="1:1" x14ac:dyDescent="0.25">
      <c r="A2876" t="s">
        <v>1744</v>
      </c>
    </row>
    <row r="2878" spans="1:1" x14ac:dyDescent="0.25">
      <c r="A2878" t="s">
        <v>1737</v>
      </c>
    </row>
    <row r="2879" spans="1:1" x14ac:dyDescent="0.25">
      <c r="A2879" t="s">
        <v>1738</v>
      </c>
    </row>
    <row r="2880" spans="1:1" x14ac:dyDescent="0.25">
      <c r="A2880" t="s">
        <v>2560</v>
      </c>
    </row>
    <row r="2881" spans="1:1" x14ac:dyDescent="0.25">
      <c r="A2881" t="s">
        <v>2561</v>
      </c>
    </row>
    <row r="2882" spans="1:1" x14ac:dyDescent="0.25">
      <c r="A2882" t="s">
        <v>2562</v>
      </c>
    </row>
    <row r="2883" spans="1:1" x14ac:dyDescent="0.25">
      <c r="A2883" t="s">
        <v>1753</v>
      </c>
    </row>
    <row r="2884" spans="1:1" x14ac:dyDescent="0.25">
      <c r="A2884" t="s">
        <v>1741</v>
      </c>
    </row>
    <row r="2885" spans="1:1" x14ac:dyDescent="0.25">
      <c r="A2885" t="s">
        <v>1762</v>
      </c>
    </row>
    <row r="2886" spans="1:1" x14ac:dyDescent="0.25">
      <c r="A2886" t="s">
        <v>2563</v>
      </c>
    </row>
    <row r="2887" spans="1:1" x14ac:dyDescent="0.25">
      <c r="A2887" t="s">
        <v>1744</v>
      </c>
    </row>
    <row r="2889" spans="1:1" x14ac:dyDescent="0.25">
      <c r="A2889" t="s">
        <v>1737</v>
      </c>
    </row>
    <row r="2890" spans="1:1" x14ac:dyDescent="0.25">
      <c r="A2890" t="s">
        <v>1738</v>
      </c>
    </row>
    <row r="2891" spans="1:1" x14ac:dyDescent="0.25">
      <c r="A2891" t="s">
        <v>2564</v>
      </c>
    </row>
    <row r="2892" spans="1:1" x14ac:dyDescent="0.25">
      <c r="A2892" t="s">
        <v>2565</v>
      </c>
    </row>
    <row r="2893" spans="1:1" x14ac:dyDescent="0.25">
      <c r="A2893" t="s">
        <v>1990</v>
      </c>
    </row>
    <row r="2894" spans="1:1" x14ac:dyDescent="0.25">
      <c r="A2894" t="s">
        <v>1753</v>
      </c>
    </row>
    <row r="2895" spans="1:1" x14ac:dyDescent="0.25">
      <c r="A2895" t="s">
        <v>1741</v>
      </c>
    </row>
    <row r="2896" spans="1:1" x14ac:dyDescent="0.25">
      <c r="A2896" t="s">
        <v>1762</v>
      </c>
    </row>
    <row r="2897" spans="1:1" x14ac:dyDescent="0.25">
      <c r="A2897" t="s">
        <v>2566</v>
      </c>
    </row>
    <row r="2898" spans="1:1" x14ac:dyDescent="0.25">
      <c r="A2898" t="s">
        <v>1744</v>
      </c>
    </row>
    <row r="2900" spans="1:1" x14ac:dyDescent="0.25">
      <c r="A2900" t="s">
        <v>1737</v>
      </c>
    </row>
    <row r="2901" spans="1:1" x14ac:dyDescent="0.25">
      <c r="A2901" t="s">
        <v>1738</v>
      </c>
    </row>
    <row r="2902" spans="1:1" x14ac:dyDescent="0.25">
      <c r="A2902" t="s">
        <v>2567</v>
      </c>
    </row>
    <row r="2903" spans="1:1" x14ac:dyDescent="0.25">
      <c r="A2903" t="s">
        <v>2568</v>
      </c>
    </row>
    <row r="2904" spans="1:1" x14ac:dyDescent="0.25">
      <c r="A2904" t="s">
        <v>2569</v>
      </c>
    </row>
    <row r="2905" spans="1:1" x14ac:dyDescent="0.25">
      <c r="A2905" t="s">
        <v>1753</v>
      </c>
    </row>
    <row r="2906" spans="1:1" x14ac:dyDescent="0.25">
      <c r="A2906" t="s">
        <v>1741</v>
      </c>
    </row>
    <row r="2907" spans="1:1" x14ac:dyDescent="0.25">
      <c r="A2907" t="s">
        <v>1887</v>
      </c>
    </row>
    <row r="2908" spans="1:1" x14ac:dyDescent="0.25">
      <c r="A2908" t="s">
        <v>2570</v>
      </c>
    </row>
    <row r="2909" spans="1:1" x14ac:dyDescent="0.25">
      <c r="A2909" t="s">
        <v>1744</v>
      </c>
    </row>
    <row r="2911" spans="1:1" x14ac:dyDescent="0.25">
      <c r="A2911" t="s">
        <v>1737</v>
      </c>
    </row>
    <row r="2912" spans="1:1" x14ac:dyDescent="0.25">
      <c r="A2912" t="s">
        <v>1738</v>
      </c>
    </row>
    <row r="2913" spans="1:1" x14ac:dyDescent="0.25">
      <c r="A2913" t="s">
        <v>2571</v>
      </c>
    </row>
    <row r="2914" spans="1:1" x14ac:dyDescent="0.25">
      <c r="A2914" t="s">
        <v>2572</v>
      </c>
    </row>
    <row r="2915" spans="1:1" x14ac:dyDescent="0.25">
      <c r="A2915" t="s">
        <v>2573</v>
      </c>
    </row>
    <row r="2916" spans="1:1" x14ac:dyDescent="0.25">
      <c r="A2916" t="s">
        <v>1753</v>
      </c>
    </row>
    <row r="2917" spans="1:1" x14ac:dyDescent="0.25">
      <c r="A2917" t="s">
        <v>1741</v>
      </c>
    </row>
    <row r="2918" spans="1:1" x14ac:dyDescent="0.25">
      <c r="A2918" t="s">
        <v>1995</v>
      </c>
    </row>
    <row r="2919" spans="1:1" x14ac:dyDescent="0.25">
      <c r="A2919" t="s">
        <v>2574</v>
      </c>
    </row>
    <row r="2920" spans="1:1" x14ac:dyDescent="0.25">
      <c r="A2920" t="s">
        <v>1744</v>
      </c>
    </row>
    <row r="2922" spans="1:1" x14ac:dyDescent="0.25">
      <c r="A2922" t="s">
        <v>1737</v>
      </c>
    </row>
    <row r="2923" spans="1:1" x14ac:dyDescent="0.25">
      <c r="A2923" t="s">
        <v>1738</v>
      </c>
    </row>
    <row r="2924" spans="1:1" x14ac:dyDescent="0.25">
      <c r="A2924" t="s">
        <v>2575</v>
      </c>
    </row>
    <row r="2925" spans="1:1" x14ac:dyDescent="0.25">
      <c r="A2925" t="s">
        <v>2576</v>
      </c>
    </row>
    <row r="2926" spans="1:1" x14ac:dyDescent="0.25">
      <c r="A2926" t="s">
        <v>2577</v>
      </c>
    </row>
    <row r="2927" spans="1:1" x14ac:dyDescent="0.25">
      <c r="A2927" t="s">
        <v>1753</v>
      </c>
    </row>
    <row r="2928" spans="1:1" x14ac:dyDescent="0.25">
      <c r="A2928" t="s">
        <v>1741</v>
      </c>
    </row>
    <row r="2929" spans="1:1" x14ac:dyDescent="0.25">
      <c r="A2929" t="s">
        <v>1762</v>
      </c>
    </row>
    <row r="2930" spans="1:1" x14ac:dyDescent="0.25">
      <c r="A2930" t="s">
        <v>2578</v>
      </c>
    </row>
    <row r="2931" spans="1:1" x14ac:dyDescent="0.25">
      <c r="A2931" t="s">
        <v>1744</v>
      </c>
    </row>
    <row r="2933" spans="1:1" x14ac:dyDescent="0.25">
      <c r="A2933" t="s">
        <v>1737</v>
      </c>
    </row>
    <row r="2934" spans="1:1" x14ac:dyDescent="0.25">
      <c r="A2934" t="s">
        <v>1738</v>
      </c>
    </row>
    <row r="2935" spans="1:1" x14ac:dyDescent="0.25">
      <c r="A2935" t="s">
        <v>2579</v>
      </c>
    </row>
    <row r="2936" spans="1:1" x14ac:dyDescent="0.25">
      <c r="A2936" t="s">
        <v>2580</v>
      </c>
    </row>
    <row r="2937" spans="1:1" x14ac:dyDescent="0.25">
      <c r="A2937" t="s">
        <v>2209</v>
      </c>
    </row>
    <row r="2938" spans="1:1" x14ac:dyDescent="0.25">
      <c r="A2938" t="s">
        <v>1753</v>
      </c>
    </row>
    <row r="2939" spans="1:1" x14ac:dyDescent="0.25">
      <c r="A2939" t="s">
        <v>1741</v>
      </c>
    </row>
    <row r="2940" spans="1:1" x14ac:dyDescent="0.25">
      <c r="A2940" t="s">
        <v>1762</v>
      </c>
    </row>
    <row r="2941" spans="1:1" x14ac:dyDescent="0.25">
      <c r="A2941" t="s">
        <v>2581</v>
      </c>
    </row>
    <row r="2942" spans="1:1" x14ac:dyDescent="0.25">
      <c r="A2942" t="s">
        <v>1744</v>
      </c>
    </row>
    <row r="2944" spans="1:1" x14ac:dyDescent="0.25">
      <c r="A2944" t="s">
        <v>1737</v>
      </c>
    </row>
    <row r="2945" spans="1:1" x14ac:dyDescent="0.25">
      <c r="A2945" t="s">
        <v>1738</v>
      </c>
    </row>
    <row r="2946" spans="1:1" x14ac:dyDescent="0.25">
      <c r="A2946" t="s">
        <v>2582</v>
      </c>
    </row>
    <row r="2947" spans="1:1" x14ac:dyDescent="0.25">
      <c r="A2947" t="s">
        <v>2583</v>
      </c>
    </row>
    <row r="2948" spans="1:1" x14ac:dyDescent="0.25">
      <c r="A2948" t="s">
        <v>1752</v>
      </c>
    </row>
    <row r="2949" spans="1:1" x14ac:dyDescent="0.25">
      <c r="A2949" t="s">
        <v>1753</v>
      </c>
    </row>
    <row r="2950" spans="1:1" x14ac:dyDescent="0.25">
      <c r="A2950" t="s">
        <v>1741</v>
      </c>
    </row>
    <row r="2951" spans="1:1" x14ac:dyDescent="0.25">
      <c r="A2951" t="s">
        <v>2584</v>
      </c>
    </row>
    <row r="2952" spans="1:1" x14ac:dyDescent="0.25">
      <c r="A2952" t="s">
        <v>2585</v>
      </c>
    </row>
    <row r="2953" spans="1:1" x14ac:dyDescent="0.25">
      <c r="A2953" t="s">
        <v>1744</v>
      </c>
    </row>
    <row r="2955" spans="1:1" x14ac:dyDescent="0.25">
      <c r="A2955" t="s">
        <v>1737</v>
      </c>
    </row>
    <row r="2956" spans="1:1" x14ac:dyDescent="0.25">
      <c r="A2956" t="s">
        <v>1738</v>
      </c>
    </row>
    <row r="2957" spans="1:1" x14ac:dyDescent="0.25">
      <c r="A2957" t="s">
        <v>2586</v>
      </c>
    </row>
    <row r="2958" spans="1:1" x14ac:dyDescent="0.25">
      <c r="A2958" t="s">
        <v>2587</v>
      </c>
    </row>
    <row r="2959" spans="1:1" x14ac:dyDescent="0.25">
      <c r="A2959" t="s">
        <v>1752</v>
      </c>
    </row>
    <row r="2960" spans="1:1" x14ac:dyDescent="0.25">
      <c r="A2960" t="s">
        <v>1753</v>
      </c>
    </row>
    <row r="2961" spans="1:1" x14ac:dyDescent="0.25">
      <c r="A2961" t="s">
        <v>1740</v>
      </c>
    </row>
    <row r="2962" spans="1:1" x14ac:dyDescent="0.25">
      <c r="A2962" t="s">
        <v>1741</v>
      </c>
    </row>
    <row r="2963" spans="1:1" x14ac:dyDescent="0.25">
      <c r="A2963" t="s">
        <v>1766</v>
      </c>
    </row>
    <row r="2964" spans="1:1" x14ac:dyDescent="0.25">
      <c r="A2964" t="s">
        <v>2588</v>
      </c>
    </row>
    <row r="2965" spans="1:1" x14ac:dyDescent="0.25">
      <c r="A2965" t="s">
        <v>1744</v>
      </c>
    </row>
    <row r="2967" spans="1:1" x14ac:dyDescent="0.25">
      <c r="A2967" t="s">
        <v>1737</v>
      </c>
    </row>
    <row r="2968" spans="1:1" x14ac:dyDescent="0.25">
      <c r="A2968" t="s">
        <v>1738</v>
      </c>
    </row>
    <row r="2969" spans="1:1" x14ac:dyDescent="0.25">
      <c r="A2969" t="s">
        <v>2589</v>
      </c>
    </row>
    <row r="2970" spans="1:1" x14ac:dyDescent="0.25">
      <c r="A2970" t="s">
        <v>2590</v>
      </c>
    </row>
    <row r="2971" spans="1:1" x14ac:dyDescent="0.25">
      <c r="A2971" t="s">
        <v>1752</v>
      </c>
    </row>
    <row r="2972" spans="1:1" x14ac:dyDescent="0.25">
      <c r="A2972" t="s">
        <v>1753</v>
      </c>
    </row>
    <row r="2973" spans="1:1" x14ac:dyDescent="0.25">
      <c r="A2973" t="s">
        <v>1740</v>
      </c>
    </row>
    <row r="2974" spans="1:1" x14ac:dyDescent="0.25">
      <c r="A2974" t="s">
        <v>1741</v>
      </c>
    </row>
    <row r="2975" spans="1:1" x14ac:dyDescent="0.25">
      <c r="A2975" t="s">
        <v>2591</v>
      </c>
    </row>
    <row r="2976" spans="1:1" x14ac:dyDescent="0.25">
      <c r="A2976" t="s">
        <v>2592</v>
      </c>
    </row>
    <row r="2977" spans="1:1" x14ac:dyDescent="0.25">
      <c r="A2977" t="s">
        <v>1744</v>
      </c>
    </row>
    <row r="2979" spans="1:1" x14ac:dyDescent="0.25">
      <c r="A2979" t="s">
        <v>1737</v>
      </c>
    </row>
    <row r="2980" spans="1:1" x14ac:dyDescent="0.25">
      <c r="A2980" t="s">
        <v>1738</v>
      </c>
    </row>
    <row r="2981" spans="1:1" x14ac:dyDescent="0.25">
      <c r="A2981" t="s">
        <v>2593</v>
      </c>
    </row>
    <row r="2982" spans="1:1" x14ac:dyDescent="0.25">
      <c r="A2982" t="s">
        <v>2594</v>
      </c>
    </row>
    <row r="2983" spans="1:1" x14ac:dyDescent="0.25">
      <c r="A2983" t="s">
        <v>1752</v>
      </c>
    </row>
    <row r="2984" spans="1:1" x14ac:dyDescent="0.25">
      <c r="A2984" t="s">
        <v>1753</v>
      </c>
    </row>
    <row r="2985" spans="1:1" x14ac:dyDescent="0.25">
      <c r="A2985" t="s">
        <v>1740</v>
      </c>
    </row>
    <row r="2986" spans="1:1" x14ac:dyDescent="0.25">
      <c r="A2986" t="s">
        <v>1741</v>
      </c>
    </row>
    <row r="2987" spans="1:1" x14ac:dyDescent="0.25">
      <c r="A2987" t="s">
        <v>2595</v>
      </c>
    </row>
    <row r="2988" spans="1:1" x14ac:dyDescent="0.25">
      <c r="A2988" t="s">
        <v>2596</v>
      </c>
    </row>
    <row r="2989" spans="1:1" x14ac:dyDescent="0.25">
      <c r="A2989" t="s">
        <v>1744</v>
      </c>
    </row>
    <row r="2991" spans="1:1" x14ac:dyDescent="0.25">
      <c r="A2991" t="s">
        <v>1737</v>
      </c>
    </row>
    <row r="2992" spans="1:1" x14ac:dyDescent="0.25">
      <c r="A2992" t="s">
        <v>1738</v>
      </c>
    </row>
    <row r="2993" spans="1:1" x14ac:dyDescent="0.25">
      <c r="A2993" t="s">
        <v>2597</v>
      </c>
    </row>
    <row r="2994" spans="1:1" x14ac:dyDescent="0.25">
      <c r="A2994" t="s">
        <v>2598</v>
      </c>
    </row>
    <row r="2995" spans="1:1" x14ac:dyDescent="0.25">
      <c r="A2995" t="s">
        <v>1752</v>
      </c>
    </row>
    <row r="2996" spans="1:1" x14ac:dyDescent="0.25">
      <c r="A2996" t="s">
        <v>1753</v>
      </c>
    </row>
    <row r="2997" spans="1:1" x14ac:dyDescent="0.25">
      <c r="A2997" t="s">
        <v>1741</v>
      </c>
    </row>
    <row r="2998" spans="1:1" x14ac:dyDescent="0.25">
      <c r="A2998" t="s">
        <v>2599</v>
      </c>
    </row>
    <row r="2999" spans="1:1" x14ac:dyDescent="0.25">
      <c r="A2999" t="s">
        <v>2600</v>
      </c>
    </row>
    <row r="3000" spans="1:1" x14ac:dyDescent="0.25">
      <c r="A3000" t="s">
        <v>1744</v>
      </c>
    </row>
    <row r="3002" spans="1:1" x14ac:dyDescent="0.25">
      <c r="A3002" t="s">
        <v>1737</v>
      </c>
    </row>
    <row r="3003" spans="1:1" x14ac:dyDescent="0.25">
      <c r="A3003" t="s">
        <v>1738</v>
      </c>
    </row>
    <row r="3004" spans="1:1" x14ac:dyDescent="0.25">
      <c r="A3004" t="s">
        <v>2601</v>
      </c>
    </row>
    <row r="3005" spans="1:1" x14ac:dyDescent="0.25">
      <c r="A3005" t="s">
        <v>2602</v>
      </c>
    </row>
    <row r="3006" spans="1:1" x14ac:dyDescent="0.25">
      <c r="A3006" t="s">
        <v>1929</v>
      </c>
    </row>
    <row r="3007" spans="1:1" x14ac:dyDescent="0.25">
      <c r="A3007" t="s">
        <v>1753</v>
      </c>
    </row>
    <row r="3008" spans="1:1" x14ac:dyDescent="0.25">
      <c r="A3008" t="s">
        <v>1741</v>
      </c>
    </row>
    <row r="3009" spans="1:1" x14ac:dyDescent="0.25">
      <c r="A3009" t="s">
        <v>1887</v>
      </c>
    </row>
    <row r="3010" spans="1:1" x14ac:dyDescent="0.25">
      <c r="A3010" t="s">
        <v>2603</v>
      </c>
    </row>
    <row r="3011" spans="1:1" x14ac:dyDescent="0.25">
      <c r="A3011" t="s">
        <v>1744</v>
      </c>
    </row>
    <row r="3013" spans="1:1" x14ac:dyDescent="0.25">
      <c r="A3013" t="s">
        <v>1737</v>
      </c>
    </row>
    <row r="3014" spans="1:1" x14ac:dyDescent="0.25">
      <c r="A3014" t="s">
        <v>1738</v>
      </c>
    </row>
    <row r="3015" spans="1:1" x14ac:dyDescent="0.25">
      <c r="A3015" t="s">
        <v>2604</v>
      </c>
    </row>
    <row r="3016" spans="1:1" x14ac:dyDescent="0.25">
      <c r="A3016" t="s">
        <v>2605</v>
      </c>
    </row>
    <row r="3017" spans="1:1" x14ac:dyDescent="0.25">
      <c r="A3017" t="s">
        <v>1929</v>
      </c>
    </row>
    <row r="3018" spans="1:1" x14ac:dyDescent="0.25">
      <c r="A3018" t="s">
        <v>1753</v>
      </c>
    </row>
    <row r="3019" spans="1:1" x14ac:dyDescent="0.25">
      <c r="A3019" t="s">
        <v>1741</v>
      </c>
    </row>
    <row r="3020" spans="1:1" x14ac:dyDescent="0.25">
      <c r="A3020" t="s">
        <v>1762</v>
      </c>
    </row>
    <row r="3021" spans="1:1" x14ac:dyDescent="0.25">
      <c r="A3021" t="s">
        <v>2606</v>
      </c>
    </row>
    <row r="3022" spans="1:1" x14ac:dyDescent="0.25">
      <c r="A3022" t="s">
        <v>1744</v>
      </c>
    </row>
    <row r="3024" spans="1:1" x14ac:dyDescent="0.25">
      <c r="A3024" t="s">
        <v>1737</v>
      </c>
    </row>
    <row r="3025" spans="1:1" x14ac:dyDescent="0.25">
      <c r="A3025" t="s">
        <v>1738</v>
      </c>
    </row>
    <row r="3026" spans="1:1" x14ac:dyDescent="0.25">
      <c r="A3026" t="s">
        <v>2607</v>
      </c>
    </row>
    <row r="3027" spans="1:1" x14ac:dyDescent="0.25">
      <c r="A3027" t="s">
        <v>2608</v>
      </c>
    </row>
    <row r="3028" spans="1:1" x14ac:dyDescent="0.25">
      <c r="A3028" t="s">
        <v>2376</v>
      </c>
    </row>
    <row r="3029" spans="1:1" x14ac:dyDescent="0.25">
      <c r="A3029" t="s">
        <v>1753</v>
      </c>
    </row>
    <row r="3030" spans="1:1" x14ac:dyDescent="0.25">
      <c r="A3030" t="s">
        <v>1741</v>
      </c>
    </row>
    <row r="3031" spans="1:1" x14ac:dyDescent="0.25">
      <c r="A3031" t="s">
        <v>1762</v>
      </c>
    </row>
    <row r="3032" spans="1:1" x14ac:dyDescent="0.25">
      <c r="A3032" t="s">
        <v>2609</v>
      </c>
    </row>
    <row r="3033" spans="1:1" x14ac:dyDescent="0.25">
      <c r="A3033" t="s">
        <v>1744</v>
      </c>
    </row>
    <row r="3035" spans="1:1" x14ac:dyDescent="0.25">
      <c r="A3035" t="s">
        <v>1737</v>
      </c>
    </row>
    <row r="3036" spans="1:1" x14ac:dyDescent="0.25">
      <c r="A3036" t="s">
        <v>1738</v>
      </c>
    </row>
    <row r="3037" spans="1:1" x14ac:dyDescent="0.25">
      <c r="A3037" t="s">
        <v>2610</v>
      </c>
    </row>
    <row r="3038" spans="1:1" x14ac:dyDescent="0.25">
      <c r="A3038" t="s">
        <v>2611</v>
      </c>
    </row>
    <row r="3039" spans="1:1" x14ac:dyDescent="0.25">
      <c r="A3039" t="s">
        <v>2002</v>
      </c>
    </row>
    <row r="3040" spans="1:1" x14ac:dyDescent="0.25">
      <c r="A3040" t="s">
        <v>1753</v>
      </c>
    </row>
    <row r="3041" spans="1:1" x14ac:dyDescent="0.25">
      <c r="A3041" t="s">
        <v>1741</v>
      </c>
    </row>
    <row r="3042" spans="1:1" x14ac:dyDescent="0.25">
      <c r="A3042" t="s">
        <v>1762</v>
      </c>
    </row>
    <row r="3043" spans="1:1" x14ac:dyDescent="0.25">
      <c r="A3043" t="s">
        <v>2612</v>
      </c>
    </row>
    <row r="3044" spans="1:1" x14ac:dyDescent="0.25">
      <c r="A3044" t="s">
        <v>1744</v>
      </c>
    </row>
    <row r="3046" spans="1:1" x14ac:dyDescent="0.25">
      <c r="A3046" t="s">
        <v>1737</v>
      </c>
    </row>
    <row r="3047" spans="1:1" x14ac:dyDescent="0.25">
      <c r="A3047" t="s">
        <v>1738</v>
      </c>
    </row>
    <row r="3048" spans="1:1" x14ac:dyDescent="0.25">
      <c r="A3048" t="s">
        <v>2613</v>
      </c>
    </row>
    <row r="3049" spans="1:1" x14ac:dyDescent="0.25">
      <c r="A3049" t="s">
        <v>2614</v>
      </c>
    </row>
    <row r="3050" spans="1:1" x14ac:dyDescent="0.25">
      <c r="A3050" t="s">
        <v>2002</v>
      </c>
    </row>
    <row r="3051" spans="1:1" x14ac:dyDescent="0.25">
      <c r="A3051" t="s">
        <v>1753</v>
      </c>
    </row>
    <row r="3052" spans="1:1" x14ac:dyDescent="0.25">
      <c r="A3052" t="s">
        <v>1741</v>
      </c>
    </row>
    <row r="3053" spans="1:1" x14ac:dyDescent="0.25">
      <c r="A3053" t="s">
        <v>1762</v>
      </c>
    </row>
    <row r="3054" spans="1:1" x14ac:dyDescent="0.25">
      <c r="A3054" t="s">
        <v>2615</v>
      </c>
    </row>
    <row r="3055" spans="1:1" x14ac:dyDescent="0.25">
      <c r="A3055" t="s">
        <v>1744</v>
      </c>
    </row>
    <row r="3057" spans="1:1" x14ac:dyDescent="0.25">
      <c r="A3057" t="s">
        <v>1737</v>
      </c>
    </row>
    <row r="3058" spans="1:1" x14ac:dyDescent="0.25">
      <c r="A3058" t="s">
        <v>1738</v>
      </c>
    </row>
    <row r="3059" spans="1:1" x14ac:dyDescent="0.25">
      <c r="A3059" t="s">
        <v>2616</v>
      </c>
    </row>
    <row r="3060" spans="1:1" x14ac:dyDescent="0.25">
      <c r="A3060" t="s">
        <v>2617</v>
      </c>
    </row>
    <row r="3061" spans="1:1" x14ac:dyDescent="0.25">
      <c r="A3061" t="s">
        <v>2002</v>
      </c>
    </row>
    <row r="3062" spans="1:1" x14ac:dyDescent="0.25">
      <c r="A3062" t="s">
        <v>1753</v>
      </c>
    </row>
    <row r="3063" spans="1:1" x14ac:dyDescent="0.25">
      <c r="A3063" t="s">
        <v>1741</v>
      </c>
    </row>
    <row r="3064" spans="1:1" x14ac:dyDescent="0.25">
      <c r="A3064" t="s">
        <v>1887</v>
      </c>
    </row>
    <row r="3065" spans="1:1" x14ac:dyDescent="0.25">
      <c r="A3065" t="s">
        <v>2618</v>
      </c>
    </row>
    <row r="3066" spans="1:1" x14ac:dyDescent="0.25">
      <c r="A3066" t="s">
        <v>1744</v>
      </c>
    </row>
    <row r="3068" spans="1:1" x14ac:dyDescent="0.25">
      <c r="A3068" t="s">
        <v>1737</v>
      </c>
    </row>
    <row r="3069" spans="1:1" x14ac:dyDescent="0.25">
      <c r="A3069" t="s">
        <v>1738</v>
      </c>
    </row>
    <row r="3070" spans="1:1" x14ac:dyDescent="0.25">
      <c r="A3070" t="s">
        <v>2619</v>
      </c>
    </row>
    <row r="3071" spans="1:1" x14ac:dyDescent="0.25">
      <c r="A3071" t="s">
        <v>2620</v>
      </c>
    </row>
    <row r="3072" spans="1:1" x14ac:dyDescent="0.25">
      <c r="A3072" t="s">
        <v>1990</v>
      </c>
    </row>
    <row r="3073" spans="1:1" x14ac:dyDescent="0.25">
      <c r="A3073" t="s">
        <v>1753</v>
      </c>
    </row>
    <row r="3074" spans="1:1" x14ac:dyDescent="0.25">
      <c r="A3074" t="s">
        <v>1741</v>
      </c>
    </row>
    <row r="3075" spans="1:1" x14ac:dyDescent="0.25">
      <c r="A3075" t="s">
        <v>1762</v>
      </c>
    </row>
    <row r="3076" spans="1:1" x14ac:dyDescent="0.25">
      <c r="A3076" t="s">
        <v>2621</v>
      </c>
    </row>
    <row r="3077" spans="1:1" x14ac:dyDescent="0.25">
      <c r="A3077" t="s">
        <v>1744</v>
      </c>
    </row>
    <row r="3079" spans="1:1" x14ac:dyDescent="0.25">
      <c r="A3079" t="s">
        <v>1737</v>
      </c>
    </row>
    <row r="3080" spans="1:1" x14ac:dyDescent="0.25">
      <c r="A3080" t="s">
        <v>1738</v>
      </c>
    </row>
    <row r="3081" spans="1:1" x14ac:dyDescent="0.25">
      <c r="A3081" t="s">
        <v>2622</v>
      </c>
    </row>
    <row r="3082" spans="1:1" x14ac:dyDescent="0.25">
      <c r="A3082" t="s">
        <v>2623</v>
      </c>
    </row>
    <row r="3083" spans="1:1" x14ac:dyDescent="0.25">
      <c r="A3083" t="s">
        <v>1990</v>
      </c>
    </row>
    <row r="3084" spans="1:1" x14ac:dyDescent="0.25">
      <c r="A3084" t="s">
        <v>1753</v>
      </c>
    </row>
    <row r="3085" spans="1:1" x14ac:dyDescent="0.25">
      <c r="A3085" t="s">
        <v>1741</v>
      </c>
    </row>
    <row r="3086" spans="1:1" x14ac:dyDescent="0.25">
      <c r="A3086" t="s">
        <v>1762</v>
      </c>
    </row>
    <row r="3087" spans="1:1" x14ac:dyDescent="0.25">
      <c r="A3087" t="s">
        <v>2624</v>
      </c>
    </row>
    <row r="3088" spans="1:1" x14ac:dyDescent="0.25">
      <c r="A3088" t="s">
        <v>1744</v>
      </c>
    </row>
    <row r="3090" spans="1:1" x14ac:dyDescent="0.25">
      <c r="A3090" t="s">
        <v>1737</v>
      </c>
    </row>
    <row r="3091" spans="1:1" x14ac:dyDescent="0.25">
      <c r="A3091" t="s">
        <v>1738</v>
      </c>
    </row>
    <row r="3092" spans="1:1" x14ac:dyDescent="0.25">
      <c r="A3092" t="s">
        <v>2625</v>
      </c>
    </row>
    <row r="3093" spans="1:1" x14ac:dyDescent="0.25">
      <c r="A3093" t="s">
        <v>2626</v>
      </c>
    </row>
    <row r="3094" spans="1:1" x14ac:dyDescent="0.25">
      <c r="A3094" t="s">
        <v>1990</v>
      </c>
    </row>
    <row r="3095" spans="1:1" x14ac:dyDescent="0.25">
      <c r="A3095" t="s">
        <v>1753</v>
      </c>
    </row>
    <row r="3096" spans="1:1" x14ac:dyDescent="0.25">
      <c r="A3096" t="s">
        <v>1741</v>
      </c>
    </row>
    <row r="3097" spans="1:1" x14ac:dyDescent="0.25">
      <c r="A3097" t="s">
        <v>1887</v>
      </c>
    </row>
    <row r="3098" spans="1:1" x14ac:dyDescent="0.25">
      <c r="A3098" t="s">
        <v>2627</v>
      </c>
    </row>
    <row r="3099" spans="1:1" x14ac:dyDescent="0.25">
      <c r="A3099" t="s">
        <v>1744</v>
      </c>
    </row>
    <row r="3101" spans="1:1" x14ac:dyDescent="0.25">
      <c r="A3101" t="s">
        <v>1737</v>
      </c>
    </row>
    <row r="3102" spans="1:1" x14ac:dyDescent="0.25">
      <c r="A3102" t="s">
        <v>1738</v>
      </c>
    </row>
    <row r="3103" spans="1:1" x14ac:dyDescent="0.25">
      <c r="A3103" t="s">
        <v>2628</v>
      </c>
    </row>
    <row r="3104" spans="1:1" x14ac:dyDescent="0.25">
      <c r="A3104" t="s">
        <v>2629</v>
      </c>
    </row>
    <row r="3105" spans="1:1" x14ac:dyDescent="0.25">
      <c r="A3105" t="s">
        <v>2630</v>
      </c>
    </row>
    <row r="3106" spans="1:1" x14ac:dyDescent="0.25">
      <c r="A3106" t="s">
        <v>1753</v>
      </c>
    </row>
    <row r="3107" spans="1:1" x14ac:dyDescent="0.25">
      <c r="A3107" t="s">
        <v>1741</v>
      </c>
    </row>
    <row r="3108" spans="1:1" x14ac:dyDescent="0.25">
      <c r="A3108" t="s">
        <v>1762</v>
      </c>
    </row>
    <row r="3109" spans="1:1" x14ac:dyDescent="0.25">
      <c r="A3109" t="s">
        <v>2631</v>
      </c>
    </row>
    <row r="3110" spans="1:1" x14ac:dyDescent="0.25">
      <c r="A3110" t="s">
        <v>1744</v>
      </c>
    </row>
    <row r="3112" spans="1:1" x14ac:dyDescent="0.25">
      <c r="A3112" t="s">
        <v>1737</v>
      </c>
    </row>
    <row r="3113" spans="1:1" x14ac:dyDescent="0.25">
      <c r="A3113" t="s">
        <v>1738</v>
      </c>
    </row>
    <row r="3114" spans="1:1" x14ac:dyDescent="0.25">
      <c r="A3114" t="s">
        <v>2632</v>
      </c>
    </row>
    <row r="3115" spans="1:1" x14ac:dyDescent="0.25">
      <c r="A3115" t="s">
        <v>2633</v>
      </c>
    </row>
    <row r="3116" spans="1:1" x14ac:dyDescent="0.25">
      <c r="A3116" t="s">
        <v>1990</v>
      </c>
    </row>
    <row r="3117" spans="1:1" x14ac:dyDescent="0.25">
      <c r="A3117" t="s">
        <v>1753</v>
      </c>
    </row>
    <row r="3118" spans="1:1" x14ac:dyDescent="0.25">
      <c r="A3118" t="s">
        <v>1741</v>
      </c>
    </row>
    <row r="3119" spans="1:1" x14ac:dyDescent="0.25">
      <c r="A3119" t="s">
        <v>1762</v>
      </c>
    </row>
    <row r="3120" spans="1:1" x14ac:dyDescent="0.25">
      <c r="A3120" t="s">
        <v>2634</v>
      </c>
    </row>
    <row r="3121" spans="1:1" x14ac:dyDescent="0.25">
      <c r="A3121" t="s">
        <v>1744</v>
      </c>
    </row>
    <row r="3123" spans="1:1" x14ac:dyDescent="0.25">
      <c r="A3123" t="s">
        <v>1737</v>
      </c>
    </row>
    <row r="3124" spans="1:1" x14ac:dyDescent="0.25">
      <c r="A3124" t="s">
        <v>1738</v>
      </c>
    </row>
    <row r="3125" spans="1:1" x14ac:dyDescent="0.25">
      <c r="A3125" t="s">
        <v>2635</v>
      </c>
    </row>
    <row r="3126" spans="1:1" x14ac:dyDescent="0.25">
      <c r="A3126" t="s">
        <v>2636</v>
      </c>
    </row>
    <row r="3127" spans="1:1" x14ac:dyDescent="0.25">
      <c r="A3127" t="s">
        <v>2010</v>
      </c>
    </row>
    <row r="3128" spans="1:1" x14ac:dyDescent="0.25">
      <c r="A3128" t="s">
        <v>1753</v>
      </c>
    </row>
    <row r="3129" spans="1:1" x14ac:dyDescent="0.25">
      <c r="A3129" t="s">
        <v>1741</v>
      </c>
    </row>
    <row r="3130" spans="1:1" x14ac:dyDescent="0.25">
      <c r="A3130" t="s">
        <v>1887</v>
      </c>
    </row>
    <row r="3131" spans="1:1" x14ac:dyDescent="0.25">
      <c r="A3131" t="s">
        <v>2637</v>
      </c>
    </row>
    <row r="3132" spans="1:1" x14ac:dyDescent="0.25">
      <c r="A3132" t="s">
        <v>1744</v>
      </c>
    </row>
    <row r="3134" spans="1:1" x14ac:dyDescent="0.25">
      <c r="A3134" t="s">
        <v>1737</v>
      </c>
    </row>
    <row r="3135" spans="1:1" x14ac:dyDescent="0.25">
      <c r="A3135" t="s">
        <v>1738</v>
      </c>
    </row>
    <row r="3136" spans="1:1" x14ac:dyDescent="0.25">
      <c r="A3136" t="s">
        <v>2638</v>
      </c>
    </row>
    <row r="3137" spans="1:1" x14ac:dyDescent="0.25">
      <c r="A3137" t="s">
        <v>2636</v>
      </c>
    </row>
    <row r="3138" spans="1:1" x14ac:dyDescent="0.25">
      <c r="A3138" t="s">
        <v>2010</v>
      </c>
    </row>
    <row r="3139" spans="1:1" x14ac:dyDescent="0.25">
      <c r="A3139" t="s">
        <v>1753</v>
      </c>
    </row>
    <row r="3140" spans="1:1" x14ac:dyDescent="0.25">
      <c r="A3140" t="s">
        <v>1741</v>
      </c>
    </row>
    <row r="3141" spans="1:1" x14ac:dyDescent="0.25">
      <c r="A3141" t="s">
        <v>1887</v>
      </c>
    </row>
    <row r="3142" spans="1:1" x14ac:dyDescent="0.25">
      <c r="A3142" t="s">
        <v>2639</v>
      </c>
    </row>
    <row r="3143" spans="1:1" x14ac:dyDescent="0.25">
      <c r="A3143" t="s">
        <v>1744</v>
      </c>
    </row>
    <row r="3145" spans="1:1" x14ac:dyDescent="0.25">
      <c r="A3145" t="s">
        <v>1737</v>
      </c>
    </row>
    <row r="3146" spans="1:1" x14ac:dyDescent="0.25">
      <c r="A3146" t="s">
        <v>1738</v>
      </c>
    </row>
    <row r="3147" spans="1:1" x14ac:dyDescent="0.25">
      <c r="A3147" t="s">
        <v>2640</v>
      </c>
    </row>
    <row r="3148" spans="1:1" x14ac:dyDescent="0.25">
      <c r="A3148" t="s">
        <v>2641</v>
      </c>
    </row>
    <row r="3149" spans="1:1" x14ac:dyDescent="0.25">
      <c r="A3149" t="s">
        <v>2376</v>
      </c>
    </row>
    <row r="3150" spans="1:1" x14ac:dyDescent="0.25">
      <c r="A3150" t="s">
        <v>1753</v>
      </c>
    </row>
    <row r="3151" spans="1:1" x14ac:dyDescent="0.25">
      <c r="A3151" t="s">
        <v>1741</v>
      </c>
    </row>
    <row r="3152" spans="1:1" x14ac:dyDescent="0.25">
      <c r="A3152" t="s">
        <v>1887</v>
      </c>
    </row>
    <row r="3153" spans="1:1" x14ac:dyDescent="0.25">
      <c r="A3153" t="s">
        <v>2642</v>
      </c>
    </row>
    <row r="3154" spans="1:1" x14ac:dyDescent="0.25">
      <c r="A3154" t="s">
        <v>1744</v>
      </c>
    </row>
    <row r="3156" spans="1:1" x14ac:dyDescent="0.25">
      <c r="A3156" t="s">
        <v>1737</v>
      </c>
    </row>
    <row r="3157" spans="1:1" x14ac:dyDescent="0.25">
      <c r="A3157" t="s">
        <v>1738</v>
      </c>
    </row>
    <row r="3158" spans="1:1" x14ac:dyDescent="0.25">
      <c r="A3158" t="s">
        <v>2643</v>
      </c>
    </row>
    <row r="3159" spans="1:1" x14ac:dyDescent="0.25">
      <c r="A3159" t="s">
        <v>2641</v>
      </c>
    </row>
    <row r="3160" spans="1:1" x14ac:dyDescent="0.25">
      <c r="A3160" t="s">
        <v>2376</v>
      </c>
    </row>
    <row r="3161" spans="1:1" x14ac:dyDescent="0.25">
      <c r="A3161" t="s">
        <v>1753</v>
      </c>
    </row>
    <row r="3162" spans="1:1" x14ac:dyDescent="0.25">
      <c r="A3162" t="s">
        <v>1741</v>
      </c>
    </row>
    <row r="3163" spans="1:1" x14ac:dyDescent="0.25">
      <c r="A3163" t="s">
        <v>1887</v>
      </c>
    </row>
    <row r="3164" spans="1:1" x14ac:dyDescent="0.25">
      <c r="A3164" t="s">
        <v>2644</v>
      </c>
    </row>
    <row r="3165" spans="1:1" x14ac:dyDescent="0.25">
      <c r="A3165" t="s">
        <v>1744</v>
      </c>
    </row>
    <row r="3167" spans="1:1" x14ac:dyDescent="0.25">
      <c r="A3167" t="s">
        <v>1737</v>
      </c>
    </row>
    <row r="3168" spans="1:1" x14ac:dyDescent="0.25">
      <c r="A3168" t="s">
        <v>1738</v>
      </c>
    </row>
    <row r="3169" spans="1:1" x14ac:dyDescent="0.25">
      <c r="A3169" t="s">
        <v>2645</v>
      </c>
    </row>
    <row r="3170" spans="1:1" x14ac:dyDescent="0.25">
      <c r="A3170" t="s">
        <v>2646</v>
      </c>
    </row>
    <row r="3171" spans="1:1" x14ac:dyDescent="0.25">
      <c r="A3171" t="s">
        <v>2301</v>
      </c>
    </row>
    <row r="3172" spans="1:1" x14ac:dyDescent="0.25">
      <c r="A3172" t="s">
        <v>1753</v>
      </c>
    </row>
    <row r="3173" spans="1:1" x14ac:dyDescent="0.25">
      <c r="A3173" t="s">
        <v>1741</v>
      </c>
    </row>
    <row r="3174" spans="1:1" x14ac:dyDescent="0.25">
      <c r="A3174" t="s">
        <v>1762</v>
      </c>
    </row>
    <row r="3175" spans="1:1" x14ac:dyDescent="0.25">
      <c r="A3175" t="s">
        <v>2647</v>
      </c>
    </row>
    <row r="3176" spans="1:1" x14ac:dyDescent="0.25">
      <c r="A3176" t="s">
        <v>1744</v>
      </c>
    </row>
    <row r="3178" spans="1:1" x14ac:dyDescent="0.25">
      <c r="A3178" t="s">
        <v>1737</v>
      </c>
    </row>
    <row r="3179" spans="1:1" x14ac:dyDescent="0.25">
      <c r="A3179" t="s">
        <v>1738</v>
      </c>
    </row>
    <row r="3180" spans="1:1" x14ac:dyDescent="0.25">
      <c r="A3180" t="s">
        <v>2648</v>
      </c>
    </row>
    <row r="3181" spans="1:1" x14ac:dyDescent="0.25">
      <c r="A3181" t="s">
        <v>2646</v>
      </c>
    </row>
    <row r="3182" spans="1:1" x14ac:dyDescent="0.25">
      <c r="A3182" t="s">
        <v>2301</v>
      </c>
    </row>
    <row r="3183" spans="1:1" x14ac:dyDescent="0.25">
      <c r="A3183" t="s">
        <v>1753</v>
      </c>
    </row>
    <row r="3184" spans="1:1" x14ac:dyDescent="0.25">
      <c r="A3184" t="s">
        <v>1741</v>
      </c>
    </row>
    <row r="3185" spans="1:1" x14ac:dyDescent="0.25">
      <c r="A3185" t="s">
        <v>1762</v>
      </c>
    </row>
    <row r="3186" spans="1:1" x14ac:dyDescent="0.25">
      <c r="A3186" t="s">
        <v>2649</v>
      </c>
    </row>
    <row r="3187" spans="1:1" x14ac:dyDescent="0.25">
      <c r="A3187" t="s">
        <v>1744</v>
      </c>
    </row>
    <row r="3189" spans="1:1" x14ac:dyDescent="0.25">
      <c r="A3189" t="s">
        <v>1737</v>
      </c>
    </row>
    <row r="3190" spans="1:1" x14ac:dyDescent="0.25">
      <c r="A3190" t="s">
        <v>1738</v>
      </c>
    </row>
    <row r="3191" spans="1:1" x14ac:dyDescent="0.25">
      <c r="A3191" t="s">
        <v>2650</v>
      </c>
    </row>
    <row r="3192" spans="1:1" x14ac:dyDescent="0.25">
      <c r="A3192" t="s">
        <v>2651</v>
      </c>
    </row>
    <row r="3193" spans="1:1" x14ac:dyDescent="0.25">
      <c r="A3193" t="s">
        <v>1990</v>
      </c>
    </row>
    <row r="3194" spans="1:1" x14ac:dyDescent="0.25">
      <c r="A3194" t="s">
        <v>1753</v>
      </c>
    </row>
    <row r="3195" spans="1:1" x14ac:dyDescent="0.25">
      <c r="A3195" t="s">
        <v>1741</v>
      </c>
    </row>
    <row r="3196" spans="1:1" x14ac:dyDescent="0.25">
      <c r="A3196" t="s">
        <v>1887</v>
      </c>
    </row>
    <row r="3197" spans="1:1" x14ac:dyDescent="0.25">
      <c r="A3197" t="s">
        <v>2652</v>
      </c>
    </row>
    <row r="3198" spans="1:1" x14ac:dyDescent="0.25">
      <c r="A3198" t="s">
        <v>1744</v>
      </c>
    </row>
    <row r="3200" spans="1:1" x14ac:dyDescent="0.25">
      <c r="A3200" t="s">
        <v>1737</v>
      </c>
    </row>
    <row r="3201" spans="1:1" x14ac:dyDescent="0.25">
      <c r="A3201" t="s">
        <v>1738</v>
      </c>
    </row>
    <row r="3202" spans="1:1" x14ac:dyDescent="0.25">
      <c r="A3202" t="s">
        <v>2653</v>
      </c>
    </row>
    <row r="3203" spans="1:1" x14ac:dyDescent="0.25">
      <c r="A3203" t="s">
        <v>2654</v>
      </c>
    </row>
    <row r="3204" spans="1:1" x14ac:dyDescent="0.25">
      <c r="A3204" t="s">
        <v>1990</v>
      </c>
    </row>
    <row r="3205" spans="1:1" x14ac:dyDescent="0.25">
      <c r="A3205" t="s">
        <v>1753</v>
      </c>
    </row>
    <row r="3206" spans="1:1" x14ac:dyDescent="0.25">
      <c r="A3206" t="s">
        <v>1741</v>
      </c>
    </row>
    <row r="3207" spans="1:1" x14ac:dyDescent="0.25">
      <c r="A3207" t="s">
        <v>1887</v>
      </c>
    </row>
    <row r="3208" spans="1:1" x14ac:dyDescent="0.25">
      <c r="A3208" t="s">
        <v>2655</v>
      </c>
    </row>
    <row r="3209" spans="1:1" x14ac:dyDescent="0.25">
      <c r="A3209" t="s">
        <v>1744</v>
      </c>
    </row>
    <row r="3211" spans="1:1" x14ac:dyDescent="0.25">
      <c r="A3211" t="s">
        <v>1737</v>
      </c>
    </row>
    <row r="3212" spans="1:1" x14ac:dyDescent="0.25">
      <c r="A3212" t="s">
        <v>1738</v>
      </c>
    </row>
    <row r="3213" spans="1:1" x14ac:dyDescent="0.25">
      <c r="A3213" t="s">
        <v>2656</v>
      </c>
    </row>
    <row r="3214" spans="1:1" x14ac:dyDescent="0.25">
      <c r="A3214" t="s">
        <v>2657</v>
      </c>
    </row>
    <row r="3215" spans="1:1" x14ac:dyDescent="0.25">
      <c r="A3215" t="s">
        <v>2010</v>
      </c>
    </row>
    <row r="3216" spans="1:1" x14ac:dyDescent="0.25">
      <c r="A3216" t="s">
        <v>1753</v>
      </c>
    </row>
    <row r="3217" spans="1:1" x14ac:dyDescent="0.25">
      <c r="A3217" t="s">
        <v>1741</v>
      </c>
    </row>
    <row r="3218" spans="1:1" x14ac:dyDescent="0.25">
      <c r="A3218" t="s">
        <v>1762</v>
      </c>
    </row>
    <row r="3219" spans="1:1" x14ac:dyDescent="0.25">
      <c r="A3219" t="s">
        <v>2658</v>
      </c>
    </row>
    <row r="3220" spans="1:1" x14ac:dyDescent="0.25">
      <c r="A3220" t="s">
        <v>1744</v>
      </c>
    </row>
    <row r="3222" spans="1:1" x14ac:dyDescent="0.25">
      <c r="A3222" t="s">
        <v>1737</v>
      </c>
    </row>
    <row r="3223" spans="1:1" x14ac:dyDescent="0.25">
      <c r="A3223" t="s">
        <v>1738</v>
      </c>
    </row>
    <row r="3224" spans="1:1" x14ac:dyDescent="0.25">
      <c r="A3224" t="s">
        <v>2659</v>
      </c>
    </row>
    <row r="3225" spans="1:1" x14ac:dyDescent="0.25">
      <c r="A3225" t="s">
        <v>2660</v>
      </c>
    </row>
    <row r="3226" spans="1:1" x14ac:dyDescent="0.25">
      <c r="A3226" t="s">
        <v>2010</v>
      </c>
    </row>
    <row r="3227" spans="1:1" x14ac:dyDescent="0.25">
      <c r="A3227" t="s">
        <v>1753</v>
      </c>
    </row>
    <row r="3228" spans="1:1" x14ac:dyDescent="0.25">
      <c r="A3228" t="s">
        <v>1741</v>
      </c>
    </row>
    <row r="3229" spans="1:1" x14ac:dyDescent="0.25">
      <c r="A3229" t="s">
        <v>1762</v>
      </c>
    </row>
    <row r="3230" spans="1:1" x14ac:dyDescent="0.25">
      <c r="A3230" t="s">
        <v>2661</v>
      </c>
    </row>
    <row r="3231" spans="1:1" x14ac:dyDescent="0.25">
      <c r="A3231" t="s">
        <v>1744</v>
      </c>
    </row>
    <row r="3233" spans="1:1" x14ac:dyDescent="0.25">
      <c r="A3233" t="s">
        <v>1737</v>
      </c>
    </row>
    <row r="3234" spans="1:1" x14ac:dyDescent="0.25">
      <c r="A3234" t="s">
        <v>1738</v>
      </c>
    </row>
    <row r="3235" spans="1:1" x14ac:dyDescent="0.25">
      <c r="A3235" t="s">
        <v>2662</v>
      </c>
    </row>
    <row r="3236" spans="1:1" x14ac:dyDescent="0.25">
      <c r="A3236" t="s">
        <v>2663</v>
      </c>
    </row>
    <row r="3237" spans="1:1" x14ac:dyDescent="0.25">
      <c r="A3237" t="s">
        <v>1929</v>
      </c>
    </row>
    <row r="3238" spans="1:1" x14ac:dyDescent="0.25">
      <c r="A3238" t="s">
        <v>1753</v>
      </c>
    </row>
    <row r="3239" spans="1:1" x14ac:dyDescent="0.25">
      <c r="A3239" t="s">
        <v>1741</v>
      </c>
    </row>
    <row r="3240" spans="1:1" x14ac:dyDescent="0.25">
      <c r="A3240" t="s">
        <v>1887</v>
      </c>
    </row>
    <row r="3241" spans="1:1" x14ac:dyDescent="0.25">
      <c r="A3241" t="s">
        <v>2664</v>
      </c>
    </row>
    <row r="3242" spans="1:1" x14ac:dyDescent="0.25">
      <c r="A3242" t="s">
        <v>1744</v>
      </c>
    </row>
    <row r="3244" spans="1:1" x14ac:dyDescent="0.25">
      <c r="A3244" t="s">
        <v>1737</v>
      </c>
    </row>
    <row r="3245" spans="1:1" x14ac:dyDescent="0.25">
      <c r="A3245" t="s">
        <v>1738</v>
      </c>
    </row>
    <row r="3246" spans="1:1" x14ac:dyDescent="0.25">
      <c r="A3246" t="s">
        <v>2665</v>
      </c>
    </row>
    <row r="3247" spans="1:1" x14ac:dyDescent="0.25">
      <c r="A3247" t="s">
        <v>2666</v>
      </c>
    </row>
    <row r="3248" spans="1:1" x14ac:dyDescent="0.25">
      <c r="A3248" t="s">
        <v>1752</v>
      </c>
    </row>
    <row r="3249" spans="1:1" x14ac:dyDescent="0.25">
      <c r="A3249" t="s">
        <v>1753</v>
      </c>
    </row>
    <row r="3250" spans="1:1" x14ac:dyDescent="0.25">
      <c r="A3250" t="s">
        <v>1741</v>
      </c>
    </row>
    <row r="3251" spans="1:1" x14ac:dyDescent="0.25">
      <c r="A3251" t="s">
        <v>1762</v>
      </c>
    </row>
    <row r="3252" spans="1:1" x14ac:dyDescent="0.25">
      <c r="A3252" t="s">
        <v>2667</v>
      </c>
    </row>
    <row r="3253" spans="1:1" x14ac:dyDescent="0.25">
      <c r="A3253" t="s">
        <v>1744</v>
      </c>
    </row>
    <row r="3255" spans="1:1" x14ac:dyDescent="0.25">
      <c r="A3255" t="s">
        <v>1737</v>
      </c>
    </row>
    <row r="3256" spans="1:1" x14ac:dyDescent="0.25">
      <c r="A3256" t="s">
        <v>1738</v>
      </c>
    </row>
    <row r="3257" spans="1:1" x14ac:dyDescent="0.25">
      <c r="A3257" t="s">
        <v>2668</v>
      </c>
    </row>
    <row r="3258" spans="1:1" x14ac:dyDescent="0.25">
      <c r="A3258" t="s">
        <v>2669</v>
      </c>
    </row>
    <row r="3259" spans="1:1" x14ac:dyDescent="0.25">
      <c r="A3259" t="s">
        <v>2670</v>
      </c>
    </row>
    <row r="3260" spans="1:1" x14ac:dyDescent="0.25">
      <c r="A3260" t="s">
        <v>1753</v>
      </c>
    </row>
    <row r="3261" spans="1:1" x14ac:dyDescent="0.25">
      <c r="A3261" t="s">
        <v>1741</v>
      </c>
    </row>
    <row r="3262" spans="1:1" x14ac:dyDescent="0.25">
      <c r="A3262" t="s">
        <v>1762</v>
      </c>
    </row>
    <row r="3263" spans="1:1" x14ac:dyDescent="0.25">
      <c r="A3263" t="s">
        <v>2671</v>
      </c>
    </row>
    <row r="3264" spans="1:1" x14ac:dyDescent="0.25">
      <c r="A3264" t="s">
        <v>1744</v>
      </c>
    </row>
    <row r="3266" spans="1:1" x14ac:dyDescent="0.25">
      <c r="A3266" t="s">
        <v>1737</v>
      </c>
    </row>
    <row r="3267" spans="1:1" x14ac:dyDescent="0.25">
      <c r="A3267" t="s">
        <v>1738</v>
      </c>
    </row>
    <row r="3268" spans="1:1" x14ac:dyDescent="0.25">
      <c r="A3268" t="s">
        <v>2672</v>
      </c>
    </row>
    <row r="3269" spans="1:1" x14ac:dyDescent="0.25">
      <c r="A3269" t="s">
        <v>2673</v>
      </c>
    </row>
    <row r="3270" spans="1:1" x14ac:dyDescent="0.25">
      <c r="A3270" t="s">
        <v>1929</v>
      </c>
    </row>
    <row r="3271" spans="1:1" x14ac:dyDescent="0.25">
      <c r="A3271" t="s">
        <v>1753</v>
      </c>
    </row>
    <row r="3272" spans="1:1" x14ac:dyDescent="0.25">
      <c r="A3272" t="s">
        <v>1741</v>
      </c>
    </row>
    <row r="3273" spans="1:1" x14ac:dyDescent="0.25">
      <c r="A3273" t="s">
        <v>1762</v>
      </c>
    </row>
    <row r="3274" spans="1:1" x14ac:dyDescent="0.25">
      <c r="A3274" t="s">
        <v>2674</v>
      </c>
    </row>
    <row r="3275" spans="1:1" x14ac:dyDescent="0.25">
      <c r="A3275" t="s">
        <v>1744</v>
      </c>
    </row>
    <row r="3277" spans="1:1" x14ac:dyDescent="0.25">
      <c r="A3277" t="s">
        <v>1737</v>
      </c>
    </row>
    <row r="3278" spans="1:1" x14ac:dyDescent="0.25">
      <c r="A3278" t="s">
        <v>1738</v>
      </c>
    </row>
    <row r="3279" spans="1:1" x14ac:dyDescent="0.25">
      <c r="A3279" t="s">
        <v>2675</v>
      </c>
    </row>
    <row r="3280" spans="1:1" x14ac:dyDescent="0.25">
      <c r="A3280" t="s">
        <v>2676</v>
      </c>
    </row>
    <row r="3281" spans="1:1" x14ac:dyDescent="0.25">
      <c r="A3281" t="s">
        <v>1929</v>
      </c>
    </row>
    <row r="3282" spans="1:1" x14ac:dyDescent="0.25">
      <c r="A3282" t="s">
        <v>1753</v>
      </c>
    </row>
    <row r="3283" spans="1:1" x14ac:dyDescent="0.25">
      <c r="A3283" t="s">
        <v>1741</v>
      </c>
    </row>
    <row r="3284" spans="1:1" x14ac:dyDescent="0.25">
      <c r="A3284" t="s">
        <v>2677</v>
      </c>
    </row>
    <row r="3285" spans="1:1" x14ac:dyDescent="0.25">
      <c r="A3285" t="s">
        <v>2678</v>
      </c>
    </row>
    <row r="3286" spans="1:1" x14ac:dyDescent="0.25">
      <c r="A3286" t="s">
        <v>1744</v>
      </c>
    </row>
    <row r="3288" spans="1:1" x14ac:dyDescent="0.25">
      <c r="A3288" t="s">
        <v>1737</v>
      </c>
    </row>
    <row r="3289" spans="1:1" x14ac:dyDescent="0.25">
      <c r="A3289" t="s">
        <v>1738</v>
      </c>
    </row>
    <row r="3290" spans="1:1" x14ac:dyDescent="0.25">
      <c r="A3290" t="s">
        <v>2679</v>
      </c>
    </row>
    <row r="3291" spans="1:1" x14ac:dyDescent="0.25">
      <c r="A3291" t="s">
        <v>2680</v>
      </c>
    </row>
    <row r="3292" spans="1:1" x14ac:dyDescent="0.25">
      <c r="A3292" t="s">
        <v>1929</v>
      </c>
    </row>
    <row r="3293" spans="1:1" x14ac:dyDescent="0.25">
      <c r="A3293" t="s">
        <v>1753</v>
      </c>
    </row>
    <row r="3294" spans="1:1" x14ac:dyDescent="0.25">
      <c r="A3294" t="s">
        <v>1741</v>
      </c>
    </row>
    <row r="3295" spans="1:1" x14ac:dyDescent="0.25">
      <c r="A3295" t="s">
        <v>1762</v>
      </c>
    </row>
    <row r="3296" spans="1:1" x14ac:dyDescent="0.25">
      <c r="A3296" t="s">
        <v>2681</v>
      </c>
    </row>
    <row r="3297" spans="1:1" x14ac:dyDescent="0.25">
      <c r="A3297" t="s">
        <v>1744</v>
      </c>
    </row>
    <row r="3299" spans="1:1" x14ac:dyDescent="0.25">
      <c r="A3299" t="s">
        <v>1737</v>
      </c>
    </row>
    <row r="3300" spans="1:1" x14ac:dyDescent="0.25">
      <c r="A3300" t="s">
        <v>1738</v>
      </c>
    </row>
    <row r="3301" spans="1:1" x14ac:dyDescent="0.25">
      <c r="A3301" t="s">
        <v>2682</v>
      </c>
    </row>
    <row r="3302" spans="1:1" x14ac:dyDescent="0.25">
      <c r="A3302" t="s">
        <v>2683</v>
      </c>
    </row>
    <row r="3303" spans="1:1" x14ac:dyDescent="0.25">
      <c r="A3303" t="s">
        <v>2684</v>
      </c>
    </row>
    <row r="3304" spans="1:1" x14ac:dyDescent="0.25">
      <c r="A3304" t="s">
        <v>1753</v>
      </c>
    </row>
    <row r="3305" spans="1:1" x14ac:dyDescent="0.25">
      <c r="A3305" t="s">
        <v>1741</v>
      </c>
    </row>
    <row r="3306" spans="1:1" x14ac:dyDescent="0.25">
      <c r="A3306" t="s">
        <v>1762</v>
      </c>
    </row>
    <row r="3307" spans="1:1" x14ac:dyDescent="0.25">
      <c r="A3307" t="s">
        <v>2685</v>
      </c>
    </row>
    <row r="3308" spans="1:1" x14ac:dyDescent="0.25">
      <c r="A3308" t="s">
        <v>1744</v>
      </c>
    </row>
    <row r="3310" spans="1:1" x14ac:dyDescent="0.25">
      <c r="A3310" t="s">
        <v>1737</v>
      </c>
    </row>
    <row r="3311" spans="1:1" x14ac:dyDescent="0.25">
      <c r="A3311" t="s">
        <v>1738</v>
      </c>
    </row>
    <row r="3312" spans="1:1" x14ac:dyDescent="0.25">
      <c r="A3312" t="s">
        <v>2686</v>
      </c>
    </row>
    <row r="3313" spans="1:1" x14ac:dyDescent="0.25">
      <c r="A3313" t="s">
        <v>2687</v>
      </c>
    </row>
    <row r="3314" spans="1:1" x14ac:dyDescent="0.25">
      <c r="A3314" t="s">
        <v>2684</v>
      </c>
    </row>
    <row r="3315" spans="1:1" x14ac:dyDescent="0.25">
      <c r="A3315" t="s">
        <v>1753</v>
      </c>
    </row>
    <row r="3316" spans="1:1" x14ac:dyDescent="0.25">
      <c r="A3316" t="s">
        <v>1741</v>
      </c>
    </row>
    <row r="3317" spans="1:1" x14ac:dyDescent="0.25">
      <c r="A3317" t="s">
        <v>1887</v>
      </c>
    </row>
    <row r="3318" spans="1:1" x14ac:dyDescent="0.25">
      <c r="A3318" t="s">
        <v>2688</v>
      </c>
    </row>
    <row r="3319" spans="1:1" x14ac:dyDescent="0.25">
      <c r="A3319" t="s">
        <v>1744</v>
      </c>
    </row>
    <row r="3321" spans="1:1" x14ac:dyDescent="0.25">
      <c r="A3321" t="s">
        <v>1737</v>
      </c>
    </row>
    <row r="3322" spans="1:1" x14ac:dyDescent="0.25">
      <c r="A3322" t="s">
        <v>1738</v>
      </c>
    </row>
    <row r="3323" spans="1:1" x14ac:dyDescent="0.25">
      <c r="A3323" t="s">
        <v>2689</v>
      </c>
    </row>
    <row r="3324" spans="1:1" x14ac:dyDescent="0.25">
      <c r="A3324" t="s">
        <v>2690</v>
      </c>
    </row>
    <row r="3325" spans="1:1" x14ac:dyDescent="0.25">
      <c r="A3325" t="s">
        <v>1929</v>
      </c>
    </row>
    <row r="3326" spans="1:1" x14ac:dyDescent="0.25">
      <c r="A3326" t="s">
        <v>1753</v>
      </c>
    </row>
    <row r="3327" spans="1:1" x14ac:dyDescent="0.25">
      <c r="A3327" t="s">
        <v>1741</v>
      </c>
    </row>
    <row r="3328" spans="1:1" x14ac:dyDescent="0.25">
      <c r="A3328" t="s">
        <v>1762</v>
      </c>
    </row>
    <row r="3329" spans="1:1" x14ac:dyDescent="0.25">
      <c r="A3329" t="s">
        <v>2691</v>
      </c>
    </row>
    <row r="3330" spans="1:1" x14ac:dyDescent="0.25">
      <c r="A3330" t="s">
        <v>1744</v>
      </c>
    </row>
    <row r="3332" spans="1:1" x14ac:dyDescent="0.25">
      <c r="A3332" t="s">
        <v>1737</v>
      </c>
    </row>
    <row r="3333" spans="1:1" x14ac:dyDescent="0.25">
      <c r="A3333" t="s">
        <v>1738</v>
      </c>
    </row>
    <row r="3334" spans="1:1" x14ac:dyDescent="0.25">
      <c r="A3334" t="s">
        <v>2692</v>
      </c>
    </row>
    <row r="3335" spans="1:1" x14ac:dyDescent="0.25">
      <c r="A3335" t="s">
        <v>2693</v>
      </c>
    </row>
    <row r="3336" spans="1:1" x14ac:dyDescent="0.25">
      <c r="A3336" t="s">
        <v>2010</v>
      </c>
    </row>
    <row r="3337" spans="1:1" x14ac:dyDescent="0.25">
      <c r="A3337" t="s">
        <v>1753</v>
      </c>
    </row>
    <row r="3338" spans="1:1" x14ac:dyDescent="0.25">
      <c r="A3338" t="s">
        <v>1741</v>
      </c>
    </row>
    <row r="3339" spans="1:1" x14ac:dyDescent="0.25">
      <c r="A3339" t="s">
        <v>1887</v>
      </c>
    </row>
    <row r="3340" spans="1:1" x14ac:dyDescent="0.25">
      <c r="A3340" t="s">
        <v>2694</v>
      </c>
    </row>
    <row r="3341" spans="1:1" x14ac:dyDescent="0.25">
      <c r="A3341" t="s">
        <v>1744</v>
      </c>
    </row>
    <row r="3343" spans="1:1" x14ac:dyDescent="0.25">
      <c r="A3343" t="s">
        <v>1737</v>
      </c>
    </row>
    <row r="3344" spans="1:1" x14ac:dyDescent="0.25">
      <c r="A3344" t="s">
        <v>1738</v>
      </c>
    </row>
    <row r="3345" spans="1:1" x14ac:dyDescent="0.25">
      <c r="A3345" t="s">
        <v>2695</v>
      </c>
    </row>
    <row r="3346" spans="1:1" x14ac:dyDescent="0.25">
      <c r="A3346" t="s">
        <v>2696</v>
      </c>
    </row>
    <row r="3347" spans="1:1" x14ac:dyDescent="0.25">
      <c r="A3347" t="s">
        <v>1929</v>
      </c>
    </row>
    <row r="3348" spans="1:1" x14ac:dyDescent="0.25">
      <c r="A3348" t="s">
        <v>1753</v>
      </c>
    </row>
    <row r="3349" spans="1:1" x14ac:dyDescent="0.25">
      <c r="A3349" t="s">
        <v>1741</v>
      </c>
    </row>
    <row r="3350" spans="1:1" x14ac:dyDescent="0.25">
      <c r="A3350" t="s">
        <v>1762</v>
      </c>
    </row>
    <row r="3351" spans="1:1" x14ac:dyDescent="0.25">
      <c r="A3351" t="s">
        <v>2697</v>
      </c>
    </row>
    <row r="3352" spans="1:1" x14ac:dyDescent="0.25">
      <c r="A3352" t="s">
        <v>1744</v>
      </c>
    </row>
    <row r="3354" spans="1:1" x14ac:dyDescent="0.25">
      <c r="A3354" t="s">
        <v>1737</v>
      </c>
    </row>
    <row r="3355" spans="1:1" x14ac:dyDescent="0.25">
      <c r="A3355" t="s">
        <v>1738</v>
      </c>
    </row>
    <row r="3356" spans="1:1" x14ac:dyDescent="0.25">
      <c r="A3356" t="s">
        <v>2698</v>
      </c>
    </row>
    <row r="3357" spans="1:1" x14ac:dyDescent="0.25">
      <c r="A3357" t="s">
        <v>2699</v>
      </c>
    </row>
    <row r="3358" spans="1:1" x14ac:dyDescent="0.25">
      <c r="A3358" t="s">
        <v>1929</v>
      </c>
    </row>
    <row r="3359" spans="1:1" x14ac:dyDescent="0.25">
      <c r="A3359" t="s">
        <v>1753</v>
      </c>
    </row>
    <row r="3360" spans="1:1" x14ac:dyDescent="0.25">
      <c r="A3360" t="s">
        <v>1741</v>
      </c>
    </row>
    <row r="3361" spans="1:1" x14ac:dyDescent="0.25">
      <c r="A3361" t="s">
        <v>1762</v>
      </c>
    </row>
    <row r="3362" spans="1:1" x14ac:dyDescent="0.25">
      <c r="A3362" t="s">
        <v>2700</v>
      </c>
    </row>
    <row r="3363" spans="1:1" x14ac:dyDescent="0.25">
      <c r="A3363" t="s">
        <v>1744</v>
      </c>
    </row>
    <row r="3365" spans="1:1" x14ac:dyDescent="0.25">
      <c r="A3365" t="s">
        <v>1737</v>
      </c>
    </row>
    <row r="3366" spans="1:1" x14ac:dyDescent="0.25">
      <c r="A3366" t="s">
        <v>1738</v>
      </c>
    </row>
    <row r="3367" spans="1:1" x14ac:dyDescent="0.25">
      <c r="A3367" t="s">
        <v>2701</v>
      </c>
    </row>
    <row r="3368" spans="1:1" x14ac:dyDescent="0.25">
      <c r="A3368" t="s">
        <v>2702</v>
      </c>
    </row>
    <row r="3369" spans="1:1" x14ac:dyDescent="0.25">
      <c r="A3369" t="s">
        <v>1929</v>
      </c>
    </row>
    <row r="3370" spans="1:1" x14ac:dyDescent="0.25">
      <c r="A3370" t="s">
        <v>1753</v>
      </c>
    </row>
    <row r="3371" spans="1:1" x14ac:dyDescent="0.25">
      <c r="A3371" t="s">
        <v>1741</v>
      </c>
    </row>
    <row r="3372" spans="1:1" x14ac:dyDescent="0.25">
      <c r="A3372" t="s">
        <v>1762</v>
      </c>
    </row>
    <row r="3373" spans="1:1" x14ac:dyDescent="0.25">
      <c r="A3373" t="s">
        <v>2703</v>
      </c>
    </row>
    <row r="3374" spans="1:1" x14ac:dyDescent="0.25">
      <c r="A3374" t="s">
        <v>1744</v>
      </c>
    </row>
    <row r="3376" spans="1:1" x14ac:dyDescent="0.25">
      <c r="A3376" t="s">
        <v>1737</v>
      </c>
    </row>
    <row r="3377" spans="1:1" x14ac:dyDescent="0.25">
      <c r="A3377" t="s">
        <v>1738</v>
      </c>
    </row>
    <row r="3378" spans="1:1" x14ac:dyDescent="0.25">
      <c r="A3378" t="s">
        <v>2704</v>
      </c>
    </row>
    <row r="3379" spans="1:1" x14ac:dyDescent="0.25">
      <c r="A3379" t="s">
        <v>2705</v>
      </c>
    </row>
    <row r="3380" spans="1:1" x14ac:dyDescent="0.25">
      <c r="A3380" t="s">
        <v>1962</v>
      </c>
    </row>
    <row r="3381" spans="1:1" x14ac:dyDescent="0.25">
      <c r="A3381" t="s">
        <v>1753</v>
      </c>
    </row>
    <row r="3382" spans="1:1" x14ac:dyDescent="0.25">
      <c r="A3382" t="s">
        <v>1741</v>
      </c>
    </row>
    <row r="3383" spans="1:1" x14ac:dyDescent="0.25">
      <c r="A3383" t="s">
        <v>1762</v>
      </c>
    </row>
    <row r="3384" spans="1:1" x14ac:dyDescent="0.25">
      <c r="A3384" t="s">
        <v>2706</v>
      </c>
    </row>
    <row r="3385" spans="1:1" x14ac:dyDescent="0.25">
      <c r="A3385" t="s">
        <v>1744</v>
      </c>
    </row>
    <row r="3387" spans="1:1" x14ac:dyDescent="0.25">
      <c r="A3387" t="s">
        <v>1737</v>
      </c>
    </row>
    <row r="3388" spans="1:1" x14ac:dyDescent="0.25">
      <c r="A3388" t="s">
        <v>1738</v>
      </c>
    </row>
    <row r="3389" spans="1:1" x14ac:dyDescent="0.25">
      <c r="A3389" t="s">
        <v>2707</v>
      </c>
    </row>
    <row r="3390" spans="1:1" x14ac:dyDescent="0.25">
      <c r="A3390" t="s">
        <v>2705</v>
      </c>
    </row>
    <row r="3391" spans="1:1" x14ac:dyDescent="0.25">
      <c r="A3391" t="s">
        <v>2708</v>
      </c>
    </row>
    <row r="3392" spans="1:1" x14ac:dyDescent="0.25">
      <c r="A3392" t="s">
        <v>1753</v>
      </c>
    </row>
    <row r="3393" spans="1:1" x14ac:dyDescent="0.25">
      <c r="A3393" t="s">
        <v>1741</v>
      </c>
    </row>
    <row r="3394" spans="1:1" x14ac:dyDescent="0.25">
      <c r="A3394" t="s">
        <v>2709</v>
      </c>
    </row>
    <row r="3395" spans="1:1" x14ac:dyDescent="0.25">
      <c r="A3395" t="s">
        <v>2710</v>
      </c>
    </row>
    <row r="3396" spans="1:1" x14ac:dyDescent="0.25">
      <c r="A3396" t="s">
        <v>1744</v>
      </c>
    </row>
    <row r="3398" spans="1:1" x14ac:dyDescent="0.25">
      <c r="A3398" t="s">
        <v>1737</v>
      </c>
    </row>
    <row r="3399" spans="1:1" x14ac:dyDescent="0.25">
      <c r="A3399" t="s">
        <v>1738</v>
      </c>
    </row>
    <row r="3400" spans="1:1" x14ac:dyDescent="0.25">
      <c r="A3400" t="s">
        <v>2711</v>
      </c>
    </row>
    <row r="3401" spans="1:1" x14ac:dyDescent="0.25">
      <c r="A3401" t="s">
        <v>2705</v>
      </c>
    </row>
    <row r="3402" spans="1:1" x14ac:dyDescent="0.25">
      <c r="A3402" t="s">
        <v>1929</v>
      </c>
    </row>
    <row r="3403" spans="1:1" x14ac:dyDescent="0.25">
      <c r="A3403" t="s">
        <v>1753</v>
      </c>
    </row>
    <row r="3404" spans="1:1" x14ac:dyDescent="0.25">
      <c r="A3404" t="s">
        <v>1741</v>
      </c>
    </row>
    <row r="3405" spans="1:1" x14ac:dyDescent="0.25">
      <c r="A3405" t="s">
        <v>1762</v>
      </c>
    </row>
    <row r="3406" spans="1:1" x14ac:dyDescent="0.25">
      <c r="A3406" t="s">
        <v>2712</v>
      </c>
    </row>
    <row r="3407" spans="1:1" x14ac:dyDescent="0.25">
      <c r="A3407" t="s">
        <v>1744</v>
      </c>
    </row>
    <row r="3409" spans="1:1" x14ac:dyDescent="0.25">
      <c r="A3409" t="s">
        <v>1737</v>
      </c>
    </row>
    <row r="3410" spans="1:1" x14ac:dyDescent="0.25">
      <c r="A3410" t="s">
        <v>1738</v>
      </c>
    </row>
    <row r="3411" spans="1:1" x14ac:dyDescent="0.25">
      <c r="A3411" t="s">
        <v>2713</v>
      </c>
    </row>
    <row r="3412" spans="1:1" x14ac:dyDescent="0.25">
      <c r="A3412" t="s">
        <v>2714</v>
      </c>
    </row>
    <row r="3413" spans="1:1" x14ac:dyDescent="0.25">
      <c r="A3413" t="s">
        <v>2715</v>
      </c>
    </row>
    <row r="3414" spans="1:1" x14ac:dyDescent="0.25">
      <c r="A3414" t="s">
        <v>1753</v>
      </c>
    </row>
    <row r="3415" spans="1:1" x14ac:dyDescent="0.25">
      <c r="A3415" t="s">
        <v>1741</v>
      </c>
    </row>
    <row r="3416" spans="1:1" x14ac:dyDescent="0.25">
      <c r="A3416" t="s">
        <v>1762</v>
      </c>
    </row>
    <row r="3417" spans="1:1" x14ac:dyDescent="0.25">
      <c r="A3417" t="s">
        <v>2716</v>
      </c>
    </row>
    <row r="3418" spans="1:1" x14ac:dyDescent="0.25">
      <c r="A3418" t="s">
        <v>1744</v>
      </c>
    </row>
    <row r="3420" spans="1:1" x14ac:dyDescent="0.25">
      <c r="A3420" t="s">
        <v>1737</v>
      </c>
    </row>
    <row r="3421" spans="1:1" x14ac:dyDescent="0.25">
      <c r="A3421" t="s">
        <v>1738</v>
      </c>
    </row>
    <row r="3422" spans="1:1" x14ac:dyDescent="0.25">
      <c r="A3422" t="s">
        <v>2717</v>
      </c>
    </row>
    <row r="3423" spans="1:1" x14ac:dyDescent="0.25">
      <c r="A3423" t="s">
        <v>2718</v>
      </c>
    </row>
    <row r="3424" spans="1:1" x14ac:dyDescent="0.25">
      <c r="A3424" t="s">
        <v>1990</v>
      </c>
    </row>
    <row r="3425" spans="1:1" x14ac:dyDescent="0.25">
      <c r="A3425" t="s">
        <v>1753</v>
      </c>
    </row>
    <row r="3426" spans="1:1" x14ac:dyDescent="0.25">
      <c r="A3426" t="s">
        <v>1741</v>
      </c>
    </row>
    <row r="3427" spans="1:1" x14ac:dyDescent="0.25">
      <c r="A3427" t="s">
        <v>1762</v>
      </c>
    </row>
    <row r="3428" spans="1:1" x14ac:dyDescent="0.25">
      <c r="A3428" t="s">
        <v>2719</v>
      </c>
    </row>
    <row r="3429" spans="1:1" x14ac:dyDescent="0.25">
      <c r="A3429" t="s">
        <v>1744</v>
      </c>
    </row>
    <row r="3431" spans="1:1" x14ac:dyDescent="0.25">
      <c r="A3431" t="s">
        <v>1737</v>
      </c>
    </row>
    <row r="3432" spans="1:1" x14ac:dyDescent="0.25">
      <c r="A3432" t="s">
        <v>1738</v>
      </c>
    </row>
    <row r="3433" spans="1:1" x14ac:dyDescent="0.25">
      <c r="A3433" t="s">
        <v>2720</v>
      </c>
    </row>
    <row r="3434" spans="1:1" x14ac:dyDescent="0.25">
      <c r="A3434" t="s">
        <v>2721</v>
      </c>
    </row>
    <row r="3435" spans="1:1" x14ac:dyDescent="0.25">
      <c r="A3435" t="s">
        <v>2371</v>
      </c>
    </row>
    <row r="3436" spans="1:1" x14ac:dyDescent="0.25">
      <c r="A3436" t="s">
        <v>1753</v>
      </c>
    </row>
    <row r="3437" spans="1:1" x14ac:dyDescent="0.25">
      <c r="A3437" t="s">
        <v>1741</v>
      </c>
    </row>
    <row r="3438" spans="1:1" x14ac:dyDescent="0.25">
      <c r="A3438" t="s">
        <v>1762</v>
      </c>
    </row>
    <row r="3439" spans="1:1" x14ac:dyDescent="0.25">
      <c r="A3439" t="s">
        <v>2722</v>
      </c>
    </row>
    <row r="3440" spans="1:1" x14ac:dyDescent="0.25">
      <c r="A3440" t="s">
        <v>1744</v>
      </c>
    </row>
    <row r="3442" spans="1:1" x14ac:dyDescent="0.25">
      <c r="A3442" t="s">
        <v>1737</v>
      </c>
    </row>
    <row r="3443" spans="1:1" x14ac:dyDescent="0.25">
      <c r="A3443" t="s">
        <v>1738</v>
      </c>
    </row>
    <row r="3444" spans="1:1" x14ac:dyDescent="0.25">
      <c r="A3444" t="s">
        <v>2723</v>
      </c>
    </row>
    <row r="3445" spans="1:1" x14ac:dyDescent="0.25">
      <c r="A3445" t="s">
        <v>2724</v>
      </c>
    </row>
    <row r="3446" spans="1:1" x14ac:dyDescent="0.25">
      <c r="A3446" t="s">
        <v>2006</v>
      </c>
    </row>
    <row r="3447" spans="1:1" x14ac:dyDescent="0.25">
      <c r="A3447" t="s">
        <v>1753</v>
      </c>
    </row>
    <row r="3448" spans="1:1" x14ac:dyDescent="0.25">
      <c r="A3448" t="s">
        <v>1741</v>
      </c>
    </row>
    <row r="3449" spans="1:1" x14ac:dyDescent="0.25">
      <c r="A3449" t="s">
        <v>2130</v>
      </c>
    </row>
    <row r="3450" spans="1:1" x14ac:dyDescent="0.25">
      <c r="A3450" t="s">
        <v>2725</v>
      </c>
    </row>
    <row r="3451" spans="1:1" x14ac:dyDescent="0.25">
      <c r="A3451" t="s">
        <v>1744</v>
      </c>
    </row>
    <row r="3453" spans="1:1" x14ac:dyDescent="0.25">
      <c r="A3453" t="s">
        <v>1737</v>
      </c>
    </row>
    <row r="3454" spans="1:1" x14ac:dyDescent="0.25">
      <c r="A3454" t="s">
        <v>1738</v>
      </c>
    </row>
    <row r="3455" spans="1:1" x14ac:dyDescent="0.25">
      <c r="A3455" t="s">
        <v>2726</v>
      </c>
    </row>
    <row r="3456" spans="1:1" x14ac:dyDescent="0.25">
      <c r="A3456" t="s">
        <v>2727</v>
      </c>
    </row>
    <row r="3457" spans="1:1" x14ac:dyDescent="0.25">
      <c r="A3457" t="s">
        <v>2081</v>
      </c>
    </row>
    <row r="3458" spans="1:1" x14ac:dyDescent="0.25">
      <c r="A3458" t="s">
        <v>1753</v>
      </c>
    </row>
    <row r="3459" spans="1:1" x14ac:dyDescent="0.25">
      <c r="A3459" t="s">
        <v>1741</v>
      </c>
    </row>
    <row r="3460" spans="1:1" x14ac:dyDescent="0.25">
      <c r="A3460" t="s">
        <v>2219</v>
      </c>
    </row>
    <row r="3461" spans="1:1" x14ac:dyDescent="0.25">
      <c r="A3461" t="s">
        <v>2728</v>
      </c>
    </row>
    <row r="3462" spans="1:1" x14ac:dyDescent="0.25">
      <c r="A3462" t="s">
        <v>1744</v>
      </c>
    </row>
    <row r="3464" spans="1:1" x14ac:dyDescent="0.25">
      <c r="A3464" t="s">
        <v>1737</v>
      </c>
    </row>
    <row r="3465" spans="1:1" x14ac:dyDescent="0.25">
      <c r="A3465" t="s">
        <v>1738</v>
      </c>
    </row>
    <row r="3466" spans="1:1" x14ac:dyDescent="0.25">
      <c r="A3466" t="s">
        <v>2729</v>
      </c>
    </row>
    <row r="3467" spans="1:1" x14ac:dyDescent="0.25">
      <c r="A3467" t="s">
        <v>2730</v>
      </c>
    </row>
    <row r="3468" spans="1:1" x14ac:dyDescent="0.25">
      <c r="A3468" t="s">
        <v>2301</v>
      </c>
    </row>
    <row r="3469" spans="1:1" x14ac:dyDescent="0.25">
      <c r="A3469" t="s">
        <v>1753</v>
      </c>
    </row>
    <row r="3470" spans="1:1" x14ac:dyDescent="0.25">
      <c r="A3470" t="s">
        <v>1741</v>
      </c>
    </row>
    <row r="3471" spans="1:1" x14ac:dyDescent="0.25">
      <c r="A3471" t="s">
        <v>2130</v>
      </c>
    </row>
    <row r="3472" spans="1:1" x14ac:dyDescent="0.25">
      <c r="A3472" t="s">
        <v>2731</v>
      </c>
    </row>
    <row r="3473" spans="1:1" x14ac:dyDescent="0.25">
      <c r="A3473" t="s">
        <v>1744</v>
      </c>
    </row>
    <row r="3475" spans="1:1" x14ac:dyDescent="0.25">
      <c r="A3475" t="s">
        <v>1737</v>
      </c>
    </row>
    <row r="3476" spans="1:1" x14ac:dyDescent="0.25">
      <c r="A3476" t="s">
        <v>1738</v>
      </c>
    </row>
    <row r="3477" spans="1:1" x14ac:dyDescent="0.25">
      <c r="A3477" t="s">
        <v>2732</v>
      </c>
    </row>
    <row r="3478" spans="1:1" x14ac:dyDescent="0.25">
      <c r="A3478" t="s">
        <v>2733</v>
      </c>
    </row>
    <row r="3479" spans="1:1" x14ac:dyDescent="0.25">
      <c r="A3479" t="s">
        <v>2010</v>
      </c>
    </row>
    <row r="3480" spans="1:1" x14ac:dyDescent="0.25">
      <c r="A3480" t="s">
        <v>1753</v>
      </c>
    </row>
    <row r="3481" spans="1:1" x14ac:dyDescent="0.25">
      <c r="A3481" t="s">
        <v>1741</v>
      </c>
    </row>
    <row r="3482" spans="1:1" x14ac:dyDescent="0.25">
      <c r="A3482" t="s">
        <v>1762</v>
      </c>
    </row>
    <row r="3483" spans="1:1" x14ac:dyDescent="0.25">
      <c r="A3483" t="s">
        <v>2734</v>
      </c>
    </row>
    <row r="3484" spans="1:1" x14ac:dyDescent="0.25">
      <c r="A3484" t="s">
        <v>1744</v>
      </c>
    </row>
    <row r="3486" spans="1:1" x14ac:dyDescent="0.25">
      <c r="A3486" t="s">
        <v>1737</v>
      </c>
    </row>
    <row r="3487" spans="1:1" x14ac:dyDescent="0.25">
      <c r="A3487" t="s">
        <v>1738</v>
      </c>
    </row>
    <row r="3488" spans="1:1" x14ac:dyDescent="0.25">
      <c r="A3488" t="s">
        <v>2735</v>
      </c>
    </row>
    <row r="3489" spans="1:1" x14ac:dyDescent="0.25">
      <c r="A3489" t="s">
        <v>2736</v>
      </c>
    </row>
    <row r="3490" spans="1:1" x14ac:dyDescent="0.25">
      <c r="A3490" t="s">
        <v>1990</v>
      </c>
    </row>
    <row r="3491" spans="1:1" x14ac:dyDescent="0.25">
      <c r="A3491" t="s">
        <v>1753</v>
      </c>
    </row>
    <row r="3492" spans="1:1" x14ac:dyDescent="0.25">
      <c r="A3492" t="s">
        <v>1741</v>
      </c>
    </row>
    <row r="3493" spans="1:1" x14ac:dyDescent="0.25">
      <c r="A3493" t="s">
        <v>1762</v>
      </c>
    </row>
    <row r="3494" spans="1:1" x14ac:dyDescent="0.25">
      <c r="A3494" t="s">
        <v>2737</v>
      </c>
    </row>
    <row r="3495" spans="1:1" x14ac:dyDescent="0.25">
      <c r="A3495" t="s">
        <v>1744</v>
      </c>
    </row>
    <row r="3497" spans="1:1" x14ac:dyDescent="0.25">
      <c r="A3497" t="s">
        <v>1737</v>
      </c>
    </row>
    <row r="3498" spans="1:1" x14ac:dyDescent="0.25">
      <c r="A3498" t="s">
        <v>1738</v>
      </c>
    </row>
    <row r="3499" spans="1:1" x14ac:dyDescent="0.25">
      <c r="A3499" t="s">
        <v>2738</v>
      </c>
    </row>
    <row r="3500" spans="1:1" x14ac:dyDescent="0.25">
      <c r="A3500" t="s">
        <v>2739</v>
      </c>
    </row>
    <row r="3501" spans="1:1" x14ac:dyDescent="0.25">
      <c r="A3501" t="s">
        <v>2740</v>
      </c>
    </row>
    <row r="3502" spans="1:1" x14ac:dyDescent="0.25">
      <c r="A3502" t="s">
        <v>1753</v>
      </c>
    </row>
    <row r="3503" spans="1:1" x14ac:dyDescent="0.25">
      <c r="A3503" t="s">
        <v>1740</v>
      </c>
    </row>
    <row r="3504" spans="1:1" x14ac:dyDescent="0.25">
      <c r="A3504" t="s">
        <v>1741</v>
      </c>
    </row>
    <row r="3505" spans="1:1" x14ac:dyDescent="0.25">
      <c r="A3505" t="s">
        <v>2741</v>
      </c>
    </row>
    <row r="3506" spans="1:1" x14ac:dyDescent="0.25">
      <c r="A3506" t="s">
        <v>2742</v>
      </c>
    </row>
    <row r="3507" spans="1:1" x14ac:dyDescent="0.25">
      <c r="A3507" t="s">
        <v>1744</v>
      </c>
    </row>
    <row r="3509" spans="1:1" x14ac:dyDescent="0.25">
      <c r="A3509" t="s">
        <v>1737</v>
      </c>
    </row>
    <row r="3510" spans="1:1" x14ac:dyDescent="0.25">
      <c r="A3510" t="s">
        <v>1738</v>
      </c>
    </row>
    <row r="3511" spans="1:1" x14ac:dyDescent="0.25">
      <c r="A3511" t="s">
        <v>2743</v>
      </c>
    </row>
    <row r="3512" spans="1:1" x14ac:dyDescent="0.25">
      <c r="A3512" t="s">
        <v>2744</v>
      </c>
    </row>
    <row r="3513" spans="1:1" x14ac:dyDescent="0.25">
      <c r="A3513" t="s">
        <v>2740</v>
      </c>
    </row>
    <row r="3514" spans="1:1" x14ac:dyDescent="0.25">
      <c r="A3514" t="s">
        <v>1753</v>
      </c>
    </row>
    <row r="3515" spans="1:1" x14ac:dyDescent="0.25">
      <c r="A3515" t="s">
        <v>1740</v>
      </c>
    </row>
    <row r="3516" spans="1:1" x14ac:dyDescent="0.25">
      <c r="A3516" t="s">
        <v>1741</v>
      </c>
    </row>
    <row r="3517" spans="1:1" x14ac:dyDescent="0.25">
      <c r="A3517" t="s">
        <v>2741</v>
      </c>
    </row>
    <row r="3518" spans="1:1" x14ac:dyDescent="0.25">
      <c r="A3518" t="s">
        <v>2745</v>
      </c>
    </row>
    <row r="3519" spans="1:1" x14ac:dyDescent="0.25">
      <c r="A3519" t="s">
        <v>1744</v>
      </c>
    </row>
    <row r="3521" spans="1:1" x14ac:dyDescent="0.25">
      <c r="A3521" t="s">
        <v>1737</v>
      </c>
    </row>
    <row r="3522" spans="1:1" x14ac:dyDescent="0.25">
      <c r="A3522" t="s">
        <v>1738</v>
      </c>
    </row>
    <row r="3523" spans="1:1" x14ac:dyDescent="0.25">
      <c r="A3523" t="s">
        <v>2746</v>
      </c>
    </row>
    <row r="3524" spans="1:1" x14ac:dyDescent="0.25">
      <c r="A3524" t="s">
        <v>2747</v>
      </c>
    </row>
    <row r="3525" spans="1:1" x14ac:dyDescent="0.25">
      <c r="A3525" t="s">
        <v>2740</v>
      </c>
    </row>
    <row r="3526" spans="1:1" x14ac:dyDescent="0.25">
      <c r="A3526" t="s">
        <v>1753</v>
      </c>
    </row>
    <row r="3527" spans="1:1" x14ac:dyDescent="0.25">
      <c r="A3527" t="s">
        <v>1741</v>
      </c>
    </row>
    <row r="3528" spans="1:1" x14ac:dyDescent="0.25">
      <c r="A3528" t="s">
        <v>2748</v>
      </c>
    </row>
    <row r="3529" spans="1:1" x14ac:dyDescent="0.25">
      <c r="A3529" t="s">
        <v>2749</v>
      </c>
    </row>
    <row r="3530" spans="1:1" x14ac:dyDescent="0.25">
      <c r="A3530" t="s">
        <v>1744</v>
      </c>
    </row>
    <row r="3532" spans="1:1" x14ac:dyDescent="0.25">
      <c r="A3532" t="s">
        <v>1737</v>
      </c>
    </row>
    <row r="3533" spans="1:1" x14ac:dyDescent="0.25">
      <c r="A3533" t="s">
        <v>1738</v>
      </c>
    </row>
    <row r="3534" spans="1:1" x14ac:dyDescent="0.25">
      <c r="A3534" t="s">
        <v>2750</v>
      </c>
    </row>
    <row r="3535" spans="1:1" x14ac:dyDescent="0.25">
      <c r="A3535" t="s">
        <v>2751</v>
      </c>
    </row>
    <row r="3536" spans="1:1" x14ac:dyDescent="0.25">
      <c r="A3536" t="s">
        <v>2740</v>
      </c>
    </row>
    <row r="3537" spans="1:1" x14ac:dyDescent="0.25">
      <c r="A3537" t="s">
        <v>1753</v>
      </c>
    </row>
    <row r="3538" spans="1:1" x14ac:dyDescent="0.25">
      <c r="A3538" t="s">
        <v>1740</v>
      </c>
    </row>
    <row r="3539" spans="1:1" x14ac:dyDescent="0.25">
      <c r="A3539" t="s">
        <v>1741</v>
      </c>
    </row>
    <row r="3540" spans="1:1" x14ac:dyDescent="0.25">
      <c r="A3540" t="s">
        <v>2741</v>
      </c>
    </row>
    <row r="3541" spans="1:1" x14ac:dyDescent="0.25">
      <c r="A3541" t="s">
        <v>2752</v>
      </c>
    </row>
    <row r="3542" spans="1:1" x14ac:dyDescent="0.25">
      <c r="A3542" t="s">
        <v>1744</v>
      </c>
    </row>
    <row r="3544" spans="1:1" x14ac:dyDescent="0.25">
      <c r="A3544" t="s">
        <v>1737</v>
      </c>
    </row>
    <row r="3545" spans="1:1" x14ac:dyDescent="0.25">
      <c r="A3545" t="s">
        <v>1738</v>
      </c>
    </row>
    <row r="3546" spans="1:1" x14ac:dyDescent="0.25">
      <c r="A3546" t="s">
        <v>2753</v>
      </c>
    </row>
    <row r="3547" spans="1:1" x14ac:dyDescent="0.25">
      <c r="A3547" t="s">
        <v>2754</v>
      </c>
    </row>
    <row r="3548" spans="1:1" x14ac:dyDescent="0.25">
      <c r="A3548" t="s">
        <v>2740</v>
      </c>
    </row>
    <row r="3549" spans="1:1" x14ac:dyDescent="0.25">
      <c r="A3549" t="s">
        <v>1753</v>
      </c>
    </row>
    <row r="3550" spans="1:1" x14ac:dyDescent="0.25">
      <c r="A3550" t="s">
        <v>1741</v>
      </c>
    </row>
    <row r="3551" spans="1:1" x14ac:dyDescent="0.25">
      <c r="A3551" t="s">
        <v>2755</v>
      </c>
    </row>
    <row r="3552" spans="1:1" x14ac:dyDescent="0.25">
      <c r="A3552" t="s">
        <v>2756</v>
      </c>
    </row>
    <row r="3553" spans="1:1" x14ac:dyDescent="0.25">
      <c r="A3553" t="s">
        <v>1744</v>
      </c>
    </row>
    <row r="3555" spans="1:1" x14ac:dyDescent="0.25">
      <c r="A3555" t="s">
        <v>1737</v>
      </c>
    </row>
    <row r="3556" spans="1:1" x14ac:dyDescent="0.25">
      <c r="A3556" t="s">
        <v>1738</v>
      </c>
    </row>
    <row r="3557" spans="1:1" x14ac:dyDescent="0.25">
      <c r="A3557" t="s">
        <v>2757</v>
      </c>
    </row>
    <row r="3558" spans="1:1" x14ac:dyDescent="0.25">
      <c r="A3558" t="s">
        <v>2758</v>
      </c>
    </row>
    <row r="3559" spans="1:1" x14ac:dyDescent="0.25">
      <c r="A3559" t="s">
        <v>2740</v>
      </c>
    </row>
    <row r="3560" spans="1:1" x14ac:dyDescent="0.25">
      <c r="A3560" t="s">
        <v>1753</v>
      </c>
    </row>
    <row r="3561" spans="1:1" x14ac:dyDescent="0.25">
      <c r="A3561" t="s">
        <v>1741</v>
      </c>
    </row>
    <row r="3562" spans="1:1" x14ac:dyDescent="0.25">
      <c r="A3562" t="s">
        <v>2759</v>
      </c>
    </row>
    <row r="3563" spans="1:1" x14ac:dyDescent="0.25">
      <c r="A3563" t="s">
        <v>2760</v>
      </c>
    </row>
    <row r="3564" spans="1:1" x14ac:dyDescent="0.25">
      <c r="A3564" t="s">
        <v>1744</v>
      </c>
    </row>
    <row r="3566" spans="1:1" x14ac:dyDescent="0.25">
      <c r="A3566" t="s">
        <v>1737</v>
      </c>
    </row>
    <row r="3567" spans="1:1" x14ac:dyDescent="0.25">
      <c r="A3567" t="s">
        <v>1738</v>
      </c>
    </row>
    <row r="3568" spans="1:1" x14ac:dyDescent="0.25">
      <c r="A3568" t="s">
        <v>2761</v>
      </c>
    </row>
    <row r="3569" spans="1:1" x14ac:dyDescent="0.25">
      <c r="A3569" t="s">
        <v>2762</v>
      </c>
    </row>
    <row r="3570" spans="1:1" x14ac:dyDescent="0.25">
      <c r="A3570" t="s">
        <v>2740</v>
      </c>
    </row>
    <row r="3571" spans="1:1" x14ac:dyDescent="0.25">
      <c r="A3571" t="s">
        <v>1753</v>
      </c>
    </row>
    <row r="3572" spans="1:1" x14ac:dyDescent="0.25">
      <c r="A3572" t="s">
        <v>1740</v>
      </c>
    </row>
    <row r="3573" spans="1:1" x14ac:dyDescent="0.25">
      <c r="A3573" t="s">
        <v>1741</v>
      </c>
    </row>
    <row r="3574" spans="1:1" x14ac:dyDescent="0.25">
      <c r="A3574" t="s">
        <v>2763</v>
      </c>
    </row>
    <row r="3575" spans="1:1" x14ac:dyDescent="0.25">
      <c r="A3575" t="s">
        <v>2764</v>
      </c>
    </row>
    <row r="3576" spans="1:1" x14ac:dyDescent="0.25">
      <c r="A3576" t="s">
        <v>1744</v>
      </c>
    </row>
    <row r="3578" spans="1:1" x14ac:dyDescent="0.25">
      <c r="A3578" t="s">
        <v>1737</v>
      </c>
    </row>
    <row r="3579" spans="1:1" x14ac:dyDescent="0.25">
      <c r="A3579" t="s">
        <v>1738</v>
      </c>
    </row>
    <row r="3580" spans="1:1" x14ac:dyDescent="0.25">
      <c r="A3580" t="s">
        <v>2765</v>
      </c>
    </row>
    <row r="3581" spans="1:1" x14ac:dyDescent="0.25">
      <c r="A3581" t="s">
        <v>2766</v>
      </c>
    </row>
    <row r="3582" spans="1:1" x14ac:dyDescent="0.25">
      <c r="A3582" t="s">
        <v>2740</v>
      </c>
    </row>
    <row r="3583" spans="1:1" x14ac:dyDescent="0.25">
      <c r="A3583" t="s">
        <v>1753</v>
      </c>
    </row>
    <row r="3584" spans="1:1" x14ac:dyDescent="0.25">
      <c r="A3584" t="s">
        <v>1740</v>
      </c>
    </row>
    <row r="3585" spans="1:1" x14ac:dyDescent="0.25">
      <c r="A3585" t="s">
        <v>1741</v>
      </c>
    </row>
    <row r="3586" spans="1:1" x14ac:dyDescent="0.25">
      <c r="A3586" t="s">
        <v>2767</v>
      </c>
    </row>
    <row r="3587" spans="1:1" x14ac:dyDescent="0.25">
      <c r="A3587" t="s">
        <v>2768</v>
      </c>
    </row>
    <row r="3588" spans="1:1" x14ac:dyDescent="0.25">
      <c r="A3588" t="s">
        <v>1744</v>
      </c>
    </row>
    <row r="3590" spans="1:1" x14ac:dyDescent="0.25">
      <c r="A3590" t="s">
        <v>1737</v>
      </c>
    </row>
    <row r="3591" spans="1:1" x14ac:dyDescent="0.25">
      <c r="A3591" t="s">
        <v>1738</v>
      </c>
    </row>
    <row r="3592" spans="1:1" x14ac:dyDescent="0.25">
      <c r="A3592" t="s">
        <v>2769</v>
      </c>
    </row>
    <row r="3593" spans="1:1" x14ac:dyDescent="0.25">
      <c r="A3593" t="s">
        <v>2770</v>
      </c>
    </row>
    <row r="3594" spans="1:1" x14ac:dyDescent="0.25">
      <c r="A3594" t="s">
        <v>2740</v>
      </c>
    </row>
    <row r="3595" spans="1:1" x14ac:dyDescent="0.25">
      <c r="A3595" t="s">
        <v>1753</v>
      </c>
    </row>
    <row r="3596" spans="1:1" x14ac:dyDescent="0.25">
      <c r="A3596" t="s">
        <v>1740</v>
      </c>
    </row>
    <row r="3597" spans="1:1" x14ac:dyDescent="0.25">
      <c r="A3597" t="s">
        <v>1741</v>
      </c>
    </row>
    <row r="3598" spans="1:1" x14ac:dyDescent="0.25">
      <c r="A3598" t="s">
        <v>2767</v>
      </c>
    </row>
    <row r="3599" spans="1:1" x14ac:dyDescent="0.25">
      <c r="A3599" t="s">
        <v>2771</v>
      </c>
    </row>
    <row r="3600" spans="1:1" x14ac:dyDescent="0.25">
      <c r="A3600" t="s">
        <v>1744</v>
      </c>
    </row>
    <row r="3602" spans="1:1" x14ac:dyDescent="0.25">
      <c r="A3602" t="s">
        <v>1737</v>
      </c>
    </row>
    <row r="3603" spans="1:1" x14ac:dyDescent="0.25">
      <c r="A3603" t="s">
        <v>1738</v>
      </c>
    </row>
    <row r="3604" spans="1:1" x14ac:dyDescent="0.25">
      <c r="A3604" t="s">
        <v>2772</v>
      </c>
    </row>
    <row r="3605" spans="1:1" x14ac:dyDescent="0.25">
      <c r="A3605" t="s">
        <v>2773</v>
      </c>
    </row>
    <row r="3606" spans="1:1" x14ac:dyDescent="0.25">
      <c r="A3606" t="s">
        <v>2740</v>
      </c>
    </row>
    <row r="3607" spans="1:1" x14ac:dyDescent="0.25">
      <c r="A3607" t="s">
        <v>1753</v>
      </c>
    </row>
    <row r="3608" spans="1:1" x14ac:dyDescent="0.25">
      <c r="A3608" t="s">
        <v>1740</v>
      </c>
    </row>
    <row r="3609" spans="1:1" x14ac:dyDescent="0.25">
      <c r="A3609" t="s">
        <v>1741</v>
      </c>
    </row>
    <row r="3610" spans="1:1" x14ac:dyDescent="0.25">
      <c r="A3610" t="s">
        <v>2767</v>
      </c>
    </row>
    <row r="3611" spans="1:1" x14ac:dyDescent="0.25">
      <c r="A3611" t="s">
        <v>2774</v>
      </c>
    </row>
    <row r="3612" spans="1:1" x14ac:dyDescent="0.25">
      <c r="A3612" t="s">
        <v>1744</v>
      </c>
    </row>
    <row r="3614" spans="1:1" x14ac:dyDescent="0.25">
      <c r="A3614" t="s">
        <v>1737</v>
      </c>
    </row>
    <row r="3615" spans="1:1" x14ac:dyDescent="0.25">
      <c r="A3615" t="s">
        <v>1738</v>
      </c>
    </row>
    <row r="3616" spans="1:1" x14ac:dyDescent="0.25">
      <c r="A3616" t="s">
        <v>2775</v>
      </c>
    </row>
    <row r="3617" spans="1:1" x14ac:dyDescent="0.25">
      <c r="A3617" t="s">
        <v>2776</v>
      </c>
    </row>
    <row r="3618" spans="1:1" x14ac:dyDescent="0.25">
      <c r="A3618" t="s">
        <v>2740</v>
      </c>
    </row>
    <row r="3619" spans="1:1" x14ac:dyDescent="0.25">
      <c r="A3619" t="s">
        <v>1753</v>
      </c>
    </row>
    <row r="3620" spans="1:1" x14ac:dyDescent="0.25">
      <c r="A3620" t="s">
        <v>1740</v>
      </c>
    </row>
    <row r="3621" spans="1:1" x14ac:dyDescent="0.25">
      <c r="A3621" t="s">
        <v>1741</v>
      </c>
    </row>
    <row r="3622" spans="1:1" x14ac:dyDescent="0.25">
      <c r="A3622" t="s">
        <v>2763</v>
      </c>
    </row>
    <row r="3623" spans="1:1" x14ac:dyDescent="0.25">
      <c r="A3623" t="s">
        <v>2777</v>
      </c>
    </row>
    <row r="3624" spans="1:1" x14ac:dyDescent="0.25">
      <c r="A3624" t="s">
        <v>1744</v>
      </c>
    </row>
    <row r="3626" spans="1:1" x14ac:dyDescent="0.25">
      <c r="A3626" t="s">
        <v>1737</v>
      </c>
    </row>
    <row r="3627" spans="1:1" x14ac:dyDescent="0.25">
      <c r="A3627" t="s">
        <v>1738</v>
      </c>
    </row>
    <row r="3628" spans="1:1" x14ac:dyDescent="0.25">
      <c r="A3628" t="s">
        <v>2778</v>
      </c>
    </row>
    <row r="3629" spans="1:1" x14ac:dyDescent="0.25">
      <c r="A3629" t="s">
        <v>2779</v>
      </c>
    </row>
    <row r="3630" spans="1:1" x14ac:dyDescent="0.25">
      <c r="A3630" t="s">
        <v>2740</v>
      </c>
    </row>
    <row r="3631" spans="1:1" x14ac:dyDescent="0.25">
      <c r="A3631" t="s">
        <v>1753</v>
      </c>
    </row>
    <row r="3632" spans="1:1" x14ac:dyDescent="0.25">
      <c r="A3632" t="s">
        <v>1741</v>
      </c>
    </row>
    <row r="3633" spans="1:1" x14ac:dyDescent="0.25">
      <c r="A3633" t="s">
        <v>2780</v>
      </c>
    </row>
    <row r="3634" spans="1:1" x14ac:dyDescent="0.25">
      <c r="A3634" t="s">
        <v>2781</v>
      </c>
    </row>
    <row r="3635" spans="1:1" x14ac:dyDescent="0.25">
      <c r="A3635" t="s">
        <v>1744</v>
      </c>
    </row>
    <row r="3637" spans="1:1" x14ac:dyDescent="0.25">
      <c r="A3637" t="s">
        <v>1737</v>
      </c>
    </row>
    <row r="3638" spans="1:1" x14ac:dyDescent="0.25">
      <c r="A3638" t="s">
        <v>1738</v>
      </c>
    </row>
    <row r="3639" spans="1:1" x14ac:dyDescent="0.25">
      <c r="A3639" t="s">
        <v>2782</v>
      </c>
    </row>
    <row r="3640" spans="1:1" x14ac:dyDescent="0.25">
      <c r="A3640" t="s">
        <v>2783</v>
      </c>
    </row>
    <row r="3641" spans="1:1" x14ac:dyDescent="0.25">
      <c r="A3641" t="s">
        <v>2740</v>
      </c>
    </row>
    <row r="3642" spans="1:1" x14ac:dyDescent="0.25">
      <c r="A3642" t="s">
        <v>1753</v>
      </c>
    </row>
    <row r="3643" spans="1:1" x14ac:dyDescent="0.25">
      <c r="A3643" t="s">
        <v>1740</v>
      </c>
    </row>
    <row r="3644" spans="1:1" x14ac:dyDescent="0.25">
      <c r="A3644" t="s">
        <v>1741</v>
      </c>
    </row>
    <row r="3645" spans="1:1" x14ac:dyDescent="0.25">
      <c r="A3645" t="s">
        <v>2741</v>
      </c>
    </row>
    <row r="3646" spans="1:1" x14ac:dyDescent="0.25">
      <c r="A3646" t="s">
        <v>2784</v>
      </c>
    </row>
    <row r="3647" spans="1:1" x14ac:dyDescent="0.25">
      <c r="A3647" t="s">
        <v>1744</v>
      </c>
    </row>
    <row r="3649" spans="1:1" x14ac:dyDescent="0.25">
      <c r="A3649" t="s">
        <v>1737</v>
      </c>
    </row>
    <row r="3650" spans="1:1" x14ac:dyDescent="0.25">
      <c r="A3650" t="s">
        <v>1738</v>
      </c>
    </row>
    <row r="3651" spans="1:1" x14ac:dyDescent="0.25">
      <c r="A3651" t="s">
        <v>2785</v>
      </c>
    </row>
    <row r="3652" spans="1:1" x14ac:dyDescent="0.25">
      <c r="A3652" t="s">
        <v>2786</v>
      </c>
    </row>
    <row r="3653" spans="1:1" x14ac:dyDescent="0.25">
      <c r="A3653" t="s">
        <v>2740</v>
      </c>
    </row>
    <row r="3654" spans="1:1" x14ac:dyDescent="0.25">
      <c r="A3654" t="s">
        <v>1753</v>
      </c>
    </row>
    <row r="3655" spans="1:1" x14ac:dyDescent="0.25">
      <c r="A3655" t="s">
        <v>1741</v>
      </c>
    </row>
    <row r="3656" spans="1:1" x14ac:dyDescent="0.25">
      <c r="A3656" t="s">
        <v>2759</v>
      </c>
    </row>
    <row r="3657" spans="1:1" x14ac:dyDescent="0.25">
      <c r="A3657" t="s">
        <v>2787</v>
      </c>
    </row>
    <row r="3658" spans="1:1" x14ac:dyDescent="0.25">
      <c r="A3658" t="s">
        <v>1744</v>
      </c>
    </row>
    <row r="3660" spans="1:1" x14ac:dyDescent="0.25">
      <c r="A3660" t="s">
        <v>1737</v>
      </c>
    </row>
    <row r="3661" spans="1:1" x14ac:dyDescent="0.25">
      <c r="A3661" t="s">
        <v>1738</v>
      </c>
    </row>
    <row r="3662" spans="1:1" x14ac:dyDescent="0.25">
      <c r="A3662" t="s">
        <v>2788</v>
      </c>
    </row>
    <row r="3663" spans="1:1" x14ac:dyDescent="0.25">
      <c r="A3663" t="s">
        <v>2789</v>
      </c>
    </row>
    <row r="3664" spans="1:1" x14ac:dyDescent="0.25">
      <c r="A3664" t="s">
        <v>2740</v>
      </c>
    </row>
    <row r="3665" spans="1:1" x14ac:dyDescent="0.25">
      <c r="A3665" t="s">
        <v>1753</v>
      </c>
    </row>
    <row r="3666" spans="1:1" x14ac:dyDescent="0.25">
      <c r="A3666" t="s">
        <v>1741</v>
      </c>
    </row>
    <row r="3667" spans="1:1" x14ac:dyDescent="0.25">
      <c r="A3667" t="s">
        <v>2790</v>
      </c>
    </row>
    <row r="3668" spans="1:1" x14ac:dyDescent="0.25">
      <c r="A3668" t="s">
        <v>2791</v>
      </c>
    </row>
    <row r="3669" spans="1:1" x14ac:dyDescent="0.25">
      <c r="A3669" t="s">
        <v>1744</v>
      </c>
    </row>
    <row r="3671" spans="1:1" x14ac:dyDescent="0.25">
      <c r="A3671" t="s">
        <v>1737</v>
      </c>
    </row>
    <row r="3672" spans="1:1" x14ac:dyDescent="0.25">
      <c r="A3672" t="s">
        <v>1738</v>
      </c>
    </row>
    <row r="3673" spans="1:1" x14ac:dyDescent="0.25">
      <c r="A3673" t="s">
        <v>2792</v>
      </c>
    </row>
    <row r="3674" spans="1:1" x14ac:dyDescent="0.25">
      <c r="A3674" t="s">
        <v>2793</v>
      </c>
    </row>
    <row r="3675" spans="1:1" x14ac:dyDescent="0.25">
      <c r="A3675" t="s">
        <v>2740</v>
      </c>
    </row>
    <row r="3676" spans="1:1" x14ac:dyDescent="0.25">
      <c r="A3676" t="s">
        <v>1753</v>
      </c>
    </row>
    <row r="3677" spans="1:1" x14ac:dyDescent="0.25">
      <c r="A3677" t="s">
        <v>1741</v>
      </c>
    </row>
    <row r="3678" spans="1:1" x14ac:dyDescent="0.25">
      <c r="A3678" t="s">
        <v>2794</v>
      </c>
    </row>
    <row r="3679" spans="1:1" x14ac:dyDescent="0.25">
      <c r="A3679" t="s">
        <v>2795</v>
      </c>
    </row>
    <row r="3680" spans="1:1" x14ac:dyDescent="0.25">
      <c r="A3680" t="s">
        <v>1744</v>
      </c>
    </row>
    <row r="3682" spans="1:1" x14ac:dyDescent="0.25">
      <c r="A3682" t="s">
        <v>1737</v>
      </c>
    </row>
    <row r="3683" spans="1:1" x14ac:dyDescent="0.25">
      <c r="A3683" t="s">
        <v>1738</v>
      </c>
    </row>
    <row r="3684" spans="1:1" x14ac:dyDescent="0.25">
      <c r="A3684" t="s">
        <v>2796</v>
      </c>
    </row>
    <row r="3685" spans="1:1" x14ac:dyDescent="0.25">
      <c r="A3685" t="s">
        <v>2797</v>
      </c>
    </row>
    <row r="3686" spans="1:1" x14ac:dyDescent="0.25">
      <c r="A3686" t="s">
        <v>2740</v>
      </c>
    </row>
    <row r="3687" spans="1:1" x14ac:dyDescent="0.25">
      <c r="A3687" t="s">
        <v>1753</v>
      </c>
    </row>
    <row r="3688" spans="1:1" x14ac:dyDescent="0.25">
      <c r="A3688" t="s">
        <v>1741</v>
      </c>
    </row>
    <row r="3689" spans="1:1" x14ac:dyDescent="0.25">
      <c r="A3689" t="s">
        <v>2798</v>
      </c>
    </row>
    <row r="3690" spans="1:1" x14ac:dyDescent="0.25">
      <c r="A3690" t="s">
        <v>2799</v>
      </c>
    </row>
    <row r="3691" spans="1:1" x14ac:dyDescent="0.25">
      <c r="A3691" t="s">
        <v>1744</v>
      </c>
    </row>
    <row r="3693" spans="1:1" x14ac:dyDescent="0.25">
      <c r="A3693" t="s">
        <v>1737</v>
      </c>
    </row>
    <row r="3694" spans="1:1" x14ac:dyDescent="0.25">
      <c r="A3694" t="s">
        <v>1738</v>
      </c>
    </row>
    <row r="3695" spans="1:1" x14ac:dyDescent="0.25">
      <c r="A3695" t="s">
        <v>2800</v>
      </c>
    </row>
    <row r="3696" spans="1:1" x14ac:dyDescent="0.25">
      <c r="A3696" t="s">
        <v>2801</v>
      </c>
    </row>
    <row r="3697" spans="1:1" x14ac:dyDescent="0.25">
      <c r="A3697" t="s">
        <v>2740</v>
      </c>
    </row>
    <row r="3698" spans="1:1" x14ac:dyDescent="0.25">
      <c r="A3698" t="s">
        <v>1753</v>
      </c>
    </row>
    <row r="3699" spans="1:1" x14ac:dyDescent="0.25">
      <c r="A3699" t="s">
        <v>1741</v>
      </c>
    </row>
    <row r="3700" spans="1:1" x14ac:dyDescent="0.25">
      <c r="A3700" t="s">
        <v>2759</v>
      </c>
    </row>
    <row r="3701" spans="1:1" x14ac:dyDescent="0.25">
      <c r="A3701" t="s">
        <v>2802</v>
      </c>
    </row>
    <row r="3702" spans="1:1" x14ac:dyDescent="0.25">
      <c r="A3702" t="s">
        <v>1744</v>
      </c>
    </row>
    <row r="3704" spans="1:1" x14ac:dyDescent="0.25">
      <c r="A3704" t="s">
        <v>1737</v>
      </c>
    </row>
    <row r="3705" spans="1:1" x14ac:dyDescent="0.25">
      <c r="A3705" t="s">
        <v>1738</v>
      </c>
    </row>
    <row r="3706" spans="1:1" x14ac:dyDescent="0.25">
      <c r="A3706" t="s">
        <v>2803</v>
      </c>
    </row>
    <row r="3707" spans="1:1" x14ac:dyDescent="0.25">
      <c r="A3707" t="s">
        <v>2804</v>
      </c>
    </row>
    <row r="3708" spans="1:1" x14ac:dyDescent="0.25">
      <c r="A3708" t="s">
        <v>2740</v>
      </c>
    </row>
    <row r="3709" spans="1:1" x14ac:dyDescent="0.25">
      <c r="A3709" t="s">
        <v>1753</v>
      </c>
    </row>
    <row r="3710" spans="1:1" x14ac:dyDescent="0.25">
      <c r="A3710" t="s">
        <v>1740</v>
      </c>
    </row>
    <row r="3711" spans="1:1" x14ac:dyDescent="0.25">
      <c r="A3711" t="s">
        <v>1741</v>
      </c>
    </row>
    <row r="3712" spans="1:1" x14ac:dyDescent="0.25">
      <c r="A3712" t="s">
        <v>2741</v>
      </c>
    </row>
    <row r="3713" spans="1:1" x14ac:dyDescent="0.25">
      <c r="A3713" t="s">
        <v>2805</v>
      </c>
    </row>
    <row r="3714" spans="1:1" x14ac:dyDescent="0.25">
      <c r="A3714" t="s">
        <v>1744</v>
      </c>
    </row>
    <row r="3716" spans="1:1" x14ac:dyDescent="0.25">
      <c r="A3716" t="s">
        <v>1737</v>
      </c>
    </row>
    <row r="3717" spans="1:1" x14ac:dyDescent="0.25">
      <c r="A3717" t="s">
        <v>1738</v>
      </c>
    </row>
    <row r="3718" spans="1:1" x14ac:dyDescent="0.25">
      <c r="A3718" t="s">
        <v>2806</v>
      </c>
    </row>
    <row r="3719" spans="1:1" x14ac:dyDescent="0.25">
      <c r="A3719" t="s">
        <v>2807</v>
      </c>
    </row>
    <row r="3720" spans="1:1" x14ac:dyDescent="0.25">
      <c r="A3720" t="s">
        <v>2740</v>
      </c>
    </row>
    <row r="3721" spans="1:1" x14ac:dyDescent="0.25">
      <c r="A3721" t="s">
        <v>1753</v>
      </c>
    </row>
    <row r="3722" spans="1:1" x14ac:dyDescent="0.25">
      <c r="A3722" t="s">
        <v>1741</v>
      </c>
    </row>
    <row r="3723" spans="1:1" x14ac:dyDescent="0.25">
      <c r="A3723" t="s">
        <v>2759</v>
      </c>
    </row>
    <row r="3724" spans="1:1" x14ac:dyDescent="0.25">
      <c r="A3724" t="s">
        <v>2808</v>
      </c>
    </row>
    <row r="3725" spans="1:1" x14ac:dyDescent="0.25">
      <c r="A3725" t="s">
        <v>1744</v>
      </c>
    </row>
    <row r="3727" spans="1:1" x14ac:dyDescent="0.25">
      <c r="A3727" t="s">
        <v>1737</v>
      </c>
    </row>
    <row r="3728" spans="1:1" x14ac:dyDescent="0.25">
      <c r="A3728" t="s">
        <v>1738</v>
      </c>
    </row>
    <row r="3729" spans="1:1" x14ac:dyDescent="0.25">
      <c r="A3729" t="s">
        <v>2809</v>
      </c>
    </row>
    <row r="3730" spans="1:1" x14ac:dyDescent="0.25">
      <c r="A3730" t="s">
        <v>2810</v>
      </c>
    </row>
    <row r="3731" spans="1:1" x14ac:dyDescent="0.25">
      <c r="A3731" t="s">
        <v>2740</v>
      </c>
    </row>
    <row r="3732" spans="1:1" x14ac:dyDescent="0.25">
      <c r="A3732" t="s">
        <v>1753</v>
      </c>
    </row>
    <row r="3733" spans="1:1" x14ac:dyDescent="0.25">
      <c r="A3733" t="s">
        <v>1740</v>
      </c>
    </row>
    <row r="3734" spans="1:1" x14ac:dyDescent="0.25">
      <c r="A3734" t="s">
        <v>1741</v>
      </c>
    </row>
    <row r="3735" spans="1:1" x14ac:dyDescent="0.25">
      <c r="A3735" t="s">
        <v>2741</v>
      </c>
    </row>
    <row r="3736" spans="1:1" x14ac:dyDescent="0.25">
      <c r="A3736" t="s">
        <v>2811</v>
      </c>
    </row>
    <row r="3737" spans="1:1" x14ac:dyDescent="0.25">
      <c r="A3737" t="s">
        <v>1744</v>
      </c>
    </row>
    <row r="3739" spans="1:1" x14ac:dyDescent="0.25">
      <c r="A3739" t="s">
        <v>1737</v>
      </c>
    </row>
    <row r="3740" spans="1:1" x14ac:dyDescent="0.25">
      <c r="A3740" t="s">
        <v>1738</v>
      </c>
    </row>
    <row r="3741" spans="1:1" x14ac:dyDescent="0.25">
      <c r="A3741" t="s">
        <v>2812</v>
      </c>
    </row>
    <row r="3742" spans="1:1" x14ac:dyDescent="0.25">
      <c r="A3742" t="s">
        <v>2813</v>
      </c>
    </row>
    <row r="3743" spans="1:1" x14ac:dyDescent="0.25">
      <c r="A3743" t="s">
        <v>2740</v>
      </c>
    </row>
    <row r="3744" spans="1:1" x14ac:dyDescent="0.25">
      <c r="A3744" t="s">
        <v>1753</v>
      </c>
    </row>
    <row r="3745" spans="1:1" x14ac:dyDescent="0.25">
      <c r="A3745" t="s">
        <v>1740</v>
      </c>
    </row>
    <row r="3746" spans="1:1" x14ac:dyDescent="0.25">
      <c r="A3746" t="s">
        <v>1741</v>
      </c>
    </row>
    <row r="3747" spans="1:1" x14ac:dyDescent="0.25">
      <c r="A3747" t="s">
        <v>2741</v>
      </c>
    </row>
    <row r="3748" spans="1:1" x14ac:dyDescent="0.25">
      <c r="A3748" t="s">
        <v>2814</v>
      </c>
    </row>
    <row r="3749" spans="1:1" x14ac:dyDescent="0.25">
      <c r="A3749" t="s">
        <v>1744</v>
      </c>
    </row>
    <row r="3751" spans="1:1" x14ac:dyDescent="0.25">
      <c r="A3751" t="s">
        <v>1737</v>
      </c>
    </row>
    <row r="3752" spans="1:1" x14ac:dyDescent="0.25">
      <c r="A3752" t="s">
        <v>1738</v>
      </c>
    </row>
    <row r="3753" spans="1:1" x14ac:dyDescent="0.25">
      <c r="A3753" t="s">
        <v>2815</v>
      </c>
    </row>
    <row r="3754" spans="1:1" x14ac:dyDescent="0.25">
      <c r="A3754" t="s">
        <v>2816</v>
      </c>
    </row>
    <row r="3755" spans="1:1" x14ac:dyDescent="0.25">
      <c r="A3755" t="s">
        <v>2740</v>
      </c>
    </row>
    <row r="3756" spans="1:1" x14ac:dyDescent="0.25">
      <c r="A3756" t="s">
        <v>1753</v>
      </c>
    </row>
    <row r="3757" spans="1:1" x14ac:dyDescent="0.25">
      <c r="A3757" t="s">
        <v>1741</v>
      </c>
    </row>
    <row r="3758" spans="1:1" x14ac:dyDescent="0.25">
      <c r="A3758" t="s">
        <v>2759</v>
      </c>
    </row>
    <row r="3759" spans="1:1" x14ac:dyDescent="0.25">
      <c r="A3759" t="s">
        <v>2817</v>
      </c>
    </row>
    <row r="3760" spans="1:1" x14ac:dyDescent="0.25">
      <c r="A3760" t="s">
        <v>1744</v>
      </c>
    </row>
    <row r="3762" spans="1:1" x14ac:dyDescent="0.25">
      <c r="A3762" t="s">
        <v>1737</v>
      </c>
    </row>
    <row r="3763" spans="1:1" x14ac:dyDescent="0.25">
      <c r="A3763" t="s">
        <v>1738</v>
      </c>
    </row>
    <row r="3764" spans="1:1" x14ac:dyDescent="0.25">
      <c r="A3764" t="s">
        <v>2818</v>
      </c>
    </row>
    <row r="3765" spans="1:1" x14ac:dyDescent="0.25">
      <c r="A3765" t="s">
        <v>2819</v>
      </c>
    </row>
    <row r="3766" spans="1:1" x14ac:dyDescent="0.25">
      <c r="A3766" t="s">
        <v>2740</v>
      </c>
    </row>
    <row r="3767" spans="1:1" x14ac:dyDescent="0.25">
      <c r="A3767" t="s">
        <v>1753</v>
      </c>
    </row>
    <row r="3768" spans="1:1" x14ac:dyDescent="0.25">
      <c r="A3768" t="s">
        <v>1741</v>
      </c>
    </row>
    <row r="3769" spans="1:1" x14ac:dyDescent="0.25">
      <c r="A3769" t="s">
        <v>2759</v>
      </c>
    </row>
    <row r="3770" spans="1:1" x14ac:dyDescent="0.25">
      <c r="A3770" t="s">
        <v>2820</v>
      </c>
    </row>
    <row r="3771" spans="1:1" x14ac:dyDescent="0.25">
      <c r="A3771" t="s">
        <v>1744</v>
      </c>
    </row>
    <row r="3773" spans="1:1" x14ac:dyDescent="0.25">
      <c r="A3773" t="s">
        <v>1737</v>
      </c>
    </row>
    <row r="3774" spans="1:1" x14ac:dyDescent="0.25">
      <c r="A3774" t="s">
        <v>1738</v>
      </c>
    </row>
    <row r="3775" spans="1:1" x14ac:dyDescent="0.25">
      <c r="A3775" t="s">
        <v>2821</v>
      </c>
    </row>
    <row r="3776" spans="1:1" x14ac:dyDescent="0.25">
      <c r="A3776" t="s">
        <v>2822</v>
      </c>
    </row>
    <row r="3777" spans="1:1" x14ac:dyDescent="0.25">
      <c r="A3777" t="s">
        <v>2740</v>
      </c>
    </row>
    <row r="3778" spans="1:1" x14ac:dyDescent="0.25">
      <c r="A3778" t="s">
        <v>1753</v>
      </c>
    </row>
    <row r="3779" spans="1:1" x14ac:dyDescent="0.25">
      <c r="A3779" t="s">
        <v>1741</v>
      </c>
    </row>
    <row r="3780" spans="1:1" x14ac:dyDescent="0.25">
      <c r="A3780" t="s">
        <v>2759</v>
      </c>
    </row>
    <row r="3781" spans="1:1" x14ac:dyDescent="0.25">
      <c r="A3781" t="s">
        <v>2823</v>
      </c>
    </row>
    <row r="3782" spans="1:1" x14ac:dyDescent="0.25">
      <c r="A3782" t="s">
        <v>1744</v>
      </c>
    </row>
    <row r="3784" spans="1:1" x14ac:dyDescent="0.25">
      <c r="A3784" t="s">
        <v>1737</v>
      </c>
    </row>
    <row r="3785" spans="1:1" x14ac:dyDescent="0.25">
      <c r="A3785" t="s">
        <v>1738</v>
      </c>
    </row>
    <row r="3786" spans="1:1" x14ac:dyDescent="0.25">
      <c r="A3786" t="s">
        <v>2824</v>
      </c>
    </row>
    <row r="3787" spans="1:1" x14ac:dyDescent="0.25">
      <c r="A3787" t="s">
        <v>2825</v>
      </c>
    </row>
    <row r="3788" spans="1:1" x14ac:dyDescent="0.25">
      <c r="A3788" t="s">
        <v>2740</v>
      </c>
    </row>
    <row r="3789" spans="1:1" x14ac:dyDescent="0.25">
      <c r="A3789" t="s">
        <v>1753</v>
      </c>
    </row>
    <row r="3790" spans="1:1" x14ac:dyDescent="0.25">
      <c r="A3790" t="s">
        <v>1741</v>
      </c>
    </row>
    <row r="3791" spans="1:1" x14ac:dyDescent="0.25">
      <c r="A3791" t="s">
        <v>2826</v>
      </c>
    </row>
    <row r="3792" spans="1:1" x14ac:dyDescent="0.25">
      <c r="A3792" t="s">
        <v>2827</v>
      </c>
    </row>
    <row r="3793" spans="1:1" x14ac:dyDescent="0.25">
      <c r="A3793" t="s">
        <v>1744</v>
      </c>
    </row>
    <row r="3795" spans="1:1" x14ac:dyDescent="0.25">
      <c r="A3795" t="s">
        <v>1737</v>
      </c>
    </row>
    <row r="3796" spans="1:1" x14ac:dyDescent="0.25">
      <c r="A3796" t="s">
        <v>1738</v>
      </c>
    </row>
    <row r="3797" spans="1:1" x14ac:dyDescent="0.25">
      <c r="A3797" t="s">
        <v>2828</v>
      </c>
    </row>
    <row r="3798" spans="1:1" x14ac:dyDescent="0.25">
      <c r="A3798" t="s">
        <v>2829</v>
      </c>
    </row>
    <row r="3799" spans="1:1" x14ac:dyDescent="0.25">
      <c r="A3799" t="s">
        <v>2740</v>
      </c>
    </row>
    <row r="3800" spans="1:1" x14ac:dyDescent="0.25">
      <c r="A3800" t="s">
        <v>1753</v>
      </c>
    </row>
    <row r="3801" spans="1:1" x14ac:dyDescent="0.25">
      <c r="A3801" t="s">
        <v>1741</v>
      </c>
    </row>
    <row r="3802" spans="1:1" x14ac:dyDescent="0.25">
      <c r="A3802" t="s">
        <v>2830</v>
      </c>
    </row>
    <row r="3803" spans="1:1" x14ac:dyDescent="0.25">
      <c r="A3803" t="s">
        <v>2831</v>
      </c>
    </row>
    <row r="3804" spans="1:1" x14ac:dyDescent="0.25">
      <c r="A3804" t="s">
        <v>1744</v>
      </c>
    </row>
    <row r="3806" spans="1:1" x14ac:dyDescent="0.25">
      <c r="A3806" t="s">
        <v>1737</v>
      </c>
    </row>
    <row r="3807" spans="1:1" x14ac:dyDescent="0.25">
      <c r="A3807" t="s">
        <v>1738</v>
      </c>
    </row>
    <row r="3808" spans="1:1" x14ac:dyDescent="0.25">
      <c r="A3808" t="s">
        <v>2832</v>
      </c>
    </row>
    <row r="3809" spans="1:1" x14ac:dyDescent="0.25">
      <c r="A3809" t="s">
        <v>2833</v>
      </c>
    </row>
    <row r="3810" spans="1:1" x14ac:dyDescent="0.25">
      <c r="A3810" t="s">
        <v>2740</v>
      </c>
    </row>
    <row r="3811" spans="1:1" x14ac:dyDescent="0.25">
      <c r="A3811" t="s">
        <v>1753</v>
      </c>
    </row>
    <row r="3812" spans="1:1" x14ac:dyDescent="0.25">
      <c r="A3812" t="s">
        <v>1741</v>
      </c>
    </row>
    <row r="3813" spans="1:1" x14ac:dyDescent="0.25">
      <c r="A3813" t="s">
        <v>2759</v>
      </c>
    </row>
    <row r="3814" spans="1:1" x14ac:dyDescent="0.25">
      <c r="A3814" t="s">
        <v>2834</v>
      </c>
    </row>
    <row r="3815" spans="1:1" x14ac:dyDescent="0.25">
      <c r="A3815" t="s">
        <v>1744</v>
      </c>
    </row>
    <row r="3817" spans="1:1" x14ac:dyDescent="0.25">
      <c r="A3817" t="s">
        <v>1737</v>
      </c>
    </row>
    <row r="3818" spans="1:1" x14ac:dyDescent="0.25">
      <c r="A3818" t="s">
        <v>1738</v>
      </c>
    </row>
    <row r="3819" spans="1:1" x14ac:dyDescent="0.25">
      <c r="A3819" t="s">
        <v>2835</v>
      </c>
    </row>
    <row r="3820" spans="1:1" x14ac:dyDescent="0.25">
      <c r="A3820" t="s">
        <v>2836</v>
      </c>
    </row>
    <row r="3821" spans="1:1" x14ac:dyDescent="0.25">
      <c r="A3821" t="s">
        <v>2740</v>
      </c>
    </row>
    <row r="3822" spans="1:1" x14ac:dyDescent="0.25">
      <c r="A3822" t="s">
        <v>1753</v>
      </c>
    </row>
    <row r="3823" spans="1:1" x14ac:dyDescent="0.25">
      <c r="A3823" t="s">
        <v>1741</v>
      </c>
    </row>
    <row r="3824" spans="1:1" x14ac:dyDescent="0.25">
      <c r="A3824" t="s">
        <v>2837</v>
      </c>
    </row>
    <row r="3825" spans="1:1" x14ac:dyDescent="0.25">
      <c r="A3825" t="s">
        <v>2838</v>
      </c>
    </row>
    <row r="3826" spans="1:1" x14ac:dyDescent="0.25">
      <c r="A3826" t="s">
        <v>1744</v>
      </c>
    </row>
    <row r="3828" spans="1:1" x14ac:dyDescent="0.25">
      <c r="A3828" t="s">
        <v>1737</v>
      </c>
    </row>
    <row r="3829" spans="1:1" x14ac:dyDescent="0.25">
      <c r="A3829" t="s">
        <v>1738</v>
      </c>
    </row>
    <row r="3830" spans="1:1" x14ac:dyDescent="0.25">
      <c r="A3830" t="s">
        <v>2839</v>
      </c>
    </row>
    <row r="3831" spans="1:1" x14ac:dyDescent="0.25">
      <c r="A3831" t="s">
        <v>2840</v>
      </c>
    </row>
    <row r="3832" spans="1:1" x14ac:dyDescent="0.25">
      <c r="A3832" t="s">
        <v>2740</v>
      </c>
    </row>
    <row r="3833" spans="1:1" x14ac:dyDescent="0.25">
      <c r="A3833" t="s">
        <v>1753</v>
      </c>
    </row>
    <row r="3834" spans="1:1" x14ac:dyDescent="0.25">
      <c r="A3834" t="s">
        <v>1741</v>
      </c>
    </row>
    <row r="3835" spans="1:1" x14ac:dyDescent="0.25">
      <c r="A3835" t="s">
        <v>2759</v>
      </c>
    </row>
    <row r="3836" spans="1:1" x14ac:dyDescent="0.25">
      <c r="A3836" t="s">
        <v>2841</v>
      </c>
    </row>
    <row r="3837" spans="1:1" x14ac:dyDescent="0.25">
      <c r="A3837" t="s">
        <v>1744</v>
      </c>
    </row>
    <row r="3839" spans="1:1" x14ac:dyDescent="0.25">
      <c r="A3839" t="s">
        <v>1737</v>
      </c>
    </row>
    <row r="3840" spans="1:1" x14ac:dyDescent="0.25">
      <c r="A3840" t="s">
        <v>1738</v>
      </c>
    </row>
    <row r="3841" spans="1:1" x14ac:dyDescent="0.25">
      <c r="A3841" t="s">
        <v>2842</v>
      </c>
    </row>
    <row r="3842" spans="1:1" x14ac:dyDescent="0.25">
      <c r="A3842" t="s">
        <v>2843</v>
      </c>
    </row>
    <row r="3843" spans="1:1" x14ac:dyDescent="0.25">
      <c r="A3843" t="s">
        <v>2740</v>
      </c>
    </row>
    <row r="3844" spans="1:1" x14ac:dyDescent="0.25">
      <c r="A3844" t="s">
        <v>1753</v>
      </c>
    </row>
    <row r="3845" spans="1:1" x14ac:dyDescent="0.25">
      <c r="A3845" t="s">
        <v>1741</v>
      </c>
    </row>
    <row r="3846" spans="1:1" x14ac:dyDescent="0.25">
      <c r="A3846" t="s">
        <v>2844</v>
      </c>
    </row>
    <row r="3847" spans="1:1" x14ac:dyDescent="0.25">
      <c r="A3847" t="s">
        <v>2845</v>
      </c>
    </row>
    <row r="3848" spans="1:1" x14ac:dyDescent="0.25">
      <c r="A3848" t="s">
        <v>1744</v>
      </c>
    </row>
    <row r="3850" spans="1:1" x14ac:dyDescent="0.25">
      <c r="A3850" t="s">
        <v>1737</v>
      </c>
    </row>
    <row r="3851" spans="1:1" x14ac:dyDescent="0.25">
      <c r="A3851" t="s">
        <v>1738</v>
      </c>
    </row>
    <row r="3852" spans="1:1" x14ac:dyDescent="0.25">
      <c r="A3852" t="s">
        <v>2846</v>
      </c>
    </row>
    <row r="3853" spans="1:1" x14ac:dyDescent="0.25">
      <c r="A3853" t="s">
        <v>2847</v>
      </c>
    </row>
    <row r="3854" spans="1:1" x14ac:dyDescent="0.25">
      <c r="A3854" t="s">
        <v>2740</v>
      </c>
    </row>
    <row r="3855" spans="1:1" x14ac:dyDescent="0.25">
      <c r="A3855" t="s">
        <v>1753</v>
      </c>
    </row>
    <row r="3856" spans="1:1" x14ac:dyDescent="0.25">
      <c r="A3856" t="s">
        <v>1741</v>
      </c>
    </row>
    <row r="3857" spans="1:1" x14ac:dyDescent="0.25">
      <c r="A3857" t="s">
        <v>2848</v>
      </c>
    </row>
    <row r="3858" spans="1:1" x14ac:dyDescent="0.25">
      <c r="A3858" t="s">
        <v>2849</v>
      </c>
    </row>
    <row r="3859" spans="1:1" x14ac:dyDescent="0.25">
      <c r="A3859" t="s">
        <v>1744</v>
      </c>
    </row>
    <row r="3861" spans="1:1" x14ac:dyDescent="0.25">
      <c r="A3861" t="s">
        <v>1737</v>
      </c>
    </row>
    <row r="3862" spans="1:1" x14ac:dyDescent="0.25">
      <c r="A3862" t="s">
        <v>1738</v>
      </c>
    </row>
    <row r="3863" spans="1:1" x14ac:dyDescent="0.25">
      <c r="A3863" t="s">
        <v>2850</v>
      </c>
    </row>
    <row r="3864" spans="1:1" x14ac:dyDescent="0.25">
      <c r="A3864" t="s">
        <v>2851</v>
      </c>
    </row>
    <row r="3865" spans="1:1" x14ac:dyDescent="0.25">
      <c r="A3865" t="s">
        <v>2740</v>
      </c>
    </row>
    <row r="3866" spans="1:1" x14ac:dyDescent="0.25">
      <c r="A3866" t="s">
        <v>1753</v>
      </c>
    </row>
    <row r="3867" spans="1:1" x14ac:dyDescent="0.25">
      <c r="A3867" t="s">
        <v>1741</v>
      </c>
    </row>
    <row r="3868" spans="1:1" x14ac:dyDescent="0.25">
      <c r="A3868" t="s">
        <v>2780</v>
      </c>
    </row>
    <row r="3869" spans="1:1" x14ac:dyDescent="0.25">
      <c r="A3869" t="s">
        <v>2852</v>
      </c>
    </row>
    <row r="3870" spans="1:1" x14ac:dyDescent="0.25">
      <c r="A3870" t="s">
        <v>1744</v>
      </c>
    </row>
    <row r="3872" spans="1:1" x14ac:dyDescent="0.25">
      <c r="A3872" t="s">
        <v>1737</v>
      </c>
    </row>
    <row r="3873" spans="1:1" x14ac:dyDescent="0.25">
      <c r="A3873" t="s">
        <v>1738</v>
      </c>
    </row>
    <row r="3874" spans="1:1" x14ac:dyDescent="0.25">
      <c r="A3874" t="s">
        <v>2853</v>
      </c>
    </row>
    <row r="3875" spans="1:1" x14ac:dyDescent="0.25">
      <c r="A3875" t="s">
        <v>2854</v>
      </c>
    </row>
    <row r="3876" spans="1:1" x14ac:dyDescent="0.25">
      <c r="A3876" t="s">
        <v>2740</v>
      </c>
    </row>
    <row r="3877" spans="1:1" x14ac:dyDescent="0.25">
      <c r="A3877" t="s">
        <v>1753</v>
      </c>
    </row>
    <row r="3878" spans="1:1" x14ac:dyDescent="0.25">
      <c r="A3878" t="s">
        <v>1741</v>
      </c>
    </row>
    <row r="3879" spans="1:1" x14ac:dyDescent="0.25">
      <c r="A3879" t="s">
        <v>2759</v>
      </c>
    </row>
    <row r="3880" spans="1:1" x14ac:dyDescent="0.25">
      <c r="A3880" t="s">
        <v>2855</v>
      </c>
    </row>
    <row r="3881" spans="1:1" x14ac:dyDescent="0.25">
      <c r="A3881" t="s">
        <v>1744</v>
      </c>
    </row>
    <row r="3883" spans="1:1" x14ac:dyDescent="0.25">
      <c r="A3883" t="s">
        <v>1737</v>
      </c>
    </row>
    <row r="3884" spans="1:1" x14ac:dyDescent="0.25">
      <c r="A3884" t="s">
        <v>1738</v>
      </c>
    </row>
    <row r="3885" spans="1:1" x14ac:dyDescent="0.25">
      <c r="A3885" t="s">
        <v>2856</v>
      </c>
    </row>
    <row r="3886" spans="1:1" x14ac:dyDescent="0.25">
      <c r="A3886" t="s">
        <v>2857</v>
      </c>
    </row>
    <row r="3887" spans="1:1" x14ac:dyDescent="0.25">
      <c r="A3887" t="s">
        <v>2740</v>
      </c>
    </row>
    <row r="3888" spans="1:1" x14ac:dyDescent="0.25">
      <c r="A3888" t="s">
        <v>1753</v>
      </c>
    </row>
    <row r="3889" spans="1:1" x14ac:dyDescent="0.25">
      <c r="A3889" t="s">
        <v>1741</v>
      </c>
    </row>
    <row r="3890" spans="1:1" x14ac:dyDescent="0.25">
      <c r="A3890" t="s">
        <v>2858</v>
      </c>
    </row>
    <row r="3891" spans="1:1" x14ac:dyDescent="0.25">
      <c r="A3891" t="s">
        <v>2859</v>
      </c>
    </row>
    <row r="3892" spans="1:1" x14ac:dyDescent="0.25">
      <c r="A3892" t="s">
        <v>1744</v>
      </c>
    </row>
    <row r="3894" spans="1:1" x14ac:dyDescent="0.25">
      <c r="A3894" t="s">
        <v>1737</v>
      </c>
    </row>
    <row r="3895" spans="1:1" x14ac:dyDescent="0.25">
      <c r="A3895" t="s">
        <v>1738</v>
      </c>
    </row>
    <row r="3896" spans="1:1" x14ac:dyDescent="0.25">
      <c r="A3896" t="s">
        <v>2860</v>
      </c>
    </row>
    <row r="3897" spans="1:1" x14ac:dyDescent="0.25">
      <c r="A3897" t="s">
        <v>2861</v>
      </c>
    </row>
    <row r="3898" spans="1:1" x14ac:dyDescent="0.25">
      <c r="A3898" t="s">
        <v>2740</v>
      </c>
    </row>
    <row r="3899" spans="1:1" x14ac:dyDescent="0.25">
      <c r="A3899" t="s">
        <v>1753</v>
      </c>
    </row>
    <row r="3900" spans="1:1" x14ac:dyDescent="0.25">
      <c r="A3900" t="s">
        <v>1741</v>
      </c>
    </row>
    <row r="3901" spans="1:1" x14ac:dyDescent="0.25">
      <c r="A3901" t="s">
        <v>2759</v>
      </c>
    </row>
    <row r="3902" spans="1:1" x14ac:dyDescent="0.25">
      <c r="A3902" t="s">
        <v>2862</v>
      </c>
    </row>
    <row r="3903" spans="1:1" x14ac:dyDescent="0.25">
      <c r="A3903" t="s">
        <v>1744</v>
      </c>
    </row>
    <row r="3905" spans="1:1" x14ac:dyDescent="0.25">
      <c r="A3905" t="s">
        <v>1737</v>
      </c>
    </row>
    <row r="3906" spans="1:1" x14ac:dyDescent="0.25">
      <c r="A3906" t="s">
        <v>1738</v>
      </c>
    </row>
    <row r="3907" spans="1:1" x14ac:dyDescent="0.25">
      <c r="A3907" t="s">
        <v>2863</v>
      </c>
    </row>
    <row r="3908" spans="1:1" x14ac:dyDescent="0.25">
      <c r="A3908" t="s">
        <v>2864</v>
      </c>
    </row>
    <row r="3909" spans="1:1" x14ac:dyDescent="0.25">
      <c r="A3909" t="s">
        <v>2865</v>
      </c>
    </row>
    <row r="3910" spans="1:1" x14ac:dyDescent="0.25">
      <c r="A3910" t="s">
        <v>1753</v>
      </c>
    </row>
    <row r="3911" spans="1:1" x14ac:dyDescent="0.25">
      <c r="A3911" t="s">
        <v>1741</v>
      </c>
    </row>
    <row r="3912" spans="1:1" x14ac:dyDescent="0.25">
      <c r="A3912" t="s">
        <v>1778</v>
      </c>
    </row>
    <row r="3913" spans="1:1" x14ac:dyDescent="0.25">
      <c r="A3913" t="s">
        <v>2866</v>
      </c>
    </row>
    <row r="3914" spans="1:1" x14ac:dyDescent="0.25">
      <c r="A3914" t="s">
        <v>1744</v>
      </c>
    </row>
    <row r="3916" spans="1:1" x14ac:dyDescent="0.25">
      <c r="A3916" t="s">
        <v>1737</v>
      </c>
    </row>
    <row r="3917" spans="1:1" x14ac:dyDescent="0.25">
      <c r="A3917" t="s">
        <v>1738</v>
      </c>
    </row>
    <row r="3918" spans="1:1" x14ac:dyDescent="0.25">
      <c r="A3918" t="s">
        <v>2867</v>
      </c>
    </row>
    <row r="3919" spans="1:1" x14ac:dyDescent="0.25">
      <c r="A3919" t="s">
        <v>2868</v>
      </c>
    </row>
    <row r="3920" spans="1:1" x14ac:dyDescent="0.25">
      <c r="A3920" t="s">
        <v>2869</v>
      </c>
    </row>
    <row r="3921" spans="1:1" x14ac:dyDescent="0.25">
      <c r="A3921" t="s">
        <v>1753</v>
      </c>
    </row>
    <row r="3922" spans="1:1" x14ac:dyDescent="0.25">
      <c r="A3922" t="s">
        <v>1741</v>
      </c>
    </row>
    <row r="3923" spans="1:1" x14ac:dyDescent="0.25">
      <c r="A3923" t="s">
        <v>2870</v>
      </c>
    </row>
    <row r="3924" spans="1:1" x14ac:dyDescent="0.25">
      <c r="A3924" t="s">
        <v>2871</v>
      </c>
    </row>
    <row r="3925" spans="1:1" x14ac:dyDescent="0.25">
      <c r="A3925" t="s">
        <v>1744</v>
      </c>
    </row>
    <row r="3927" spans="1:1" x14ac:dyDescent="0.25">
      <c r="A3927" t="s">
        <v>1737</v>
      </c>
    </row>
    <row r="3928" spans="1:1" x14ac:dyDescent="0.25">
      <c r="A3928" t="s">
        <v>1738</v>
      </c>
    </row>
    <row r="3929" spans="1:1" x14ac:dyDescent="0.25">
      <c r="A3929" t="s">
        <v>2872</v>
      </c>
    </row>
    <row r="3930" spans="1:1" x14ac:dyDescent="0.25">
      <c r="A3930" t="s">
        <v>2873</v>
      </c>
    </row>
    <row r="3931" spans="1:1" x14ac:dyDescent="0.25">
      <c r="A3931" t="s">
        <v>2371</v>
      </c>
    </row>
    <row r="3932" spans="1:1" x14ac:dyDescent="0.25">
      <c r="A3932" t="s">
        <v>1753</v>
      </c>
    </row>
    <row r="3933" spans="1:1" x14ac:dyDescent="0.25">
      <c r="A3933" t="s">
        <v>1741</v>
      </c>
    </row>
    <row r="3934" spans="1:1" x14ac:dyDescent="0.25">
      <c r="A3934" t="s">
        <v>2874</v>
      </c>
    </row>
    <row r="3935" spans="1:1" x14ac:dyDescent="0.25">
      <c r="A3935" t="s">
        <v>2875</v>
      </c>
    </row>
    <row r="3936" spans="1:1" x14ac:dyDescent="0.25">
      <c r="A3936" t="s">
        <v>1744</v>
      </c>
    </row>
    <row r="3938" spans="1:1" x14ac:dyDescent="0.25">
      <c r="A3938" t="s">
        <v>1737</v>
      </c>
    </row>
    <row r="3939" spans="1:1" x14ac:dyDescent="0.25">
      <c r="A3939" t="s">
        <v>1738</v>
      </c>
    </row>
    <row r="3940" spans="1:1" x14ac:dyDescent="0.25">
      <c r="A3940" t="s">
        <v>2876</v>
      </c>
    </row>
    <row r="3941" spans="1:1" x14ac:dyDescent="0.25">
      <c r="A3941" t="s">
        <v>2877</v>
      </c>
    </row>
    <row r="3942" spans="1:1" x14ac:dyDescent="0.25">
      <c r="A3942" t="s">
        <v>2006</v>
      </c>
    </row>
    <row r="3943" spans="1:1" x14ac:dyDescent="0.25">
      <c r="A3943" t="s">
        <v>1753</v>
      </c>
    </row>
    <row r="3944" spans="1:1" x14ac:dyDescent="0.25">
      <c r="A3944" t="s">
        <v>1741</v>
      </c>
    </row>
    <row r="3945" spans="1:1" x14ac:dyDescent="0.25">
      <c r="A3945" t="s">
        <v>1887</v>
      </c>
    </row>
    <row r="3946" spans="1:1" x14ac:dyDescent="0.25">
      <c r="A3946" t="s">
        <v>2878</v>
      </c>
    </row>
    <row r="3947" spans="1:1" x14ac:dyDescent="0.25">
      <c r="A3947" t="s">
        <v>1744</v>
      </c>
    </row>
    <row r="3949" spans="1:1" x14ac:dyDescent="0.25">
      <c r="A3949" t="s">
        <v>1737</v>
      </c>
    </row>
    <row r="3950" spans="1:1" x14ac:dyDescent="0.25">
      <c r="A3950" t="s">
        <v>1738</v>
      </c>
    </row>
    <row r="3951" spans="1:1" x14ac:dyDescent="0.25">
      <c r="A3951" t="s">
        <v>2879</v>
      </c>
    </row>
    <row r="3952" spans="1:1" x14ac:dyDescent="0.25">
      <c r="A3952" t="s">
        <v>2880</v>
      </c>
    </row>
    <row r="3953" spans="1:1" x14ac:dyDescent="0.25">
      <c r="A3953" t="s">
        <v>2002</v>
      </c>
    </row>
    <row r="3954" spans="1:1" x14ac:dyDescent="0.25">
      <c r="A3954" t="s">
        <v>1753</v>
      </c>
    </row>
    <row r="3955" spans="1:1" x14ac:dyDescent="0.25">
      <c r="A3955" t="s">
        <v>1741</v>
      </c>
    </row>
    <row r="3956" spans="1:1" x14ac:dyDescent="0.25">
      <c r="A3956" t="s">
        <v>1762</v>
      </c>
    </row>
    <row r="3957" spans="1:1" x14ac:dyDescent="0.25">
      <c r="A3957" t="s">
        <v>2881</v>
      </c>
    </row>
    <row r="3958" spans="1:1" x14ac:dyDescent="0.25">
      <c r="A3958" t="s">
        <v>1744</v>
      </c>
    </row>
    <row r="3960" spans="1:1" x14ac:dyDescent="0.25">
      <c r="A3960" t="s">
        <v>1737</v>
      </c>
    </row>
    <row r="3961" spans="1:1" x14ac:dyDescent="0.25">
      <c r="A3961" t="s">
        <v>1738</v>
      </c>
    </row>
    <row r="3962" spans="1:1" x14ac:dyDescent="0.25">
      <c r="A3962" t="s">
        <v>2882</v>
      </c>
    </row>
    <row r="3963" spans="1:1" x14ac:dyDescent="0.25">
      <c r="A3963" t="s">
        <v>2883</v>
      </c>
    </row>
    <row r="3964" spans="1:1" x14ac:dyDescent="0.25">
      <c r="A3964" t="s">
        <v>2002</v>
      </c>
    </row>
    <row r="3965" spans="1:1" x14ac:dyDescent="0.25">
      <c r="A3965" t="s">
        <v>1753</v>
      </c>
    </row>
    <row r="3966" spans="1:1" x14ac:dyDescent="0.25">
      <c r="A3966" t="s">
        <v>1741</v>
      </c>
    </row>
    <row r="3967" spans="1:1" x14ac:dyDescent="0.25">
      <c r="A3967" t="s">
        <v>1762</v>
      </c>
    </row>
    <row r="3968" spans="1:1" x14ac:dyDescent="0.25">
      <c r="A3968" t="s">
        <v>2884</v>
      </c>
    </row>
    <row r="3969" spans="1:1" x14ac:dyDescent="0.25">
      <c r="A3969" t="s">
        <v>1744</v>
      </c>
    </row>
    <row r="3971" spans="1:1" x14ac:dyDescent="0.25">
      <c r="A3971" t="s">
        <v>1737</v>
      </c>
    </row>
    <row r="3972" spans="1:1" x14ac:dyDescent="0.25">
      <c r="A3972" t="s">
        <v>1738</v>
      </c>
    </row>
    <row r="3973" spans="1:1" x14ac:dyDescent="0.25">
      <c r="A3973" t="s">
        <v>2885</v>
      </c>
    </row>
    <row r="3974" spans="1:1" x14ac:dyDescent="0.25">
      <c r="A3974" t="s">
        <v>2886</v>
      </c>
    </row>
    <row r="3975" spans="1:1" x14ac:dyDescent="0.25">
      <c r="A3975" t="s">
        <v>2887</v>
      </c>
    </row>
    <row r="3976" spans="1:1" x14ac:dyDescent="0.25">
      <c r="A3976" t="s">
        <v>1753</v>
      </c>
    </row>
    <row r="3977" spans="1:1" x14ac:dyDescent="0.25">
      <c r="A3977" t="s">
        <v>1741</v>
      </c>
    </row>
    <row r="3978" spans="1:1" x14ac:dyDescent="0.25">
      <c r="A3978" t="s">
        <v>1762</v>
      </c>
    </row>
    <row r="3979" spans="1:1" x14ac:dyDescent="0.25">
      <c r="A3979" t="s">
        <v>2888</v>
      </c>
    </row>
    <row r="3980" spans="1:1" x14ac:dyDescent="0.25">
      <c r="A3980" t="s">
        <v>1744</v>
      </c>
    </row>
    <row r="3982" spans="1:1" x14ac:dyDescent="0.25">
      <c r="A3982" t="s">
        <v>1737</v>
      </c>
    </row>
    <row r="3983" spans="1:1" x14ac:dyDescent="0.25">
      <c r="A3983" t="s">
        <v>1738</v>
      </c>
    </row>
    <row r="3984" spans="1:1" x14ac:dyDescent="0.25">
      <c r="A3984" t="s">
        <v>2889</v>
      </c>
    </row>
    <row r="3985" spans="1:1" x14ac:dyDescent="0.25">
      <c r="A3985" t="s">
        <v>2890</v>
      </c>
    </row>
    <row r="3986" spans="1:1" x14ac:dyDescent="0.25">
      <c r="A3986" t="s">
        <v>2002</v>
      </c>
    </row>
    <row r="3987" spans="1:1" x14ac:dyDescent="0.25">
      <c r="A3987" t="s">
        <v>1753</v>
      </c>
    </row>
    <row r="3988" spans="1:1" x14ac:dyDescent="0.25">
      <c r="A3988" t="s">
        <v>1741</v>
      </c>
    </row>
    <row r="3989" spans="1:1" x14ac:dyDescent="0.25">
      <c r="A3989" t="s">
        <v>1887</v>
      </c>
    </row>
    <row r="3990" spans="1:1" x14ac:dyDescent="0.25">
      <c r="A3990" t="s">
        <v>2891</v>
      </c>
    </row>
    <row r="3991" spans="1:1" x14ac:dyDescent="0.25">
      <c r="A3991" t="s">
        <v>1744</v>
      </c>
    </row>
    <row r="3993" spans="1:1" x14ac:dyDescent="0.25">
      <c r="A3993" t="s">
        <v>1737</v>
      </c>
    </row>
    <row r="3994" spans="1:1" x14ac:dyDescent="0.25">
      <c r="A3994" t="s">
        <v>1738</v>
      </c>
    </row>
    <row r="3995" spans="1:1" x14ac:dyDescent="0.25">
      <c r="A3995" t="s">
        <v>2892</v>
      </c>
    </row>
    <row r="3996" spans="1:1" x14ac:dyDescent="0.25">
      <c r="A3996" t="s">
        <v>2893</v>
      </c>
    </row>
    <row r="3997" spans="1:1" x14ac:dyDescent="0.25">
      <c r="A3997" t="s">
        <v>2894</v>
      </c>
    </row>
    <row r="3998" spans="1:1" x14ac:dyDescent="0.25">
      <c r="A3998" t="s">
        <v>1753</v>
      </c>
    </row>
    <row r="3999" spans="1:1" x14ac:dyDescent="0.25">
      <c r="A3999" t="s">
        <v>1741</v>
      </c>
    </row>
    <row r="4000" spans="1:1" x14ac:dyDescent="0.25">
      <c r="A4000" t="s">
        <v>2874</v>
      </c>
    </row>
    <row r="4001" spans="1:1" x14ac:dyDescent="0.25">
      <c r="A4001" t="s">
        <v>2895</v>
      </c>
    </row>
    <row r="4002" spans="1:1" x14ac:dyDescent="0.25">
      <c r="A4002" t="s">
        <v>1744</v>
      </c>
    </row>
    <row r="4004" spans="1:1" x14ac:dyDescent="0.25">
      <c r="A4004" t="s">
        <v>1737</v>
      </c>
    </row>
    <row r="4005" spans="1:1" x14ac:dyDescent="0.25">
      <c r="A4005" t="s">
        <v>1738</v>
      </c>
    </row>
    <row r="4006" spans="1:1" x14ac:dyDescent="0.25">
      <c r="A4006" t="s">
        <v>2896</v>
      </c>
    </row>
    <row r="4007" spans="1:1" x14ac:dyDescent="0.25">
      <c r="A4007" t="s">
        <v>2897</v>
      </c>
    </row>
    <row r="4008" spans="1:1" x14ac:dyDescent="0.25">
      <c r="A4008" t="s">
        <v>2898</v>
      </c>
    </row>
    <row r="4009" spans="1:1" x14ac:dyDescent="0.25">
      <c r="A4009" t="s">
        <v>1753</v>
      </c>
    </row>
    <row r="4010" spans="1:1" x14ac:dyDescent="0.25">
      <c r="A4010" t="s">
        <v>1741</v>
      </c>
    </row>
    <row r="4011" spans="1:1" x14ac:dyDescent="0.25">
      <c r="A4011" t="s">
        <v>2899</v>
      </c>
    </row>
    <row r="4012" spans="1:1" x14ac:dyDescent="0.25">
      <c r="A4012" t="s">
        <v>2900</v>
      </c>
    </row>
    <row r="4013" spans="1:1" x14ac:dyDescent="0.25">
      <c r="A4013" t="s">
        <v>1744</v>
      </c>
    </row>
    <row r="4015" spans="1:1" x14ac:dyDescent="0.25">
      <c r="A4015" t="s">
        <v>1737</v>
      </c>
    </row>
    <row r="4016" spans="1:1" x14ac:dyDescent="0.25">
      <c r="A4016" t="s">
        <v>1738</v>
      </c>
    </row>
    <row r="4017" spans="1:1" x14ac:dyDescent="0.25">
      <c r="A4017" t="s">
        <v>2901</v>
      </c>
    </row>
    <row r="4018" spans="1:1" x14ac:dyDescent="0.25">
      <c r="A4018" t="s">
        <v>2902</v>
      </c>
    </row>
    <row r="4019" spans="1:1" x14ac:dyDescent="0.25">
      <c r="A4019" t="s">
        <v>2898</v>
      </c>
    </row>
    <row r="4020" spans="1:1" x14ac:dyDescent="0.25">
      <c r="A4020" t="s">
        <v>1753</v>
      </c>
    </row>
    <row r="4021" spans="1:1" x14ac:dyDescent="0.25">
      <c r="A4021" t="s">
        <v>1741</v>
      </c>
    </row>
    <row r="4022" spans="1:1" x14ac:dyDescent="0.25">
      <c r="A4022" t="s">
        <v>2903</v>
      </c>
    </row>
    <row r="4023" spans="1:1" x14ac:dyDescent="0.25">
      <c r="A4023" t="s">
        <v>2904</v>
      </c>
    </row>
    <row r="4024" spans="1:1" x14ac:dyDescent="0.25">
      <c r="A4024" t="s">
        <v>1744</v>
      </c>
    </row>
    <row r="4026" spans="1:1" x14ac:dyDescent="0.25">
      <c r="A4026" t="s">
        <v>1737</v>
      </c>
    </row>
    <row r="4027" spans="1:1" x14ac:dyDescent="0.25">
      <c r="A4027" t="s">
        <v>1738</v>
      </c>
    </row>
    <row r="4028" spans="1:1" x14ac:dyDescent="0.25">
      <c r="A4028" t="s">
        <v>2905</v>
      </c>
    </row>
    <row r="4029" spans="1:1" x14ac:dyDescent="0.25">
      <c r="A4029" t="s">
        <v>2906</v>
      </c>
    </row>
    <row r="4030" spans="1:1" x14ac:dyDescent="0.25">
      <c r="A4030" t="s">
        <v>2002</v>
      </c>
    </row>
    <row r="4031" spans="1:1" x14ac:dyDescent="0.25">
      <c r="A4031" t="s">
        <v>1753</v>
      </c>
    </row>
    <row r="4032" spans="1:1" x14ac:dyDescent="0.25">
      <c r="A4032" t="s">
        <v>1741</v>
      </c>
    </row>
    <row r="4033" spans="1:1" x14ac:dyDescent="0.25">
      <c r="A4033" t="s">
        <v>1762</v>
      </c>
    </row>
    <row r="4034" spans="1:1" x14ac:dyDescent="0.25">
      <c r="A4034" t="s">
        <v>2907</v>
      </c>
    </row>
    <row r="4035" spans="1:1" x14ac:dyDescent="0.25">
      <c r="A4035" t="s">
        <v>1744</v>
      </c>
    </row>
    <row r="4037" spans="1:1" x14ac:dyDescent="0.25">
      <c r="A4037" t="s">
        <v>1737</v>
      </c>
    </row>
    <row r="4038" spans="1:1" x14ac:dyDescent="0.25">
      <c r="A4038" t="s">
        <v>1738</v>
      </c>
    </row>
    <row r="4039" spans="1:1" x14ac:dyDescent="0.25">
      <c r="A4039" t="s">
        <v>2908</v>
      </c>
    </row>
    <row r="4040" spans="1:1" x14ac:dyDescent="0.25">
      <c r="A4040" t="s">
        <v>2909</v>
      </c>
    </row>
    <row r="4041" spans="1:1" x14ac:dyDescent="0.25">
      <c r="A4041" t="s">
        <v>2670</v>
      </c>
    </row>
    <row r="4042" spans="1:1" x14ac:dyDescent="0.25">
      <c r="A4042" t="s">
        <v>1753</v>
      </c>
    </row>
    <row r="4043" spans="1:1" x14ac:dyDescent="0.25">
      <c r="A4043" t="s">
        <v>1741</v>
      </c>
    </row>
    <row r="4044" spans="1:1" x14ac:dyDescent="0.25">
      <c r="A4044" t="s">
        <v>1778</v>
      </c>
    </row>
    <row r="4045" spans="1:1" x14ac:dyDescent="0.25">
      <c r="A4045" t="s">
        <v>2910</v>
      </c>
    </row>
    <row r="4046" spans="1:1" x14ac:dyDescent="0.25">
      <c r="A4046" t="s">
        <v>1744</v>
      </c>
    </row>
    <row r="4048" spans="1:1" x14ac:dyDescent="0.25">
      <c r="A4048" t="s">
        <v>1737</v>
      </c>
    </row>
    <row r="4049" spans="1:1" x14ac:dyDescent="0.25">
      <c r="A4049" t="s">
        <v>1738</v>
      </c>
    </row>
    <row r="4050" spans="1:1" x14ac:dyDescent="0.25">
      <c r="A4050" t="s">
        <v>2911</v>
      </c>
    </row>
    <row r="4051" spans="1:1" x14ac:dyDescent="0.25">
      <c r="A4051" t="s">
        <v>2912</v>
      </c>
    </row>
    <row r="4052" spans="1:1" x14ac:dyDescent="0.25">
      <c r="A4052" t="s">
        <v>2913</v>
      </c>
    </row>
    <row r="4053" spans="1:1" x14ac:dyDescent="0.25">
      <c r="A4053" t="s">
        <v>1753</v>
      </c>
    </row>
    <row r="4054" spans="1:1" x14ac:dyDescent="0.25">
      <c r="A4054" t="s">
        <v>1741</v>
      </c>
    </row>
    <row r="4055" spans="1:1" x14ac:dyDescent="0.25">
      <c r="A4055" t="s">
        <v>1762</v>
      </c>
    </row>
    <row r="4056" spans="1:1" x14ac:dyDescent="0.25">
      <c r="A4056" t="s">
        <v>2914</v>
      </c>
    </row>
    <row r="4057" spans="1:1" x14ac:dyDescent="0.25">
      <c r="A4057" t="s">
        <v>1744</v>
      </c>
    </row>
    <row r="4059" spans="1:1" x14ac:dyDescent="0.25">
      <c r="A4059" t="s">
        <v>1737</v>
      </c>
    </row>
    <row r="4060" spans="1:1" x14ac:dyDescent="0.25">
      <c r="A4060" t="s">
        <v>1738</v>
      </c>
    </row>
    <row r="4061" spans="1:1" x14ac:dyDescent="0.25">
      <c r="A4061" t="s">
        <v>2915</v>
      </c>
    </row>
    <row r="4062" spans="1:1" x14ac:dyDescent="0.25">
      <c r="A4062" t="s">
        <v>2916</v>
      </c>
    </row>
    <row r="4063" spans="1:1" x14ac:dyDescent="0.25">
      <c r="A4063" t="s">
        <v>2209</v>
      </c>
    </row>
    <row r="4064" spans="1:1" x14ac:dyDescent="0.25">
      <c r="A4064" t="s">
        <v>1753</v>
      </c>
    </row>
    <row r="4065" spans="1:1" x14ac:dyDescent="0.25">
      <c r="A4065" t="s">
        <v>1741</v>
      </c>
    </row>
    <row r="4066" spans="1:1" x14ac:dyDescent="0.25">
      <c r="A4066" t="s">
        <v>2917</v>
      </c>
    </row>
    <row r="4067" spans="1:1" x14ac:dyDescent="0.25">
      <c r="A4067" t="s">
        <v>2918</v>
      </c>
    </row>
    <row r="4068" spans="1:1" x14ac:dyDescent="0.25">
      <c r="A4068" t="s">
        <v>1744</v>
      </c>
    </row>
    <row r="4070" spans="1:1" x14ac:dyDescent="0.25">
      <c r="A4070" t="s">
        <v>1737</v>
      </c>
    </row>
    <row r="4071" spans="1:1" x14ac:dyDescent="0.25">
      <c r="A4071" t="s">
        <v>1738</v>
      </c>
    </row>
    <row r="4072" spans="1:1" x14ac:dyDescent="0.25">
      <c r="A4072" t="s">
        <v>2919</v>
      </c>
    </row>
    <row r="4073" spans="1:1" x14ac:dyDescent="0.25">
      <c r="A4073" t="s">
        <v>2920</v>
      </c>
    </row>
    <row r="4074" spans="1:1" x14ac:dyDescent="0.25">
      <c r="A4074" t="s">
        <v>1797</v>
      </c>
    </row>
    <row r="4075" spans="1:1" x14ac:dyDescent="0.25">
      <c r="A4075" t="s">
        <v>1753</v>
      </c>
    </row>
    <row r="4076" spans="1:1" x14ac:dyDescent="0.25">
      <c r="A4076" t="s">
        <v>1741</v>
      </c>
    </row>
    <row r="4077" spans="1:1" x14ac:dyDescent="0.25">
      <c r="A4077" t="s">
        <v>2130</v>
      </c>
    </row>
    <row r="4078" spans="1:1" x14ac:dyDescent="0.25">
      <c r="A4078" t="s">
        <v>2921</v>
      </c>
    </row>
    <row r="4079" spans="1:1" x14ac:dyDescent="0.25">
      <c r="A4079" t="s">
        <v>1744</v>
      </c>
    </row>
    <row r="4081" spans="1:1" x14ac:dyDescent="0.25">
      <c r="A4081" t="s">
        <v>1737</v>
      </c>
    </row>
    <row r="4082" spans="1:1" x14ac:dyDescent="0.25">
      <c r="A4082" t="s">
        <v>1738</v>
      </c>
    </row>
    <row r="4083" spans="1:1" x14ac:dyDescent="0.25">
      <c r="A4083" t="s">
        <v>2922</v>
      </c>
    </row>
    <row r="4084" spans="1:1" x14ac:dyDescent="0.25">
      <c r="A4084" t="s">
        <v>2923</v>
      </c>
    </row>
    <row r="4085" spans="1:1" x14ac:dyDescent="0.25">
      <c r="A4085" t="s">
        <v>1797</v>
      </c>
    </row>
    <row r="4086" spans="1:1" x14ac:dyDescent="0.25">
      <c r="A4086" t="s">
        <v>1753</v>
      </c>
    </row>
    <row r="4087" spans="1:1" x14ac:dyDescent="0.25">
      <c r="A4087" t="s">
        <v>1741</v>
      </c>
    </row>
    <row r="4088" spans="1:1" x14ac:dyDescent="0.25">
      <c r="A4088" t="s">
        <v>1995</v>
      </c>
    </row>
    <row r="4089" spans="1:1" x14ac:dyDescent="0.25">
      <c r="A4089" t="s">
        <v>2924</v>
      </c>
    </row>
    <row r="4090" spans="1:1" x14ac:dyDescent="0.25">
      <c r="A4090" t="s">
        <v>1744</v>
      </c>
    </row>
    <row r="4092" spans="1:1" x14ac:dyDescent="0.25">
      <c r="A4092" t="s">
        <v>1737</v>
      </c>
    </row>
    <row r="4093" spans="1:1" x14ac:dyDescent="0.25">
      <c r="A4093" t="s">
        <v>1738</v>
      </c>
    </row>
    <row r="4094" spans="1:1" x14ac:dyDescent="0.25">
      <c r="A4094" t="s">
        <v>2925</v>
      </c>
    </row>
    <row r="4095" spans="1:1" x14ac:dyDescent="0.25">
      <c r="A4095" t="s">
        <v>2926</v>
      </c>
    </row>
    <row r="4096" spans="1:1" x14ac:dyDescent="0.25">
      <c r="A4096" t="s">
        <v>2002</v>
      </c>
    </row>
    <row r="4097" spans="1:1" x14ac:dyDescent="0.25">
      <c r="A4097" t="s">
        <v>1753</v>
      </c>
    </row>
    <row r="4098" spans="1:1" x14ac:dyDescent="0.25">
      <c r="A4098" t="s">
        <v>1741</v>
      </c>
    </row>
    <row r="4099" spans="1:1" x14ac:dyDescent="0.25">
      <c r="A4099" t="s">
        <v>1887</v>
      </c>
    </row>
    <row r="4100" spans="1:1" x14ac:dyDescent="0.25">
      <c r="A4100" t="s">
        <v>2927</v>
      </c>
    </row>
    <row r="4101" spans="1:1" x14ac:dyDescent="0.25">
      <c r="A4101" t="s">
        <v>1744</v>
      </c>
    </row>
    <row r="4103" spans="1:1" x14ac:dyDescent="0.25">
      <c r="A4103" t="s">
        <v>1737</v>
      </c>
    </row>
    <row r="4104" spans="1:1" x14ac:dyDescent="0.25">
      <c r="A4104" t="s">
        <v>1738</v>
      </c>
    </row>
    <row r="4105" spans="1:1" x14ac:dyDescent="0.25">
      <c r="A4105" t="s">
        <v>2928</v>
      </c>
    </row>
    <row r="4106" spans="1:1" x14ac:dyDescent="0.25">
      <c r="A4106" t="s">
        <v>2929</v>
      </c>
    </row>
    <row r="4107" spans="1:1" x14ac:dyDescent="0.25">
      <c r="A4107" t="s">
        <v>2376</v>
      </c>
    </row>
    <row r="4108" spans="1:1" x14ac:dyDescent="0.25">
      <c r="A4108" t="s">
        <v>1753</v>
      </c>
    </row>
    <row r="4109" spans="1:1" x14ac:dyDescent="0.25">
      <c r="A4109" t="s">
        <v>1741</v>
      </c>
    </row>
    <row r="4110" spans="1:1" x14ac:dyDescent="0.25">
      <c r="A4110" t="s">
        <v>1887</v>
      </c>
    </row>
    <row r="4111" spans="1:1" x14ac:dyDescent="0.25">
      <c r="A4111" t="s">
        <v>2930</v>
      </c>
    </row>
    <row r="4112" spans="1:1" x14ac:dyDescent="0.25">
      <c r="A4112" t="s">
        <v>1744</v>
      </c>
    </row>
    <row r="4114" spans="1:1" x14ac:dyDescent="0.25">
      <c r="A4114" t="s">
        <v>1737</v>
      </c>
    </row>
    <row r="4115" spans="1:1" x14ac:dyDescent="0.25">
      <c r="A4115" t="s">
        <v>1738</v>
      </c>
    </row>
    <row r="4116" spans="1:1" x14ac:dyDescent="0.25">
      <c r="A4116" t="s">
        <v>2931</v>
      </c>
    </row>
    <row r="4117" spans="1:1" x14ac:dyDescent="0.25">
      <c r="A4117" t="s">
        <v>2932</v>
      </c>
    </row>
    <row r="4118" spans="1:1" x14ac:dyDescent="0.25">
      <c r="A4118" t="s">
        <v>2209</v>
      </c>
    </row>
    <row r="4119" spans="1:1" x14ac:dyDescent="0.25">
      <c r="A4119" t="s">
        <v>1753</v>
      </c>
    </row>
    <row r="4120" spans="1:1" x14ac:dyDescent="0.25">
      <c r="A4120" t="s">
        <v>1741</v>
      </c>
    </row>
    <row r="4121" spans="1:1" x14ac:dyDescent="0.25">
      <c r="A4121" t="s">
        <v>2933</v>
      </c>
    </row>
    <row r="4122" spans="1:1" x14ac:dyDescent="0.25">
      <c r="A4122" t="s">
        <v>2934</v>
      </c>
    </row>
    <row r="4123" spans="1:1" x14ac:dyDescent="0.25">
      <c r="A4123" t="s">
        <v>1744</v>
      </c>
    </row>
    <row r="4125" spans="1:1" x14ac:dyDescent="0.25">
      <c r="A4125" t="s">
        <v>1737</v>
      </c>
    </row>
    <row r="4126" spans="1:1" x14ac:dyDescent="0.25">
      <c r="A4126" t="s">
        <v>1738</v>
      </c>
    </row>
    <row r="4127" spans="1:1" x14ac:dyDescent="0.25">
      <c r="A4127" t="s">
        <v>2935</v>
      </c>
    </row>
    <row r="4128" spans="1:1" x14ac:dyDescent="0.25">
      <c r="A4128" t="s">
        <v>2936</v>
      </c>
    </row>
    <row r="4129" spans="1:1" x14ac:dyDescent="0.25">
      <c r="A4129" t="s">
        <v>2937</v>
      </c>
    </row>
    <row r="4130" spans="1:1" x14ac:dyDescent="0.25">
      <c r="A4130" t="s">
        <v>1753</v>
      </c>
    </row>
    <row r="4131" spans="1:1" x14ac:dyDescent="0.25">
      <c r="A4131" t="s">
        <v>1741</v>
      </c>
    </row>
    <row r="4132" spans="1:1" x14ac:dyDescent="0.25">
      <c r="A4132" t="s">
        <v>1770</v>
      </c>
    </row>
    <row r="4133" spans="1:1" x14ac:dyDescent="0.25">
      <c r="A4133" t="s">
        <v>2938</v>
      </c>
    </row>
    <row r="4134" spans="1:1" x14ac:dyDescent="0.25">
      <c r="A4134" t="s">
        <v>1744</v>
      </c>
    </row>
    <row r="4136" spans="1:1" x14ac:dyDescent="0.25">
      <c r="A4136" t="s">
        <v>1737</v>
      </c>
    </row>
    <row r="4137" spans="1:1" x14ac:dyDescent="0.25">
      <c r="A4137" t="s">
        <v>1738</v>
      </c>
    </row>
    <row r="4138" spans="1:1" x14ac:dyDescent="0.25">
      <c r="A4138" t="s">
        <v>2939</v>
      </c>
    </row>
    <row r="4139" spans="1:1" x14ac:dyDescent="0.25">
      <c r="A4139" t="s">
        <v>2940</v>
      </c>
    </row>
    <row r="4140" spans="1:1" x14ac:dyDescent="0.25">
      <c r="A4140" t="s">
        <v>2209</v>
      </c>
    </row>
    <row r="4141" spans="1:1" x14ac:dyDescent="0.25">
      <c r="A4141" t="s">
        <v>1753</v>
      </c>
    </row>
    <row r="4142" spans="1:1" x14ac:dyDescent="0.25">
      <c r="A4142" t="s">
        <v>1741</v>
      </c>
    </row>
    <row r="4143" spans="1:1" x14ac:dyDescent="0.25">
      <c r="A4143" t="s">
        <v>2530</v>
      </c>
    </row>
    <row r="4144" spans="1:1" x14ac:dyDescent="0.25">
      <c r="A4144" t="s">
        <v>2941</v>
      </c>
    </row>
    <row r="4145" spans="1:1" x14ac:dyDescent="0.25">
      <c r="A4145" t="s">
        <v>1744</v>
      </c>
    </row>
    <row r="4147" spans="1:1" x14ac:dyDescent="0.25">
      <c r="A4147" t="s">
        <v>1737</v>
      </c>
    </row>
    <row r="4148" spans="1:1" x14ac:dyDescent="0.25">
      <c r="A4148" t="s">
        <v>1738</v>
      </c>
    </row>
    <row r="4149" spans="1:1" x14ac:dyDescent="0.25">
      <c r="A4149" t="s">
        <v>2942</v>
      </c>
    </row>
    <row r="4150" spans="1:1" x14ac:dyDescent="0.25">
      <c r="A4150" t="s">
        <v>2943</v>
      </c>
    </row>
    <row r="4151" spans="1:1" x14ac:dyDescent="0.25">
      <c r="A4151" t="s">
        <v>2533</v>
      </c>
    </row>
    <row r="4152" spans="1:1" x14ac:dyDescent="0.25">
      <c r="A4152" t="s">
        <v>1753</v>
      </c>
    </row>
    <row r="4153" spans="1:1" x14ac:dyDescent="0.25">
      <c r="A4153" t="s">
        <v>1741</v>
      </c>
    </row>
    <row r="4154" spans="1:1" x14ac:dyDescent="0.25">
      <c r="A4154" t="s">
        <v>1995</v>
      </c>
    </row>
    <row r="4155" spans="1:1" x14ac:dyDescent="0.25">
      <c r="A4155" t="s">
        <v>2944</v>
      </c>
    </row>
    <row r="4156" spans="1:1" x14ac:dyDescent="0.25">
      <c r="A4156" t="s">
        <v>1744</v>
      </c>
    </row>
    <row r="4158" spans="1:1" x14ac:dyDescent="0.25">
      <c r="A4158" t="s">
        <v>1737</v>
      </c>
    </row>
    <row r="4159" spans="1:1" x14ac:dyDescent="0.25">
      <c r="A4159" t="s">
        <v>1738</v>
      </c>
    </row>
    <row r="4160" spans="1:1" x14ac:dyDescent="0.25">
      <c r="A4160" t="s">
        <v>2945</v>
      </c>
    </row>
    <row r="4161" spans="1:1" x14ac:dyDescent="0.25">
      <c r="A4161" t="s">
        <v>2946</v>
      </c>
    </row>
    <row r="4162" spans="1:1" x14ac:dyDescent="0.25">
      <c r="A4162" t="s">
        <v>2209</v>
      </c>
    </row>
    <row r="4163" spans="1:1" x14ac:dyDescent="0.25">
      <c r="A4163" t="s">
        <v>1753</v>
      </c>
    </row>
    <row r="4164" spans="1:1" x14ac:dyDescent="0.25">
      <c r="A4164" t="s">
        <v>1741</v>
      </c>
    </row>
    <row r="4165" spans="1:1" x14ac:dyDescent="0.25">
      <c r="A4165" t="s">
        <v>1995</v>
      </c>
    </row>
    <row r="4166" spans="1:1" x14ac:dyDescent="0.25">
      <c r="A4166" t="s">
        <v>2947</v>
      </c>
    </row>
    <row r="4167" spans="1:1" x14ac:dyDescent="0.25">
      <c r="A4167" t="s">
        <v>1744</v>
      </c>
    </row>
    <row r="4169" spans="1:1" x14ac:dyDescent="0.25">
      <c r="A4169" t="s">
        <v>1737</v>
      </c>
    </row>
    <row r="4170" spans="1:1" x14ac:dyDescent="0.25">
      <c r="A4170" t="s">
        <v>1738</v>
      </c>
    </row>
    <row r="4171" spans="1:1" x14ac:dyDescent="0.25">
      <c r="A4171" t="s">
        <v>2948</v>
      </c>
    </row>
    <row r="4172" spans="1:1" x14ac:dyDescent="0.25">
      <c r="A4172" t="s">
        <v>2949</v>
      </c>
    </row>
    <row r="4173" spans="1:1" x14ac:dyDescent="0.25">
      <c r="A4173" t="s">
        <v>2209</v>
      </c>
    </row>
    <row r="4174" spans="1:1" x14ac:dyDescent="0.25">
      <c r="A4174" t="s">
        <v>1753</v>
      </c>
    </row>
    <row r="4175" spans="1:1" x14ac:dyDescent="0.25">
      <c r="A4175" t="s">
        <v>1741</v>
      </c>
    </row>
    <row r="4176" spans="1:1" x14ac:dyDescent="0.25">
      <c r="A4176" t="s">
        <v>2917</v>
      </c>
    </row>
    <row r="4177" spans="1:1" x14ac:dyDescent="0.25">
      <c r="A4177" t="s">
        <v>2950</v>
      </c>
    </row>
    <row r="4178" spans="1:1" x14ac:dyDescent="0.25">
      <c r="A4178" t="s">
        <v>1744</v>
      </c>
    </row>
    <row r="4180" spans="1:1" x14ac:dyDescent="0.25">
      <c r="A4180" t="s">
        <v>1737</v>
      </c>
    </row>
    <row r="4181" spans="1:1" x14ac:dyDescent="0.25">
      <c r="A4181" t="s">
        <v>1738</v>
      </c>
    </row>
    <row r="4182" spans="1:1" x14ac:dyDescent="0.25">
      <c r="A4182" t="s">
        <v>2951</v>
      </c>
    </row>
    <row r="4183" spans="1:1" x14ac:dyDescent="0.25">
      <c r="A4183" t="s">
        <v>2952</v>
      </c>
    </row>
    <row r="4184" spans="1:1" x14ac:dyDescent="0.25">
      <c r="A4184" t="s">
        <v>1752</v>
      </c>
    </row>
    <row r="4185" spans="1:1" x14ac:dyDescent="0.25">
      <c r="A4185" t="s">
        <v>1753</v>
      </c>
    </row>
    <row r="4186" spans="1:1" x14ac:dyDescent="0.25">
      <c r="A4186" t="s">
        <v>1741</v>
      </c>
    </row>
    <row r="4187" spans="1:1" x14ac:dyDescent="0.25">
      <c r="A4187" t="s">
        <v>1762</v>
      </c>
    </row>
    <row r="4188" spans="1:1" x14ac:dyDescent="0.25">
      <c r="A4188" t="s">
        <v>2953</v>
      </c>
    </row>
    <row r="4189" spans="1:1" x14ac:dyDescent="0.25">
      <c r="A4189" t="s">
        <v>1744</v>
      </c>
    </row>
    <row r="4191" spans="1:1" x14ac:dyDescent="0.25">
      <c r="A4191" t="s">
        <v>1737</v>
      </c>
    </row>
    <row r="4192" spans="1:1" x14ac:dyDescent="0.25">
      <c r="A4192" t="s">
        <v>1738</v>
      </c>
    </row>
    <row r="4193" spans="1:1" x14ac:dyDescent="0.25">
      <c r="A4193" t="s">
        <v>2954</v>
      </c>
    </row>
    <row r="4194" spans="1:1" x14ac:dyDescent="0.25">
      <c r="A4194" t="s">
        <v>2955</v>
      </c>
    </row>
    <row r="4195" spans="1:1" x14ac:dyDescent="0.25">
      <c r="A4195" t="s">
        <v>2670</v>
      </c>
    </row>
    <row r="4196" spans="1:1" x14ac:dyDescent="0.25">
      <c r="A4196" t="s">
        <v>1753</v>
      </c>
    </row>
    <row r="4197" spans="1:1" x14ac:dyDescent="0.25">
      <c r="A4197" t="s">
        <v>2956</v>
      </c>
    </row>
    <row r="4198" spans="1:1" x14ac:dyDescent="0.25">
      <c r="A4198" t="s">
        <v>1741</v>
      </c>
    </row>
    <row r="4199" spans="1:1" x14ac:dyDescent="0.25">
      <c r="A4199" t="s">
        <v>2957</v>
      </c>
    </row>
    <row r="4200" spans="1:1" x14ac:dyDescent="0.25">
      <c r="A4200" t="s">
        <v>2958</v>
      </c>
    </row>
    <row r="4201" spans="1:1" x14ac:dyDescent="0.25">
      <c r="A4201" t="s">
        <v>1744</v>
      </c>
    </row>
    <row r="4203" spans="1:1" x14ac:dyDescent="0.25">
      <c r="A4203" t="s">
        <v>1737</v>
      </c>
    </row>
    <row r="4204" spans="1:1" x14ac:dyDescent="0.25">
      <c r="A4204" t="s">
        <v>1738</v>
      </c>
    </row>
    <row r="4205" spans="1:1" x14ac:dyDescent="0.25">
      <c r="A4205" t="s">
        <v>2959</v>
      </c>
    </row>
    <row r="4206" spans="1:1" x14ac:dyDescent="0.25">
      <c r="A4206" t="s">
        <v>2960</v>
      </c>
    </row>
    <row r="4207" spans="1:1" x14ac:dyDescent="0.25">
      <c r="A4207" t="s">
        <v>2670</v>
      </c>
    </row>
    <row r="4208" spans="1:1" x14ac:dyDescent="0.25">
      <c r="A4208" t="s">
        <v>1753</v>
      </c>
    </row>
    <row r="4209" spans="1:1" x14ac:dyDescent="0.25">
      <c r="A4209" t="s">
        <v>1741</v>
      </c>
    </row>
    <row r="4210" spans="1:1" x14ac:dyDescent="0.25">
      <c r="A4210" t="s">
        <v>2961</v>
      </c>
    </row>
    <row r="4211" spans="1:1" x14ac:dyDescent="0.25">
      <c r="A4211" t="s">
        <v>2910</v>
      </c>
    </row>
    <row r="4212" spans="1:1" x14ac:dyDescent="0.25">
      <c r="A4212" t="s">
        <v>1744</v>
      </c>
    </row>
    <row r="4214" spans="1:1" x14ac:dyDescent="0.25">
      <c r="A4214" t="s">
        <v>1737</v>
      </c>
    </row>
    <row r="4215" spans="1:1" x14ac:dyDescent="0.25">
      <c r="A4215" t="s">
        <v>1738</v>
      </c>
    </row>
    <row r="4216" spans="1:1" x14ac:dyDescent="0.25">
      <c r="A4216" t="s">
        <v>2962</v>
      </c>
    </row>
    <row r="4217" spans="1:1" x14ac:dyDescent="0.25">
      <c r="A4217" t="s">
        <v>2963</v>
      </c>
    </row>
    <row r="4218" spans="1:1" x14ac:dyDescent="0.25">
      <c r="A4218" t="s">
        <v>2006</v>
      </c>
    </row>
    <row r="4219" spans="1:1" x14ac:dyDescent="0.25">
      <c r="A4219" t="s">
        <v>1753</v>
      </c>
    </row>
    <row r="4220" spans="1:1" x14ac:dyDescent="0.25">
      <c r="A4220" t="s">
        <v>1741</v>
      </c>
    </row>
    <row r="4221" spans="1:1" x14ac:dyDescent="0.25">
      <c r="A4221" t="s">
        <v>1762</v>
      </c>
    </row>
    <row r="4222" spans="1:1" x14ac:dyDescent="0.25">
      <c r="A4222" t="s">
        <v>2964</v>
      </c>
    </row>
    <row r="4223" spans="1:1" x14ac:dyDescent="0.25">
      <c r="A4223" t="s">
        <v>1744</v>
      </c>
    </row>
    <row r="4225" spans="1:1" x14ac:dyDescent="0.25">
      <c r="A4225" t="s">
        <v>1737</v>
      </c>
    </row>
    <row r="4226" spans="1:1" x14ac:dyDescent="0.25">
      <c r="A4226" t="s">
        <v>1738</v>
      </c>
    </row>
    <row r="4227" spans="1:1" x14ac:dyDescent="0.25">
      <c r="A4227" t="s">
        <v>2965</v>
      </c>
    </row>
    <row r="4228" spans="1:1" x14ac:dyDescent="0.25">
      <c r="A4228" t="s">
        <v>2966</v>
      </c>
    </row>
    <row r="4229" spans="1:1" x14ac:dyDescent="0.25">
      <c r="A4229" t="s">
        <v>2376</v>
      </c>
    </row>
    <row r="4230" spans="1:1" x14ac:dyDescent="0.25">
      <c r="A4230" t="s">
        <v>1753</v>
      </c>
    </row>
    <row r="4231" spans="1:1" x14ac:dyDescent="0.25">
      <c r="A4231" t="s">
        <v>1741</v>
      </c>
    </row>
    <row r="4232" spans="1:1" x14ac:dyDescent="0.25">
      <c r="A4232" t="s">
        <v>1762</v>
      </c>
    </row>
    <row r="4233" spans="1:1" x14ac:dyDescent="0.25">
      <c r="A4233" t="s">
        <v>2967</v>
      </c>
    </row>
    <row r="4234" spans="1:1" x14ac:dyDescent="0.25">
      <c r="A4234" t="s">
        <v>1744</v>
      </c>
    </row>
    <row r="4236" spans="1:1" x14ac:dyDescent="0.25">
      <c r="A4236" t="s">
        <v>1737</v>
      </c>
    </row>
    <row r="4237" spans="1:1" x14ac:dyDescent="0.25">
      <c r="A4237" t="s">
        <v>1738</v>
      </c>
    </row>
    <row r="4238" spans="1:1" x14ac:dyDescent="0.25">
      <c r="A4238" t="s">
        <v>2968</v>
      </c>
    </row>
    <row r="4239" spans="1:1" x14ac:dyDescent="0.25">
      <c r="A4239" t="s">
        <v>2969</v>
      </c>
    </row>
    <row r="4240" spans="1:1" x14ac:dyDescent="0.25">
      <c r="A4240" t="s">
        <v>1752</v>
      </c>
    </row>
    <row r="4241" spans="1:1" x14ac:dyDescent="0.25">
      <c r="A4241" t="s">
        <v>1753</v>
      </c>
    </row>
    <row r="4242" spans="1:1" x14ac:dyDescent="0.25">
      <c r="A4242" t="s">
        <v>1741</v>
      </c>
    </row>
    <row r="4243" spans="1:1" x14ac:dyDescent="0.25">
      <c r="A4243" t="s">
        <v>1762</v>
      </c>
    </row>
    <row r="4244" spans="1:1" x14ac:dyDescent="0.25">
      <c r="A4244" t="s">
        <v>2970</v>
      </c>
    </row>
    <row r="4245" spans="1:1" x14ac:dyDescent="0.25">
      <c r="A4245" t="s">
        <v>1744</v>
      </c>
    </row>
    <row r="4247" spans="1:1" x14ac:dyDescent="0.25">
      <c r="A4247" t="s">
        <v>1737</v>
      </c>
    </row>
    <row r="4248" spans="1:1" x14ac:dyDescent="0.25">
      <c r="A4248" t="s">
        <v>1738</v>
      </c>
    </row>
    <row r="4249" spans="1:1" x14ac:dyDescent="0.25">
      <c r="A4249" t="s">
        <v>2971</v>
      </c>
    </row>
    <row r="4250" spans="1:1" x14ac:dyDescent="0.25">
      <c r="A4250" t="s">
        <v>2972</v>
      </c>
    </row>
    <row r="4251" spans="1:1" x14ac:dyDescent="0.25">
      <c r="A4251" t="s">
        <v>2973</v>
      </c>
    </row>
    <row r="4252" spans="1:1" x14ac:dyDescent="0.25">
      <c r="A4252" t="s">
        <v>1753</v>
      </c>
    </row>
    <row r="4253" spans="1:1" x14ac:dyDescent="0.25">
      <c r="A4253" t="s">
        <v>1741</v>
      </c>
    </row>
    <row r="4254" spans="1:1" x14ac:dyDescent="0.25">
      <c r="A4254" t="s">
        <v>1995</v>
      </c>
    </row>
    <row r="4255" spans="1:1" x14ac:dyDescent="0.25">
      <c r="A4255" t="s">
        <v>2974</v>
      </c>
    </row>
    <row r="4256" spans="1:1" x14ac:dyDescent="0.25">
      <c r="A4256" t="s">
        <v>1744</v>
      </c>
    </row>
    <row r="4258" spans="1:1" x14ac:dyDescent="0.25">
      <c r="A4258" t="s">
        <v>1737</v>
      </c>
    </row>
    <row r="4259" spans="1:1" x14ac:dyDescent="0.25">
      <c r="A4259" t="s">
        <v>1738</v>
      </c>
    </row>
    <row r="4260" spans="1:1" x14ac:dyDescent="0.25">
      <c r="A4260" t="s">
        <v>2975</v>
      </c>
    </row>
    <row r="4261" spans="1:1" x14ac:dyDescent="0.25">
      <c r="A4261" t="s">
        <v>2976</v>
      </c>
    </row>
    <row r="4262" spans="1:1" x14ac:dyDescent="0.25">
      <c r="A4262" t="s">
        <v>2002</v>
      </c>
    </row>
    <row r="4263" spans="1:1" x14ac:dyDescent="0.25">
      <c r="A4263" t="s">
        <v>1753</v>
      </c>
    </row>
    <row r="4264" spans="1:1" x14ac:dyDescent="0.25">
      <c r="A4264" t="s">
        <v>1741</v>
      </c>
    </row>
    <row r="4265" spans="1:1" x14ac:dyDescent="0.25">
      <c r="A4265" t="s">
        <v>1887</v>
      </c>
    </row>
    <row r="4266" spans="1:1" x14ac:dyDescent="0.25">
      <c r="A4266" t="s">
        <v>2977</v>
      </c>
    </row>
    <row r="4267" spans="1:1" x14ac:dyDescent="0.25">
      <c r="A4267" t="s">
        <v>1744</v>
      </c>
    </row>
    <row r="4269" spans="1:1" x14ac:dyDescent="0.25">
      <c r="A4269" t="s">
        <v>1737</v>
      </c>
    </row>
    <row r="4270" spans="1:1" x14ac:dyDescent="0.25">
      <c r="A4270" t="s">
        <v>1738</v>
      </c>
    </row>
    <row r="4271" spans="1:1" x14ac:dyDescent="0.25">
      <c r="A4271" t="s">
        <v>2978</v>
      </c>
    </row>
    <row r="4272" spans="1:1" x14ac:dyDescent="0.25">
      <c r="A4272" t="s">
        <v>2979</v>
      </c>
    </row>
    <row r="4273" spans="1:1" x14ac:dyDescent="0.25">
      <c r="A4273" t="s">
        <v>2515</v>
      </c>
    </row>
    <row r="4274" spans="1:1" x14ac:dyDescent="0.25">
      <c r="A4274" t="s">
        <v>1753</v>
      </c>
    </row>
    <row r="4275" spans="1:1" x14ac:dyDescent="0.25">
      <c r="A4275" t="s">
        <v>1741</v>
      </c>
    </row>
    <row r="4276" spans="1:1" x14ac:dyDescent="0.25">
      <c r="A4276" t="s">
        <v>1762</v>
      </c>
    </row>
    <row r="4277" spans="1:1" x14ac:dyDescent="0.25">
      <c r="A4277" t="s">
        <v>2980</v>
      </c>
    </row>
    <row r="4278" spans="1:1" x14ac:dyDescent="0.25">
      <c r="A4278" t="s">
        <v>1744</v>
      </c>
    </row>
    <row r="4280" spans="1:1" x14ac:dyDescent="0.25">
      <c r="A4280" t="s">
        <v>1737</v>
      </c>
    </row>
    <row r="4281" spans="1:1" x14ac:dyDescent="0.25">
      <c r="A4281" t="s">
        <v>1738</v>
      </c>
    </row>
    <row r="4282" spans="1:1" x14ac:dyDescent="0.25">
      <c r="A4282" t="s">
        <v>2981</v>
      </c>
    </row>
    <row r="4283" spans="1:1" x14ac:dyDescent="0.25">
      <c r="A4283" t="s">
        <v>2982</v>
      </c>
    </row>
    <row r="4284" spans="1:1" x14ac:dyDescent="0.25">
      <c r="A4284" t="s">
        <v>2515</v>
      </c>
    </row>
    <row r="4285" spans="1:1" x14ac:dyDescent="0.25">
      <c r="A4285" t="s">
        <v>1753</v>
      </c>
    </row>
    <row r="4286" spans="1:1" x14ac:dyDescent="0.25">
      <c r="A4286" t="s">
        <v>1741</v>
      </c>
    </row>
    <row r="4287" spans="1:1" x14ac:dyDescent="0.25">
      <c r="A4287" t="s">
        <v>1762</v>
      </c>
    </row>
    <row r="4288" spans="1:1" x14ac:dyDescent="0.25">
      <c r="A4288" t="s">
        <v>2983</v>
      </c>
    </row>
    <row r="4289" spans="1:1" x14ac:dyDescent="0.25">
      <c r="A4289" t="s">
        <v>1744</v>
      </c>
    </row>
    <row r="4291" spans="1:1" x14ac:dyDescent="0.25">
      <c r="A4291" t="s">
        <v>1737</v>
      </c>
    </row>
    <row r="4292" spans="1:1" x14ac:dyDescent="0.25">
      <c r="A4292" t="s">
        <v>1738</v>
      </c>
    </row>
    <row r="4293" spans="1:1" x14ac:dyDescent="0.25">
      <c r="A4293" t="s">
        <v>2984</v>
      </c>
    </row>
    <row r="4294" spans="1:1" x14ac:dyDescent="0.25">
      <c r="A4294" t="s">
        <v>2985</v>
      </c>
    </row>
    <row r="4295" spans="1:1" x14ac:dyDescent="0.25">
      <c r="A4295" t="s">
        <v>2973</v>
      </c>
    </row>
    <row r="4296" spans="1:1" x14ac:dyDescent="0.25">
      <c r="A4296" t="s">
        <v>1753</v>
      </c>
    </row>
    <row r="4297" spans="1:1" x14ac:dyDescent="0.25">
      <c r="A4297" t="s">
        <v>1741</v>
      </c>
    </row>
    <row r="4298" spans="1:1" x14ac:dyDescent="0.25">
      <c r="A4298" t="s">
        <v>1762</v>
      </c>
    </row>
    <row r="4299" spans="1:1" x14ac:dyDescent="0.25">
      <c r="A4299" t="s">
        <v>2986</v>
      </c>
    </row>
    <row r="4300" spans="1:1" x14ac:dyDescent="0.25">
      <c r="A4300" t="s">
        <v>1744</v>
      </c>
    </row>
    <row r="4302" spans="1:1" x14ac:dyDescent="0.25">
      <c r="A4302" t="s">
        <v>1737</v>
      </c>
    </row>
    <row r="4303" spans="1:1" x14ac:dyDescent="0.25">
      <c r="A4303" t="s">
        <v>1738</v>
      </c>
    </row>
    <row r="4304" spans="1:1" x14ac:dyDescent="0.25">
      <c r="A4304" t="s">
        <v>2987</v>
      </c>
    </row>
    <row r="4305" spans="1:1" x14ac:dyDescent="0.25">
      <c r="A4305" t="s">
        <v>2988</v>
      </c>
    </row>
    <row r="4306" spans="1:1" x14ac:dyDescent="0.25">
      <c r="A4306" t="s">
        <v>2973</v>
      </c>
    </row>
    <row r="4307" spans="1:1" x14ac:dyDescent="0.25">
      <c r="A4307" t="s">
        <v>1753</v>
      </c>
    </row>
    <row r="4308" spans="1:1" x14ac:dyDescent="0.25">
      <c r="A4308" t="s">
        <v>1741</v>
      </c>
    </row>
    <row r="4309" spans="1:1" x14ac:dyDescent="0.25">
      <c r="A4309" t="s">
        <v>1762</v>
      </c>
    </row>
    <row r="4310" spans="1:1" x14ac:dyDescent="0.25">
      <c r="A4310" t="s">
        <v>2989</v>
      </c>
    </row>
    <row r="4311" spans="1:1" x14ac:dyDescent="0.25">
      <c r="A4311" t="s">
        <v>1744</v>
      </c>
    </row>
    <row r="4313" spans="1:1" x14ac:dyDescent="0.25">
      <c r="A4313" t="s">
        <v>1737</v>
      </c>
    </row>
    <row r="4314" spans="1:1" x14ac:dyDescent="0.25">
      <c r="A4314" t="s">
        <v>1738</v>
      </c>
    </row>
    <row r="4315" spans="1:1" x14ac:dyDescent="0.25">
      <c r="A4315" t="s">
        <v>2990</v>
      </c>
    </row>
    <row r="4316" spans="1:1" x14ac:dyDescent="0.25">
      <c r="A4316" t="s">
        <v>2991</v>
      </c>
    </row>
    <row r="4317" spans="1:1" x14ac:dyDescent="0.25">
      <c r="A4317" t="s">
        <v>2992</v>
      </c>
    </row>
    <row r="4318" spans="1:1" x14ac:dyDescent="0.25">
      <c r="A4318" t="s">
        <v>1753</v>
      </c>
    </row>
    <row r="4319" spans="1:1" x14ac:dyDescent="0.25">
      <c r="A4319" t="s">
        <v>1741</v>
      </c>
    </row>
    <row r="4320" spans="1:1" x14ac:dyDescent="0.25">
      <c r="A4320" t="s">
        <v>1762</v>
      </c>
    </row>
    <row r="4321" spans="1:1" x14ac:dyDescent="0.25">
      <c r="A4321" t="s">
        <v>2993</v>
      </c>
    </row>
    <row r="4322" spans="1:1" x14ac:dyDescent="0.25">
      <c r="A4322" t="s">
        <v>1744</v>
      </c>
    </row>
    <row r="4324" spans="1:1" x14ac:dyDescent="0.25">
      <c r="A4324" t="s">
        <v>1737</v>
      </c>
    </row>
    <row r="4325" spans="1:1" x14ac:dyDescent="0.25">
      <c r="A4325" t="s">
        <v>1738</v>
      </c>
    </row>
    <row r="4326" spans="1:1" x14ac:dyDescent="0.25">
      <c r="A4326" t="s">
        <v>2994</v>
      </c>
    </row>
    <row r="4327" spans="1:1" x14ac:dyDescent="0.25">
      <c r="A4327" t="s">
        <v>2995</v>
      </c>
    </row>
    <row r="4328" spans="1:1" x14ac:dyDescent="0.25">
      <c r="A4328" t="s">
        <v>1797</v>
      </c>
    </row>
    <row r="4329" spans="1:1" x14ac:dyDescent="0.25">
      <c r="A4329" t="s">
        <v>1753</v>
      </c>
    </row>
    <row r="4330" spans="1:1" x14ac:dyDescent="0.25">
      <c r="A4330" t="s">
        <v>1741</v>
      </c>
    </row>
    <row r="4331" spans="1:1" x14ac:dyDescent="0.25">
      <c r="A4331" t="s">
        <v>1762</v>
      </c>
    </row>
    <row r="4332" spans="1:1" x14ac:dyDescent="0.25">
      <c r="A4332" t="s">
        <v>2996</v>
      </c>
    </row>
    <row r="4333" spans="1:1" x14ac:dyDescent="0.25">
      <c r="A4333" t="s">
        <v>1744</v>
      </c>
    </row>
    <row r="4335" spans="1:1" x14ac:dyDescent="0.25">
      <c r="A4335" t="s">
        <v>1737</v>
      </c>
    </row>
    <row r="4336" spans="1:1" x14ac:dyDescent="0.25">
      <c r="A4336" t="s">
        <v>1738</v>
      </c>
    </row>
    <row r="4337" spans="1:1" x14ac:dyDescent="0.25">
      <c r="A4337" t="s">
        <v>2997</v>
      </c>
    </row>
    <row r="4338" spans="1:1" x14ac:dyDescent="0.25">
      <c r="A4338" t="s">
        <v>2998</v>
      </c>
    </row>
    <row r="4339" spans="1:1" x14ac:dyDescent="0.25">
      <c r="A4339" t="s">
        <v>2041</v>
      </c>
    </row>
    <row r="4340" spans="1:1" x14ac:dyDescent="0.25">
      <c r="A4340" t="s">
        <v>1753</v>
      </c>
    </row>
    <row r="4341" spans="1:1" x14ac:dyDescent="0.25">
      <c r="A4341" t="s">
        <v>1741</v>
      </c>
    </row>
    <row r="4342" spans="1:1" x14ac:dyDescent="0.25">
      <c r="A4342" t="s">
        <v>1887</v>
      </c>
    </row>
    <row r="4343" spans="1:1" x14ac:dyDescent="0.25">
      <c r="A4343" t="s">
        <v>2999</v>
      </c>
    </row>
    <row r="4344" spans="1:1" x14ac:dyDescent="0.25">
      <c r="A4344" t="s">
        <v>1744</v>
      </c>
    </row>
    <row r="4346" spans="1:1" x14ac:dyDescent="0.25">
      <c r="A4346" t="s">
        <v>1737</v>
      </c>
    </row>
    <row r="4347" spans="1:1" x14ac:dyDescent="0.25">
      <c r="A4347" t="s">
        <v>1738</v>
      </c>
    </row>
    <row r="4348" spans="1:1" x14ac:dyDescent="0.25">
      <c r="A4348" t="s">
        <v>3000</v>
      </c>
    </row>
    <row r="4349" spans="1:1" x14ac:dyDescent="0.25">
      <c r="A4349" t="s">
        <v>3001</v>
      </c>
    </row>
    <row r="4350" spans="1:1" x14ac:dyDescent="0.25">
      <c r="A4350" t="s">
        <v>2209</v>
      </c>
    </row>
    <row r="4351" spans="1:1" x14ac:dyDescent="0.25">
      <c r="A4351" t="s">
        <v>1753</v>
      </c>
    </row>
    <row r="4352" spans="1:1" x14ac:dyDescent="0.25">
      <c r="A4352" t="s">
        <v>1741</v>
      </c>
    </row>
    <row r="4353" spans="1:1" x14ac:dyDescent="0.25">
      <c r="A4353" t="s">
        <v>1762</v>
      </c>
    </row>
    <row r="4354" spans="1:1" x14ac:dyDescent="0.25">
      <c r="A4354" t="s">
        <v>3002</v>
      </c>
    </row>
    <row r="4355" spans="1:1" x14ac:dyDescent="0.25">
      <c r="A4355" t="s">
        <v>1744</v>
      </c>
    </row>
    <row r="4357" spans="1:1" x14ac:dyDescent="0.25">
      <c r="A4357" t="s">
        <v>1737</v>
      </c>
    </row>
    <row r="4358" spans="1:1" x14ac:dyDescent="0.25">
      <c r="A4358" t="s">
        <v>1738</v>
      </c>
    </row>
    <row r="4359" spans="1:1" x14ac:dyDescent="0.25">
      <c r="A4359" t="s">
        <v>3003</v>
      </c>
    </row>
    <row r="4360" spans="1:1" x14ac:dyDescent="0.25">
      <c r="A4360" t="s">
        <v>3004</v>
      </c>
    </row>
    <row r="4361" spans="1:1" x14ac:dyDescent="0.25">
      <c r="A4361" t="s">
        <v>2209</v>
      </c>
    </row>
    <row r="4362" spans="1:1" x14ac:dyDescent="0.25">
      <c r="A4362" t="s">
        <v>1753</v>
      </c>
    </row>
    <row r="4363" spans="1:1" x14ac:dyDescent="0.25">
      <c r="A4363" t="s">
        <v>1741</v>
      </c>
    </row>
    <row r="4364" spans="1:1" x14ac:dyDescent="0.25">
      <c r="A4364" t="s">
        <v>1762</v>
      </c>
    </row>
    <row r="4365" spans="1:1" x14ac:dyDescent="0.25">
      <c r="A4365" t="s">
        <v>3005</v>
      </c>
    </row>
    <row r="4366" spans="1:1" x14ac:dyDescent="0.25">
      <c r="A4366" t="s">
        <v>1744</v>
      </c>
    </row>
    <row r="4368" spans="1:1" x14ac:dyDescent="0.25">
      <c r="A4368" t="s">
        <v>1737</v>
      </c>
    </row>
    <row r="4369" spans="1:1" x14ac:dyDescent="0.25">
      <c r="A4369" t="s">
        <v>1738</v>
      </c>
    </row>
    <row r="4370" spans="1:1" x14ac:dyDescent="0.25">
      <c r="A4370" t="s">
        <v>3006</v>
      </c>
    </row>
    <row r="4371" spans="1:1" x14ac:dyDescent="0.25">
      <c r="A4371" t="s">
        <v>3007</v>
      </c>
    </row>
    <row r="4372" spans="1:1" x14ac:dyDescent="0.25">
      <c r="A4372" t="s">
        <v>2209</v>
      </c>
    </row>
    <row r="4373" spans="1:1" x14ac:dyDescent="0.25">
      <c r="A4373" t="s">
        <v>1753</v>
      </c>
    </row>
    <row r="4374" spans="1:1" x14ac:dyDescent="0.25">
      <c r="A4374" t="s">
        <v>1741</v>
      </c>
    </row>
    <row r="4375" spans="1:1" x14ac:dyDescent="0.25">
      <c r="A4375" t="s">
        <v>1762</v>
      </c>
    </row>
    <row r="4376" spans="1:1" x14ac:dyDescent="0.25">
      <c r="A4376" t="s">
        <v>3008</v>
      </c>
    </row>
    <row r="4377" spans="1:1" x14ac:dyDescent="0.25">
      <c r="A4377" t="s">
        <v>1744</v>
      </c>
    </row>
    <row r="4379" spans="1:1" x14ac:dyDescent="0.25">
      <c r="A4379" t="s">
        <v>1737</v>
      </c>
    </row>
    <row r="4380" spans="1:1" x14ac:dyDescent="0.25">
      <c r="A4380" t="s">
        <v>1738</v>
      </c>
    </row>
    <row r="4381" spans="1:1" x14ac:dyDescent="0.25">
      <c r="A4381" t="s">
        <v>3009</v>
      </c>
    </row>
    <row r="4382" spans="1:1" x14ac:dyDescent="0.25">
      <c r="A4382" t="s">
        <v>3010</v>
      </c>
    </row>
    <row r="4383" spans="1:1" x14ac:dyDescent="0.25">
      <c r="A4383" t="s">
        <v>1986</v>
      </c>
    </row>
    <row r="4384" spans="1:1" x14ac:dyDescent="0.25">
      <c r="A4384" t="s">
        <v>1753</v>
      </c>
    </row>
    <row r="4385" spans="1:1" x14ac:dyDescent="0.25">
      <c r="A4385" t="s">
        <v>1741</v>
      </c>
    </row>
    <row r="4386" spans="1:1" x14ac:dyDescent="0.25">
      <c r="A4386" t="s">
        <v>1887</v>
      </c>
    </row>
    <row r="4387" spans="1:1" x14ac:dyDescent="0.25">
      <c r="A4387" t="s">
        <v>3011</v>
      </c>
    </row>
    <row r="4388" spans="1:1" x14ac:dyDescent="0.25">
      <c r="A4388" t="s">
        <v>1744</v>
      </c>
    </row>
    <row r="4390" spans="1:1" x14ac:dyDescent="0.25">
      <c r="A4390" t="s">
        <v>1737</v>
      </c>
    </row>
    <row r="4391" spans="1:1" x14ac:dyDescent="0.25">
      <c r="A4391" t="s">
        <v>1738</v>
      </c>
    </row>
    <row r="4392" spans="1:1" x14ac:dyDescent="0.25">
      <c r="A4392" t="s">
        <v>3012</v>
      </c>
    </row>
    <row r="4393" spans="1:1" x14ac:dyDescent="0.25">
      <c r="A4393" t="s">
        <v>3013</v>
      </c>
    </row>
    <row r="4394" spans="1:1" x14ac:dyDescent="0.25">
      <c r="A4394" t="s">
        <v>1752</v>
      </c>
    </row>
    <row r="4395" spans="1:1" x14ac:dyDescent="0.25">
      <c r="A4395" t="s">
        <v>1753</v>
      </c>
    </row>
    <row r="4396" spans="1:1" x14ac:dyDescent="0.25">
      <c r="A4396" t="s">
        <v>1740</v>
      </c>
    </row>
    <row r="4397" spans="1:1" x14ac:dyDescent="0.25">
      <c r="A4397" t="s">
        <v>1741</v>
      </c>
    </row>
    <row r="4398" spans="1:1" x14ac:dyDescent="0.25">
      <c r="A4398" t="s">
        <v>3014</v>
      </c>
    </row>
    <row r="4399" spans="1:1" x14ac:dyDescent="0.25">
      <c r="A4399" t="s">
        <v>3015</v>
      </c>
    </row>
    <row r="4400" spans="1:1" x14ac:dyDescent="0.25">
      <c r="A4400" t="s">
        <v>1744</v>
      </c>
    </row>
    <row r="4402" spans="1:1" x14ac:dyDescent="0.25">
      <c r="A4402" t="s">
        <v>1737</v>
      </c>
    </row>
    <row r="4403" spans="1:1" x14ac:dyDescent="0.25">
      <c r="A4403" t="s">
        <v>1738</v>
      </c>
    </row>
    <row r="4404" spans="1:1" x14ac:dyDescent="0.25">
      <c r="A4404" t="s">
        <v>3016</v>
      </c>
    </row>
    <row r="4405" spans="1:1" x14ac:dyDescent="0.25">
      <c r="A4405" t="s">
        <v>3017</v>
      </c>
    </row>
    <row r="4406" spans="1:1" x14ac:dyDescent="0.25">
      <c r="A4406" t="s">
        <v>2209</v>
      </c>
    </row>
    <row r="4407" spans="1:1" x14ac:dyDescent="0.25">
      <c r="A4407" t="s">
        <v>1753</v>
      </c>
    </row>
    <row r="4408" spans="1:1" x14ac:dyDescent="0.25">
      <c r="A4408" t="s">
        <v>1741</v>
      </c>
    </row>
    <row r="4409" spans="1:1" x14ac:dyDescent="0.25">
      <c r="A4409" t="s">
        <v>1762</v>
      </c>
    </row>
    <row r="4410" spans="1:1" x14ac:dyDescent="0.25">
      <c r="A4410" t="s">
        <v>3018</v>
      </c>
    </row>
    <row r="4411" spans="1:1" x14ac:dyDescent="0.25">
      <c r="A4411" t="s">
        <v>1744</v>
      </c>
    </row>
    <row r="4413" spans="1:1" x14ac:dyDescent="0.25">
      <c r="A4413" t="s">
        <v>1737</v>
      </c>
    </row>
    <row r="4414" spans="1:1" x14ac:dyDescent="0.25">
      <c r="A4414" t="s">
        <v>1738</v>
      </c>
    </row>
    <row r="4415" spans="1:1" x14ac:dyDescent="0.25">
      <c r="A4415" t="s">
        <v>3019</v>
      </c>
    </row>
    <row r="4416" spans="1:1" x14ac:dyDescent="0.25">
      <c r="A4416" t="s">
        <v>3020</v>
      </c>
    </row>
    <row r="4417" spans="1:1" x14ac:dyDescent="0.25">
      <c r="A4417" t="s">
        <v>2376</v>
      </c>
    </row>
    <row r="4418" spans="1:1" x14ac:dyDescent="0.25">
      <c r="A4418" t="s">
        <v>1753</v>
      </c>
    </row>
    <row r="4419" spans="1:1" x14ac:dyDescent="0.25">
      <c r="A4419" t="s">
        <v>1741</v>
      </c>
    </row>
    <row r="4420" spans="1:1" x14ac:dyDescent="0.25">
      <c r="A4420" t="s">
        <v>1762</v>
      </c>
    </row>
    <row r="4421" spans="1:1" x14ac:dyDescent="0.25">
      <c r="A4421" t="s">
        <v>3021</v>
      </c>
    </row>
    <row r="4422" spans="1:1" x14ac:dyDescent="0.25">
      <c r="A4422" t="s">
        <v>1744</v>
      </c>
    </row>
    <row r="4424" spans="1:1" x14ac:dyDescent="0.25">
      <c r="A4424" t="s">
        <v>1737</v>
      </c>
    </row>
    <row r="4425" spans="1:1" x14ac:dyDescent="0.25">
      <c r="A4425" t="s">
        <v>1738</v>
      </c>
    </row>
    <row r="4426" spans="1:1" x14ac:dyDescent="0.25">
      <c r="A4426" t="s">
        <v>3022</v>
      </c>
    </row>
    <row r="4427" spans="1:1" x14ac:dyDescent="0.25">
      <c r="A4427" t="s">
        <v>3023</v>
      </c>
    </row>
    <row r="4428" spans="1:1" x14ac:dyDescent="0.25">
      <c r="A4428" t="s">
        <v>3024</v>
      </c>
    </row>
    <row r="4429" spans="1:1" x14ac:dyDescent="0.25">
      <c r="A4429" t="s">
        <v>1753</v>
      </c>
    </row>
    <row r="4430" spans="1:1" x14ac:dyDescent="0.25">
      <c r="A4430" t="s">
        <v>1740</v>
      </c>
    </row>
    <row r="4431" spans="1:1" x14ac:dyDescent="0.25">
      <c r="A4431" t="s">
        <v>1741</v>
      </c>
    </row>
    <row r="4432" spans="1:1" x14ac:dyDescent="0.25">
      <c r="A4432" t="s">
        <v>3025</v>
      </c>
    </row>
    <row r="4433" spans="1:1" x14ac:dyDescent="0.25">
      <c r="A4433" t="s">
        <v>3026</v>
      </c>
    </row>
    <row r="4434" spans="1:1" x14ac:dyDescent="0.25">
      <c r="A4434" t="s">
        <v>1744</v>
      </c>
    </row>
    <row r="4436" spans="1:1" x14ac:dyDescent="0.25">
      <c r="A4436" t="s">
        <v>1737</v>
      </c>
    </row>
    <row r="4437" spans="1:1" x14ac:dyDescent="0.25">
      <c r="A4437" t="s">
        <v>1738</v>
      </c>
    </row>
    <row r="4438" spans="1:1" x14ac:dyDescent="0.25">
      <c r="A4438" t="s">
        <v>3027</v>
      </c>
    </row>
    <row r="4439" spans="1:1" x14ac:dyDescent="0.25">
      <c r="A4439" t="s">
        <v>3028</v>
      </c>
    </row>
    <row r="4440" spans="1:1" x14ac:dyDescent="0.25">
      <c r="A4440" t="s">
        <v>3029</v>
      </c>
    </row>
    <row r="4441" spans="1:1" x14ac:dyDescent="0.25">
      <c r="A4441" t="s">
        <v>1753</v>
      </c>
    </row>
    <row r="4442" spans="1:1" x14ac:dyDescent="0.25">
      <c r="A4442" t="s">
        <v>1740</v>
      </c>
    </row>
    <row r="4443" spans="1:1" x14ac:dyDescent="0.25">
      <c r="A4443" t="s">
        <v>1741</v>
      </c>
    </row>
    <row r="4444" spans="1:1" x14ac:dyDescent="0.25">
      <c r="A4444" t="s">
        <v>3030</v>
      </c>
    </row>
    <row r="4445" spans="1:1" x14ac:dyDescent="0.25">
      <c r="A4445" t="s">
        <v>3031</v>
      </c>
    </row>
    <row r="4446" spans="1:1" x14ac:dyDescent="0.25">
      <c r="A4446" t="s">
        <v>1744</v>
      </c>
    </row>
    <row r="4448" spans="1:1" x14ac:dyDescent="0.25">
      <c r="A4448" t="s">
        <v>1737</v>
      </c>
    </row>
    <row r="4449" spans="1:1" x14ac:dyDescent="0.25">
      <c r="A4449" t="s">
        <v>1738</v>
      </c>
    </row>
    <row r="4450" spans="1:1" x14ac:dyDescent="0.25">
      <c r="A4450" t="s">
        <v>3032</v>
      </c>
    </row>
    <row r="4451" spans="1:1" x14ac:dyDescent="0.25">
      <c r="A4451" t="s">
        <v>3033</v>
      </c>
    </row>
    <row r="4452" spans="1:1" x14ac:dyDescent="0.25">
      <c r="A4452" t="s">
        <v>3029</v>
      </c>
    </row>
    <row r="4453" spans="1:1" x14ac:dyDescent="0.25">
      <c r="A4453" t="s">
        <v>1753</v>
      </c>
    </row>
    <row r="4454" spans="1:1" x14ac:dyDescent="0.25">
      <c r="A4454" t="s">
        <v>1740</v>
      </c>
    </row>
    <row r="4455" spans="1:1" x14ac:dyDescent="0.25">
      <c r="A4455" t="s">
        <v>1741</v>
      </c>
    </row>
    <row r="4456" spans="1:1" x14ac:dyDescent="0.25">
      <c r="A4456" t="s">
        <v>3034</v>
      </c>
    </row>
    <row r="4457" spans="1:1" x14ac:dyDescent="0.25">
      <c r="A4457" t="s">
        <v>3035</v>
      </c>
    </row>
    <row r="4458" spans="1:1" x14ac:dyDescent="0.25">
      <c r="A4458" t="s">
        <v>1744</v>
      </c>
    </row>
    <row r="4460" spans="1:1" x14ac:dyDescent="0.25">
      <c r="A4460" t="s">
        <v>1737</v>
      </c>
    </row>
    <row r="4461" spans="1:1" x14ac:dyDescent="0.25">
      <c r="A4461" t="s">
        <v>1738</v>
      </c>
    </row>
    <row r="4462" spans="1:1" x14ac:dyDescent="0.25">
      <c r="A4462" t="s">
        <v>3036</v>
      </c>
    </row>
    <row r="4463" spans="1:1" x14ac:dyDescent="0.25">
      <c r="A4463" t="s">
        <v>3037</v>
      </c>
    </row>
    <row r="4464" spans="1:1" x14ac:dyDescent="0.25">
      <c r="A4464" t="s">
        <v>1752</v>
      </c>
    </row>
    <row r="4465" spans="1:1" x14ac:dyDescent="0.25">
      <c r="A4465" t="s">
        <v>1753</v>
      </c>
    </row>
    <row r="4466" spans="1:1" x14ac:dyDescent="0.25">
      <c r="A4466" t="s">
        <v>1740</v>
      </c>
    </row>
    <row r="4467" spans="1:1" x14ac:dyDescent="0.25">
      <c r="A4467" t="s">
        <v>1741</v>
      </c>
    </row>
    <row r="4468" spans="1:1" x14ac:dyDescent="0.25">
      <c r="A4468" t="s">
        <v>3038</v>
      </c>
    </row>
    <row r="4469" spans="1:1" x14ac:dyDescent="0.25">
      <c r="A4469" t="s">
        <v>3039</v>
      </c>
    </row>
    <row r="4470" spans="1:1" x14ac:dyDescent="0.25">
      <c r="A4470" t="s">
        <v>1744</v>
      </c>
    </row>
    <row r="4472" spans="1:1" x14ac:dyDescent="0.25">
      <c r="A4472" t="s">
        <v>1737</v>
      </c>
    </row>
    <row r="4473" spans="1:1" x14ac:dyDescent="0.25">
      <c r="A4473" t="s">
        <v>1738</v>
      </c>
    </row>
    <row r="4474" spans="1:1" x14ac:dyDescent="0.25">
      <c r="A4474" t="s">
        <v>3040</v>
      </c>
    </row>
    <row r="4475" spans="1:1" x14ac:dyDescent="0.25">
      <c r="A4475" t="s">
        <v>3041</v>
      </c>
    </row>
    <row r="4476" spans="1:1" x14ac:dyDescent="0.25">
      <c r="A4476" t="s">
        <v>3024</v>
      </c>
    </row>
    <row r="4477" spans="1:1" x14ac:dyDescent="0.25">
      <c r="A4477" t="s">
        <v>1753</v>
      </c>
    </row>
    <row r="4478" spans="1:1" x14ac:dyDescent="0.25">
      <c r="A4478" t="s">
        <v>1740</v>
      </c>
    </row>
    <row r="4479" spans="1:1" x14ac:dyDescent="0.25">
      <c r="A4479" t="s">
        <v>1741</v>
      </c>
    </row>
    <row r="4480" spans="1:1" x14ac:dyDescent="0.25">
      <c r="A4480" t="s">
        <v>3042</v>
      </c>
    </row>
    <row r="4481" spans="1:1" x14ac:dyDescent="0.25">
      <c r="A4481" t="s">
        <v>3043</v>
      </c>
    </row>
    <row r="4482" spans="1:1" x14ac:dyDescent="0.25">
      <c r="A4482" t="s">
        <v>1744</v>
      </c>
    </row>
    <row r="4484" spans="1:1" x14ac:dyDescent="0.25">
      <c r="A4484" t="s">
        <v>1737</v>
      </c>
    </row>
    <row r="4485" spans="1:1" x14ac:dyDescent="0.25">
      <c r="A4485" t="s">
        <v>1738</v>
      </c>
    </row>
    <row r="4486" spans="1:1" x14ac:dyDescent="0.25">
      <c r="A4486" t="s">
        <v>3044</v>
      </c>
    </row>
    <row r="4487" spans="1:1" x14ac:dyDescent="0.25">
      <c r="A4487" t="s">
        <v>3045</v>
      </c>
    </row>
    <row r="4488" spans="1:1" x14ac:dyDescent="0.25">
      <c r="A4488" t="s">
        <v>2209</v>
      </c>
    </row>
    <row r="4489" spans="1:1" x14ac:dyDescent="0.25">
      <c r="A4489" t="s">
        <v>1753</v>
      </c>
    </row>
    <row r="4490" spans="1:1" x14ac:dyDescent="0.25">
      <c r="A4490" t="s">
        <v>1741</v>
      </c>
    </row>
    <row r="4491" spans="1:1" x14ac:dyDescent="0.25">
      <c r="A4491" t="s">
        <v>1762</v>
      </c>
    </row>
    <row r="4492" spans="1:1" x14ac:dyDescent="0.25">
      <c r="A4492" t="s">
        <v>3046</v>
      </c>
    </row>
    <row r="4493" spans="1:1" x14ac:dyDescent="0.25">
      <c r="A4493" t="s">
        <v>1744</v>
      </c>
    </row>
    <row r="4495" spans="1:1" x14ac:dyDescent="0.25">
      <c r="A4495" t="s">
        <v>1737</v>
      </c>
    </row>
    <row r="4496" spans="1:1" x14ac:dyDescent="0.25">
      <c r="A4496" t="s">
        <v>1738</v>
      </c>
    </row>
    <row r="4497" spans="1:1" x14ac:dyDescent="0.25">
      <c r="A4497" t="s">
        <v>3047</v>
      </c>
    </row>
    <row r="4498" spans="1:1" x14ac:dyDescent="0.25">
      <c r="A4498" t="s">
        <v>3048</v>
      </c>
    </row>
    <row r="4499" spans="1:1" x14ac:dyDescent="0.25">
      <c r="A4499" t="s">
        <v>2209</v>
      </c>
    </row>
    <row r="4500" spans="1:1" x14ac:dyDescent="0.25">
      <c r="A4500" t="s">
        <v>1753</v>
      </c>
    </row>
    <row r="4501" spans="1:1" x14ac:dyDescent="0.25">
      <c r="A4501" t="s">
        <v>1741</v>
      </c>
    </row>
    <row r="4502" spans="1:1" x14ac:dyDescent="0.25">
      <c r="A4502" t="s">
        <v>1887</v>
      </c>
    </row>
    <row r="4503" spans="1:1" x14ac:dyDescent="0.25">
      <c r="A4503" t="s">
        <v>3049</v>
      </c>
    </row>
    <row r="4504" spans="1:1" x14ac:dyDescent="0.25">
      <c r="A4504" t="s">
        <v>1744</v>
      </c>
    </row>
    <row r="4506" spans="1:1" x14ac:dyDescent="0.25">
      <c r="A4506" t="s">
        <v>1737</v>
      </c>
    </row>
    <row r="4507" spans="1:1" x14ac:dyDescent="0.25">
      <c r="A4507" t="s">
        <v>1738</v>
      </c>
    </row>
    <row r="4508" spans="1:1" x14ac:dyDescent="0.25">
      <c r="A4508" t="s">
        <v>3050</v>
      </c>
    </row>
    <row r="4509" spans="1:1" x14ac:dyDescent="0.25">
      <c r="A4509" t="s">
        <v>3051</v>
      </c>
    </row>
    <row r="4510" spans="1:1" x14ac:dyDescent="0.25">
      <c r="A4510" t="s">
        <v>2301</v>
      </c>
    </row>
    <row r="4511" spans="1:1" x14ac:dyDescent="0.25">
      <c r="A4511" t="s">
        <v>1753</v>
      </c>
    </row>
    <row r="4512" spans="1:1" x14ac:dyDescent="0.25">
      <c r="A4512" t="s">
        <v>1740</v>
      </c>
    </row>
    <row r="4513" spans="1:1" x14ac:dyDescent="0.25">
      <c r="A4513" t="s">
        <v>1741</v>
      </c>
    </row>
    <row r="4514" spans="1:1" x14ac:dyDescent="0.25">
      <c r="A4514" t="s">
        <v>3052</v>
      </c>
    </row>
    <row r="4515" spans="1:1" x14ac:dyDescent="0.25">
      <c r="A4515" t="s">
        <v>3053</v>
      </c>
    </row>
    <row r="4516" spans="1:1" x14ac:dyDescent="0.25">
      <c r="A4516" t="s">
        <v>1744</v>
      </c>
    </row>
    <row r="4518" spans="1:1" x14ac:dyDescent="0.25">
      <c r="A4518" t="s">
        <v>1737</v>
      </c>
    </row>
    <row r="4519" spans="1:1" x14ac:dyDescent="0.25">
      <c r="A4519" t="s">
        <v>1738</v>
      </c>
    </row>
    <row r="4520" spans="1:1" x14ac:dyDescent="0.25">
      <c r="A4520" t="s">
        <v>3054</v>
      </c>
    </row>
    <row r="4521" spans="1:1" x14ac:dyDescent="0.25">
      <c r="A4521" t="s">
        <v>3055</v>
      </c>
    </row>
    <row r="4522" spans="1:1" x14ac:dyDescent="0.25">
      <c r="A4522" t="s">
        <v>2209</v>
      </c>
    </row>
    <row r="4523" spans="1:1" x14ac:dyDescent="0.25">
      <c r="A4523" t="s">
        <v>1753</v>
      </c>
    </row>
    <row r="4524" spans="1:1" x14ac:dyDescent="0.25">
      <c r="A4524" t="s">
        <v>1741</v>
      </c>
    </row>
    <row r="4525" spans="1:1" x14ac:dyDescent="0.25">
      <c r="A4525" t="s">
        <v>1762</v>
      </c>
    </row>
    <row r="4526" spans="1:1" x14ac:dyDescent="0.25">
      <c r="A4526" t="s">
        <v>3056</v>
      </c>
    </row>
    <row r="4527" spans="1:1" x14ac:dyDescent="0.25">
      <c r="A4527" t="s">
        <v>1744</v>
      </c>
    </row>
    <row r="4529" spans="1:1" x14ac:dyDescent="0.25">
      <c r="A4529" t="s">
        <v>1737</v>
      </c>
    </row>
    <row r="4530" spans="1:1" x14ac:dyDescent="0.25">
      <c r="A4530" t="s">
        <v>1738</v>
      </c>
    </row>
    <row r="4531" spans="1:1" x14ac:dyDescent="0.25">
      <c r="A4531" t="s">
        <v>3057</v>
      </c>
    </row>
    <row r="4532" spans="1:1" x14ac:dyDescent="0.25">
      <c r="A4532" t="s">
        <v>3058</v>
      </c>
    </row>
    <row r="4533" spans="1:1" x14ac:dyDescent="0.25">
      <c r="A4533" t="s">
        <v>2937</v>
      </c>
    </row>
    <row r="4534" spans="1:1" x14ac:dyDescent="0.25">
      <c r="A4534" t="s">
        <v>1753</v>
      </c>
    </row>
    <row r="4535" spans="1:1" x14ac:dyDescent="0.25">
      <c r="A4535" t="s">
        <v>1741</v>
      </c>
    </row>
    <row r="4536" spans="1:1" x14ac:dyDescent="0.25">
      <c r="A4536" t="s">
        <v>1762</v>
      </c>
    </row>
    <row r="4537" spans="1:1" x14ac:dyDescent="0.25">
      <c r="A4537" t="s">
        <v>3059</v>
      </c>
    </row>
    <row r="4538" spans="1:1" x14ac:dyDescent="0.25">
      <c r="A4538" t="s">
        <v>1744</v>
      </c>
    </row>
    <row r="4540" spans="1:1" x14ac:dyDescent="0.25">
      <c r="A4540" t="s">
        <v>1737</v>
      </c>
    </row>
    <row r="4541" spans="1:1" x14ac:dyDescent="0.25">
      <c r="A4541" t="s">
        <v>1738</v>
      </c>
    </row>
    <row r="4542" spans="1:1" x14ac:dyDescent="0.25">
      <c r="A4542" t="s">
        <v>3060</v>
      </c>
    </row>
    <row r="4543" spans="1:1" x14ac:dyDescent="0.25">
      <c r="A4543" t="s">
        <v>3061</v>
      </c>
    </row>
    <row r="4544" spans="1:1" x14ac:dyDescent="0.25">
      <c r="A4544" t="s">
        <v>2376</v>
      </c>
    </row>
    <row r="4545" spans="1:1" x14ac:dyDescent="0.25">
      <c r="A4545" t="s">
        <v>1753</v>
      </c>
    </row>
    <row r="4546" spans="1:1" x14ac:dyDescent="0.25">
      <c r="A4546" t="s">
        <v>1741</v>
      </c>
    </row>
    <row r="4547" spans="1:1" x14ac:dyDescent="0.25">
      <c r="A4547" t="s">
        <v>1995</v>
      </c>
    </row>
    <row r="4548" spans="1:1" x14ac:dyDescent="0.25">
      <c r="A4548" t="s">
        <v>3062</v>
      </c>
    </row>
    <row r="4549" spans="1:1" x14ac:dyDescent="0.25">
      <c r="A4549" t="s">
        <v>1744</v>
      </c>
    </row>
    <row r="4551" spans="1:1" x14ac:dyDescent="0.25">
      <c r="A4551" t="s">
        <v>1737</v>
      </c>
    </row>
    <row r="4552" spans="1:1" x14ac:dyDescent="0.25">
      <c r="A4552" t="s">
        <v>1738</v>
      </c>
    </row>
    <row r="4553" spans="1:1" x14ac:dyDescent="0.25">
      <c r="A4553" t="s">
        <v>3063</v>
      </c>
    </row>
    <row r="4554" spans="1:1" x14ac:dyDescent="0.25">
      <c r="A4554" t="s">
        <v>3064</v>
      </c>
    </row>
    <row r="4555" spans="1:1" x14ac:dyDescent="0.25">
      <c r="A4555" t="s">
        <v>1990</v>
      </c>
    </row>
    <row r="4556" spans="1:1" x14ac:dyDescent="0.25">
      <c r="A4556" t="s">
        <v>1753</v>
      </c>
    </row>
    <row r="4557" spans="1:1" x14ac:dyDescent="0.25">
      <c r="A4557" t="s">
        <v>1741</v>
      </c>
    </row>
    <row r="4558" spans="1:1" x14ac:dyDescent="0.25">
      <c r="A4558" t="s">
        <v>2242</v>
      </c>
    </row>
    <row r="4559" spans="1:1" x14ac:dyDescent="0.25">
      <c r="A4559" t="s">
        <v>3065</v>
      </c>
    </row>
    <row r="4560" spans="1:1" x14ac:dyDescent="0.25">
      <c r="A4560" t="s">
        <v>1744</v>
      </c>
    </row>
    <row r="4562" spans="1:1" x14ac:dyDescent="0.25">
      <c r="A4562" t="s">
        <v>1737</v>
      </c>
    </row>
    <row r="4563" spans="1:1" x14ac:dyDescent="0.25">
      <c r="A4563" t="s">
        <v>1738</v>
      </c>
    </row>
    <row r="4564" spans="1:1" x14ac:dyDescent="0.25">
      <c r="A4564" t="s">
        <v>3066</v>
      </c>
    </row>
    <row r="4565" spans="1:1" x14ac:dyDescent="0.25">
      <c r="A4565" t="s">
        <v>3067</v>
      </c>
    </row>
    <row r="4566" spans="1:1" x14ac:dyDescent="0.25">
      <c r="A4566" t="s">
        <v>1990</v>
      </c>
    </row>
    <row r="4567" spans="1:1" x14ac:dyDescent="0.25">
      <c r="A4567" t="s">
        <v>1753</v>
      </c>
    </row>
    <row r="4568" spans="1:1" x14ac:dyDescent="0.25">
      <c r="A4568" t="s">
        <v>1741</v>
      </c>
    </row>
    <row r="4569" spans="1:1" x14ac:dyDescent="0.25">
      <c r="A4569" t="s">
        <v>2242</v>
      </c>
    </row>
    <row r="4570" spans="1:1" x14ac:dyDescent="0.25">
      <c r="A4570" t="s">
        <v>3068</v>
      </c>
    </row>
    <row r="4571" spans="1:1" x14ac:dyDescent="0.25">
      <c r="A4571" t="s">
        <v>1744</v>
      </c>
    </row>
    <row r="4573" spans="1:1" x14ac:dyDescent="0.25">
      <c r="A4573" t="s">
        <v>1737</v>
      </c>
    </row>
    <row r="4574" spans="1:1" x14ac:dyDescent="0.25">
      <c r="A4574" t="s">
        <v>1738</v>
      </c>
    </row>
    <row r="4575" spans="1:1" x14ac:dyDescent="0.25">
      <c r="A4575" t="s">
        <v>3069</v>
      </c>
    </row>
    <row r="4576" spans="1:1" x14ac:dyDescent="0.25">
      <c r="A4576" t="s">
        <v>3070</v>
      </c>
    </row>
    <row r="4577" spans="1:1" x14ac:dyDescent="0.25">
      <c r="A4577" t="s">
        <v>1990</v>
      </c>
    </row>
    <row r="4578" spans="1:1" x14ac:dyDescent="0.25">
      <c r="A4578" t="s">
        <v>1753</v>
      </c>
    </row>
    <row r="4579" spans="1:1" x14ac:dyDescent="0.25">
      <c r="A4579" t="s">
        <v>1741</v>
      </c>
    </row>
    <row r="4580" spans="1:1" x14ac:dyDescent="0.25">
      <c r="A4580" t="s">
        <v>2242</v>
      </c>
    </row>
    <row r="4581" spans="1:1" x14ac:dyDescent="0.25">
      <c r="A4581" t="s">
        <v>3071</v>
      </c>
    </row>
    <row r="4582" spans="1:1" x14ac:dyDescent="0.25">
      <c r="A4582" t="s">
        <v>1744</v>
      </c>
    </row>
    <row r="4584" spans="1:1" x14ac:dyDescent="0.25">
      <c r="A4584" t="s">
        <v>1737</v>
      </c>
    </row>
    <row r="4585" spans="1:1" x14ac:dyDescent="0.25">
      <c r="A4585" t="s">
        <v>1738</v>
      </c>
    </row>
    <row r="4586" spans="1:1" x14ac:dyDescent="0.25">
      <c r="A4586" t="s">
        <v>3072</v>
      </c>
    </row>
    <row r="4587" spans="1:1" x14ac:dyDescent="0.25">
      <c r="A4587" t="s">
        <v>3073</v>
      </c>
    </row>
    <row r="4588" spans="1:1" x14ac:dyDescent="0.25">
      <c r="A4588" t="s">
        <v>1990</v>
      </c>
    </row>
    <row r="4589" spans="1:1" x14ac:dyDescent="0.25">
      <c r="A4589" t="s">
        <v>1753</v>
      </c>
    </row>
    <row r="4590" spans="1:1" x14ac:dyDescent="0.25">
      <c r="A4590" t="s">
        <v>1741</v>
      </c>
    </row>
    <row r="4591" spans="1:1" x14ac:dyDescent="0.25">
      <c r="A4591" t="s">
        <v>2242</v>
      </c>
    </row>
    <row r="4592" spans="1:1" x14ac:dyDescent="0.25">
      <c r="A4592" t="s">
        <v>3074</v>
      </c>
    </row>
    <row r="4593" spans="1:1" x14ac:dyDescent="0.25">
      <c r="A4593" t="s">
        <v>1744</v>
      </c>
    </row>
    <row r="4595" spans="1:1" x14ac:dyDescent="0.25">
      <c r="A4595" t="s">
        <v>1737</v>
      </c>
    </row>
    <row r="4596" spans="1:1" x14ac:dyDescent="0.25">
      <c r="A4596" t="s">
        <v>1738</v>
      </c>
    </row>
    <row r="4597" spans="1:1" x14ac:dyDescent="0.25">
      <c r="A4597" t="s">
        <v>3075</v>
      </c>
    </row>
    <row r="4598" spans="1:1" x14ac:dyDescent="0.25">
      <c r="A4598" t="s">
        <v>3076</v>
      </c>
    </row>
    <row r="4599" spans="1:1" x14ac:dyDescent="0.25">
      <c r="A4599" t="s">
        <v>1990</v>
      </c>
    </row>
    <row r="4600" spans="1:1" x14ac:dyDescent="0.25">
      <c r="A4600" t="s">
        <v>1753</v>
      </c>
    </row>
    <row r="4601" spans="1:1" x14ac:dyDescent="0.25">
      <c r="A4601" t="s">
        <v>1741</v>
      </c>
    </row>
    <row r="4602" spans="1:1" x14ac:dyDescent="0.25">
      <c r="A4602" t="s">
        <v>2242</v>
      </c>
    </row>
    <row r="4603" spans="1:1" x14ac:dyDescent="0.25">
      <c r="A4603" t="s">
        <v>3077</v>
      </c>
    </row>
    <row r="4604" spans="1:1" x14ac:dyDescent="0.25">
      <c r="A4604" t="s">
        <v>1744</v>
      </c>
    </row>
    <row r="4606" spans="1:1" x14ac:dyDescent="0.25">
      <c r="A4606" t="s">
        <v>1737</v>
      </c>
    </row>
    <row r="4607" spans="1:1" x14ac:dyDescent="0.25">
      <c r="A4607" t="s">
        <v>1738</v>
      </c>
    </row>
    <row r="4608" spans="1:1" x14ac:dyDescent="0.25">
      <c r="A4608" t="s">
        <v>3078</v>
      </c>
    </row>
    <row r="4609" spans="1:1" x14ac:dyDescent="0.25">
      <c r="A4609" t="s">
        <v>3079</v>
      </c>
    </row>
    <row r="4610" spans="1:1" x14ac:dyDescent="0.25">
      <c r="A4610" t="s">
        <v>1990</v>
      </c>
    </row>
    <row r="4611" spans="1:1" x14ac:dyDescent="0.25">
      <c r="A4611" t="s">
        <v>1753</v>
      </c>
    </row>
    <row r="4612" spans="1:1" x14ac:dyDescent="0.25">
      <c r="A4612" t="s">
        <v>1741</v>
      </c>
    </row>
    <row r="4613" spans="1:1" x14ac:dyDescent="0.25">
      <c r="A4613" t="s">
        <v>2242</v>
      </c>
    </row>
    <row r="4614" spans="1:1" x14ac:dyDescent="0.25">
      <c r="A4614" t="s">
        <v>3080</v>
      </c>
    </row>
    <row r="4615" spans="1:1" x14ac:dyDescent="0.25">
      <c r="A4615" t="s">
        <v>1744</v>
      </c>
    </row>
    <row r="4617" spans="1:1" x14ac:dyDescent="0.25">
      <c r="A4617" t="s">
        <v>1737</v>
      </c>
    </row>
    <row r="4618" spans="1:1" x14ac:dyDescent="0.25">
      <c r="A4618" t="s">
        <v>1738</v>
      </c>
    </row>
    <row r="4619" spans="1:1" x14ac:dyDescent="0.25">
      <c r="A4619" t="s">
        <v>3081</v>
      </c>
    </row>
    <row r="4620" spans="1:1" x14ac:dyDescent="0.25">
      <c r="A4620" t="s">
        <v>3082</v>
      </c>
    </row>
    <row r="4621" spans="1:1" x14ac:dyDescent="0.25">
      <c r="A4621" t="s">
        <v>1990</v>
      </c>
    </row>
    <row r="4622" spans="1:1" x14ac:dyDescent="0.25">
      <c r="A4622" t="s">
        <v>1753</v>
      </c>
    </row>
    <row r="4623" spans="1:1" x14ac:dyDescent="0.25">
      <c r="A4623" t="s">
        <v>1741</v>
      </c>
    </row>
    <row r="4624" spans="1:1" x14ac:dyDescent="0.25">
      <c r="A4624" t="s">
        <v>2242</v>
      </c>
    </row>
    <row r="4625" spans="1:1" x14ac:dyDescent="0.25">
      <c r="A4625" t="s">
        <v>3083</v>
      </c>
    </row>
    <row r="4626" spans="1:1" x14ac:dyDescent="0.25">
      <c r="A4626" t="s">
        <v>1744</v>
      </c>
    </row>
    <row r="4628" spans="1:1" x14ac:dyDescent="0.25">
      <c r="A4628" t="s">
        <v>1737</v>
      </c>
    </row>
    <row r="4629" spans="1:1" x14ac:dyDescent="0.25">
      <c r="A4629" t="s">
        <v>1738</v>
      </c>
    </row>
    <row r="4630" spans="1:1" x14ac:dyDescent="0.25">
      <c r="A4630" t="s">
        <v>3084</v>
      </c>
    </row>
    <row r="4631" spans="1:1" x14ac:dyDescent="0.25">
      <c r="A4631" t="s">
        <v>3085</v>
      </c>
    </row>
    <row r="4632" spans="1:1" x14ac:dyDescent="0.25">
      <c r="A4632" t="s">
        <v>1990</v>
      </c>
    </row>
    <row r="4633" spans="1:1" x14ac:dyDescent="0.25">
      <c r="A4633" t="s">
        <v>1753</v>
      </c>
    </row>
    <row r="4634" spans="1:1" x14ac:dyDescent="0.25">
      <c r="A4634" t="s">
        <v>1741</v>
      </c>
    </row>
    <row r="4635" spans="1:1" x14ac:dyDescent="0.25">
      <c r="A4635" t="s">
        <v>2242</v>
      </c>
    </row>
    <row r="4636" spans="1:1" x14ac:dyDescent="0.25">
      <c r="A4636" t="s">
        <v>3086</v>
      </c>
    </row>
    <row r="4637" spans="1:1" x14ac:dyDescent="0.25">
      <c r="A4637" t="s">
        <v>1744</v>
      </c>
    </row>
    <row r="4639" spans="1:1" x14ac:dyDescent="0.25">
      <c r="A4639" t="s">
        <v>1737</v>
      </c>
    </row>
    <row r="4640" spans="1:1" x14ac:dyDescent="0.25">
      <c r="A4640" t="s">
        <v>1738</v>
      </c>
    </row>
    <row r="4641" spans="1:1" x14ac:dyDescent="0.25">
      <c r="A4641" t="s">
        <v>3087</v>
      </c>
    </row>
    <row r="4642" spans="1:1" x14ac:dyDescent="0.25">
      <c r="A4642" t="s">
        <v>3088</v>
      </c>
    </row>
    <row r="4643" spans="1:1" x14ac:dyDescent="0.25">
      <c r="A4643" t="s">
        <v>1990</v>
      </c>
    </row>
    <row r="4644" spans="1:1" x14ac:dyDescent="0.25">
      <c r="A4644" t="s">
        <v>1753</v>
      </c>
    </row>
    <row r="4645" spans="1:1" x14ac:dyDescent="0.25">
      <c r="A4645" t="s">
        <v>1741</v>
      </c>
    </row>
    <row r="4646" spans="1:1" x14ac:dyDescent="0.25">
      <c r="A4646" t="s">
        <v>2242</v>
      </c>
    </row>
    <row r="4647" spans="1:1" x14ac:dyDescent="0.25">
      <c r="A4647" t="s">
        <v>3089</v>
      </c>
    </row>
    <row r="4648" spans="1:1" x14ac:dyDescent="0.25">
      <c r="A4648" t="s">
        <v>1744</v>
      </c>
    </row>
    <row r="4650" spans="1:1" x14ac:dyDescent="0.25">
      <c r="A4650" t="s">
        <v>1737</v>
      </c>
    </row>
    <row r="4651" spans="1:1" x14ac:dyDescent="0.25">
      <c r="A4651" t="s">
        <v>1738</v>
      </c>
    </row>
    <row r="4652" spans="1:1" x14ac:dyDescent="0.25">
      <c r="A4652" t="s">
        <v>3090</v>
      </c>
    </row>
    <row r="4653" spans="1:1" x14ac:dyDescent="0.25">
      <c r="A4653" t="s">
        <v>3091</v>
      </c>
    </row>
    <row r="4654" spans="1:1" x14ac:dyDescent="0.25">
      <c r="A4654" t="s">
        <v>1990</v>
      </c>
    </row>
    <row r="4655" spans="1:1" x14ac:dyDescent="0.25">
      <c r="A4655" t="s">
        <v>1753</v>
      </c>
    </row>
    <row r="4656" spans="1:1" x14ac:dyDescent="0.25">
      <c r="A4656" t="s">
        <v>1741</v>
      </c>
    </row>
    <row r="4657" spans="1:1" x14ac:dyDescent="0.25">
      <c r="A4657" t="s">
        <v>2242</v>
      </c>
    </row>
    <row r="4658" spans="1:1" x14ac:dyDescent="0.25">
      <c r="A4658" t="s">
        <v>3092</v>
      </c>
    </row>
    <row r="4659" spans="1:1" x14ac:dyDescent="0.25">
      <c r="A4659" t="s">
        <v>1744</v>
      </c>
    </row>
    <row r="4661" spans="1:1" x14ac:dyDescent="0.25">
      <c r="A4661" t="s">
        <v>1737</v>
      </c>
    </row>
    <row r="4662" spans="1:1" x14ac:dyDescent="0.25">
      <c r="A4662" t="s">
        <v>1738</v>
      </c>
    </row>
    <row r="4663" spans="1:1" x14ac:dyDescent="0.25">
      <c r="A4663" t="s">
        <v>3093</v>
      </c>
    </row>
    <row r="4664" spans="1:1" x14ac:dyDescent="0.25">
      <c r="A4664" t="s">
        <v>3094</v>
      </c>
    </row>
    <row r="4665" spans="1:1" x14ac:dyDescent="0.25">
      <c r="A4665" t="s">
        <v>1990</v>
      </c>
    </row>
    <row r="4666" spans="1:1" x14ac:dyDescent="0.25">
      <c r="A4666" t="s">
        <v>1753</v>
      </c>
    </row>
    <row r="4667" spans="1:1" x14ac:dyDescent="0.25">
      <c r="A4667" t="s">
        <v>1741</v>
      </c>
    </row>
    <row r="4668" spans="1:1" x14ac:dyDescent="0.25">
      <c r="A4668" t="s">
        <v>2242</v>
      </c>
    </row>
    <row r="4669" spans="1:1" x14ac:dyDescent="0.25">
      <c r="A4669" t="s">
        <v>3095</v>
      </c>
    </row>
    <row r="4670" spans="1:1" x14ac:dyDescent="0.25">
      <c r="A4670" t="s">
        <v>1744</v>
      </c>
    </row>
    <row r="4672" spans="1:1" x14ac:dyDescent="0.25">
      <c r="A4672" t="s">
        <v>1737</v>
      </c>
    </row>
    <row r="4673" spans="1:1" x14ac:dyDescent="0.25">
      <c r="A4673" t="s">
        <v>1738</v>
      </c>
    </row>
    <row r="4674" spans="1:1" x14ac:dyDescent="0.25">
      <c r="A4674" t="s">
        <v>3096</v>
      </c>
    </row>
    <row r="4675" spans="1:1" x14ac:dyDescent="0.25">
      <c r="A4675" t="s">
        <v>3097</v>
      </c>
    </row>
    <row r="4676" spans="1:1" x14ac:dyDescent="0.25">
      <c r="A4676" t="s">
        <v>1990</v>
      </c>
    </row>
    <row r="4677" spans="1:1" x14ac:dyDescent="0.25">
      <c r="A4677" t="s">
        <v>1753</v>
      </c>
    </row>
    <row r="4678" spans="1:1" x14ac:dyDescent="0.25">
      <c r="A4678" t="s">
        <v>1741</v>
      </c>
    </row>
    <row r="4679" spans="1:1" x14ac:dyDescent="0.25">
      <c r="A4679" t="s">
        <v>2242</v>
      </c>
    </row>
    <row r="4680" spans="1:1" x14ac:dyDescent="0.25">
      <c r="A4680" t="s">
        <v>3098</v>
      </c>
    </row>
    <row r="4681" spans="1:1" x14ac:dyDescent="0.25">
      <c r="A4681" t="s">
        <v>1744</v>
      </c>
    </row>
    <row r="4683" spans="1:1" x14ac:dyDescent="0.25">
      <c r="A4683" t="s">
        <v>1737</v>
      </c>
    </row>
    <row r="4684" spans="1:1" x14ac:dyDescent="0.25">
      <c r="A4684" t="s">
        <v>1738</v>
      </c>
    </row>
    <row r="4685" spans="1:1" x14ac:dyDescent="0.25">
      <c r="A4685" t="s">
        <v>3099</v>
      </c>
    </row>
    <row r="4686" spans="1:1" x14ac:dyDescent="0.25">
      <c r="A4686" t="s">
        <v>3100</v>
      </c>
    </row>
    <row r="4687" spans="1:1" x14ac:dyDescent="0.25">
      <c r="A4687" t="s">
        <v>1990</v>
      </c>
    </row>
    <row r="4688" spans="1:1" x14ac:dyDescent="0.25">
      <c r="A4688" t="s">
        <v>1753</v>
      </c>
    </row>
    <row r="4689" spans="1:1" x14ac:dyDescent="0.25">
      <c r="A4689" t="s">
        <v>1741</v>
      </c>
    </row>
    <row r="4690" spans="1:1" x14ac:dyDescent="0.25">
      <c r="A4690" t="s">
        <v>2242</v>
      </c>
    </row>
    <row r="4691" spans="1:1" x14ac:dyDescent="0.25">
      <c r="A4691" t="s">
        <v>3101</v>
      </c>
    </row>
    <row r="4692" spans="1:1" x14ac:dyDescent="0.25">
      <c r="A4692" t="s">
        <v>1744</v>
      </c>
    </row>
    <row r="4694" spans="1:1" x14ac:dyDescent="0.25">
      <c r="A4694" t="s">
        <v>1737</v>
      </c>
    </row>
    <row r="4695" spans="1:1" x14ac:dyDescent="0.25">
      <c r="A4695" t="s">
        <v>1738</v>
      </c>
    </row>
    <row r="4696" spans="1:1" x14ac:dyDescent="0.25">
      <c r="A4696" t="s">
        <v>3102</v>
      </c>
    </row>
    <row r="4697" spans="1:1" x14ac:dyDescent="0.25">
      <c r="A4697" t="s">
        <v>3103</v>
      </c>
    </row>
    <row r="4698" spans="1:1" x14ac:dyDescent="0.25">
      <c r="A4698" t="s">
        <v>1990</v>
      </c>
    </row>
    <row r="4699" spans="1:1" x14ac:dyDescent="0.25">
      <c r="A4699" t="s">
        <v>1753</v>
      </c>
    </row>
    <row r="4700" spans="1:1" x14ac:dyDescent="0.25">
      <c r="A4700" t="s">
        <v>1741</v>
      </c>
    </row>
    <row r="4701" spans="1:1" x14ac:dyDescent="0.25">
      <c r="A4701" t="s">
        <v>2242</v>
      </c>
    </row>
    <row r="4702" spans="1:1" x14ac:dyDescent="0.25">
      <c r="A4702" t="s">
        <v>3104</v>
      </c>
    </row>
    <row r="4703" spans="1:1" x14ac:dyDescent="0.25">
      <c r="A4703" t="s">
        <v>1744</v>
      </c>
    </row>
    <row r="4705" spans="1:1" x14ac:dyDescent="0.25">
      <c r="A4705" t="s">
        <v>1737</v>
      </c>
    </row>
    <row r="4706" spans="1:1" x14ac:dyDescent="0.25">
      <c r="A4706" t="s">
        <v>1738</v>
      </c>
    </row>
    <row r="4707" spans="1:1" x14ac:dyDescent="0.25">
      <c r="A4707" t="s">
        <v>3105</v>
      </c>
    </row>
    <row r="4708" spans="1:1" x14ac:dyDescent="0.25">
      <c r="A4708" t="s">
        <v>3106</v>
      </c>
    </row>
    <row r="4709" spans="1:1" x14ac:dyDescent="0.25">
      <c r="A4709" t="s">
        <v>1990</v>
      </c>
    </row>
    <row r="4710" spans="1:1" x14ac:dyDescent="0.25">
      <c r="A4710" t="s">
        <v>1753</v>
      </c>
    </row>
    <row r="4711" spans="1:1" x14ac:dyDescent="0.25">
      <c r="A4711" t="s">
        <v>1741</v>
      </c>
    </row>
    <row r="4712" spans="1:1" x14ac:dyDescent="0.25">
      <c r="A4712" t="s">
        <v>2242</v>
      </c>
    </row>
    <row r="4713" spans="1:1" x14ac:dyDescent="0.25">
      <c r="A4713" t="s">
        <v>3107</v>
      </c>
    </row>
    <row r="4714" spans="1:1" x14ac:dyDescent="0.25">
      <c r="A4714" t="s">
        <v>1744</v>
      </c>
    </row>
    <row r="4716" spans="1:1" x14ac:dyDescent="0.25">
      <c r="A4716" t="s">
        <v>1737</v>
      </c>
    </row>
    <row r="4717" spans="1:1" x14ac:dyDescent="0.25">
      <c r="A4717" t="s">
        <v>1738</v>
      </c>
    </row>
    <row r="4718" spans="1:1" x14ac:dyDescent="0.25">
      <c r="A4718" t="s">
        <v>3108</v>
      </c>
    </row>
    <row r="4719" spans="1:1" x14ac:dyDescent="0.25">
      <c r="A4719" t="s">
        <v>3109</v>
      </c>
    </row>
    <row r="4720" spans="1:1" x14ac:dyDescent="0.25">
      <c r="A4720" t="s">
        <v>1990</v>
      </c>
    </row>
    <row r="4721" spans="1:1" x14ac:dyDescent="0.25">
      <c r="A4721" t="s">
        <v>1753</v>
      </c>
    </row>
    <row r="4722" spans="1:1" x14ac:dyDescent="0.25">
      <c r="A4722" t="s">
        <v>1741</v>
      </c>
    </row>
    <row r="4723" spans="1:1" x14ac:dyDescent="0.25">
      <c r="A4723" t="s">
        <v>2242</v>
      </c>
    </row>
    <row r="4724" spans="1:1" x14ac:dyDescent="0.25">
      <c r="A4724" t="s">
        <v>3110</v>
      </c>
    </row>
    <row r="4725" spans="1:1" x14ac:dyDescent="0.25">
      <c r="A4725" t="s">
        <v>1744</v>
      </c>
    </row>
    <row r="4727" spans="1:1" x14ac:dyDescent="0.25">
      <c r="A4727" t="s">
        <v>1737</v>
      </c>
    </row>
    <row r="4728" spans="1:1" x14ac:dyDescent="0.25">
      <c r="A4728" t="s">
        <v>1738</v>
      </c>
    </row>
    <row r="4729" spans="1:1" x14ac:dyDescent="0.25">
      <c r="A4729" t="s">
        <v>3111</v>
      </c>
    </row>
    <row r="4730" spans="1:1" x14ac:dyDescent="0.25">
      <c r="A4730" t="s">
        <v>3112</v>
      </c>
    </row>
    <row r="4731" spans="1:1" x14ac:dyDescent="0.25">
      <c r="A4731" t="s">
        <v>1990</v>
      </c>
    </row>
    <row r="4732" spans="1:1" x14ac:dyDescent="0.25">
      <c r="A4732" t="s">
        <v>1753</v>
      </c>
    </row>
    <row r="4733" spans="1:1" x14ac:dyDescent="0.25">
      <c r="A4733" t="s">
        <v>1741</v>
      </c>
    </row>
    <row r="4734" spans="1:1" x14ac:dyDescent="0.25">
      <c r="A4734" t="s">
        <v>2242</v>
      </c>
    </row>
    <row r="4735" spans="1:1" x14ac:dyDescent="0.25">
      <c r="A4735" t="s">
        <v>3113</v>
      </c>
    </row>
    <row r="4736" spans="1:1" x14ac:dyDescent="0.25">
      <c r="A4736" t="s">
        <v>1744</v>
      </c>
    </row>
    <row r="4738" spans="1:1" x14ac:dyDescent="0.25">
      <c r="A4738" t="s">
        <v>1737</v>
      </c>
    </row>
    <row r="4739" spans="1:1" x14ac:dyDescent="0.25">
      <c r="A4739" t="s">
        <v>1738</v>
      </c>
    </row>
    <row r="4740" spans="1:1" x14ac:dyDescent="0.25">
      <c r="A4740" t="s">
        <v>3114</v>
      </c>
    </row>
    <row r="4741" spans="1:1" x14ac:dyDescent="0.25">
      <c r="A4741" t="s">
        <v>3115</v>
      </c>
    </row>
    <row r="4742" spans="1:1" x14ac:dyDescent="0.25">
      <c r="A4742" t="s">
        <v>1990</v>
      </c>
    </row>
    <row r="4743" spans="1:1" x14ac:dyDescent="0.25">
      <c r="A4743" t="s">
        <v>1753</v>
      </c>
    </row>
    <row r="4744" spans="1:1" x14ac:dyDescent="0.25">
      <c r="A4744" t="s">
        <v>1741</v>
      </c>
    </row>
    <row r="4745" spans="1:1" x14ac:dyDescent="0.25">
      <c r="A4745" t="s">
        <v>2242</v>
      </c>
    </row>
    <row r="4746" spans="1:1" x14ac:dyDescent="0.25">
      <c r="A4746" t="s">
        <v>3116</v>
      </c>
    </row>
    <row r="4747" spans="1:1" x14ac:dyDescent="0.25">
      <c r="A4747" t="s">
        <v>1744</v>
      </c>
    </row>
    <row r="4749" spans="1:1" x14ac:dyDescent="0.25">
      <c r="A4749" t="s">
        <v>1737</v>
      </c>
    </row>
    <row r="4750" spans="1:1" x14ac:dyDescent="0.25">
      <c r="A4750" t="s">
        <v>1738</v>
      </c>
    </row>
    <row r="4751" spans="1:1" x14ac:dyDescent="0.25">
      <c r="A4751" t="s">
        <v>3117</v>
      </c>
    </row>
    <row r="4752" spans="1:1" x14ac:dyDescent="0.25">
      <c r="A4752" t="s">
        <v>3118</v>
      </c>
    </row>
    <row r="4753" spans="1:1" x14ac:dyDescent="0.25">
      <c r="A4753" t="s">
        <v>1990</v>
      </c>
    </row>
    <row r="4754" spans="1:1" x14ac:dyDescent="0.25">
      <c r="A4754" t="s">
        <v>1753</v>
      </c>
    </row>
    <row r="4755" spans="1:1" x14ac:dyDescent="0.25">
      <c r="A4755" t="s">
        <v>1741</v>
      </c>
    </row>
    <row r="4756" spans="1:1" x14ac:dyDescent="0.25">
      <c r="A4756" t="s">
        <v>2242</v>
      </c>
    </row>
    <row r="4757" spans="1:1" x14ac:dyDescent="0.25">
      <c r="A4757" t="s">
        <v>3119</v>
      </c>
    </row>
    <row r="4758" spans="1:1" x14ac:dyDescent="0.25">
      <c r="A4758" t="s">
        <v>1744</v>
      </c>
    </row>
    <row r="4760" spans="1:1" x14ac:dyDescent="0.25">
      <c r="A4760" t="s">
        <v>1737</v>
      </c>
    </row>
    <row r="4761" spans="1:1" x14ac:dyDescent="0.25">
      <c r="A4761" t="s">
        <v>1738</v>
      </c>
    </row>
    <row r="4762" spans="1:1" x14ac:dyDescent="0.25">
      <c r="A4762" t="s">
        <v>3120</v>
      </c>
    </row>
    <row r="4763" spans="1:1" x14ac:dyDescent="0.25">
      <c r="A4763" t="s">
        <v>3121</v>
      </c>
    </row>
    <row r="4764" spans="1:1" x14ac:dyDescent="0.25">
      <c r="A4764" t="s">
        <v>3122</v>
      </c>
    </row>
    <row r="4765" spans="1:1" x14ac:dyDescent="0.25">
      <c r="A4765" t="s">
        <v>1753</v>
      </c>
    </row>
    <row r="4766" spans="1:1" x14ac:dyDescent="0.25">
      <c r="A4766" t="s">
        <v>1741</v>
      </c>
    </row>
    <row r="4767" spans="1:1" x14ac:dyDescent="0.25">
      <c r="A4767" t="s">
        <v>1762</v>
      </c>
    </row>
    <row r="4768" spans="1:1" x14ac:dyDescent="0.25">
      <c r="A4768" t="s">
        <v>3123</v>
      </c>
    </row>
    <row r="4769" spans="1:1" x14ac:dyDescent="0.25">
      <c r="A4769" t="s">
        <v>1744</v>
      </c>
    </row>
    <row r="4771" spans="1:1" x14ac:dyDescent="0.25">
      <c r="A4771" t="s">
        <v>1737</v>
      </c>
    </row>
    <row r="4772" spans="1:1" x14ac:dyDescent="0.25">
      <c r="A4772" t="s">
        <v>1738</v>
      </c>
    </row>
    <row r="4773" spans="1:1" x14ac:dyDescent="0.25">
      <c r="A4773" t="s">
        <v>3124</v>
      </c>
    </row>
    <row r="4774" spans="1:1" x14ac:dyDescent="0.25">
      <c r="A4774" t="s">
        <v>3125</v>
      </c>
    </row>
    <row r="4775" spans="1:1" x14ac:dyDescent="0.25">
      <c r="A4775" t="s">
        <v>3122</v>
      </c>
    </row>
    <row r="4776" spans="1:1" x14ac:dyDescent="0.25">
      <c r="A4776" t="s">
        <v>1753</v>
      </c>
    </row>
    <row r="4777" spans="1:1" x14ac:dyDescent="0.25">
      <c r="A4777" t="s">
        <v>1741</v>
      </c>
    </row>
    <row r="4778" spans="1:1" x14ac:dyDescent="0.25">
      <c r="A4778" t="s">
        <v>1762</v>
      </c>
    </row>
    <row r="4779" spans="1:1" x14ac:dyDescent="0.25">
      <c r="A4779" t="s">
        <v>3126</v>
      </c>
    </row>
    <row r="4780" spans="1:1" x14ac:dyDescent="0.25">
      <c r="A4780" t="s">
        <v>1744</v>
      </c>
    </row>
    <row r="4782" spans="1:1" x14ac:dyDescent="0.25">
      <c r="A4782" t="s">
        <v>1737</v>
      </c>
    </row>
    <row r="4783" spans="1:1" x14ac:dyDescent="0.25">
      <c r="A4783" t="s">
        <v>1738</v>
      </c>
    </row>
    <row r="4784" spans="1:1" x14ac:dyDescent="0.25">
      <c r="A4784" t="s">
        <v>3127</v>
      </c>
    </row>
    <row r="4785" spans="1:1" x14ac:dyDescent="0.25">
      <c r="A4785" t="s">
        <v>3128</v>
      </c>
    </row>
    <row r="4786" spans="1:1" x14ac:dyDescent="0.25">
      <c r="A4786" t="s">
        <v>3122</v>
      </c>
    </row>
    <row r="4787" spans="1:1" x14ac:dyDescent="0.25">
      <c r="A4787" t="s">
        <v>1753</v>
      </c>
    </row>
    <row r="4788" spans="1:1" x14ac:dyDescent="0.25">
      <c r="A4788" t="s">
        <v>1741</v>
      </c>
    </row>
    <row r="4789" spans="1:1" x14ac:dyDescent="0.25">
      <c r="A4789" t="s">
        <v>1762</v>
      </c>
    </row>
    <row r="4790" spans="1:1" x14ac:dyDescent="0.25">
      <c r="A4790" t="s">
        <v>3129</v>
      </c>
    </row>
    <row r="4791" spans="1:1" x14ac:dyDescent="0.25">
      <c r="A4791" t="s">
        <v>1744</v>
      </c>
    </row>
    <row r="4793" spans="1:1" x14ac:dyDescent="0.25">
      <c r="A4793" t="s">
        <v>1737</v>
      </c>
    </row>
    <row r="4794" spans="1:1" x14ac:dyDescent="0.25">
      <c r="A4794" t="s">
        <v>1738</v>
      </c>
    </row>
    <row r="4795" spans="1:1" x14ac:dyDescent="0.25">
      <c r="A4795" t="s">
        <v>3130</v>
      </c>
    </row>
    <row r="4796" spans="1:1" x14ac:dyDescent="0.25">
      <c r="A4796" t="s">
        <v>3131</v>
      </c>
    </row>
    <row r="4797" spans="1:1" x14ac:dyDescent="0.25">
      <c r="A4797" t="s">
        <v>2173</v>
      </c>
    </row>
    <row r="4798" spans="1:1" x14ac:dyDescent="0.25">
      <c r="A4798" t="s">
        <v>1753</v>
      </c>
    </row>
    <row r="4799" spans="1:1" x14ac:dyDescent="0.25">
      <c r="A4799" t="s">
        <v>1741</v>
      </c>
    </row>
    <row r="4800" spans="1:1" x14ac:dyDescent="0.25">
      <c r="A4800" t="s">
        <v>3132</v>
      </c>
    </row>
    <row r="4801" spans="1:1" x14ac:dyDescent="0.25">
      <c r="A4801" t="s">
        <v>3133</v>
      </c>
    </row>
    <row r="4802" spans="1:1" x14ac:dyDescent="0.25">
      <c r="A4802" t="s">
        <v>1744</v>
      </c>
    </row>
    <row r="4804" spans="1:1" x14ac:dyDescent="0.25">
      <c r="A4804" t="s">
        <v>1737</v>
      </c>
    </row>
    <row r="4805" spans="1:1" x14ac:dyDescent="0.25">
      <c r="A4805" t="s">
        <v>1738</v>
      </c>
    </row>
    <row r="4806" spans="1:1" x14ac:dyDescent="0.25">
      <c r="A4806" t="s">
        <v>3134</v>
      </c>
    </row>
    <row r="4807" spans="1:1" x14ac:dyDescent="0.25">
      <c r="A4807" t="s">
        <v>3135</v>
      </c>
    </row>
    <row r="4808" spans="1:1" x14ac:dyDescent="0.25">
      <c r="A4808" t="s">
        <v>2041</v>
      </c>
    </row>
    <row r="4809" spans="1:1" x14ac:dyDescent="0.25">
      <c r="A4809" t="s">
        <v>1753</v>
      </c>
    </row>
    <row r="4810" spans="1:1" x14ac:dyDescent="0.25">
      <c r="A4810" t="s">
        <v>1740</v>
      </c>
    </row>
    <row r="4811" spans="1:1" x14ac:dyDescent="0.25">
      <c r="A4811" t="s">
        <v>1741</v>
      </c>
    </row>
    <row r="4812" spans="1:1" x14ac:dyDescent="0.25">
      <c r="A4812" t="s">
        <v>3136</v>
      </c>
    </row>
    <row r="4813" spans="1:1" x14ac:dyDescent="0.25">
      <c r="A4813" t="s">
        <v>3137</v>
      </c>
    </row>
    <row r="4814" spans="1:1" x14ac:dyDescent="0.25">
      <c r="A4814" t="s">
        <v>1744</v>
      </c>
    </row>
    <row r="4816" spans="1:1" x14ac:dyDescent="0.25">
      <c r="A4816" t="s">
        <v>1737</v>
      </c>
    </row>
    <row r="4817" spans="1:1" x14ac:dyDescent="0.25">
      <c r="A4817" t="s">
        <v>1738</v>
      </c>
    </row>
    <row r="4818" spans="1:1" x14ac:dyDescent="0.25">
      <c r="A4818" t="s">
        <v>3138</v>
      </c>
    </row>
    <row r="4819" spans="1:1" x14ac:dyDescent="0.25">
      <c r="A4819" t="s">
        <v>3139</v>
      </c>
    </row>
    <row r="4820" spans="1:1" x14ac:dyDescent="0.25">
      <c r="A4820" t="s">
        <v>3140</v>
      </c>
    </row>
    <row r="4821" spans="1:1" x14ac:dyDescent="0.25">
      <c r="A4821" t="s">
        <v>1753</v>
      </c>
    </row>
    <row r="4822" spans="1:1" x14ac:dyDescent="0.25">
      <c r="A4822" t="s">
        <v>1741</v>
      </c>
    </row>
    <row r="4823" spans="1:1" x14ac:dyDescent="0.25">
      <c r="A4823" t="s">
        <v>1762</v>
      </c>
    </row>
    <row r="4824" spans="1:1" x14ac:dyDescent="0.25">
      <c r="A4824" t="s">
        <v>3141</v>
      </c>
    </row>
    <row r="4825" spans="1:1" x14ac:dyDescent="0.25">
      <c r="A4825" t="s">
        <v>1744</v>
      </c>
    </row>
    <row r="4827" spans="1:1" x14ac:dyDescent="0.25">
      <c r="A4827" t="s">
        <v>1737</v>
      </c>
    </row>
    <row r="4828" spans="1:1" x14ac:dyDescent="0.25">
      <c r="A4828" t="s">
        <v>1738</v>
      </c>
    </row>
    <row r="4829" spans="1:1" x14ac:dyDescent="0.25">
      <c r="A4829" t="s">
        <v>3142</v>
      </c>
    </row>
    <row r="4830" spans="1:1" x14ac:dyDescent="0.25">
      <c r="A4830" t="s">
        <v>3143</v>
      </c>
    </row>
    <row r="4831" spans="1:1" x14ac:dyDescent="0.25">
      <c r="A4831" t="s">
        <v>3140</v>
      </c>
    </row>
    <row r="4832" spans="1:1" x14ac:dyDescent="0.25">
      <c r="A4832" t="s">
        <v>1753</v>
      </c>
    </row>
    <row r="4833" spans="1:1" x14ac:dyDescent="0.25">
      <c r="A4833" t="s">
        <v>1741</v>
      </c>
    </row>
    <row r="4834" spans="1:1" x14ac:dyDescent="0.25">
      <c r="A4834" t="s">
        <v>1762</v>
      </c>
    </row>
    <row r="4835" spans="1:1" x14ac:dyDescent="0.25">
      <c r="A4835" t="s">
        <v>3144</v>
      </c>
    </row>
    <row r="4836" spans="1:1" x14ac:dyDescent="0.25">
      <c r="A4836" t="s">
        <v>1744</v>
      </c>
    </row>
    <row r="4838" spans="1:1" x14ac:dyDescent="0.25">
      <c r="A4838" t="s">
        <v>1737</v>
      </c>
    </row>
    <row r="4839" spans="1:1" x14ac:dyDescent="0.25">
      <c r="A4839" t="s">
        <v>1738</v>
      </c>
    </row>
    <row r="4840" spans="1:1" x14ac:dyDescent="0.25">
      <c r="A4840" t="s">
        <v>3145</v>
      </c>
    </row>
    <row r="4841" spans="1:1" x14ac:dyDescent="0.25">
      <c r="A4841" t="s">
        <v>3146</v>
      </c>
    </row>
    <row r="4842" spans="1:1" x14ac:dyDescent="0.25">
      <c r="A4842" t="s">
        <v>3122</v>
      </c>
    </row>
    <row r="4843" spans="1:1" x14ac:dyDescent="0.25">
      <c r="A4843" t="s">
        <v>1753</v>
      </c>
    </row>
    <row r="4844" spans="1:1" x14ac:dyDescent="0.25">
      <c r="A4844" t="s">
        <v>1741</v>
      </c>
    </row>
    <row r="4845" spans="1:1" x14ac:dyDescent="0.25">
      <c r="A4845" t="s">
        <v>1762</v>
      </c>
    </row>
    <row r="4846" spans="1:1" x14ac:dyDescent="0.25">
      <c r="A4846" t="s">
        <v>3147</v>
      </c>
    </row>
    <row r="4847" spans="1:1" x14ac:dyDescent="0.25">
      <c r="A4847" t="s">
        <v>1744</v>
      </c>
    </row>
    <row r="4849" spans="1:1" x14ac:dyDescent="0.25">
      <c r="A4849" t="s">
        <v>1737</v>
      </c>
    </row>
    <row r="4850" spans="1:1" x14ac:dyDescent="0.25">
      <c r="A4850" t="s">
        <v>1738</v>
      </c>
    </row>
    <row r="4851" spans="1:1" x14ac:dyDescent="0.25">
      <c r="A4851" t="s">
        <v>3148</v>
      </c>
    </row>
    <row r="4852" spans="1:1" x14ac:dyDescent="0.25">
      <c r="A4852" t="s">
        <v>3125</v>
      </c>
    </row>
    <row r="4853" spans="1:1" x14ac:dyDescent="0.25">
      <c r="A4853" t="s">
        <v>3122</v>
      </c>
    </row>
    <row r="4854" spans="1:1" x14ac:dyDescent="0.25">
      <c r="A4854" t="s">
        <v>1753</v>
      </c>
    </row>
    <row r="4855" spans="1:1" x14ac:dyDescent="0.25">
      <c r="A4855" t="s">
        <v>1741</v>
      </c>
    </row>
    <row r="4856" spans="1:1" x14ac:dyDescent="0.25">
      <c r="A4856" t="s">
        <v>1762</v>
      </c>
    </row>
    <row r="4857" spans="1:1" x14ac:dyDescent="0.25">
      <c r="A4857" t="s">
        <v>3149</v>
      </c>
    </row>
    <row r="4858" spans="1:1" x14ac:dyDescent="0.25">
      <c r="A4858" t="s">
        <v>1744</v>
      </c>
    </row>
    <row r="4860" spans="1:1" x14ac:dyDescent="0.25">
      <c r="A4860" t="s">
        <v>1737</v>
      </c>
    </row>
    <row r="4861" spans="1:1" x14ac:dyDescent="0.25">
      <c r="A4861" t="s">
        <v>1738</v>
      </c>
    </row>
    <row r="4862" spans="1:1" x14ac:dyDescent="0.25">
      <c r="A4862" t="s">
        <v>3150</v>
      </c>
    </row>
    <row r="4863" spans="1:1" x14ac:dyDescent="0.25">
      <c r="A4863" t="s">
        <v>3128</v>
      </c>
    </row>
    <row r="4864" spans="1:1" x14ac:dyDescent="0.25">
      <c r="A4864" t="s">
        <v>3122</v>
      </c>
    </row>
    <row r="4865" spans="1:1" x14ac:dyDescent="0.25">
      <c r="A4865" t="s">
        <v>1753</v>
      </c>
    </row>
    <row r="4866" spans="1:1" x14ac:dyDescent="0.25">
      <c r="A4866" t="s">
        <v>1741</v>
      </c>
    </row>
    <row r="4867" spans="1:1" x14ac:dyDescent="0.25">
      <c r="A4867" t="s">
        <v>1762</v>
      </c>
    </row>
    <row r="4868" spans="1:1" x14ac:dyDescent="0.25">
      <c r="A4868" t="s">
        <v>3151</v>
      </c>
    </row>
    <row r="4869" spans="1:1" x14ac:dyDescent="0.25">
      <c r="A4869" t="s">
        <v>1744</v>
      </c>
    </row>
    <row r="4871" spans="1:1" x14ac:dyDescent="0.25">
      <c r="A4871" t="s">
        <v>1737</v>
      </c>
    </row>
    <row r="4872" spans="1:1" x14ac:dyDescent="0.25">
      <c r="A4872" t="s">
        <v>1738</v>
      </c>
    </row>
    <row r="4873" spans="1:1" x14ac:dyDescent="0.25">
      <c r="A4873" t="s">
        <v>3152</v>
      </c>
    </row>
    <row r="4874" spans="1:1" x14ac:dyDescent="0.25">
      <c r="A4874" t="s">
        <v>3131</v>
      </c>
    </row>
    <row r="4875" spans="1:1" x14ac:dyDescent="0.25">
      <c r="A4875" t="s">
        <v>2173</v>
      </c>
    </row>
    <row r="4876" spans="1:1" x14ac:dyDescent="0.25">
      <c r="A4876" t="s">
        <v>1753</v>
      </c>
    </row>
    <row r="4877" spans="1:1" x14ac:dyDescent="0.25">
      <c r="A4877" t="s">
        <v>1741</v>
      </c>
    </row>
    <row r="4878" spans="1:1" x14ac:dyDescent="0.25">
      <c r="A4878" t="s">
        <v>3153</v>
      </c>
    </row>
    <row r="4879" spans="1:1" x14ac:dyDescent="0.25">
      <c r="A4879" t="s">
        <v>3154</v>
      </c>
    </row>
    <row r="4880" spans="1:1" x14ac:dyDescent="0.25">
      <c r="A4880" t="s">
        <v>1744</v>
      </c>
    </row>
    <row r="4882" spans="1:1" x14ac:dyDescent="0.25">
      <c r="A4882" t="s">
        <v>1737</v>
      </c>
    </row>
    <row r="4883" spans="1:1" x14ac:dyDescent="0.25">
      <c r="A4883" t="s">
        <v>1738</v>
      </c>
    </row>
    <row r="4884" spans="1:1" x14ac:dyDescent="0.25">
      <c r="A4884" t="s">
        <v>3155</v>
      </c>
    </row>
    <row r="4885" spans="1:1" x14ac:dyDescent="0.25">
      <c r="A4885" t="s">
        <v>3135</v>
      </c>
    </row>
    <row r="4886" spans="1:1" x14ac:dyDescent="0.25">
      <c r="A4886" t="s">
        <v>2041</v>
      </c>
    </row>
    <row r="4887" spans="1:1" x14ac:dyDescent="0.25">
      <c r="A4887" t="s">
        <v>1753</v>
      </c>
    </row>
    <row r="4888" spans="1:1" x14ac:dyDescent="0.25">
      <c r="A4888" t="s">
        <v>1740</v>
      </c>
    </row>
    <row r="4889" spans="1:1" x14ac:dyDescent="0.25">
      <c r="A4889" t="s">
        <v>1741</v>
      </c>
    </row>
    <row r="4890" spans="1:1" x14ac:dyDescent="0.25">
      <c r="A4890" t="s">
        <v>3136</v>
      </c>
    </row>
    <row r="4891" spans="1:1" x14ac:dyDescent="0.25">
      <c r="A4891" t="s">
        <v>3156</v>
      </c>
    </row>
    <row r="4892" spans="1:1" x14ac:dyDescent="0.25">
      <c r="A4892" t="s">
        <v>1744</v>
      </c>
    </row>
    <row r="4894" spans="1:1" x14ac:dyDescent="0.25">
      <c r="A4894" t="s">
        <v>1737</v>
      </c>
    </row>
    <row r="4895" spans="1:1" x14ac:dyDescent="0.25">
      <c r="A4895" t="s">
        <v>1738</v>
      </c>
    </row>
    <row r="4896" spans="1:1" x14ac:dyDescent="0.25">
      <c r="A4896" t="s">
        <v>3157</v>
      </c>
    </row>
    <row r="4897" spans="1:1" x14ac:dyDescent="0.25">
      <c r="A4897" t="s">
        <v>3139</v>
      </c>
    </row>
    <row r="4898" spans="1:1" x14ac:dyDescent="0.25">
      <c r="A4898" t="s">
        <v>3140</v>
      </c>
    </row>
    <row r="4899" spans="1:1" x14ac:dyDescent="0.25">
      <c r="A4899" t="s">
        <v>1753</v>
      </c>
    </row>
    <row r="4900" spans="1:1" x14ac:dyDescent="0.25">
      <c r="A4900" t="s">
        <v>1741</v>
      </c>
    </row>
    <row r="4901" spans="1:1" x14ac:dyDescent="0.25">
      <c r="A4901" t="s">
        <v>1762</v>
      </c>
    </row>
    <row r="4902" spans="1:1" x14ac:dyDescent="0.25">
      <c r="A4902" t="s">
        <v>3158</v>
      </c>
    </row>
    <row r="4903" spans="1:1" x14ac:dyDescent="0.25">
      <c r="A4903" t="s">
        <v>1744</v>
      </c>
    </row>
    <row r="4905" spans="1:1" x14ac:dyDescent="0.25">
      <c r="A4905" t="s">
        <v>1737</v>
      </c>
    </row>
    <row r="4906" spans="1:1" x14ac:dyDescent="0.25">
      <c r="A4906" t="s">
        <v>1738</v>
      </c>
    </row>
    <row r="4907" spans="1:1" x14ac:dyDescent="0.25">
      <c r="A4907" t="s">
        <v>3159</v>
      </c>
    </row>
    <row r="4908" spans="1:1" x14ac:dyDescent="0.25">
      <c r="A4908" t="s">
        <v>3143</v>
      </c>
    </row>
    <row r="4909" spans="1:1" x14ac:dyDescent="0.25">
      <c r="A4909" t="s">
        <v>3140</v>
      </c>
    </row>
    <row r="4910" spans="1:1" x14ac:dyDescent="0.25">
      <c r="A4910" t="s">
        <v>1753</v>
      </c>
    </row>
    <row r="4911" spans="1:1" x14ac:dyDescent="0.25">
      <c r="A4911" t="s">
        <v>1741</v>
      </c>
    </row>
    <row r="4912" spans="1:1" x14ac:dyDescent="0.25">
      <c r="A4912" t="s">
        <v>1762</v>
      </c>
    </row>
    <row r="4913" spans="1:1" x14ac:dyDescent="0.25">
      <c r="A4913" t="s">
        <v>3160</v>
      </c>
    </row>
    <row r="4914" spans="1:1" x14ac:dyDescent="0.25">
      <c r="A4914" t="s">
        <v>1744</v>
      </c>
    </row>
    <row r="4916" spans="1:1" x14ac:dyDescent="0.25">
      <c r="A4916" t="s">
        <v>1737</v>
      </c>
    </row>
    <row r="4917" spans="1:1" x14ac:dyDescent="0.25">
      <c r="A4917" t="s">
        <v>1738</v>
      </c>
    </row>
    <row r="4918" spans="1:1" x14ac:dyDescent="0.25">
      <c r="A4918" t="s">
        <v>3161</v>
      </c>
    </row>
    <row r="4919" spans="1:1" x14ac:dyDescent="0.25">
      <c r="A4919" t="s">
        <v>3162</v>
      </c>
    </row>
    <row r="4920" spans="1:1" x14ac:dyDescent="0.25">
      <c r="A4920" t="s">
        <v>3122</v>
      </c>
    </row>
    <row r="4921" spans="1:1" x14ac:dyDescent="0.25">
      <c r="A4921" t="s">
        <v>1753</v>
      </c>
    </row>
    <row r="4922" spans="1:1" x14ac:dyDescent="0.25">
      <c r="A4922" t="s">
        <v>1741</v>
      </c>
    </row>
    <row r="4923" spans="1:1" x14ac:dyDescent="0.25">
      <c r="A4923" t="s">
        <v>1762</v>
      </c>
    </row>
    <row r="4924" spans="1:1" x14ac:dyDescent="0.25">
      <c r="A4924" t="s">
        <v>3163</v>
      </c>
    </row>
    <row r="4925" spans="1:1" x14ac:dyDescent="0.25">
      <c r="A4925" t="s">
        <v>1744</v>
      </c>
    </row>
    <row r="4927" spans="1:1" x14ac:dyDescent="0.25">
      <c r="A4927" t="s">
        <v>1737</v>
      </c>
    </row>
    <row r="4928" spans="1:1" x14ac:dyDescent="0.25">
      <c r="A4928" t="s">
        <v>1738</v>
      </c>
    </row>
    <row r="4929" spans="1:1" x14ac:dyDescent="0.25">
      <c r="A4929" t="s">
        <v>3164</v>
      </c>
    </row>
    <row r="4930" spans="1:1" x14ac:dyDescent="0.25">
      <c r="A4930" t="s">
        <v>3165</v>
      </c>
    </row>
    <row r="4931" spans="1:1" x14ac:dyDescent="0.25">
      <c r="A4931" t="s">
        <v>3122</v>
      </c>
    </row>
    <row r="4932" spans="1:1" x14ac:dyDescent="0.25">
      <c r="A4932" t="s">
        <v>1753</v>
      </c>
    </row>
    <row r="4933" spans="1:1" x14ac:dyDescent="0.25">
      <c r="A4933" t="s">
        <v>1741</v>
      </c>
    </row>
    <row r="4934" spans="1:1" x14ac:dyDescent="0.25">
      <c r="A4934" t="s">
        <v>1762</v>
      </c>
    </row>
    <row r="4935" spans="1:1" x14ac:dyDescent="0.25">
      <c r="A4935" t="s">
        <v>3166</v>
      </c>
    </row>
    <row r="4936" spans="1:1" x14ac:dyDescent="0.25">
      <c r="A4936" t="s">
        <v>1744</v>
      </c>
    </row>
    <row r="4938" spans="1:1" x14ac:dyDescent="0.25">
      <c r="A4938" t="s">
        <v>1737</v>
      </c>
    </row>
    <row r="4939" spans="1:1" x14ac:dyDescent="0.25">
      <c r="A4939" t="s">
        <v>1738</v>
      </c>
    </row>
    <row r="4940" spans="1:1" x14ac:dyDescent="0.25">
      <c r="A4940" t="s">
        <v>3167</v>
      </c>
    </row>
    <row r="4941" spans="1:1" x14ac:dyDescent="0.25">
      <c r="A4941" t="s">
        <v>3128</v>
      </c>
    </row>
    <row r="4942" spans="1:1" x14ac:dyDescent="0.25">
      <c r="A4942" t="s">
        <v>3122</v>
      </c>
    </row>
    <row r="4943" spans="1:1" x14ac:dyDescent="0.25">
      <c r="A4943" t="s">
        <v>1753</v>
      </c>
    </row>
    <row r="4944" spans="1:1" x14ac:dyDescent="0.25">
      <c r="A4944" t="s">
        <v>1741</v>
      </c>
    </row>
    <row r="4945" spans="1:1" x14ac:dyDescent="0.25">
      <c r="A4945" t="s">
        <v>1762</v>
      </c>
    </row>
    <row r="4946" spans="1:1" x14ac:dyDescent="0.25">
      <c r="A4946" t="s">
        <v>3168</v>
      </c>
    </row>
    <row r="4947" spans="1:1" x14ac:dyDescent="0.25">
      <c r="A4947" t="s">
        <v>1744</v>
      </c>
    </row>
    <row r="4949" spans="1:1" x14ac:dyDescent="0.25">
      <c r="A4949" t="s">
        <v>1737</v>
      </c>
    </row>
    <row r="4950" spans="1:1" x14ac:dyDescent="0.25">
      <c r="A4950" t="s">
        <v>1738</v>
      </c>
    </row>
    <row r="4951" spans="1:1" x14ac:dyDescent="0.25">
      <c r="A4951" t="s">
        <v>3169</v>
      </c>
    </row>
    <row r="4952" spans="1:1" x14ac:dyDescent="0.25">
      <c r="A4952" t="s">
        <v>3170</v>
      </c>
    </row>
    <row r="4953" spans="1:1" x14ac:dyDescent="0.25">
      <c r="A4953" t="s">
        <v>3122</v>
      </c>
    </row>
    <row r="4954" spans="1:1" x14ac:dyDescent="0.25">
      <c r="A4954" t="s">
        <v>1753</v>
      </c>
    </row>
    <row r="4955" spans="1:1" x14ac:dyDescent="0.25">
      <c r="A4955" t="s">
        <v>1741</v>
      </c>
    </row>
    <row r="4956" spans="1:1" x14ac:dyDescent="0.25">
      <c r="A4956" t="s">
        <v>1887</v>
      </c>
    </row>
    <row r="4957" spans="1:1" x14ac:dyDescent="0.25">
      <c r="A4957" t="s">
        <v>3171</v>
      </c>
    </row>
    <row r="4958" spans="1:1" x14ac:dyDescent="0.25">
      <c r="A4958" t="s">
        <v>1744</v>
      </c>
    </row>
    <row r="4960" spans="1:1" x14ac:dyDescent="0.25">
      <c r="A4960" t="s">
        <v>1737</v>
      </c>
    </row>
    <row r="4961" spans="1:1" x14ac:dyDescent="0.25">
      <c r="A4961" t="s">
        <v>1738</v>
      </c>
    </row>
    <row r="4962" spans="1:1" x14ac:dyDescent="0.25">
      <c r="A4962" t="s">
        <v>3172</v>
      </c>
    </row>
    <row r="4963" spans="1:1" x14ac:dyDescent="0.25">
      <c r="A4963" t="s">
        <v>3173</v>
      </c>
    </row>
    <row r="4964" spans="1:1" x14ac:dyDescent="0.25">
      <c r="A4964" t="s">
        <v>3122</v>
      </c>
    </row>
    <row r="4965" spans="1:1" x14ac:dyDescent="0.25">
      <c r="A4965" t="s">
        <v>1753</v>
      </c>
    </row>
    <row r="4966" spans="1:1" x14ac:dyDescent="0.25">
      <c r="A4966" t="s">
        <v>1741</v>
      </c>
    </row>
    <row r="4967" spans="1:1" x14ac:dyDescent="0.25">
      <c r="A4967" t="s">
        <v>1887</v>
      </c>
    </row>
    <row r="4968" spans="1:1" x14ac:dyDescent="0.25">
      <c r="A4968" t="s">
        <v>3174</v>
      </c>
    </row>
    <row r="4969" spans="1:1" x14ac:dyDescent="0.25">
      <c r="A4969" t="s">
        <v>1744</v>
      </c>
    </row>
    <row r="4971" spans="1:1" x14ac:dyDescent="0.25">
      <c r="A4971" t="s">
        <v>1737</v>
      </c>
    </row>
    <row r="4972" spans="1:1" x14ac:dyDescent="0.25">
      <c r="A4972" t="s">
        <v>1738</v>
      </c>
    </row>
    <row r="4973" spans="1:1" x14ac:dyDescent="0.25">
      <c r="A4973" t="s">
        <v>3175</v>
      </c>
    </row>
    <row r="4974" spans="1:1" x14ac:dyDescent="0.25">
      <c r="A4974" t="s">
        <v>3131</v>
      </c>
    </row>
    <row r="4975" spans="1:1" x14ac:dyDescent="0.25">
      <c r="A4975" t="s">
        <v>2173</v>
      </c>
    </row>
    <row r="4976" spans="1:1" x14ac:dyDescent="0.25">
      <c r="A4976" t="s">
        <v>1753</v>
      </c>
    </row>
    <row r="4977" spans="1:1" x14ac:dyDescent="0.25">
      <c r="A4977" t="s">
        <v>1741</v>
      </c>
    </row>
    <row r="4978" spans="1:1" x14ac:dyDescent="0.25">
      <c r="A4978" t="s">
        <v>3176</v>
      </c>
    </row>
    <row r="4979" spans="1:1" x14ac:dyDescent="0.25">
      <c r="A4979" t="s">
        <v>3177</v>
      </c>
    </row>
    <row r="4980" spans="1:1" x14ac:dyDescent="0.25">
      <c r="A4980" t="s">
        <v>1744</v>
      </c>
    </row>
    <row r="4982" spans="1:1" x14ac:dyDescent="0.25">
      <c r="A4982" t="s">
        <v>1737</v>
      </c>
    </row>
    <row r="4983" spans="1:1" x14ac:dyDescent="0.25">
      <c r="A4983" t="s">
        <v>1738</v>
      </c>
    </row>
    <row r="4984" spans="1:1" x14ac:dyDescent="0.25">
      <c r="A4984" t="s">
        <v>3178</v>
      </c>
    </row>
    <row r="4985" spans="1:1" x14ac:dyDescent="0.25">
      <c r="A4985" t="s">
        <v>3135</v>
      </c>
    </row>
    <row r="4986" spans="1:1" x14ac:dyDescent="0.25">
      <c r="A4986" t="s">
        <v>2041</v>
      </c>
    </row>
    <row r="4987" spans="1:1" x14ac:dyDescent="0.25">
      <c r="A4987" t="s">
        <v>1753</v>
      </c>
    </row>
    <row r="4988" spans="1:1" x14ac:dyDescent="0.25">
      <c r="A4988" t="s">
        <v>1740</v>
      </c>
    </row>
    <row r="4989" spans="1:1" x14ac:dyDescent="0.25">
      <c r="A4989" t="s">
        <v>1741</v>
      </c>
    </row>
    <row r="4990" spans="1:1" x14ac:dyDescent="0.25">
      <c r="A4990" t="s">
        <v>3136</v>
      </c>
    </row>
    <row r="4991" spans="1:1" x14ac:dyDescent="0.25">
      <c r="A4991" t="s">
        <v>3179</v>
      </c>
    </row>
    <row r="4992" spans="1:1" x14ac:dyDescent="0.25">
      <c r="A4992" t="s">
        <v>1744</v>
      </c>
    </row>
    <row r="4994" spans="1:1" x14ac:dyDescent="0.25">
      <c r="A4994" t="s">
        <v>1737</v>
      </c>
    </row>
    <row r="4995" spans="1:1" x14ac:dyDescent="0.25">
      <c r="A4995" t="s">
        <v>1738</v>
      </c>
    </row>
    <row r="4996" spans="1:1" x14ac:dyDescent="0.25">
      <c r="A4996" t="s">
        <v>3180</v>
      </c>
    </row>
    <row r="4997" spans="1:1" x14ac:dyDescent="0.25">
      <c r="A4997" t="s">
        <v>3139</v>
      </c>
    </row>
    <row r="4998" spans="1:1" x14ac:dyDescent="0.25">
      <c r="A4998" t="s">
        <v>3140</v>
      </c>
    </row>
    <row r="4999" spans="1:1" x14ac:dyDescent="0.25">
      <c r="A4999" t="s">
        <v>1753</v>
      </c>
    </row>
    <row r="5000" spans="1:1" x14ac:dyDescent="0.25">
      <c r="A5000" t="s">
        <v>1741</v>
      </c>
    </row>
    <row r="5001" spans="1:1" x14ac:dyDescent="0.25">
      <c r="A5001" t="s">
        <v>1762</v>
      </c>
    </row>
    <row r="5002" spans="1:1" x14ac:dyDescent="0.25">
      <c r="A5002" t="s">
        <v>3181</v>
      </c>
    </row>
    <row r="5003" spans="1:1" x14ac:dyDescent="0.25">
      <c r="A5003" t="s">
        <v>1744</v>
      </c>
    </row>
    <row r="5005" spans="1:1" x14ac:dyDescent="0.25">
      <c r="A5005" t="s">
        <v>1737</v>
      </c>
    </row>
    <row r="5006" spans="1:1" x14ac:dyDescent="0.25">
      <c r="A5006" t="s">
        <v>1738</v>
      </c>
    </row>
    <row r="5007" spans="1:1" x14ac:dyDescent="0.25">
      <c r="A5007" t="s">
        <v>3182</v>
      </c>
    </row>
    <row r="5008" spans="1:1" x14ac:dyDescent="0.25">
      <c r="A5008" t="s">
        <v>3143</v>
      </c>
    </row>
    <row r="5009" spans="1:1" x14ac:dyDescent="0.25">
      <c r="A5009" t="s">
        <v>3140</v>
      </c>
    </row>
    <row r="5010" spans="1:1" x14ac:dyDescent="0.25">
      <c r="A5010" t="s">
        <v>1753</v>
      </c>
    </row>
    <row r="5011" spans="1:1" x14ac:dyDescent="0.25">
      <c r="A5011" t="s">
        <v>1741</v>
      </c>
    </row>
    <row r="5012" spans="1:1" x14ac:dyDescent="0.25">
      <c r="A5012" t="s">
        <v>1762</v>
      </c>
    </row>
    <row r="5013" spans="1:1" x14ac:dyDescent="0.25">
      <c r="A5013" t="s">
        <v>3183</v>
      </c>
    </row>
    <row r="5014" spans="1:1" x14ac:dyDescent="0.25">
      <c r="A5014" t="s">
        <v>1744</v>
      </c>
    </row>
    <row r="5016" spans="1:1" x14ac:dyDescent="0.25">
      <c r="A5016" t="s">
        <v>3184</v>
      </c>
    </row>
    <row r="5017" spans="1:1" x14ac:dyDescent="0.25">
      <c r="A5017" t="s">
        <v>3185</v>
      </c>
    </row>
    <row r="5018" spans="1:1" x14ac:dyDescent="0.25">
      <c r="A5018" t="s">
        <v>3186</v>
      </c>
    </row>
    <row r="5019" spans="1:1" x14ac:dyDescent="0.25">
      <c r="A5019" t="s">
        <v>3187</v>
      </c>
    </row>
    <row r="5020" spans="1:1" x14ac:dyDescent="0.25">
      <c r="A5020" t="s">
        <v>3188</v>
      </c>
    </row>
    <row r="5021" spans="1:1" x14ac:dyDescent="0.25">
      <c r="A5021" t="s">
        <v>3189</v>
      </c>
    </row>
    <row r="5022" spans="1:1" x14ac:dyDescent="0.25">
      <c r="A5022" t="s">
        <v>3190</v>
      </c>
    </row>
    <row r="5023" spans="1:1" x14ac:dyDescent="0.25">
      <c r="A5023" t="s">
        <v>3191</v>
      </c>
    </row>
    <row r="5024" spans="1:1" x14ac:dyDescent="0.25">
      <c r="A5024" t="s">
        <v>3192</v>
      </c>
    </row>
    <row r="5025" spans="1:1" x14ac:dyDescent="0.25">
      <c r="A5025" t="s">
        <v>3193</v>
      </c>
    </row>
    <row r="5026" spans="1:1" x14ac:dyDescent="0.25">
      <c r="A5026" t="s">
        <v>3194</v>
      </c>
    </row>
    <row r="5028" spans="1:1" x14ac:dyDescent="0.25">
      <c r="A5028" t="s">
        <v>3184</v>
      </c>
    </row>
    <row r="5029" spans="1:1" x14ac:dyDescent="0.25">
      <c r="A5029" t="s">
        <v>3185</v>
      </c>
    </row>
    <row r="5030" spans="1:1" x14ac:dyDescent="0.25">
      <c r="A5030" t="s">
        <v>3195</v>
      </c>
    </row>
    <row r="5031" spans="1:1" x14ac:dyDescent="0.25">
      <c r="A5031" t="s">
        <v>3196</v>
      </c>
    </row>
    <row r="5032" spans="1:1" x14ac:dyDescent="0.25">
      <c r="A5032" t="s">
        <v>3188</v>
      </c>
    </row>
    <row r="5033" spans="1:1" x14ac:dyDescent="0.25">
      <c r="A5033" t="s">
        <v>3189</v>
      </c>
    </row>
    <row r="5034" spans="1:1" x14ac:dyDescent="0.25">
      <c r="A5034" t="s">
        <v>3190</v>
      </c>
    </row>
    <row r="5035" spans="1:1" x14ac:dyDescent="0.25">
      <c r="A5035" t="s">
        <v>3191</v>
      </c>
    </row>
    <row r="5036" spans="1:1" x14ac:dyDescent="0.25">
      <c r="A5036" t="s">
        <v>3197</v>
      </c>
    </row>
    <row r="5037" spans="1:1" x14ac:dyDescent="0.25">
      <c r="A5037" t="s">
        <v>3193</v>
      </c>
    </row>
    <row r="5038" spans="1:1" x14ac:dyDescent="0.25">
      <c r="A5038" t="s">
        <v>3194</v>
      </c>
    </row>
    <row r="5040" spans="1:1" x14ac:dyDescent="0.25">
      <c r="A5040" t="s">
        <v>3184</v>
      </c>
    </row>
    <row r="5041" spans="1:1" x14ac:dyDescent="0.25">
      <c r="A5041" t="s">
        <v>3185</v>
      </c>
    </row>
    <row r="5042" spans="1:1" x14ac:dyDescent="0.25">
      <c r="A5042" t="s">
        <v>3198</v>
      </c>
    </row>
    <row r="5043" spans="1:1" x14ac:dyDescent="0.25">
      <c r="A5043" t="s">
        <v>3190</v>
      </c>
    </row>
    <row r="5044" spans="1:1" x14ac:dyDescent="0.25">
      <c r="A5044" t="s">
        <v>3199</v>
      </c>
    </row>
    <row r="5045" spans="1:1" x14ac:dyDescent="0.25">
      <c r="A5045" t="s">
        <v>3200</v>
      </c>
    </row>
    <row r="5046" spans="1:1" x14ac:dyDescent="0.25">
      <c r="A5046" t="s">
        <v>3193</v>
      </c>
    </row>
    <row r="5047" spans="1:1" x14ac:dyDescent="0.25">
      <c r="A5047" t="s">
        <v>3194</v>
      </c>
    </row>
    <row r="5049" spans="1:1" x14ac:dyDescent="0.25">
      <c r="A5049" t="s">
        <v>3184</v>
      </c>
    </row>
    <row r="5050" spans="1:1" x14ac:dyDescent="0.25">
      <c r="A5050" t="s">
        <v>3185</v>
      </c>
    </row>
    <row r="5051" spans="1:1" x14ac:dyDescent="0.25">
      <c r="A5051" t="s">
        <v>3201</v>
      </c>
    </row>
    <row r="5052" spans="1:1" x14ac:dyDescent="0.25">
      <c r="A5052" t="s">
        <v>3190</v>
      </c>
    </row>
    <row r="5053" spans="1:1" x14ac:dyDescent="0.25">
      <c r="A5053" t="s">
        <v>3202</v>
      </c>
    </row>
    <row r="5054" spans="1:1" x14ac:dyDescent="0.25">
      <c r="A5054" t="s">
        <v>3203</v>
      </c>
    </row>
    <row r="5055" spans="1:1" x14ac:dyDescent="0.25">
      <c r="A5055" t="s">
        <v>3193</v>
      </c>
    </row>
    <row r="5056" spans="1:1" x14ac:dyDescent="0.25">
      <c r="A5056" t="s">
        <v>3194</v>
      </c>
    </row>
    <row r="5058" spans="1:1" x14ac:dyDescent="0.25">
      <c r="A5058" t="s">
        <v>3184</v>
      </c>
    </row>
    <row r="5059" spans="1:1" x14ac:dyDescent="0.25">
      <c r="A5059" t="s">
        <v>3185</v>
      </c>
    </row>
    <row r="5060" spans="1:1" x14ac:dyDescent="0.25">
      <c r="A5060" t="s">
        <v>3204</v>
      </c>
    </row>
    <row r="5061" spans="1:1" x14ac:dyDescent="0.25">
      <c r="A5061" t="s">
        <v>3205</v>
      </c>
    </row>
    <row r="5062" spans="1:1" x14ac:dyDescent="0.25">
      <c r="A5062" t="s">
        <v>3206</v>
      </c>
    </row>
    <row r="5063" spans="1:1" x14ac:dyDescent="0.25">
      <c r="A5063" t="s">
        <v>3207</v>
      </c>
    </row>
    <row r="5064" spans="1:1" x14ac:dyDescent="0.25">
      <c r="A5064" t="s">
        <v>3190</v>
      </c>
    </row>
    <row r="5065" spans="1:1" x14ac:dyDescent="0.25">
      <c r="A5065" t="s">
        <v>3208</v>
      </c>
    </row>
    <row r="5066" spans="1:1" x14ac:dyDescent="0.25">
      <c r="A5066" t="s">
        <v>3209</v>
      </c>
    </row>
    <row r="5067" spans="1:1" x14ac:dyDescent="0.25">
      <c r="A5067" t="s">
        <v>3210</v>
      </c>
    </row>
    <row r="5068" spans="1:1" x14ac:dyDescent="0.25">
      <c r="A5068" t="s">
        <v>3194</v>
      </c>
    </row>
    <row r="5070" spans="1:1" x14ac:dyDescent="0.25">
      <c r="A5070" t="s">
        <v>3184</v>
      </c>
    </row>
    <row r="5071" spans="1:1" x14ac:dyDescent="0.25">
      <c r="A5071" t="s">
        <v>3185</v>
      </c>
    </row>
    <row r="5072" spans="1:1" x14ac:dyDescent="0.25">
      <c r="A5072" t="s">
        <v>3211</v>
      </c>
    </row>
    <row r="5073" spans="1:1" x14ac:dyDescent="0.25">
      <c r="A5073" t="s">
        <v>3212</v>
      </c>
    </row>
    <row r="5074" spans="1:1" x14ac:dyDescent="0.25">
      <c r="A5074" t="s">
        <v>3213</v>
      </c>
    </row>
    <row r="5075" spans="1:1" x14ac:dyDescent="0.25">
      <c r="A5075" t="s">
        <v>3214</v>
      </c>
    </row>
    <row r="5076" spans="1:1" x14ac:dyDescent="0.25">
      <c r="A5076" t="s">
        <v>3190</v>
      </c>
    </row>
    <row r="5077" spans="1:1" x14ac:dyDescent="0.25">
      <c r="A5077" t="s">
        <v>3215</v>
      </c>
    </row>
    <row r="5078" spans="1:1" x14ac:dyDescent="0.25">
      <c r="A5078" t="s">
        <v>3216</v>
      </c>
    </row>
    <row r="5079" spans="1:1" x14ac:dyDescent="0.25">
      <c r="A5079" t="s">
        <v>3193</v>
      </c>
    </row>
    <row r="5080" spans="1:1" x14ac:dyDescent="0.25">
      <c r="A5080" t="s">
        <v>3194</v>
      </c>
    </row>
    <row r="5082" spans="1:1" x14ac:dyDescent="0.25">
      <c r="A5082" t="s">
        <v>3184</v>
      </c>
    </row>
    <row r="5083" spans="1:1" x14ac:dyDescent="0.25">
      <c r="A5083" t="s">
        <v>3185</v>
      </c>
    </row>
    <row r="5084" spans="1:1" x14ac:dyDescent="0.25">
      <c r="A5084" t="s">
        <v>3217</v>
      </c>
    </row>
    <row r="5085" spans="1:1" x14ac:dyDescent="0.25">
      <c r="A5085" t="s">
        <v>3218</v>
      </c>
    </row>
    <row r="5086" spans="1:1" x14ac:dyDescent="0.25">
      <c r="A5086" t="s">
        <v>3219</v>
      </c>
    </row>
    <row r="5087" spans="1:1" x14ac:dyDescent="0.25">
      <c r="A5087" t="s">
        <v>3214</v>
      </c>
    </row>
    <row r="5088" spans="1:1" x14ac:dyDescent="0.25">
      <c r="A5088" t="s">
        <v>3190</v>
      </c>
    </row>
    <row r="5089" spans="1:1" x14ac:dyDescent="0.25">
      <c r="A5089" t="s">
        <v>3220</v>
      </c>
    </row>
    <row r="5090" spans="1:1" x14ac:dyDescent="0.25">
      <c r="A5090" t="s">
        <v>3221</v>
      </c>
    </row>
    <row r="5091" spans="1:1" x14ac:dyDescent="0.25">
      <c r="A5091" t="s">
        <v>3193</v>
      </c>
    </row>
    <row r="5092" spans="1:1" x14ac:dyDescent="0.25">
      <c r="A5092" t="s">
        <v>3194</v>
      </c>
    </row>
    <row r="5094" spans="1:1" x14ac:dyDescent="0.25">
      <c r="A5094" t="s">
        <v>3184</v>
      </c>
    </row>
    <row r="5095" spans="1:1" x14ac:dyDescent="0.25">
      <c r="A5095" t="s">
        <v>3185</v>
      </c>
    </row>
    <row r="5096" spans="1:1" x14ac:dyDescent="0.25">
      <c r="A5096" t="s">
        <v>3222</v>
      </c>
    </row>
    <row r="5097" spans="1:1" x14ac:dyDescent="0.25">
      <c r="A5097" t="s">
        <v>3223</v>
      </c>
    </row>
    <row r="5098" spans="1:1" x14ac:dyDescent="0.25">
      <c r="A5098" t="s">
        <v>3224</v>
      </c>
    </row>
    <row r="5099" spans="1:1" x14ac:dyDescent="0.25">
      <c r="A5099" t="s">
        <v>3214</v>
      </c>
    </row>
    <row r="5100" spans="1:1" x14ac:dyDescent="0.25">
      <c r="A5100" t="s">
        <v>3190</v>
      </c>
    </row>
    <row r="5101" spans="1:1" x14ac:dyDescent="0.25">
      <c r="A5101" t="s">
        <v>3225</v>
      </c>
    </row>
    <row r="5102" spans="1:1" x14ac:dyDescent="0.25">
      <c r="A5102" t="s">
        <v>3226</v>
      </c>
    </row>
    <row r="5103" spans="1:1" x14ac:dyDescent="0.25">
      <c r="A5103" t="s">
        <v>3210</v>
      </c>
    </row>
    <row r="5104" spans="1:1" x14ac:dyDescent="0.25">
      <c r="A5104" t="s">
        <v>3194</v>
      </c>
    </row>
    <row r="5106" spans="1:1" x14ac:dyDescent="0.25">
      <c r="A5106" t="s">
        <v>3184</v>
      </c>
    </row>
    <row r="5107" spans="1:1" x14ac:dyDescent="0.25">
      <c r="A5107" t="s">
        <v>3185</v>
      </c>
    </row>
    <row r="5108" spans="1:1" x14ac:dyDescent="0.25">
      <c r="A5108" t="s">
        <v>3227</v>
      </c>
    </row>
    <row r="5109" spans="1:1" x14ac:dyDescent="0.25">
      <c r="A5109" t="s">
        <v>3228</v>
      </c>
    </row>
    <row r="5110" spans="1:1" x14ac:dyDescent="0.25">
      <c r="A5110" t="s">
        <v>3224</v>
      </c>
    </row>
    <row r="5111" spans="1:1" x14ac:dyDescent="0.25">
      <c r="A5111" t="s">
        <v>3214</v>
      </c>
    </row>
    <row r="5112" spans="1:1" x14ac:dyDescent="0.25">
      <c r="A5112" t="s">
        <v>3190</v>
      </c>
    </row>
    <row r="5113" spans="1:1" x14ac:dyDescent="0.25">
      <c r="A5113" t="s">
        <v>3225</v>
      </c>
    </row>
    <row r="5114" spans="1:1" x14ac:dyDescent="0.25">
      <c r="A5114" t="s">
        <v>3229</v>
      </c>
    </row>
    <row r="5115" spans="1:1" x14ac:dyDescent="0.25">
      <c r="A5115" t="s">
        <v>3210</v>
      </c>
    </row>
    <row r="5116" spans="1:1" x14ac:dyDescent="0.25">
      <c r="A5116" t="s">
        <v>3194</v>
      </c>
    </row>
    <row r="5118" spans="1:1" x14ac:dyDescent="0.25">
      <c r="A5118" t="s">
        <v>3184</v>
      </c>
    </row>
    <row r="5119" spans="1:1" x14ac:dyDescent="0.25">
      <c r="A5119" t="s">
        <v>3230</v>
      </c>
    </row>
    <row r="5120" spans="1:1" x14ac:dyDescent="0.25">
      <c r="A5120" t="s">
        <v>3231</v>
      </c>
    </row>
    <row r="5121" spans="1:1" x14ac:dyDescent="0.25">
      <c r="A5121" t="s">
        <v>3232</v>
      </c>
    </row>
    <row r="5122" spans="1:1" x14ac:dyDescent="0.25">
      <c r="A5122" t="s">
        <v>3233</v>
      </c>
    </row>
    <row r="5123" spans="1:1" x14ac:dyDescent="0.25">
      <c r="A5123" t="s">
        <v>3207</v>
      </c>
    </row>
    <row r="5124" spans="1:1" x14ac:dyDescent="0.25">
      <c r="A5124" t="s">
        <v>3234</v>
      </c>
    </row>
    <row r="5125" spans="1:1" x14ac:dyDescent="0.25">
      <c r="A5125" t="s">
        <v>3235</v>
      </c>
    </row>
    <row r="5126" spans="1:1" x14ac:dyDescent="0.25">
      <c r="A5126" t="s">
        <v>3236</v>
      </c>
    </row>
    <row r="5127" spans="1:1" x14ac:dyDescent="0.25">
      <c r="A5127" t="s">
        <v>3237</v>
      </c>
    </row>
    <row r="5128" spans="1:1" x14ac:dyDescent="0.25">
      <c r="A5128" t="s">
        <v>3194</v>
      </c>
    </row>
    <row r="5130" spans="1:1" x14ac:dyDescent="0.25">
      <c r="A5130" t="s">
        <v>3184</v>
      </c>
    </row>
    <row r="5131" spans="1:1" x14ac:dyDescent="0.25">
      <c r="A5131" t="s">
        <v>3238</v>
      </c>
    </row>
    <row r="5132" spans="1:1" x14ac:dyDescent="0.25">
      <c r="A5132" t="s">
        <v>3239</v>
      </c>
    </row>
    <row r="5133" spans="1:1" x14ac:dyDescent="0.25">
      <c r="A5133" t="s">
        <v>3240</v>
      </c>
    </row>
    <row r="5134" spans="1:1" x14ac:dyDescent="0.25">
      <c r="A5134" t="s">
        <v>3241</v>
      </c>
    </row>
    <row r="5135" spans="1:1" x14ac:dyDescent="0.25">
      <c r="A5135" t="s">
        <v>3214</v>
      </c>
    </row>
    <row r="5136" spans="1:1" x14ac:dyDescent="0.25">
      <c r="A5136" t="s">
        <v>3242</v>
      </c>
    </row>
    <row r="5137" spans="1:1" x14ac:dyDescent="0.25">
      <c r="A5137" t="s">
        <v>3243</v>
      </c>
    </row>
    <row r="5138" spans="1:1" x14ac:dyDescent="0.25">
      <c r="A5138" t="s">
        <v>3194</v>
      </c>
    </row>
    <row r="5140" spans="1:1" x14ac:dyDescent="0.25">
      <c r="A5140" t="s">
        <v>3184</v>
      </c>
    </row>
    <row r="5141" spans="1:1" x14ac:dyDescent="0.25">
      <c r="A5141" t="s">
        <v>3185</v>
      </c>
    </row>
    <row r="5142" spans="1:1" x14ac:dyDescent="0.25">
      <c r="A5142" t="s">
        <v>3244</v>
      </c>
    </row>
    <row r="5143" spans="1:1" x14ac:dyDescent="0.25">
      <c r="A5143" t="s">
        <v>3245</v>
      </c>
    </row>
    <row r="5144" spans="1:1" x14ac:dyDescent="0.25">
      <c r="A5144" t="s">
        <v>3246</v>
      </c>
    </row>
    <row r="5145" spans="1:1" x14ac:dyDescent="0.25">
      <c r="A5145" t="s">
        <v>3214</v>
      </c>
    </row>
    <row r="5146" spans="1:1" x14ac:dyDescent="0.25">
      <c r="A5146" t="s">
        <v>3190</v>
      </c>
    </row>
    <row r="5147" spans="1:1" x14ac:dyDescent="0.25">
      <c r="A5147" t="s">
        <v>3247</v>
      </c>
    </row>
    <row r="5148" spans="1:1" x14ac:dyDescent="0.25">
      <c r="A5148" t="s">
        <v>3248</v>
      </c>
    </row>
    <row r="5149" spans="1:1" x14ac:dyDescent="0.25">
      <c r="A5149" t="s">
        <v>3193</v>
      </c>
    </row>
    <row r="5150" spans="1:1" x14ac:dyDescent="0.25">
      <c r="A5150" t="s">
        <v>3249</v>
      </c>
    </row>
    <row r="5151" spans="1:1" x14ac:dyDescent="0.25">
      <c r="A5151" t="s">
        <v>3194</v>
      </c>
    </row>
    <row r="5153" spans="1:1" x14ac:dyDescent="0.25">
      <c r="A5153" t="s">
        <v>3184</v>
      </c>
    </row>
    <row r="5154" spans="1:1" x14ac:dyDescent="0.25">
      <c r="A5154" t="s">
        <v>3185</v>
      </c>
    </row>
    <row r="5155" spans="1:1" x14ac:dyDescent="0.25">
      <c r="A5155" t="s">
        <v>3250</v>
      </c>
    </row>
    <row r="5156" spans="1:1" x14ac:dyDescent="0.25">
      <c r="A5156" t="s">
        <v>3251</v>
      </c>
    </row>
    <row r="5157" spans="1:1" x14ac:dyDescent="0.25">
      <c r="A5157" t="s">
        <v>3252</v>
      </c>
    </row>
    <row r="5158" spans="1:1" x14ac:dyDescent="0.25">
      <c r="A5158" t="s">
        <v>3214</v>
      </c>
    </row>
    <row r="5159" spans="1:1" x14ac:dyDescent="0.25">
      <c r="A5159" t="s">
        <v>3190</v>
      </c>
    </row>
    <row r="5160" spans="1:1" x14ac:dyDescent="0.25">
      <c r="A5160" t="s">
        <v>3247</v>
      </c>
    </row>
    <row r="5161" spans="1:1" x14ac:dyDescent="0.25">
      <c r="A5161" t="s">
        <v>3253</v>
      </c>
    </row>
    <row r="5162" spans="1:1" x14ac:dyDescent="0.25">
      <c r="A5162" t="s">
        <v>3249</v>
      </c>
    </row>
    <row r="5163" spans="1:1" x14ac:dyDescent="0.25">
      <c r="A5163" t="s">
        <v>3193</v>
      </c>
    </row>
    <row r="5164" spans="1:1" x14ac:dyDescent="0.25">
      <c r="A5164" t="s">
        <v>3194</v>
      </c>
    </row>
    <row r="5166" spans="1:1" x14ac:dyDescent="0.25">
      <c r="A5166" t="s">
        <v>3184</v>
      </c>
    </row>
    <row r="5167" spans="1:1" x14ac:dyDescent="0.25">
      <c r="A5167" t="s">
        <v>3185</v>
      </c>
    </row>
    <row r="5168" spans="1:1" x14ac:dyDescent="0.25">
      <c r="A5168" t="s">
        <v>3254</v>
      </c>
    </row>
    <row r="5169" spans="1:1" x14ac:dyDescent="0.25">
      <c r="A5169" t="s">
        <v>3255</v>
      </c>
    </row>
    <row r="5170" spans="1:1" x14ac:dyDescent="0.25">
      <c r="A5170" t="s">
        <v>3256</v>
      </c>
    </row>
    <row r="5171" spans="1:1" x14ac:dyDescent="0.25">
      <c r="A5171" t="s">
        <v>3214</v>
      </c>
    </row>
    <row r="5172" spans="1:1" x14ac:dyDescent="0.25">
      <c r="A5172" t="s">
        <v>3190</v>
      </c>
    </row>
    <row r="5173" spans="1:1" x14ac:dyDescent="0.25">
      <c r="A5173" t="s">
        <v>3257</v>
      </c>
    </row>
    <row r="5174" spans="1:1" x14ac:dyDescent="0.25">
      <c r="A5174" t="s">
        <v>3258</v>
      </c>
    </row>
    <row r="5175" spans="1:1" x14ac:dyDescent="0.25">
      <c r="A5175" t="s">
        <v>3193</v>
      </c>
    </row>
    <row r="5176" spans="1:1" x14ac:dyDescent="0.25">
      <c r="A5176" t="s">
        <v>3194</v>
      </c>
    </row>
    <row r="5178" spans="1:1" x14ac:dyDescent="0.25">
      <c r="A5178" t="s">
        <v>3184</v>
      </c>
    </row>
    <row r="5179" spans="1:1" x14ac:dyDescent="0.25">
      <c r="A5179" t="s">
        <v>3185</v>
      </c>
    </row>
    <row r="5180" spans="1:1" x14ac:dyDescent="0.25">
      <c r="A5180" t="s">
        <v>3259</v>
      </c>
    </row>
    <row r="5181" spans="1:1" x14ac:dyDescent="0.25">
      <c r="A5181" t="s">
        <v>3260</v>
      </c>
    </row>
    <row r="5182" spans="1:1" x14ac:dyDescent="0.25">
      <c r="A5182" t="s">
        <v>3256</v>
      </c>
    </row>
    <row r="5183" spans="1:1" x14ac:dyDescent="0.25">
      <c r="A5183" t="s">
        <v>3214</v>
      </c>
    </row>
    <row r="5184" spans="1:1" x14ac:dyDescent="0.25">
      <c r="A5184" t="s">
        <v>3190</v>
      </c>
    </row>
    <row r="5185" spans="1:1" x14ac:dyDescent="0.25">
      <c r="A5185" t="s">
        <v>3261</v>
      </c>
    </row>
    <row r="5186" spans="1:1" x14ac:dyDescent="0.25">
      <c r="A5186" t="s">
        <v>3262</v>
      </c>
    </row>
    <row r="5187" spans="1:1" x14ac:dyDescent="0.25">
      <c r="A5187" t="s">
        <v>3193</v>
      </c>
    </row>
    <row r="5188" spans="1:1" x14ac:dyDescent="0.25">
      <c r="A5188" t="s">
        <v>3194</v>
      </c>
    </row>
    <row r="5190" spans="1:1" x14ac:dyDescent="0.25">
      <c r="A5190" t="s">
        <v>3184</v>
      </c>
    </row>
    <row r="5191" spans="1:1" x14ac:dyDescent="0.25">
      <c r="A5191" t="s">
        <v>3185</v>
      </c>
    </row>
    <row r="5192" spans="1:1" x14ac:dyDescent="0.25">
      <c r="A5192" t="s">
        <v>3263</v>
      </c>
    </row>
    <row r="5193" spans="1:1" x14ac:dyDescent="0.25">
      <c r="A5193" t="s">
        <v>3264</v>
      </c>
    </row>
    <row r="5194" spans="1:1" x14ac:dyDescent="0.25">
      <c r="A5194" t="s">
        <v>3265</v>
      </c>
    </row>
    <row r="5195" spans="1:1" x14ac:dyDescent="0.25">
      <c r="A5195" t="s">
        <v>3214</v>
      </c>
    </row>
    <row r="5196" spans="1:1" x14ac:dyDescent="0.25">
      <c r="A5196" t="s">
        <v>3190</v>
      </c>
    </row>
    <row r="5197" spans="1:1" x14ac:dyDescent="0.25">
      <c r="A5197" t="s">
        <v>3266</v>
      </c>
    </row>
    <row r="5198" spans="1:1" x14ac:dyDescent="0.25">
      <c r="A5198" t="s">
        <v>3267</v>
      </c>
    </row>
    <row r="5199" spans="1:1" x14ac:dyDescent="0.25">
      <c r="A5199" t="s">
        <v>3193</v>
      </c>
    </row>
    <row r="5200" spans="1:1" x14ac:dyDescent="0.25">
      <c r="A5200" t="s">
        <v>3194</v>
      </c>
    </row>
    <row r="5202" spans="1:1" x14ac:dyDescent="0.25">
      <c r="A5202" t="s">
        <v>3184</v>
      </c>
    </row>
    <row r="5203" spans="1:1" x14ac:dyDescent="0.25">
      <c r="A5203" t="s">
        <v>3185</v>
      </c>
    </row>
    <row r="5204" spans="1:1" x14ac:dyDescent="0.25">
      <c r="A5204" t="s">
        <v>3268</v>
      </c>
    </row>
    <row r="5205" spans="1:1" x14ac:dyDescent="0.25">
      <c r="A5205" t="s">
        <v>3269</v>
      </c>
    </row>
    <row r="5206" spans="1:1" x14ac:dyDescent="0.25">
      <c r="A5206" t="s">
        <v>3270</v>
      </c>
    </row>
    <row r="5207" spans="1:1" x14ac:dyDescent="0.25">
      <c r="A5207" t="s">
        <v>3214</v>
      </c>
    </row>
    <row r="5208" spans="1:1" x14ac:dyDescent="0.25">
      <c r="A5208" t="s">
        <v>3190</v>
      </c>
    </row>
    <row r="5209" spans="1:1" x14ac:dyDescent="0.25">
      <c r="A5209" t="s">
        <v>3215</v>
      </c>
    </row>
    <row r="5210" spans="1:1" x14ac:dyDescent="0.25">
      <c r="A5210" t="s">
        <v>3271</v>
      </c>
    </row>
    <row r="5211" spans="1:1" x14ac:dyDescent="0.25">
      <c r="A5211" t="s">
        <v>3193</v>
      </c>
    </row>
    <row r="5212" spans="1:1" x14ac:dyDescent="0.25">
      <c r="A5212" t="s">
        <v>3194</v>
      </c>
    </row>
    <row r="5214" spans="1:1" x14ac:dyDescent="0.25">
      <c r="A5214" t="s">
        <v>3184</v>
      </c>
    </row>
    <row r="5215" spans="1:1" x14ac:dyDescent="0.25">
      <c r="A5215" t="s">
        <v>3185</v>
      </c>
    </row>
    <row r="5216" spans="1:1" x14ac:dyDescent="0.25">
      <c r="A5216" t="s">
        <v>3272</v>
      </c>
    </row>
    <row r="5217" spans="1:1" x14ac:dyDescent="0.25">
      <c r="A5217" t="s">
        <v>3273</v>
      </c>
    </row>
    <row r="5218" spans="1:1" x14ac:dyDescent="0.25">
      <c r="A5218" t="s">
        <v>3224</v>
      </c>
    </row>
    <row r="5219" spans="1:1" x14ac:dyDescent="0.25">
      <c r="A5219" t="s">
        <v>3214</v>
      </c>
    </row>
    <row r="5220" spans="1:1" x14ac:dyDescent="0.25">
      <c r="A5220" t="s">
        <v>3190</v>
      </c>
    </row>
    <row r="5221" spans="1:1" x14ac:dyDescent="0.25">
      <c r="A5221" t="s">
        <v>3274</v>
      </c>
    </row>
    <row r="5222" spans="1:1" x14ac:dyDescent="0.25">
      <c r="A5222" t="s">
        <v>3275</v>
      </c>
    </row>
    <row r="5223" spans="1:1" x14ac:dyDescent="0.25">
      <c r="A5223" t="s">
        <v>3210</v>
      </c>
    </row>
    <row r="5224" spans="1:1" x14ac:dyDescent="0.25">
      <c r="A5224" t="s">
        <v>3194</v>
      </c>
    </row>
    <row r="5226" spans="1:1" x14ac:dyDescent="0.25">
      <c r="A5226" t="s">
        <v>3184</v>
      </c>
    </row>
    <row r="5227" spans="1:1" x14ac:dyDescent="0.25">
      <c r="A5227" t="s">
        <v>3185</v>
      </c>
    </row>
    <row r="5228" spans="1:1" x14ac:dyDescent="0.25">
      <c r="A5228" t="s">
        <v>3276</v>
      </c>
    </row>
    <row r="5229" spans="1:1" x14ac:dyDescent="0.25">
      <c r="A5229" t="s">
        <v>3277</v>
      </c>
    </row>
    <row r="5230" spans="1:1" x14ac:dyDescent="0.25">
      <c r="A5230" t="s">
        <v>3278</v>
      </c>
    </row>
    <row r="5231" spans="1:1" x14ac:dyDescent="0.25">
      <c r="A5231" t="s">
        <v>3214</v>
      </c>
    </row>
    <row r="5232" spans="1:1" x14ac:dyDescent="0.25">
      <c r="A5232" t="s">
        <v>3190</v>
      </c>
    </row>
    <row r="5233" spans="1:1" x14ac:dyDescent="0.25">
      <c r="A5233" t="s">
        <v>3266</v>
      </c>
    </row>
    <row r="5234" spans="1:1" x14ac:dyDescent="0.25">
      <c r="A5234" t="s">
        <v>3279</v>
      </c>
    </row>
    <row r="5235" spans="1:1" x14ac:dyDescent="0.25">
      <c r="A5235" t="s">
        <v>3193</v>
      </c>
    </row>
    <row r="5236" spans="1:1" x14ac:dyDescent="0.25">
      <c r="A5236" t="s">
        <v>3194</v>
      </c>
    </row>
    <row r="5238" spans="1:1" x14ac:dyDescent="0.25">
      <c r="A5238" t="s">
        <v>3184</v>
      </c>
    </row>
    <row r="5239" spans="1:1" x14ac:dyDescent="0.25">
      <c r="A5239" t="s">
        <v>3185</v>
      </c>
    </row>
    <row r="5240" spans="1:1" x14ac:dyDescent="0.25">
      <c r="A5240" t="s">
        <v>3280</v>
      </c>
    </row>
    <row r="5241" spans="1:1" x14ac:dyDescent="0.25">
      <c r="A5241" t="s">
        <v>3281</v>
      </c>
    </row>
    <row r="5242" spans="1:1" x14ac:dyDescent="0.25">
      <c r="A5242" t="s">
        <v>3282</v>
      </c>
    </row>
    <row r="5243" spans="1:1" x14ac:dyDescent="0.25">
      <c r="A5243" t="s">
        <v>3207</v>
      </c>
    </row>
    <row r="5244" spans="1:1" x14ac:dyDescent="0.25">
      <c r="A5244" t="s">
        <v>3190</v>
      </c>
    </row>
    <row r="5245" spans="1:1" x14ac:dyDescent="0.25">
      <c r="A5245" t="s">
        <v>3283</v>
      </c>
    </row>
    <row r="5246" spans="1:1" x14ac:dyDescent="0.25">
      <c r="A5246" t="s">
        <v>3284</v>
      </c>
    </row>
    <row r="5247" spans="1:1" x14ac:dyDescent="0.25">
      <c r="A5247" t="s">
        <v>3193</v>
      </c>
    </row>
    <row r="5248" spans="1:1" x14ac:dyDescent="0.25">
      <c r="A5248" t="s">
        <v>3194</v>
      </c>
    </row>
    <row r="5250" spans="1:1" x14ac:dyDescent="0.25">
      <c r="A5250" t="s">
        <v>3184</v>
      </c>
    </row>
    <row r="5251" spans="1:1" x14ac:dyDescent="0.25">
      <c r="A5251" t="s">
        <v>3185</v>
      </c>
    </row>
    <row r="5252" spans="1:1" x14ac:dyDescent="0.25">
      <c r="A5252" t="s">
        <v>3285</v>
      </c>
    </row>
    <row r="5253" spans="1:1" x14ac:dyDescent="0.25">
      <c r="A5253" t="s">
        <v>3286</v>
      </c>
    </row>
    <row r="5254" spans="1:1" x14ac:dyDescent="0.25">
      <c r="A5254" t="s">
        <v>3282</v>
      </c>
    </row>
    <row r="5255" spans="1:1" x14ac:dyDescent="0.25">
      <c r="A5255" t="s">
        <v>3207</v>
      </c>
    </row>
    <row r="5256" spans="1:1" x14ac:dyDescent="0.25">
      <c r="A5256" t="s">
        <v>3190</v>
      </c>
    </row>
    <row r="5257" spans="1:1" x14ac:dyDescent="0.25">
      <c r="A5257" t="s">
        <v>3283</v>
      </c>
    </row>
    <row r="5258" spans="1:1" x14ac:dyDescent="0.25">
      <c r="A5258" t="s">
        <v>3287</v>
      </c>
    </row>
    <row r="5259" spans="1:1" x14ac:dyDescent="0.25">
      <c r="A5259" t="s">
        <v>3193</v>
      </c>
    </row>
    <row r="5260" spans="1:1" x14ac:dyDescent="0.25">
      <c r="A5260" t="s">
        <v>3194</v>
      </c>
    </row>
    <row r="5262" spans="1:1" x14ac:dyDescent="0.25">
      <c r="A5262" t="s">
        <v>3184</v>
      </c>
    </row>
    <row r="5263" spans="1:1" x14ac:dyDescent="0.25">
      <c r="A5263" t="s">
        <v>3185</v>
      </c>
    </row>
    <row r="5264" spans="1:1" x14ac:dyDescent="0.25">
      <c r="A5264" t="s">
        <v>3288</v>
      </c>
    </row>
    <row r="5265" spans="1:1" x14ac:dyDescent="0.25">
      <c r="A5265" t="s">
        <v>3289</v>
      </c>
    </row>
    <row r="5266" spans="1:1" x14ac:dyDescent="0.25">
      <c r="A5266" t="s">
        <v>3282</v>
      </c>
    </row>
    <row r="5267" spans="1:1" x14ac:dyDescent="0.25">
      <c r="A5267" t="s">
        <v>3207</v>
      </c>
    </row>
    <row r="5268" spans="1:1" x14ac:dyDescent="0.25">
      <c r="A5268" t="s">
        <v>3190</v>
      </c>
    </row>
    <row r="5269" spans="1:1" x14ac:dyDescent="0.25">
      <c r="A5269" t="s">
        <v>3283</v>
      </c>
    </row>
    <row r="5270" spans="1:1" x14ac:dyDescent="0.25">
      <c r="A5270" t="s">
        <v>3290</v>
      </c>
    </row>
    <row r="5271" spans="1:1" x14ac:dyDescent="0.25">
      <c r="A5271" t="s">
        <v>3193</v>
      </c>
    </row>
    <row r="5272" spans="1:1" x14ac:dyDescent="0.25">
      <c r="A5272" t="s">
        <v>3194</v>
      </c>
    </row>
    <row r="5274" spans="1:1" x14ac:dyDescent="0.25">
      <c r="A5274" t="s">
        <v>3184</v>
      </c>
    </row>
    <row r="5275" spans="1:1" x14ac:dyDescent="0.25">
      <c r="A5275" t="s">
        <v>3185</v>
      </c>
    </row>
    <row r="5276" spans="1:1" x14ac:dyDescent="0.25">
      <c r="A5276" t="s">
        <v>3291</v>
      </c>
    </row>
    <row r="5277" spans="1:1" x14ac:dyDescent="0.25">
      <c r="A5277" t="s">
        <v>3292</v>
      </c>
    </row>
    <row r="5278" spans="1:1" x14ac:dyDescent="0.25">
      <c r="A5278" t="s">
        <v>3282</v>
      </c>
    </row>
    <row r="5279" spans="1:1" x14ac:dyDescent="0.25">
      <c r="A5279" t="s">
        <v>3207</v>
      </c>
    </row>
    <row r="5280" spans="1:1" x14ac:dyDescent="0.25">
      <c r="A5280" t="s">
        <v>3190</v>
      </c>
    </row>
    <row r="5281" spans="1:1" x14ac:dyDescent="0.25">
      <c r="A5281" t="s">
        <v>3283</v>
      </c>
    </row>
    <row r="5282" spans="1:1" x14ac:dyDescent="0.25">
      <c r="A5282" t="s">
        <v>3293</v>
      </c>
    </row>
    <row r="5283" spans="1:1" x14ac:dyDescent="0.25">
      <c r="A5283" t="s">
        <v>3193</v>
      </c>
    </row>
    <row r="5284" spans="1:1" x14ac:dyDescent="0.25">
      <c r="A5284" t="s">
        <v>3194</v>
      </c>
    </row>
    <row r="5286" spans="1:1" x14ac:dyDescent="0.25">
      <c r="A5286" t="s">
        <v>3184</v>
      </c>
    </row>
    <row r="5287" spans="1:1" x14ac:dyDescent="0.25">
      <c r="A5287" t="s">
        <v>3185</v>
      </c>
    </row>
    <row r="5288" spans="1:1" x14ac:dyDescent="0.25">
      <c r="A5288" t="s">
        <v>3294</v>
      </c>
    </row>
    <row r="5289" spans="1:1" x14ac:dyDescent="0.25">
      <c r="A5289" t="s">
        <v>3295</v>
      </c>
    </row>
    <row r="5290" spans="1:1" x14ac:dyDescent="0.25">
      <c r="A5290" t="s">
        <v>3282</v>
      </c>
    </row>
    <row r="5291" spans="1:1" x14ac:dyDescent="0.25">
      <c r="A5291" t="s">
        <v>3207</v>
      </c>
    </row>
    <row r="5292" spans="1:1" x14ac:dyDescent="0.25">
      <c r="A5292" t="s">
        <v>3190</v>
      </c>
    </row>
    <row r="5293" spans="1:1" x14ac:dyDescent="0.25">
      <c r="A5293" t="s">
        <v>3283</v>
      </c>
    </row>
    <row r="5294" spans="1:1" x14ac:dyDescent="0.25">
      <c r="A5294" t="s">
        <v>3296</v>
      </c>
    </row>
    <row r="5295" spans="1:1" x14ac:dyDescent="0.25">
      <c r="A5295" t="s">
        <v>3193</v>
      </c>
    </row>
    <row r="5296" spans="1:1" x14ac:dyDescent="0.25">
      <c r="A5296" t="s">
        <v>3194</v>
      </c>
    </row>
    <row r="5298" spans="1:1" x14ac:dyDescent="0.25">
      <c r="A5298" t="s">
        <v>3184</v>
      </c>
    </row>
    <row r="5299" spans="1:1" x14ac:dyDescent="0.25">
      <c r="A5299" t="s">
        <v>3185</v>
      </c>
    </row>
    <row r="5300" spans="1:1" x14ac:dyDescent="0.25">
      <c r="A5300" t="s">
        <v>3297</v>
      </c>
    </row>
    <row r="5301" spans="1:1" x14ac:dyDescent="0.25">
      <c r="A5301" t="s">
        <v>3298</v>
      </c>
    </row>
    <row r="5302" spans="1:1" x14ac:dyDescent="0.25">
      <c r="A5302" t="s">
        <v>3282</v>
      </c>
    </row>
    <row r="5303" spans="1:1" x14ac:dyDescent="0.25">
      <c r="A5303" t="s">
        <v>3207</v>
      </c>
    </row>
    <row r="5304" spans="1:1" x14ac:dyDescent="0.25">
      <c r="A5304" t="s">
        <v>3190</v>
      </c>
    </row>
    <row r="5305" spans="1:1" x14ac:dyDescent="0.25">
      <c r="A5305" t="s">
        <v>3283</v>
      </c>
    </row>
    <row r="5306" spans="1:1" x14ac:dyDescent="0.25">
      <c r="A5306" t="s">
        <v>3299</v>
      </c>
    </row>
    <row r="5307" spans="1:1" x14ac:dyDescent="0.25">
      <c r="A5307" t="s">
        <v>3193</v>
      </c>
    </row>
    <row r="5308" spans="1:1" x14ac:dyDescent="0.25">
      <c r="A5308" t="s">
        <v>3194</v>
      </c>
    </row>
    <row r="5310" spans="1:1" x14ac:dyDescent="0.25">
      <c r="A5310" t="s">
        <v>3184</v>
      </c>
    </row>
    <row r="5311" spans="1:1" x14ac:dyDescent="0.25">
      <c r="A5311" t="s">
        <v>3185</v>
      </c>
    </row>
    <row r="5312" spans="1:1" x14ac:dyDescent="0.25">
      <c r="A5312" t="s">
        <v>3300</v>
      </c>
    </row>
    <row r="5313" spans="1:1" x14ac:dyDescent="0.25">
      <c r="A5313" t="s">
        <v>3301</v>
      </c>
    </row>
    <row r="5314" spans="1:1" x14ac:dyDescent="0.25">
      <c r="A5314" t="s">
        <v>3302</v>
      </c>
    </row>
    <row r="5315" spans="1:1" x14ac:dyDescent="0.25">
      <c r="A5315" t="s">
        <v>3207</v>
      </c>
    </row>
    <row r="5316" spans="1:1" x14ac:dyDescent="0.25">
      <c r="A5316" t="s">
        <v>3190</v>
      </c>
    </row>
    <row r="5317" spans="1:1" x14ac:dyDescent="0.25">
      <c r="A5317" t="s">
        <v>3303</v>
      </c>
    </row>
    <row r="5318" spans="1:1" x14ac:dyDescent="0.25">
      <c r="A5318" t="s">
        <v>3304</v>
      </c>
    </row>
    <row r="5319" spans="1:1" x14ac:dyDescent="0.25">
      <c r="A5319" t="s">
        <v>3210</v>
      </c>
    </row>
    <row r="5320" spans="1:1" x14ac:dyDescent="0.25">
      <c r="A5320" t="s">
        <v>3194</v>
      </c>
    </row>
    <row r="5322" spans="1:1" x14ac:dyDescent="0.25">
      <c r="A5322" t="s">
        <v>3184</v>
      </c>
    </row>
    <row r="5323" spans="1:1" x14ac:dyDescent="0.25">
      <c r="A5323" t="s">
        <v>3185</v>
      </c>
    </row>
    <row r="5324" spans="1:1" x14ac:dyDescent="0.25">
      <c r="A5324" t="s">
        <v>3305</v>
      </c>
    </row>
    <row r="5325" spans="1:1" x14ac:dyDescent="0.25">
      <c r="A5325" t="s">
        <v>3306</v>
      </c>
    </row>
    <row r="5326" spans="1:1" x14ac:dyDescent="0.25">
      <c r="A5326" t="s">
        <v>3307</v>
      </c>
    </row>
    <row r="5327" spans="1:1" x14ac:dyDescent="0.25">
      <c r="A5327" t="s">
        <v>3207</v>
      </c>
    </row>
    <row r="5328" spans="1:1" x14ac:dyDescent="0.25">
      <c r="A5328" t="s">
        <v>3190</v>
      </c>
    </row>
    <row r="5329" spans="1:1" x14ac:dyDescent="0.25">
      <c r="A5329" t="s">
        <v>3283</v>
      </c>
    </row>
    <row r="5330" spans="1:1" x14ac:dyDescent="0.25">
      <c r="A5330" t="s">
        <v>3308</v>
      </c>
    </row>
    <row r="5331" spans="1:1" x14ac:dyDescent="0.25">
      <c r="A5331" t="s">
        <v>3193</v>
      </c>
    </row>
    <row r="5332" spans="1:1" x14ac:dyDescent="0.25">
      <c r="A5332" t="s">
        <v>3194</v>
      </c>
    </row>
    <row r="5334" spans="1:1" x14ac:dyDescent="0.25">
      <c r="A5334" t="s">
        <v>3184</v>
      </c>
    </row>
    <row r="5335" spans="1:1" x14ac:dyDescent="0.25">
      <c r="A5335" t="s">
        <v>3185</v>
      </c>
    </row>
    <row r="5336" spans="1:1" x14ac:dyDescent="0.25">
      <c r="A5336" t="s">
        <v>3309</v>
      </c>
    </row>
    <row r="5337" spans="1:1" x14ac:dyDescent="0.25">
      <c r="A5337" t="s">
        <v>3310</v>
      </c>
    </row>
    <row r="5338" spans="1:1" x14ac:dyDescent="0.25">
      <c r="A5338" t="s">
        <v>3307</v>
      </c>
    </row>
    <row r="5339" spans="1:1" x14ac:dyDescent="0.25">
      <c r="A5339" t="s">
        <v>3207</v>
      </c>
    </row>
    <row r="5340" spans="1:1" x14ac:dyDescent="0.25">
      <c r="A5340" t="s">
        <v>3190</v>
      </c>
    </row>
    <row r="5341" spans="1:1" x14ac:dyDescent="0.25">
      <c r="A5341" t="s">
        <v>3243</v>
      </c>
    </row>
    <row r="5342" spans="1:1" x14ac:dyDescent="0.25">
      <c r="A5342" t="s">
        <v>3311</v>
      </c>
    </row>
    <row r="5343" spans="1:1" x14ac:dyDescent="0.25">
      <c r="A5343" t="s">
        <v>3210</v>
      </c>
    </row>
    <row r="5344" spans="1:1" x14ac:dyDescent="0.25">
      <c r="A5344" t="s">
        <v>3194</v>
      </c>
    </row>
    <row r="5346" spans="1:1" x14ac:dyDescent="0.25">
      <c r="A5346" t="s">
        <v>3184</v>
      </c>
    </row>
    <row r="5347" spans="1:1" x14ac:dyDescent="0.25">
      <c r="A5347" t="s">
        <v>3185</v>
      </c>
    </row>
    <row r="5348" spans="1:1" x14ac:dyDescent="0.25">
      <c r="A5348" t="s">
        <v>3312</v>
      </c>
    </row>
    <row r="5349" spans="1:1" x14ac:dyDescent="0.25">
      <c r="A5349" t="s">
        <v>3313</v>
      </c>
    </row>
    <row r="5350" spans="1:1" x14ac:dyDescent="0.25">
      <c r="A5350" t="s">
        <v>3282</v>
      </c>
    </row>
    <row r="5351" spans="1:1" x14ac:dyDescent="0.25">
      <c r="A5351" t="s">
        <v>3207</v>
      </c>
    </row>
    <row r="5352" spans="1:1" x14ac:dyDescent="0.25">
      <c r="A5352" t="s">
        <v>3190</v>
      </c>
    </row>
    <row r="5353" spans="1:1" x14ac:dyDescent="0.25">
      <c r="A5353" t="s">
        <v>3283</v>
      </c>
    </row>
    <row r="5354" spans="1:1" x14ac:dyDescent="0.25">
      <c r="A5354" t="s">
        <v>3314</v>
      </c>
    </row>
    <row r="5355" spans="1:1" x14ac:dyDescent="0.25">
      <c r="A5355" t="s">
        <v>3193</v>
      </c>
    </row>
    <row r="5356" spans="1:1" x14ac:dyDescent="0.25">
      <c r="A5356" t="s">
        <v>3194</v>
      </c>
    </row>
    <row r="5358" spans="1:1" x14ac:dyDescent="0.25">
      <c r="A5358" t="s">
        <v>3184</v>
      </c>
    </row>
    <row r="5359" spans="1:1" x14ac:dyDescent="0.25">
      <c r="A5359" t="s">
        <v>3185</v>
      </c>
    </row>
    <row r="5360" spans="1:1" x14ac:dyDescent="0.25">
      <c r="A5360" t="s">
        <v>3315</v>
      </c>
    </row>
    <row r="5361" spans="1:1" x14ac:dyDescent="0.25">
      <c r="A5361" t="s">
        <v>3316</v>
      </c>
    </row>
    <row r="5362" spans="1:1" x14ac:dyDescent="0.25">
      <c r="A5362" t="s">
        <v>3282</v>
      </c>
    </row>
    <row r="5363" spans="1:1" x14ac:dyDescent="0.25">
      <c r="A5363" t="s">
        <v>3207</v>
      </c>
    </row>
    <row r="5364" spans="1:1" x14ac:dyDescent="0.25">
      <c r="A5364" t="s">
        <v>3190</v>
      </c>
    </row>
    <row r="5365" spans="1:1" x14ac:dyDescent="0.25">
      <c r="A5365" t="s">
        <v>3283</v>
      </c>
    </row>
    <row r="5366" spans="1:1" x14ac:dyDescent="0.25">
      <c r="A5366" t="s">
        <v>3317</v>
      </c>
    </row>
    <row r="5367" spans="1:1" x14ac:dyDescent="0.25">
      <c r="A5367" t="s">
        <v>3193</v>
      </c>
    </row>
    <row r="5368" spans="1:1" x14ac:dyDescent="0.25">
      <c r="A5368" t="s">
        <v>3194</v>
      </c>
    </row>
    <row r="5370" spans="1:1" x14ac:dyDescent="0.25">
      <c r="A5370" t="s">
        <v>3184</v>
      </c>
    </row>
    <row r="5371" spans="1:1" x14ac:dyDescent="0.25">
      <c r="A5371" t="s">
        <v>3185</v>
      </c>
    </row>
    <row r="5372" spans="1:1" x14ac:dyDescent="0.25">
      <c r="A5372" t="s">
        <v>3318</v>
      </c>
    </row>
    <row r="5373" spans="1:1" x14ac:dyDescent="0.25">
      <c r="A5373" t="s">
        <v>3319</v>
      </c>
    </row>
    <row r="5374" spans="1:1" x14ac:dyDescent="0.25">
      <c r="A5374" t="s">
        <v>3282</v>
      </c>
    </row>
    <row r="5375" spans="1:1" x14ac:dyDescent="0.25">
      <c r="A5375" t="s">
        <v>3207</v>
      </c>
    </row>
    <row r="5376" spans="1:1" x14ac:dyDescent="0.25">
      <c r="A5376" t="s">
        <v>3190</v>
      </c>
    </row>
    <row r="5377" spans="1:1" x14ac:dyDescent="0.25">
      <c r="A5377" t="s">
        <v>3283</v>
      </c>
    </row>
    <row r="5378" spans="1:1" x14ac:dyDescent="0.25">
      <c r="A5378" t="s">
        <v>3320</v>
      </c>
    </row>
    <row r="5379" spans="1:1" x14ac:dyDescent="0.25">
      <c r="A5379" t="s">
        <v>3193</v>
      </c>
    </row>
    <row r="5380" spans="1:1" x14ac:dyDescent="0.25">
      <c r="A5380" t="s">
        <v>3194</v>
      </c>
    </row>
    <row r="5382" spans="1:1" x14ac:dyDescent="0.25">
      <c r="A5382" t="s">
        <v>3184</v>
      </c>
    </row>
    <row r="5383" spans="1:1" x14ac:dyDescent="0.25">
      <c r="A5383" t="s">
        <v>3185</v>
      </c>
    </row>
    <row r="5384" spans="1:1" x14ac:dyDescent="0.25">
      <c r="A5384" t="s">
        <v>3321</v>
      </c>
    </row>
    <row r="5385" spans="1:1" x14ac:dyDescent="0.25">
      <c r="A5385" t="s">
        <v>3322</v>
      </c>
    </row>
    <row r="5386" spans="1:1" x14ac:dyDescent="0.25">
      <c r="A5386" t="s">
        <v>3282</v>
      </c>
    </row>
    <row r="5387" spans="1:1" x14ac:dyDescent="0.25">
      <c r="A5387" t="s">
        <v>3207</v>
      </c>
    </row>
    <row r="5388" spans="1:1" x14ac:dyDescent="0.25">
      <c r="A5388" t="s">
        <v>3190</v>
      </c>
    </row>
    <row r="5389" spans="1:1" x14ac:dyDescent="0.25">
      <c r="A5389" t="s">
        <v>3283</v>
      </c>
    </row>
    <row r="5390" spans="1:1" x14ac:dyDescent="0.25">
      <c r="A5390" t="s">
        <v>3323</v>
      </c>
    </row>
    <row r="5391" spans="1:1" x14ac:dyDescent="0.25">
      <c r="A5391" t="s">
        <v>3193</v>
      </c>
    </row>
    <row r="5392" spans="1:1" x14ac:dyDescent="0.25">
      <c r="A5392" t="s">
        <v>3194</v>
      </c>
    </row>
    <row r="5394" spans="1:1" x14ac:dyDescent="0.25">
      <c r="A5394" t="s">
        <v>3184</v>
      </c>
    </row>
    <row r="5395" spans="1:1" x14ac:dyDescent="0.25">
      <c r="A5395" t="s">
        <v>3185</v>
      </c>
    </row>
    <row r="5396" spans="1:1" x14ac:dyDescent="0.25">
      <c r="A5396" t="s">
        <v>3324</v>
      </c>
    </row>
    <row r="5397" spans="1:1" x14ac:dyDescent="0.25">
      <c r="A5397" t="s">
        <v>3325</v>
      </c>
    </row>
    <row r="5398" spans="1:1" x14ac:dyDescent="0.25">
      <c r="A5398" t="s">
        <v>3282</v>
      </c>
    </row>
    <row r="5399" spans="1:1" x14ac:dyDescent="0.25">
      <c r="A5399" t="s">
        <v>3207</v>
      </c>
    </row>
    <row r="5400" spans="1:1" x14ac:dyDescent="0.25">
      <c r="A5400" t="s">
        <v>3190</v>
      </c>
    </row>
    <row r="5401" spans="1:1" x14ac:dyDescent="0.25">
      <c r="A5401" t="s">
        <v>3283</v>
      </c>
    </row>
    <row r="5402" spans="1:1" x14ac:dyDescent="0.25">
      <c r="A5402" t="s">
        <v>3326</v>
      </c>
    </row>
    <row r="5403" spans="1:1" x14ac:dyDescent="0.25">
      <c r="A5403" t="s">
        <v>3193</v>
      </c>
    </row>
    <row r="5404" spans="1:1" x14ac:dyDescent="0.25">
      <c r="A5404" t="s">
        <v>3194</v>
      </c>
    </row>
    <row r="5406" spans="1:1" x14ac:dyDescent="0.25">
      <c r="A5406" t="s">
        <v>3184</v>
      </c>
    </row>
    <row r="5407" spans="1:1" x14ac:dyDescent="0.25">
      <c r="A5407" t="s">
        <v>3185</v>
      </c>
    </row>
    <row r="5408" spans="1:1" x14ac:dyDescent="0.25">
      <c r="A5408" t="s">
        <v>3327</v>
      </c>
    </row>
    <row r="5409" spans="1:1" x14ac:dyDescent="0.25">
      <c r="A5409" t="s">
        <v>3328</v>
      </c>
    </row>
    <row r="5410" spans="1:1" x14ac:dyDescent="0.25">
      <c r="A5410" t="s">
        <v>3282</v>
      </c>
    </row>
    <row r="5411" spans="1:1" x14ac:dyDescent="0.25">
      <c r="A5411" t="s">
        <v>3207</v>
      </c>
    </row>
    <row r="5412" spans="1:1" x14ac:dyDescent="0.25">
      <c r="A5412" t="s">
        <v>3190</v>
      </c>
    </row>
    <row r="5413" spans="1:1" x14ac:dyDescent="0.25">
      <c r="A5413" t="s">
        <v>3283</v>
      </c>
    </row>
    <row r="5414" spans="1:1" x14ac:dyDescent="0.25">
      <c r="A5414" t="s">
        <v>3329</v>
      </c>
    </row>
    <row r="5415" spans="1:1" x14ac:dyDescent="0.25">
      <c r="A5415" t="s">
        <v>3193</v>
      </c>
    </row>
    <row r="5416" spans="1:1" x14ac:dyDescent="0.25">
      <c r="A5416" t="s">
        <v>3194</v>
      </c>
    </row>
    <row r="5418" spans="1:1" x14ac:dyDescent="0.25">
      <c r="A5418" t="s">
        <v>3184</v>
      </c>
    </row>
    <row r="5419" spans="1:1" x14ac:dyDescent="0.25">
      <c r="A5419" t="s">
        <v>3185</v>
      </c>
    </row>
    <row r="5420" spans="1:1" x14ac:dyDescent="0.25">
      <c r="A5420" t="s">
        <v>3330</v>
      </c>
    </row>
    <row r="5421" spans="1:1" x14ac:dyDescent="0.25">
      <c r="A5421" t="s">
        <v>3331</v>
      </c>
    </row>
    <row r="5422" spans="1:1" x14ac:dyDescent="0.25">
      <c r="A5422" t="s">
        <v>3282</v>
      </c>
    </row>
    <row r="5423" spans="1:1" x14ac:dyDescent="0.25">
      <c r="A5423" t="s">
        <v>3207</v>
      </c>
    </row>
    <row r="5424" spans="1:1" x14ac:dyDescent="0.25">
      <c r="A5424" t="s">
        <v>3190</v>
      </c>
    </row>
    <row r="5425" spans="1:1" x14ac:dyDescent="0.25">
      <c r="A5425" t="s">
        <v>3332</v>
      </c>
    </row>
    <row r="5426" spans="1:1" x14ac:dyDescent="0.25">
      <c r="A5426" t="s">
        <v>3333</v>
      </c>
    </row>
    <row r="5427" spans="1:1" x14ac:dyDescent="0.25">
      <c r="A5427" t="s">
        <v>3193</v>
      </c>
    </row>
    <row r="5428" spans="1:1" x14ac:dyDescent="0.25">
      <c r="A5428" t="s">
        <v>3194</v>
      </c>
    </row>
    <row r="5430" spans="1:1" x14ac:dyDescent="0.25">
      <c r="A5430" t="s">
        <v>3184</v>
      </c>
    </row>
    <row r="5431" spans="1:1" x14ac:dyDescent="0.25">
      <c r="A5431" t="s">
        <v>3185</v>
      </c>
    </row>
    <row r="5432" spans="1:1" x14ac:dyDescent="0.25">
      <c r="A5432" t="s">
        <v>3334</v>
      </c>
    </row>
    <row r="5433" spans="1:1" x14ac:dyDescent="0.25">
      <c r="A5433" t="s">
        <v>3335</v>
      </c>
    </row>
    <row r="5434" spans="1:1" x14ac:dyDescent="0.25">
      <c r="A5434" t="s">
        <v>3282</v>
      </c>
    </row>
    <row r="5435" spans="1:1" x14ac:dyDescent="0.25">
      <c r="A5435" t="s">
        <v>3207</v>
      </c>
    </row>
    <row r="5436" spans="1:1" x14ac:dyDescent="0.25">
      <c r="A5436" t="s">
        <v>3190</v>
      </c>
    </row>
    <row r="5437" spans="1:1" x14ac:dyDescent="0.25">
      <c r="A5437" t="s">
        <v>3332</v>
      </c>
    </row>
    <row r="5438" spans="1:1" x14ac:dyDescent="0.25">
      <c r="A5438" t="s">
        <v>3336</v>
      </c>
    </row>
    <row r="5439" spans="1:1" x14ac:dyDescent="0.25">
      <c r="A5439" t="s">
        <v>3193</v>
      </c>
    </row>
    <row r="5440" spans="1:1" x14ac:dyDescent="0.25">
      <c r="A5440" t="s">
        <v>3194</v>
      </c>
    </row>
    <row r="5442" spans="1:1" x14ac:dyDescent="0.25">
      <c r="A5442" t="s">
        <v>3184</v>
      </c>
    </row>
    <row r="5443" spans="1:1" x14ac:dyDescent="0.25">
      <c r="A5443" t="s">
        <v>3185</v>
      </c>
    </row>
    <row r="5444" spans="1:1" x14ac:dyDescent="0.25">
      <c r="A5444" t="s">
        <v>3337</v>
      </c>
    </row>
    <row r="5445" spans="1:1" x14ac:dyDescent="0.25">
      <c r="A5445" t="s">
        <v>3338</v>
      </c>
    </row>
    <row r="5446" spans="1:1" x14ac:dyDescent="0.25">
      <c r="A5446" t="s">
        <v>3282</v>
      </c>
    </row>
    <row r="5447" spans="1:1" x14ac:dyDescent="0.25">
      <c r="A5447" t="s">
        <v>3207</v>
      </c>
    </row>
    <row r="5448" spans="1:1" x14ac:dyDescent="0.25">
      <c r="A5448" t="s">
        <v>3190</v>
      </c>
    </row>
    <row r="5449" spans="1:1" x14ac:dyDescent="0.25">
      <c r="A5449" t="s">
        <v>3332</v>
      </c>
    </row>
    <row r="5450" spans="1:1" x14ac:dyDescent="0.25">
      <c r="A5450" t="s">
        <v>3339</v>
      </c>
    </row>
    <row r="5451" spans="1:1" x14ac:dyDescent="0.25">
      <c r="A5451" t="s">
        <v>3193</v>
      </c>
    </row>
    <row r="5452" spans="1:1" x14ac:dyDescent="0.25">
      <c r="A5452" t="s">
        <v>3194</v>
      </c>
    </row>
    <row r="5454" spans="1:1" x14ac:dyDescent="0.25">
      <c r="A5454" t="s">
        <v>3184</v>
      </c>
    </row>
    <row r="5455" spans="1:1" x14ac:dyDescent="0.25">
      <c r="A5455" t="s">
        <v>3185</v>
      </c>
    </row>
    <row r="5456" spans="1:1" x14ac:dyDescent="0.25">
      <c r="A5456" t="s">
        <v>3340</v>
      </c>
    </row>
    <row r="5457" spans="1:1" x14ac:dyDescent="0.25">
      <c r="A5457" t="s">
        <v>3341</v>
      </c>
    </row>
    <row r="5458" spans="1:1" x14ac:dyDescent="0.25">
      <c r="A5458" t="s">
        <v>3307</v>
      </c>
    </row>
    <row r="5459" spans="1:1" x14ac:dyDescent="0.25">
      <c r="A5459" t="s">
        <v>3207</v>
      </c>
    </row>
    <row r="5460" spans="1:1" x14ac:dyDescent="0.25">
      <c r="A5460" t="s">
        <v>3190</v>
      </c>
    </row>
    <row r="5461" spans="1:1" x14ac:dyDescent="0.25">
      <c r="A5461" t="s">
        <v>3342</v>
      </c>
    </row>
    <row r="5462" spans="1:1" x14ac:dyDescent="0.25">
      <c r="A5462" t="s">
        <v>3343</v>
      </c>
    </row>
    <row r="5463" spans="1:1" x14ac:dyDescent="0.25">
      <c r="A5463" t="s">
        <v>3193</v>
      </c>
    </row>
    <row r="5464" spans="1:1" x14ac:dyDescent="0.25">
      <c r="A5464" t="s">
        <v>3194</v>
      </c>
    </row>
    <row r="5466" spans="1:1" x14ac:dyDescent="0.25">
      <c r="A5466" t="s">
        <v>3184</v>
      </c>
    </row>
    <row r="5467" spans="1:1" x14ac:dyDescent="0.25">
      <c r="A5467" t="s">
        <v>3185</v>
      </c>
    </row>
    <row r="5468" spans="1:1" x14ac:dyDescent="0.25">
      <c r="A5468" t="s">
        <v>3344</v>
      </c>
    </row>
    <row r="5469" spans="1:1" x14ac:dyDescent="0.25">
      <c r="A5469" t="s">
        <v>3345</v>
      </c>
    </row>
    <row r="5470" spans="1:1" x14ac:dyDescent="0.25">
      <c r="A5470" t="s">
        <v>3307</v>
      </c>
    </row>
    <row r="5471" spans="1:1" x14ac:dyDescent="0.25">
      <c r="A5471" t="s">
        <v>3207</v>
      </c>
    </row>
    <row r="5472" spans="1:1" x14ac:dyDescent="0.25">
      <c r="A5472" t="s">
        <v>3190</v>
      </c>
    </row>
    <row r="5473" spans="1:1" x14ac:dyDescent="0.25">
      <c r="A5473" t="s">
        <v>3243</v>
      </c>
    </row>
    <row r="5474" spans="1:1" x14ac:dyDescent="0.25">
      <c r="A5474" t="s">
        <v>3311</v>
      </c>
    </row>
    <row r="5475" spans="1:1" x14ac:dyDescent="0.25">
      <c r="A5475" t="s">
        <v>3210</v>
      </c>
    </row>
    <row r="5476" spans="1:1" x14ac:dyDescent="0.25">
      <c r="A5476" t="s">
        <v>3194</v>
      </c>
    </row>
    <row r="5477" spans="1:1" x14ac:dyDescent="0.25">
      <c r="A5477" t="s">
        <v>3346</v>
      </c>
    </row>
    <row r="5479" spans="1:1" x14ac:dyDescent="0.25">
      <c r="A5479" t="s">
        <v>3347</v>
      </c>
    </row>
    <row r="5480" spans="1:1" x14ac:dyDescent="0.25">
      <c r="A5480" t="s">
        <v>3348</v>
      </c>
    </row>
    <row r="5481" spans="1:1" x14ac:dyDescent="0.25">
      <c r="A5481" t="s">
        <v>3349</v>
      </c>
    </row>
    <row r="5482" spans="1:1" x14ac:dyDescent="0.25">
      <c r="A5482" t="s">
        <v>1753</v>
      </c>
    </row>
    <row r="5483" spans="1:1" x14ac:dyDescent="0.25">
      <c r="A5483" t="s">
        <v>3350</v>
      </c>
    </row>
    <row r="5484" spans="1:1" x14ac:dyDescent="0.25">
      <c r="A5484" t="s">
        <v>3351</v>
      </c>
    </row>
    <row r="5485" spans="1:1" x14ac:dyDescent="0.25">
      <c r="A5485" t="s">
        <v>3352</v>
      </c>
    </row>
    <row r="5487" spans="1:1" x14ac:dyDescent="0.25">
      <c r="A5487" t="s">
        <v>3353</v>
      </c>
    </row>
    <row r="5488" spans="1:1" x14ac:dyDescent="0.25">
      <c r="A5488" t="s">
        <v>3354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86588-A1EC-4650-85B6-4AF0B707DE9B}">
  <dimension ref="A1:A5161"/>
  <sheetViews>
    <sheetView workbookViewId="0">
      <selection activeCell="A7" sqref="A7"/>
    </sheetView>
  </sheetViews>
  <sheetFormatPr defaultRowHeight="15" x14ac:dyDescent="0.25"/>
  <cols>
    <col min="1" max="1" width="255.7109375" bestFit="1" customWidth="1"/>
  </cols>
  <sheetData>
    <row r="1" spans="1:1" x14ac:dyDescent="0.25">
      <c r="A1" t="s">
        <v>3355</v>
      </c>
    </row>
    <row r="3" spans="1:1" x14ac:dyDescent="0.25">
      <c r="A3" t="s">
        <v>3356</v>
      </c>
    </row>
    <row r="4" spans="1:1" x14ac:dyDescent="0.25">
      <c r="A4" t="s">
        <v>3357</v>
      </c>
    </row>
    <row r="6" spans="1:1" x14ac:dyDescent="0.25">
      <c r="A6" t="s">
        <v>3184</v>
      </c>
    </row>
    <row r="7" spans="1:1" x14ac:dyDescent="0.25">
      <c r="A7" t="s">
        <v>3185</v>
      </c>
    </row>
    <row r="8" spans="1:1" x14ac:dyDescent="0.25">
      <c r="A8" t="s">
        <v>3358</v>
      </c>
    </row>
    <row r="9" spans="1:1" x14ac:dyDescent="0.25">
      <c r="A9" t="s">
        <v>3187</v>
      </c>
    </row>
    <row r="10" spans="1:1" x14ac:dyDescent="0.25">
      <c r="A10" t="s">
        <v>3188</v>
      </c>
    </row>
    <row r="11" spans="1:1" x14ac:dyDescent="0.25">
      <c r="A11" t="s">
        <v>3189</v>
      </c>
    </row>
    <row r="12" spans="1:1" x14ac:dyDescent="0.25">
      <c r="A12" t="s">
        <v>3190</v>
      </c>
    </row>
    <row r="13" spans="1:1" x14ac:dyDescent="0.25">
      <c r="A13" t="s">
        <v>3191</v>
      </c>
    </row>
    <row r="14" spans="1:1" x14ac:dyDescent="0.25">
      <c r="A14" t="s">
        <v>3192</v>
      </c>
    </row>
    <row r="15" spans="1:1" x14ac:dyDescent="0.25">
      <c r="A15" t="s">
        <v>3193</v>
      </c>
    </row>
    <row r="16" spans="1:1" x14ac:dyDescent="0.25">
      <c r="A16" t="s">
        <v>3194</v>
      </c>
    </row>
    <row r="18" spans="1:1" x14ac:dyDescent="0.25">
      <c r="A18" t="s">
        <v>3184</v>
      </c>
    </row>
    <row r="19" spans="1:1" x14ac:dyDescent="0.25">
      <c r="A19" t="s">
        <v>3185</v>
      </c>
    </row>
    <row r="20" spans="1:1" x14ac:dyDescent="0.25">
      <c r="A20" t="s">
        <v>3359</v>
      </c>
    </row>
    <row r="21" spans="1:1" x14ac:dyDescent="0.25">
      <c r="A21" t="s">
        <v>3196</v>
      </c>
    </row>
    <row r="22" spans="1:1" x14ac:dyDescent="0.25">
      <c r="A22" t="s">
        <v>3188</v>
      </c>
    </row>
    <row r="23" spans="1:1" x14ac:dyDescent="0.25">
      <c r="A23" t="s">
        <v>3189</v>
      </c>
    </row>
    <row r="24" spans="1:1" x14ac:dyDescent="0.25">
      <c r="A24" t="s">
        <v>3190</v>
      </c>
    </row>
    <row r="25" spans="1:1" x14ac:dyDescent="0.25">
      <c r="A25" t="s">
        <v>3191</v>
      </c>
    </row>
    <row r="26" spans="1:1" x14ac:dyDescent="0.25">
      <c r="A26" t="s">
        <v>3197</v>
      </c>
    </row>
    <row r="27" spans="1:1" x14ac:dyDescent="0.25">
      <c r="A27" t="s">
        <v>3193</v>
      </c>
    </row>
    <row r="28" spans="1:1" x14ac:dyDescent="0.25">
      <c r="A28" t="s">
        <v>3194</v>
      </c>
    </row>
    <row r="30" spans="1:1" x14ac:dyDescent="0.25">
      <c r="A30" t="s">
        <v>3360</v>
      </c>
    </row>
    <row r="32" spans="1:1" x14ac:dyDescent="0.25">
      <c r="A32" t="s">
        <v>3361</v>
      </c>
    </row>
    <row r="33" spans="1:1" x14ac:dyDescent="0.25">
      <c r="A33" t="s">
        <v>3184</v>
      </c>
    </row>
    <row r="34" spans="1:1" x14ac:dyDescent="0.25">
      <c r="A34" t="s">
        <v>3185</v>
      </c>
    </row>
    <row r="35" spans="1:1" x14ac:dyDescent="0.25">
      <c r="A35" t="s">
        <v>3362</v>
      </c>
    </row>
    <row r="36" spans="1:1" x14ac:dyDescent="0.25">
      <c r="A36" t="s">
        <v>3190</v>
      </c>
    </row>
    <row r="37" spans="1:1" x14ac:dyDescent="0.25">
      <c r="A37" t="s">
        <v>3199</v>
      </c>
    </row>
    <row r="38" spans="1:1" x14ac:dyDescent="0.25">
      <c r="A38" t="s">
        <v>3200</v>
      </c>
    </row>
    <row r="39" spans="1:1" x14ac:dyDescent="0.25">
      <c r="A39" t="s">
        <v>3193</v>
      </c>
    </row>
    <row r="40" spans="1:1" x14ac:dyDescent="0.25">
      <c r="A40" t="s">
        <v>3194</v>
      </c>
    </row>
    <row r="42" spans="1:1" x14ac:dyDescent="0.25">
      <c r="A42" t="s">
        <v>3184</v>
      </c>
    </row>
    <row r="43" spans="1:1" x14ac:dyDescent="0.25">
      <c r="A43" t="s">
        <v>3185</v>
      </c>
    </row>
    <row r="44" spans="1:1" x14ac:dyDescent="0.25">
      <c r="A44" t="s">
        <v>3363</v>
      </c>
    </row>
    <row r="45" spans="1:1" x14ac:dyDescent="0.25">
      <c r="A45" t="s">
        <v>3190</v>
      </c>
    </row>
    <row r="46" spans="1:1" x14ac:dyDescent="0.25">
      <c r="A46" t="s">
        <v>3202</v>
      </c>
    </row>
    <row r="47" spans="1:1" x14ac:dyDescent="0.25">
      <c r="A47" t="s">
        <v>3203</v>
      </c>
    </row>
    <row r="48" spans="1:1" x14ac:dyDescent="0.25">
      <c r="A48" t="s">
        <v>3193</v>
      </c>
    </row>
    <row r="49" spans="1:1" x14ac:dyDescent="0.25">
      <c r="A49" t="s">
        <v>3194</v>
      </c>
    </row>
    <row r="50" spans="1:1" x14ac:dyDescent="0.25">
      <c r="A50" t="s">
        <v>3364</v>
      </c>
    </row>
    <row r="52" spans="1:1" x14ac:dyDescent="0.25">
      <c r="A52" t="s">
        <v>3365</v>
      </c>
    </row>
    <row r="54" spans="1:1" x14ac:dyDescent="0.25">
      <c r="A54" t="s">
        <v>3366</v>
      </c>
    </row>
    <row r="55" spans="1:1" x14ac:dyDescent="0.25">
      <c r="A55" t="s">
        <v>3367</v>
      </c>
    </row>
    <row r="56" spans="1:1" x14ac:dyDescent="0.25">
      <c r="A56" t="s">
        <v>3368</v>
      </c>
    </row>
    <row r="57" spans="1:1" x14ac:dyDescent="0.25">
      <c r="A57" t="s">
        <v>3369</v>
      </c>
    </row>
    <row r="59" spans="1:1" x14ac:dyDescent="0.25">
      <c r="A59" t="s">
        <v>3184</v>
      </c>
    </row>
    <row r="60" spans="1:1" x14ac:dyDescent="0.25">
      <c r="A60" t="s">
        <v>3185</v>
      </c>
    </row>
    <row r="61" spans="1:1" x14ac:dyDescent="0.25">
      <c r="A61" t="s">
        <v>3370</v>
      </c>
    </row>
    <row r="62" spans="1:1" x14ac:dyDescent="0.25">
      <c r="A62" t="s">
        <v>3371</v>
      </c>
    </row>
    <row r="63" spans="1:1" x14ac:dyDescent="0.25">
      <c r="A63" t="s">
        <v>3372</v>
      </c>
    </row>
    <row r="64" spans="1:1" x14ac:dyDescent="0.25">
      <c r="A64" t="s">
        <v>3373</v>
      </c>
    </row>
    <row r="65" spans="1:1" x14ac:dyDescent="0.25">
      <c r="A65" t="s">
        <v>3190</v>
      </c>
    </row>
    <row r="66" spans="1:1" x14ac:dyDescent="0.25">
      <c r="A66" t="s">
        <v>3374</v>
      </c>
    </row>
    <row r="67" spans="1:1" x14ac:dyDescent="0.25">
      <c r="A67" t="s">
        <v>3375</v>
      </c>
    </row>
    <row r="68" spans="1:1" x14ac:dyDescent="0.25">
      <c r="A68" t="s">
        <v>3193</v>
      </c>
    </row>
    <row r="69" spans="1:1" x14ac:dyDescent="0.25">
      <c r="A69" t="s">
        <v>3194</v>
      </c>
    </row>
    <row r="71" spans="1:1" x14ac:dyDescent="0.25">
      <c r="A71" t="s">
        <v>3184</v>
      </c>
    </row>
    <row r="72" spans="1:1" x14ac:dyDescent="0.25">
      <c r="A72" t="s">
        <v>3185</v>
      </c>
    </row>
    <row r="73" spans="1:1" x14ac:dyDescent="0.25">
      <c r="A73" t="s">
        <v>3376</v>
      </c>
    </row>
    <row r="74" spans="1:1" x14ac:dyDescent="0.25">
      <c r="A74" t="s">
        <v>3377</v>
      </c>
    </row>
    <row r="75" spans="1:1" x14ac:dyDescent="0.25">
      <c r="A75" t="s">
        <v>3372</v>
      </c>
    </row>
    <row r="76" spans="1:1" x14ac:dyDescent="0.25">
      <c r="A76" t="s">
        <v>3373</v>
      </c>
    </row>
    <row r="77" spans="1:1" x14ac:dyDescent="0.25">
      <c r="A77" t="s">
        <v>3190</v>
      </c>
    </row>
    <row r="78" spans="1:1" x14ac:dyDescent="0.25">
      <c r="A78" t="s">
        <v>3378</v>
      </c>
    </row>
    <row r="79" spans="1:1" x14ac:dyDescent="0.25">
      <c r="A79" t="s">
        <v>3379</v>
      </c>
    </row>
    <row r="80" spans="1:1" x14ac:dyDescent="0.25">
      <c r="A80" t="s">
        <v>3193</v>
      </c>
    </row>
    <row r="81" spans="1:1" x14ac:dyDescent="0.25">
      <c r="A81" t="s">
        <v>3194</v>
      </c>
    </row>
    <row r="83" spans="1:1" x14ac:dyDescent="0.25">
      <c r="A83" t="s">
        <v>3184</v>
      </c>
    </row>
    <row r="84" spans="1:1" x14ac:dyDescent="0.25">
      <c r="A84" t="s">
        <v>3185</v>
      </c>
    </row>
    <row r="85" spans="1:1" x14ac:dyDescent="0.25">
      <c r="A85" t="s">
        <v>3380</v>
      </c>
    </row>
    <row r="86" spans="1:1" x14ac:dyDescent="0.25">
      <c r="A86" t="s">
        <v>3381</v>
      </c>
    </row>
    <row r="87" spans="1:1" x14ac:dyDescent="0.25">
      <c r="A87" t="s">
        <v>3372</v>
      </c>
    </row>
    <row r="88" spans="1:1" x14ac:dyDescent="0.25">
      <c r="A88" t="s">
        <v>3373</v>
      </c>
    </row>
    <row r="89" spans="1:1" x14ac:dyDescent="0.25">
      <c r="A89" t="s">
        <v>3190</v>
      </c>
    </row>
    <row r="90" spans="1:1" x14ac:dyDescent="0.25">
      <c r="A90" t="s">
        <v>3225</v>
      </c>
    </row>
    <row r="91" spans="1:1" x14ac:dyDescent="0.25">
      <c r="A91" t="s">
        <v>3382</v>
      </c>
    </row>
    <row r="92" spans="1:1" x14ac:dyDescent="0.25">
      <c r="A92" t="s">
        <v>3193</v>
      </c>
    </row>
    <row r="93" spans="1:1" x14ac:dyDescent="0.25">
      <c r="A93" t="s">
        <v>3194</v>
      </c>
    </row>
    <row r="95" spans="1:1" x14ac:dyDescent="0.25">
      <c r="A95" t="s">
        <v>3184</v>
      </c>
    </row>
    <row r="96" spans="1:1" x14ac:dyDescent="0.25">
      <c r="A96" t="s">
        <v>3185</v>
      </c>
    </row>
    <row r="97" spans="1:1" x14ac:dyDescent="0.25">
      <c r="A97" t="s">
        <v>3383</v>
      </c>
    </row>
    <row r="98" spans="1:1" x14ac:dyDescent="0.25">
      <c r="A98" t="s">
        <v>3381</v>
      </c>
    </row>
    <row r="99" spans="1:1" x14ac:dyDescent="0.25">
      <c r="A99" t="s">
        <v>3372</v>
      </c>
    </row>
    <row r="100" spans="1:1" x14ac:dyDescent="0.25">
      <c r="A100" t="s">
        <v>3373</v>
      </c>
    </row>
    <row r="101" spans="1:1" x14ac:dyDescent="0.25">
      <c r="A101" t="s">
        <v>3190</v>
      </c>
    </row>
    <row r="102" spans="1:1" x14ac:dyDescent="0.25">
      <c r="A102" t="s">
        <v>3384</v>
      </c>
    </row>
    <row r="103" spans="1:1" x14ac:dyDescent="0.25">
      <c r="A103" t="s">
        <v>3385</v>
      </c>
    </row>
    <row r="104" spans="1:1" x14ac:dyDescent="0.25">
      <c r="A104" t="s">
        <v>3193</v>
      </c>
    </row>
    <row r="105" spans="1:1" x14ac:dyDescent="0.25">
      <c r="A105" t="s">
        <v>3194</v>
      </c>
    </row>
    <row r="107" spans="1:1" x14ac:dyDescent="0.25">
      <c r="A107" t="s">
        <v>3184</v>
      </c>
    </row>
    <row r="108" spans="1:1" x14ac:dyDescent="0.25">
      <c r="A108" t="s">
        <v>3386</v>
      </c>
    </row>
    <row r="109" spans="1:1" x14ac:dyDescent="0.25">
      <c r="A109" t="s">
        <v>3387</v>
      </c>
    </row>
    <row r="110" spans="1:1" x14ac:dyDescent="0.25">
      <c r="A110" t="s">
        <v>3388</v>
      </c>
    </row>
    <row r="111" spans="1:1" x14ac:dyDescent="0.25">
      <c r="A111" t="s">
        <v>3372</v>
      </c>
    </row>
    <row r="112" spans="1:1" x14ac:dyDescent="0.25">
      <c r="A112" t="s">
        <v>3389</v>
      </c>
    </row>
    <row r="113" spans="1:1" x14ac:dyDescent="0.25">
      <c r="A113" t="s">
        <v>3242</v>
      </c>
    </row>
    <row r="114" spans="1:1" x14ac:dyDescent="0.25">
      <c r="A114" t="s">
        <v>3390</v>
      </c>
    </row>
    <row r="115" spans="1:1" x14ac:dyDescent="0.25">
      <c r="A115" t="s">
        <v>3391</v>
      </c>
    </row>
    <row r="116" spans="1:1" x14ac:dyDescent="0.25">
      <c r="A116" t="s">
        <v>3194</v>
      </c>
    </row>
    <row r="118" spans="1:1" x14ac:dyDescent="0.25">
      <c r="A118" t="s">
        <v>3392</v>
      </c>
    </row>
    <row r="119" spans="1:1" x14ac:dyDescent="0.25">
      <c r="A119" t="s">
        <v>3393</v>
      </c>
    </row>
    <row r="120" spans="1:1" x14ac:dyDescent="0.25">
      <c r="A120" t="s">
        <v>3394</v>
      </c>
    </row>
    <row r="121" spans="1:1" x14ac:dyDescent="0.25">
      <c r="A121" t="s">
        <v>3395</v>
      </c>
    </row>
    <row r="122" spans="1:1" x14ac:dyDescent="0.25">
      <c r="A122" t="s">
        <v>3396</v>
      </c>
    </row>
    <row r="123" spans="1:1" x14ac:dyDescent="0.25">
      <c r="A123" t="s">
        <v>3397</v>
      </c>
    </row>
    <row r="124" spans="1:1" x14ac:dyDescent="0.25">
      <c r="A124" t="s">
        <v>3398</v>
      </c>
    </row>
    <row r="125" spans="1:1" x14ac:dyDescent="0.25">
      <c r="A125" t="s">
        <v>3399</v>
      </c>
    </row>
    <row r="126" spans="1:1" x14ac:dyDescent="0.25">
      <c r="A126" t="s">
        <v>3400</v>
      </c>
    </row>
    <row r="127" spans="1:1" x14ac:dyDescent="0.25">
      <c r="A127" t="s">
        <v>3401</v>
      </c>
    </row>
    <row r="128" spans="1:1" x14ac:dyDescent="0.25">
      <c r="A128" t="s">
        <v>3402</v>
      </c>
    </row>
    <row r="130" spans="1:1" x14ac:dyDescent="0.25">
      <c r="A130" t="s">
        <v>3184</v>
      </c>
    </row>
    <row r="131" spans="1:1" x14ac:dyDescent="0.25">
      <c r="A131" t="s">
        <v>3386</v>
      </c>
    </row>
    <row r="132" spans="1:1" x14ac:dyDescent="0.25">
      <c r="A132" t="s">
        <v>3403</v>
      </c>
    </row>
    <row r="133" spans="1:1" x14ac:dyDescent="0.25">
      <c r="A133" t="s">
        <v>3404</v>
      </c>
    </row>
    <row r="134" spans="1:1" x14ac:dyDescent="0.25">
      <c r="A134" t="s">
        <v>3405</v>
      </c>
    </row>
    <row r="135" spans="1:1" x14ac:dyDescent="0.25">
      <c r="A135" t="s">
        <v>3214</v>
      </c>
    </row>
    <row r="136" spans="1:1" x14ac:dyDescent="0.25">
      <c r="A136" t="s">
        <v>3242</v>
      </c>
    </row>
    <row r="137" spans="1:1" x14ac:dyDescent="0.25">
      <c r="A137" t="s">
        <v>3243</v>
      </c>
    </row>
    <row r="138" spans="1:1" x14ac:dyDescent="0.25">
      <c r="A138" t="s">
        <v>3406</v>
      </c>
    </row>
    <row r="139" spans="1:1" x14ac:dyDescent="0.25">
      <c r="A139" t="s">
        <v>3194</v>
      </c>
    </row>
    <row r="141" spans="1:1" x14ac:dyDescent="0.25">
      <c r="A141" t="s">
        <v>3184</v>
      </c>
    </row>
    <row r="142" spans="1:1" x14ac:dyDescent="0.25">
      <c r="A142" t="s">
        <v>3185</v>
      </c>
    </row>
    <row r="143" spans="1:1" x14ac:dyDescent="0.25">
      <c r="A143" t="s">
        <v>3407</v>
      </c>
    </row>
    <row r="144" spans="1:1" x14ac:dyDescent="0.25">
      <c r="A144" t="s">
        <v>3408</v>
      </c>
    </row>
    <row r="145" spans="1:1" x14ac:dyDescent="0.25">
      <c r="A145" t="s">
        <v>3409</v>
      </c>
    </row>
    <row r="146" spans="1:1" x14ac:dyDescent="0.25">
      <c r="A146" t="s">
        <v>3214</v>
      </c>
    </row>
    <row r="147" spans="1:1" x14ac:dyDescent="0.25">
      <c r="A147" t="s">
        <v>3190</v>
      </c>
    </row>
    <row r="148" spans="1:1" x14ac:dyDescent="0.25">
      <c r="A148" t="s">
        <v>3410</v>
      </c>
    </row>
    <row r="149" spans="1:1" x14ac:dyDescent="0.25">
      <c r="A149" t="s">
        <v>3411</v>
      </c>
    </row>
    <row r="150" spans="1:1" x14ac:dyDescent="0.25">
      <c r="A150" t="s">
        <v>3193</v>
      </c>
    </row>
    <row r="151" spans="1:1" x14ac:dyDescent="0.25">
      <c r="A151" t="s">
        <v>3194</v>
      </c>
    </row>
    <row r="153" spans="1:1" x14ac:dyDescent="0.25">
      <c r="A153" t="s">
        <v>3184</v>
      </c>
    </row>
    <row r="154" spans="1:1" x14ac:dyDescent="0.25">
      <c r="A154" t="s">
        <v>3185</v>
      </c>
    </row>
    <row r="155" spans="1:1" x14ac:dyDescent="0.25">
      <c r="A155" t="s">
        <v>3412</v>
      </c>
    </row>
    <row r="156" spans="1:1" x14ac:dyDescent="0.25">
      <c r="A156" t="s">
        <v>3413</v>
      </c>
    </row>
    <row r="157" spans="1:1" x14ac:dyDescent="0.25">
      <c r="A157" t="s">
        <v>3409</v>
      </c>
    </row>
    <row r="158" spans="1:1" x14ac:dyDescent="0.25">
      <c r="A158" t="s">
        <v>3214</v>
      </c>
    </row>
    <row r="159" spans="1:1" x14ac:dyDescent="0.25">
      <c r="A159" t="s">
        <v>3190</v>
      </c>
    </row>
    <row r="160" spans="1:1" x14ac:dyDescent="0.25">
      <c r="A160" t="s">
        <v>3414</v>
      </c>
    </row>
    <row r="161" spans="1:1" x14ac:dyDescent="0.25">
      <c r="A161" t="s">
        <v>3415</v>
      </c>
    </row>
    <row r="162" spans="1:1" x14ac:dyDescent="0.25">
      <c r="A162" t="s">
        <v>3193</v>
      </c>
    </row>
    <row r="163" spans="1:1" x14ac:dyDescent="0.25">
      <c r="A163" t="s">
        <v>3194</v>
      </c>
    </row>
    <row r="165" spans="1:1" x14ac:dyDescent="0.25">
      <c r="A165" t="s">
        <v>3184</v>
      </c>
    </row>
    <row r="166" spans="1:1" x14ac:dyDescent="0.25">
      <c r="A166" t="s">
        <v>3386</v>
      </c>
    </row>
    <row r="167" spans="1:1" x14ac:dyDescent="0.25">
      <c r="A167" t="s">
        <v>3416</v>
      </c>
    </row>
    <row r="168" spans="1:1" x14ac:dyDescent="0.25">
      <c r="A168" t="s">
        <v>3417</v>
      </c>
    </row>
    <row r="169" spans="1:1" x14ac:dyDescent="0.25">
      <c r="A169" t="s">
        <v>3372</v>
      </c>
    </row>
    <row r="170" spans="1:1" x14ac:dyDescent="0.25">
      <c r="A170" t="s">
        <v>3373</v>
      </c>
    </row>
    <row r="171" spans="1:1" x14ac:dyDescent="0.25">
      <c r="A171" t="s">
        <v>3242</v>
      </c>
    </row>
    <row r="172" spans="1:1" x14ac:dyDescent="0.25">
      <c r="A172" t="s">
        <v>3390</v>
      </c>
    </row>
    <row r="173" spans="1:1" x14ac:dyDescent="0.25">
      <c r="A173" t="s">
        <v>3418</v>
      </c>
    </row>
    <row r="174" spans="1:1" x14ac:dyDescent="0.25">
      <c r="A174" t="s">
        <v>3194</v>
      </c>
    </row>
    <row r="176" spans="1:1" x14ac:dyDescent="0.25">
      <c r="A176" t="s">
        <v>3184</v>
      </c>
    </row>
    <row r="177" spans="1:1" x14ac:dyDescent="0.25">
      <c r="A177" t="s">
        <v>3185</v>
      </c>
    </row>
    <row r="178" spans="1:1" x14ac:dyDescent="0.25">
      <c r="A178" t="s">
        <v>3419</v>
      </c>
    </row>
    <row r="179" spans="1:1" x14ac:dyDescent="0.25">
      <c r="A179" t="s">
        <v>3420</v>
      </c>
    </row>
    <row r="180" spans="1:1" x14ac:dyDescent="0.25">
      <c r="A180" t="s">
        <v>3409</v>
      </c>
    </row>
    <row r="181" spans="1:1" x14ac:dyDescent="0.25">
      <c r="A181" t="s">
        <v>3214</v>
      </c>
    </row>
    <row r="182" spans="1:1" x14ac:dyDescent="0.25">
      <c r="A182" t="s">
        <v>3190</v>
      </c>
    </row>
    <row r="183" spans="1:1" x14ac:dyDescent="0.25">
      <c r="A183" t="s">
        <v>3378</v>
      </c>
    </row>
    <row r="184" spans="1:1" x14ac:dyDescent="0.25">
      <c r="A184" t="s">
        <v>3421</v>
      </c>
    </row>
    <row r="185" spans="1:1" x14ac:dyDescent="0.25">
      <c r="A185" t="s">
        <v>3193</v>
      </c>
    </row>
    <row r="186" spans="1:1" x14ac:dyDescent="0.25">
      <c r="A186" t="s">
        <v>3194</v>
      </c>
    </row>
    <row r="188" spans="1:1" x14ac:dyDescent="0.25">
      <c r="A188" t="s">
        <v>3392</v>
      </c>
    </row>
    <row r="189" spans="1:1" x14ac:dyDescent="0.25">
      <c r="A189" t="s">
        <v>3393</v>
      </c>
    </row>
    <row r="190" spans="1:1" x14ac:dyDescent="0.25">
      <c r="A190" t="s">
        <v>3422</v>
      </c>
    </row>
    <row r="191" spans="1:1" x14ac:dyDescent="0.25">
      <c r="A191" t="s">
        <v>3423</v>
      </c>
    </row>
    <row r="192" spans="1:1" x14ac:dyDescent="0.25">
      <c r="A192" t="s">
        <v>3424</v>
      </c>
    </row>
    <row r="193" spans="1:1" x14ac:dyDescent="0.25">
      <c r="A193" t="s">
        <v>3397</v>
      </c>
    </row>
    <row r="194" spans="1:1" x14ac:dyDescent="0.25">
      <c r="A194" t="s">
        <v>3398</v>
      </c>
    </row>
    <row r="195" spans="1:1" x14ac:dyDescent="0.25">
      <c r="A195" t="s">
        <v>3425</v>
      </c>
    </row>
    <row r="196" spans="1:1" x14ac:dyDescent="0.25">
      <c r="A196" t="s">
        <v>3426</v>
      </c>
    </row>
    <row r="197" spans="1:1" x14ac:dyDescent="0.25">
      <c r="A197" t="s">
        <v>3401</v>
      </c>
    </row>
    <row r="198" spans="1:1" x14ac:dyDescent="0.25">
      <c r="A198" t="s">
        <v>3402</v>
      </c>
    </row>
    <row r="200" spans="1:1" x14ac:dyDescent="0.25">
      <c r="A200" t="s">
        <v>3392</v>
      </c>
    </row>
    <row r="201" spans="1:1" x14ac:dyDescent="0.25">
      <c r="A201" t="s">
        <v>3393</v>
      </c>
    </row>
    <row r="202" spans="1:1" x14ac:dyDescent="0.25">
      <c r="A202" t="s">
        <v>3427</v>
      </c>
    </row>
    <row r="203" spans="1:1" x14ac:dyDescent="0.25">
      <c r="A203" t="s">
        <v>3428</v>
      </c>
    </row>
    <row r="204" spans="1:1" x14ac:dyDescent="0.25">
      <c r="A204" t="s">
        <v>3424</v>
      </c>
    </row>
    <row r="205" spans="1:1" x14ac:dyDescent="0.25">
      <c r="A205" t="s">
        <v>3397</v>
      </c>
    </row>
    <row r="206" spans="1:1" x14ac:dyDescent="0.25">
      <c r="A206" t="s">
        <v>3398</v>
      </c>
    </row>
    <row r="207" spans="1:1" x14ac:dyDescent="0.25">
      <c r="A207" t="s">
        <v>3425</v>
      </c>
    </row>
    <row r="208" spans="1:1" x14ac:dyDescent="0.25">
      <c r="A208" t="s">
        <v>3429</v>
      </c>
    </row>
    <row r="209" spans="1:1" x14ac:dyDescent="0.25">
      <c r="A209" t="s">
        <v>3401</v>
      </c>
    </row>
    <row r="210" spans="1:1" x14ac:dyDescent="0.25">
      <c r="A210" t="s">
        <v>3402</v>
      </c>
    </row>
    <row r="212" spans="1:1" x14ac:dyDescent="0.25">
      <c r="A212" t="s">
        <v>3392</v>
      </c>
    </row>
    <row r="213" spans="1:1" x14ac:dyDescent="0.25">
      <c r="A213" t="s">
        <v>3393</v>
      </c>
    </row>
    <row r="214" spans="1:1" x14ac:dyDescent="0.25">
      <c r="A214" t="s">
        <v>3430</v>
      </c>
    </row>
    <row r="215" spans="1:1" x14ac:dyDescent="0.25">
      <c r="A215" t="s">
        <v>3431</v>
      </c>
    </row>
    <row r="216" spans="1:1" x14ac:dyDescent="0.25">
      <c r="A216" t="s">
        <v>3424</v>
      </c>
    </row>
    <row r="217" spans="1:1" x14ac:dyDescent="0.25">
      <c r="A217" t="s">
        <v>3397</v>
      </c>
    </row>
    <row r="218" spans="1:1" x14ac:dyDescent="0.25">
      <c r="A218" t="s">
        <v>3398</v>
      </c>
    </row>
    <row r="219" spans="1:1" x14ac:dyDescent="0.25">
      <c r="A219" t="s">
        <v>3425</v>
      </c>
    </row>
    <row r="220" spans="1:1" x14ac:dyDescent="0.25">
      <c r="A220" t="s">
        <v>3432</v>
      </c>
    </row>
    <row r="221" spans="1:1" x14ac:dyDescent="0.25">
      <c r="A221" t="s">
        <v>3401</v>
      </c>
    </row>
    <row r="222" spans="1:1" x14ac:dyDescent="0.25">
      <c r="A222" t="s">
        <v>3402</v>
      </c>
    </row>
    <row r="224" spans="1:1" x14ac:dyDescent="0.25">
      <c r="A224" t="s">
        <v>3392</v>
      </c>
    </row>
    <row r="225" spans="1:1" x14ac:dyDescent="0.25">
      <c r="A225" t="s">
        <v>3393</v>
      </c>
    </row>
    <row r="226" spans="1:1" x14ac:dyDescent="0.25">
      <c r="A226" t="s">
        <v>3433</v>
      </c>
    </row>
    <row r="227" spans="1:1" x14ac:dyDescent="0.25">
      <c r="A227" t="s">
        <v>3434</v>
      </c>
    </row>
    <row r="228" spans="1:1" x14ac:dyDescent="0.25">
      <c r="A228" t="s">
        <v>3424</v>
      </c>
    </row>
    <row r="229" spans="1:1" x14ac:dyDescent="0.25">
      <c r="A229" t="s">
        <v>3397</v>
      </c>
    </row>
    <row r="230" spans="1:1" x14ac:dyDescent="0.25">
      <c r="A230" t="s">
        <v>3398</v>
      </c>
    </row>
    <row r="231" spans="1:1" x14ac:dyDescent="0.25">
      <c r="A231" t="s">
        <v>3425</v>
      </c>
    </row>
    <row r="232" spans="1:1" x14ac:dyDescent="0.25">
      <c r="A232" t="s">
        <v>3435</v>
      </c>
    </row>
    <row r="233" spans="1:1" x14ac:dyDescent="0.25">
      <c r="A233" t="s">
        <v>3401</v>
      </c>
    </row>
    <row r="234" spans="1:1" x14ac:dyDescent="0.25">
      <c r="A234" t="s">
        <v>3402</v>
      </c>
    </row>
    <row r="236" spans="1:1" x14ac:dyDescent="0.25">
      <c r="A236" t="s">
        <v>3392</v>
      </c>
    </row>
    <row r="237" spans="1:1" x14ac:dyDescent="0.25">
      <c r="A237" t="s">
        <v>3393</v>
      </c>
    </row>
    <row r="238" spans="1:1" x14ac:dyDescent="0.25">
      <c r="A238" t="s">
        <v>3436</v>
      </c>
    </row>
    <row r="239" spans="1:1" x14ac:dyDescent="0.25">
      <c r="A239" t="s">
        <v>3437</v>
      </c>
    </row>
    <row r="240" spans="1:1" x14ac:dyDescent="0.25">
      <c r="A240" t="s">
        <v>3424</v>
      </c>
    </row>
    <row r="241" spans="1:1" x14ac:dyDescent="0.25">
      <c r="A241" t="s">
        <v>3397</v>
      </c>
    </row>
    <row r="242" spans="1:1" x14ac:dyDescent="0.25">
      <c r="A242" t="s">
        <v>3398</v>
      </c>
    </row>
    <row r="243" spans="1:1" x14ac:dyDescent="0.25">
      <c r="A243" t="s">
        <v>3425</v>
      </c>
    </row>
    <row r="244" spans="1:1" x14ac:dyDescent="0.25">
      <c r="A244" t="s">
        <v>3438</v>
      </c>
    </row>
    <row r="245" spans="1:1" x14ac:dyDescent="0.25">
      <c r="A245" t="s">
        <v>3401</v>
      </c>
    </row>
    <row r="246" spans="1:1" x14ac:dyDescent="0.25">
      <c r="A246" t="s">
        <v>3402</v>
      </c>
    </row>
    <row r="248" spans="1:1" x14ac:dyDescent="0.25">
      <c r="A248" t="s">
        <v>3392</v>
      </c>
    </row>
    <row r="249" spans="1:1" x14ac:dyDescent="0.25">
      <c r="A249" t="s">
        <v>3393</v>
      </c>
    </row>
    <row r="250" spans="1:1" x14ac:dyDescent="0.25">
      <c r="A250" t="s">
        <v>3439</v>
      </c>
    </row>
    <row r="251" spans="1:1" x14ac:dyDescent="0.25">
      <c r="A251" t="s">
        <v>3440</v>
      </c>
    </row>
    <row r="252" spans="1:1" x14ac:dyDescent="0.25">
      <c r="A252" t="s">
        <v>3424</v>
      </c>
    </row>
    <row r="253" spans="1:1" x14ac:dyDescent="0.25">
      <c r="A253" t="s">
        <v>3397</v>
      </c>
    </row>
    <row r="254" spans="1:1" x14ac:dyDescent="0.25">
      <c r="A254" t="s">
        <v>3398</v>
      </c>
    </row>
    <row r="255" spans="1:1" x14ac:dyDescent="0.25">
      <c r="A255" t="s">
        <v>3441</v>
      </c>
    </row>
    <row r="256" spans="1:1" x14ac:dyDescent="0.25">
      <c r="A256" t="s">
        <v>3442</v>
      </c>
    </row>
    <row r="257" spans="1:1" x14ac:dyDescent="0.25">
      <c r="A257" t="s">
        <v>3401</v>
      </c>
    </row>
    <row r="258" spans="1:1" x14ac:dyDescent="0.25">
      <c r="A258" t="s">
        <v>3402</v>
      </c>
    </row>
    <row r="260" spans="1:1" x14ac:dyDescent="0.25">
      <c r="A260" t="s">
        <v>3184</v>
      </c>
    </row>
    <row r="261" spans="1:1" x14ac:dyDescent="0.25">
      <c r="A261" t="s">
        <v>3185</v>
      </c>
    </row>
    <row r="262" spans="1:1" x14ac:dyDescent="0.25">
      <c r="A262" t="s">
        <v>3443</v>
      </c>
    </row>
    <row r="263" spans="1:1" x14ac:dyDescent="0.25">
      <c r="A263" t="s">
        <v>3444</v>
      </c>
    </row>
    <row r="264" spans="1:1" x14ac:dyDescent="0.25">
      <c r="A264" t="s">
        <v>3445</v>
      </c>
    </row>
    <row r="265" spans="1:1" x14ac:dyDescent="0.25">
      <c r="A265" t="s">
        <v>3214</v>
      </c>
    </row>
    <row r="266" spans="1:1" x14ac:dyDescent="0.25">
      <c r="A266" t="s">
        <v>3190</v>
      </c>
    </row>
    <row r="267" spans="1:1" x14ac:dyDescent="0.25">
      <c r="A267" t="s">
        <v>3446</v>
      </c>
    </row>
    <row r="268" spans="1:1" x14ac:dyDescent="0.25">
      <c r="A268" t="s">
        <v>3447</v>
      </c>
    </row>
    <row r="269" spans="1:1" x14ac:dyDescent="0.25">
      <c r="A269" t="s">
        <v>3193</v>
      </c>
    </row>
    <row r="270" spans="1:1" x14ac:dyDescent="0.25">
      <c r="A270" t="s">
        <v>3194</v>
      </c>
    </row>
    <row r="272" spans="1:1" x14ac:dyDescent="0.25">
      <c r="A272" t="s">
        <v>3392</v>
      </c>
    </row>
    <row r="273" spans="1:1" x14ac:dyDescent="0.25">
      <c r="A273" t="s">
        <v>3393</v>
      </c>
    </row>
    <row r="274" spans="1:1" x14ac:dyDescent="0.25">
      <c r="A274" t="s">
        <v>3448</v>
      </c>
    </row>
    <row r="275" spans="1:1" x14ac:dyDescent="0.25">
      <c r="A275" t="s">
        <v>3449</v>
      </c>
    </row>
    <row r="276" spans="1:1" x14ac:dyDescent="0.25">
      <c r="A276" t="s">
        <v>3424</v>
      </c>
    </row>
    <row r="277" spans="1:1" x14ac:dyDescent="0.25">
      <c r="A277" t="s">
        <v>3397</v>
      </c>
    </row>
    <row r="278" spans="1:1" x14ac:dyDescent="0.25">
      <c r="A278" t="s">
        <v>3398</v>
      </c>
    </row>
    <row r="279" spans="1:1" x14ac:dyDescent="0.25">
      <c r="A279" t="s">
        <v>3441</v>
      </c>
    </row>
    <row r="280" spans="1:1" x14ac:dyDescent="0.25">
      <c r="A280" t="s">
        <v>3450</v>
      </c>
    </row>
    <row r="281" spans="1:1" x14ac:dyDescent="0.25">
      <c r="A281" t="s">
        <v>3401</v>
      </c>
    </row>
    <row r="282" spans="1:1" x14ac:dyDescent="0.25">
      <c r="A282" t="s">
        <v>3402</v>
      </c>
    </row>
    <row r="284" spans="1:1" x14ac:dyDescent="0.25">
      <c r="A284" t="s">
        <v>3184</v>
      </c>
    </row>
    <row r="285" spans="1:1" x14ac:dyDescent="0.25">
      <c r="A285" t="s">
        <v>3185</v>
      </c>
    </row>
    <row r="286" spans="1:1" x14ac:dyDescent="0.25">
      <c r="A286" t="s">
        <v>3451</v>
      </c>
    </row>
    <row r="287" spans="1:1" x14ac:dyDescent="0.25">
      <c r="A287" t="s">
        <v>3452</v>
      </c>
    </row>
    <row r="288" spans="1:1" x14ac:dyDescent="0.25">
      <c r="A288" t="s">
        <v>3445</v>
      </c>
    </row>
    <row r="289" spans="1:1" x14ac:dyDescent="0.25">
      <c r="A289" t="s">
        <v>3214</v>
      </c>
    </row>
    <row r="290" spans="1:1" x14ac:dyDescent="0.25">
      <c r="A290" t="s">
        <v>3190</v>
      </c>
    </row>
    <row r="291" spans="1:1" x14ac:dyDescent="0.25">
      <c r="A291" t="s">
        <v>3453</v>
      </c>
    </row>
    <row r="292" spans="1:1" x14ac:dyDescent="0.25">
      <c r="A292" t="s">
        <v>3454</v>
      </c>
    </row>
    <row r="293" spans="1:1" x14ac:dyDescent="0.25">
      <c r="A293" t="s">
        <v>3193</v>
      </c>
    </row>
    <row r="294" spans="1:1" x14ac:dyDescent="0.25">
      <c r="A294" t="s">
        <v>3194</v>
      </c>
    </row>
    <row r="296" spans="1:1" x14ac:dyDescent="0.25">
      <c r="A296" t="s">
        <v>3184</v>
      </c>
    </row>
    <row r="297" spans="1:1" x14ac:dyDescent="0.25">
      <c r="A297" t="s">
        <v>3185</v>
      </c>
    </row>
    <row r="298" spans="1:1" x14ac:dyDescent="0.25">
      <c r="A298" t="s">
        <v>3455</v>
      </c>
    </row>
    <row r="299" spans="1:1" x14ac:dyDescent="0.25">
      <c r="A299" t="s">
        <v>3456</v>
      </c>
    </row>
    <row r="300" spans="1:1" x14ac:dyDescent="0.25">
      <c r="A300" t="s">
        <v>3445</v>
      </c>
    </row>
    <row r="301" spans="1:1" x14ac:dyDescent="0.25">
      <c r="A301" t="s">
        <v>3214</v>
      </c>
    </row>
    <row r="302" spans="1:1" x14ac:dyDescent="0.25">
      <c r="A302" t="s">
        <v>3190</v>
      </c>
    </row>
    <row r="303" spans="1:1" x14ac:dyDescent="0.25">
      <c r="A303" t="s">
        <v>3446</v>
      </c>
    </row>
    <row r="304" spans="1:1" x14ac:dyDescent="0.25">
      <c r="A304" t="s">
        <v>3457</v>
      </c>
    </row>
    <row r="305" spans="1:1" x14ac:dyDescent="0.25">
      <c r="A305" t="s">
        <v>3193</v>
      </c>
    </row>
    <row r="306" spans="1:1" x14ac:dyDescent="0.25">
      <c r="A306" t="s">
        <v>3194</v>
      </c>
    </row>
    <row r="308" spans="1:1" x14ac:dyDescent="0.25">
      <c r="A308" t="s">
        <v>3184</v>
      </c>
    </row>
    <row r="309" spans="1:1" x14ac:dyDescent="0.25">
      <c r="A309" t="s">
        <v>3185</v>
      </c>
    </row>
    <row r="310" spans="1:1" x14ac:dyDescent="0.25">
      <c r="A310" t="s">
        <v>3458</v>
      </c>
    </row>
    <row r="311" spans="1:1" x14ac:dyDescent="0.25">
      <c r="A311" t="s">
        <v>3459</v>
      </c>
    </row>
    <row r="312" spans="1:1" x14ac:dyDescent="0.25">
      <c r="A312" t="s">
        <v>3445</v>
      </c>
    </row>
    <row r="313" spans="1:1" x14ac:dyDescent="0.25">
      <c r="A313" t="s">
        <v>3214</v>
      </c>
    </row>
    <row r="314" spans="1:1" x14ac:dyDescent="0.25">
      <c r="A314" t="s">
        <v>3190</v>
      </c>
    </row>
    <row r="315" spans="1:1" x14ac:dyDescent="0.25">
      <c r="A315" t="s">
        <v>3446</v>
      </c>
    </row>
    <row r="316" spans="1:1" x14ac:dyDescent="0.25">
      <c r="A316" t="s">
        <v>3460</v>
      </c>
    </row>
    <row r="317" spans="1:1" x14ac:dyDescent="0.25">
      <c r="A317" t="s">
        <v>3193</v>
      </c>
    </row>
    <row r="318" spans="1:1" x14ac:dyDescent="0.25">
      <c r="A318" t="s">
        <v>3194</v>
      </c>
    </row>
    <row r="320" spans="1:1" x14ac:dyDescent="0.25">
      <c r="A320" t="s">
        <v>3184</v>
      </c>
    </row>
    <row r="321" spans="1:1" x14ac:dyDescent="0.25">
      <c r="A321" t="s">
        <v>3185</v>
      </c>
    </row>
    <row r="322" spans="1:1" x14ac:dyDescent="0.25">
      <c r="A322" t="s">
        <v>3461</v>
      </c>
    </row>
    <row r="323" spans="1:1" x14ac:dyDescent="0.25">
      <c r="A323" t="s">
        <v>3462</v>
      </c>
    </row>
    <row r="324" spans="1:1" x14ac:dyDescent="0.25">
      <c r="A324" t="s">
        <v>3445</v>
      </c>
    </row>
    <row r="325" spans="1:1" x14ac:dyDescent="0.25">
      <c r="A325" t="s">
        <v>3214</v>
      </c>
    </row>
    <row r="326" spans="1:1" x14ac:dyDescent="0.25">
      <c r="A326" t="s">
        <v>3190</v>
      </c>
    </row>
    <row r="327" spans="1:1" x14ac:dyDescent="0.25">
      <c r="A327" t="s">
        <v>3453</v>
      </c>
    </row>
    <row r="328" spans="1:1" x14ac:dyDescent="0.25">
      <c r="A328" t="s">
        <v>3463</v>
      </c>
    </row>
    <row r="329" spans="1:1" x14ac:dyDescent="0.25">
      <c r="A329" t="s">
        <v>3193</v>
      </c>
    </row>
    <row r="330" spans="1:1" x14ac:dyDescent="0.25">
      <c r="A330" t="s">
        <v>3194</v>
      </c>
    </row>
    <row r="332" spans="1:1" x14ac:dyDescent="0.25">
      <c r="A332" t="s">
        <v>3392</v>
      </c>
    </row>
    <row r="333" spans="1:1" x14ac:dyDescent="0.25">
      <c r="A333" t="s">
        <v>3393</v>
      </c>
    </row>
    <row r="334" spans="1:1" x14ac:dyDescent="0.25">
      <c r="A334" t="s">
        <v>3464</v>
      </c>
    </row>
    <row r="335" spans="1:1" x14ac:dyDescent="0.25">
      <c r="A335" t="s">
        <v>3465</v>
      </c>
    </row>
    <row r="336" spans="1:1" x14ac:dyDescent="0.25">
      <c r="A336" t="s">
        <v>3424</v>
      </c>
    </row>
    <row r="337" spans="1:1" x14ac:dyDescent="0.25">
      <c r="A337" t="s">
        <v>3397</v>
      </c>
    </row>
    <row r="338" spans="1:1" x14ac:dyDescent="0.25">
      <c r="A338" t="s">
        <v>3398</v>
      </c>
    </row>
    <row r="339" spans="1:1" x14ac:dyDescent="0.25">
      <c r="A339" t="s">
        <v>3466</v>
      </c>
    </row>
    <row r="340" spans="1:1" x14ac:dyDescent="0.25">
      <c r="A340" t="s">
        <v>3467</v>
      </c>
    </row>
    <row r="341" spans="1:1" x14ac:dyDescent="0.25">
      <c r="A341" t="s">
        <v>3401</v>
      </c>
    </row>
    <row r="342" spans="1:1" x14ac:dyDescent="0.25">
      <c r="A342" t="s">
        <v>3402</v>
      </c>
    </row>
    <row r="344" spans="1:1" x14ac:dyDescent="0.25">
      <c r="A344" t="s">
        <v>3392</v>
      </c>
    </row>
    <row r="345" spans="1:1" x14ac:dyDescent="0.25">
      <c r="A345" t="s">
        <v>3393</v>
      </c>
    </row>
    <row r="346" spans="1:1" x14ac:dyDescent="0.25">
      <c r="A346" t="s">
        <v>3468</v>
      </c>
    </row>
    <row r="347" spans="1:1" x14ac:dyDescent="0.25">
      <c r="A347" t="s">
        <v>3469</v>
      </c>
    </row>
    <row r="348" spans="1:1" x14ac:dyDescent="0.25">
      <c r="A348" t="s">
        <v>3424</v>
      </c>
    </row>
    <row r="349" spans="1:1" x14ac:dyDescent="0.25">
      <c r="A349" t="s">
        <v>3397</v>
      </c>
    </row>
    <row r="350" spans="1:1" x14ac:dyDescent="0.25">
      <c r="A350" t="s">
        <v>3398</v>
      </c>
    </row>
    <row r="351" spans="1:1" x14ac:dyDescent="0.25">
      <c r="A351" t="s">
        <v>3425</v>
      </c>
    </row>
    <row r="352" spans="1:1" x14ac:dyDescent="0.25">
      <c r="A352" t="s">
        <v>3470</v>
      </c>
    </row>
    <row r="353" spans="1:1" x14ac:dyDescent="0.25">
      <c r="A353" t="s">
        <v>3401</v>
      </c>
    </row>
    <row r="354" spans="1:1" x14ac:dyDescent="0.25">
      <c r="A354" t="s">
        <v>3402</v>
      </c>
    </row>
    <row r="356" spans="1:1" x14ac:dyDescent="0.25">
      <c r="A356" t="s">
        <v>3392</v>
      </c>
    </row>
    <row r="357" spans="1:1" x14ac:dyDescent="0.25">
      <c r="A357" t="s">
        <v>3393</v>
      </c>
    </row>
    <row r="358" spans="1:1" x14ac:dyDescent="0.25">
      <c r="A358" t="s">
        <v>3471</v>
      </c>
    </row>
    <row r="359" spans="1:1" x14ac:dyDescent="0.25">
      <c r="A359" t="s">
        <v>3472</v>
      </c>
    </row>
    <row r="360" spans="1:1" x14ac:dyDescent="0.25">
      <c r="A360" t="s">
        <v>3424</v>
      </c>
    </row>
    <row r="361" spans="1:1" x14ac:dyDescent="0.25">
      <c r="A361" t="s">
        <v>3397</v>
      </c>
    </row>
    <row r="362" spans="1:1" x14ac:dyDescent="0.25">
      <c r="A362" t="s">
        <v>3398</v>
      </c>
    </row>
    <row r="363" spans="1:1" x14ac:dyDescent="0.25">
      <c r="A363" t="s">
        <v>3425</v>
      </c>
    </row>
    <row r="364" spans="1:1" x14ac:dyDescent="0.25">
      <c r="A364" t="s">
        <v>3473</v>
      </c>
    </row>
    <row r="365" spans="1:1" x14ac:dyDescent="0.25">
      <c r="A365" t="s">
        <v>3401</v>
      </c>
    </row>
    <row r="366" spans="1:1" x14ac:dyDescent="0.25">
      <c r="A366" t="s">
        <v>3402</v>
      </c>
    </row>
    <row r="368" spans="1:1" x14ac:dyDescent="0.25">
      <c r="A368" t="s">
        <v>3392</v>
      </c>
    </row>
    <row r="369" spans="1:1" x14ac:dyDescent="0.25">
      <c r="A369" t="s">
        <v>3393</v>
      </c>
    </row>
    <row r="370" spans="1:1" x14ac:dyDescent="0.25">
      <c r="A370" t="s">
        <v>3474</v>
      </c>
    </row>
    <row r="371" spans="1:1" x14ac:dyDescent="0.25">
      <c r="A371" t="s">
        <v>3475</v>
      </c>
    </row>
    <row r="372" spans="1:1" x14ac:dyDescent="0.25">
      <c r="A372" t="s">
        <v>3424</v>
      </c>
    </row>
    <row r="373" spans="1:1" x14ac:dyDescent="0.25">
      <c r="A373" t="s">
        <v>3397</v>
      </c>
    </row>
    <row r="374" spans="1:1" x14ac:dyDescent="0.25">
      <c r="A374" t="s">
        <v>3398</v>
      </c>
    </row>
    <row r="375" spans="1:1" x14ac:dyDescent="0.25">
      <c r="A375" t="s">
        <v>3425</v>
      </c>
    </row>
    <row r="376" spans="1:1" x14ac:dyDescent="0.25">
      <c r="A376" t="s">
        <v>3476</v>
      </c>
    </row>
    <row r="377" spans="1:1" x14ac:dyDescent="0.25">
      <c r="A377" t="s">
        <v>3401</v>
      </c>
    </row>
    <row r="378" spans="1:1" x14ac:dyDescent="0.25">
      <c r="A378" t="s">
        <v>3402</v>
      </c>
    </row>
    <row r="380" spans="1:1" x14ac:dyDescent="0.25">
      <c r="A380" t="s">
        <v>3184</v>
      </c>
    </row>
    <row r="381" spans="1:1" x14ac:dyDescent="0.25">
      <c r="A381" t="s">
        <v>3185</v>
      </c>
    </row>
    <row r="382" spans="1:1" x14ac:dyDescent="0.25">
      <c r="A382" t="s">
        <v>3477</v>
      </c>
    </row>
    <row r="383" spans="1:1" x14ac:dyDescent="0.25">
      <c r="A383" t="s">
        <v>3478</v>
      </c>
    </row>
    <row r="384" spans="1:1" x14ac:dyDescent="0.25">
      <c r="A384" t="s">
        <v>3445</v>
      </c>
    </row>
    <row r="385" spans="1:1" x14ac:dyDescent="0.25">
      <c r="A385" t="s">
        <v>3214</v>
      </c>
    </row>
    <row r="386" spans="1:1" x14ac:dyDescent="0.25">
      <c r="A386" t="s">
        <v>3190</v>
      </c>
    </row>
    <row r="387" spans="1:1" x14ac:dyDescent="0.25">
      <c r="A387" t="s">
        <v>3479</v>
      </c>
    </row>
    <row r="388" spans="1:1" x14ac:dyDescent="0.25">
      <c r="A388" t="s">
        <v>3480</v>
      </c>
    </row>
    <row r="389" spans="1:1" x14ac:dyDescent="0.25">
      <c r="A389" t="s">
        <v>3193</v>
      </c>
    </row>
    <row r="390" spans="1:1" x14ac:dyDescent="0.25">
      <c r="A390" t="s">
        <v>3194</v>
      </c>
    </row>
    <row r="392" spans="1:1" x14ac:dyDescent="0.25">
      <c r="A392" t="s">
        <v>3184</v>
      </c>
    </row>
    <row r="393" spans="1:1" x14ac:dyDescent="0.25">
      <c r="A393" t="s">
        <v>3185</v>
      </c>
    </row>
    <row r="394" spans="1:1" x14ac:dyDescent="0.25">
      <c r="A394" t="s">
        <v>3481</v>
      </c>
    </row>
    <row r="395" spans="1:1" x14ac:dyDescent="0.25">
      <c r="A395" t="s">
        <v>3482</v>
      </c>
    </row>
    <row r="396" spans="1:1" x14ac:dyDescent="0.25">
      <c r="A396" t="s">
        <v>3445</v>
      </c>
    </row>
    <row r="397" spans="1:1" x14ac:dyDescent="0.25">
      <c r="A397" t="s">
        <v>3214</v>
      </c>
    </row>
    <row r="398" spans="1:1" x14ac:dyDescent="0.25">
      <c r="A398" t="s">
        <v>3190</v>
      </c>
    </row>
    <row r="399" spans="1:1" x14ac:dyDescent="0.25">
      <c r="A399" t="s">
        <v>3479</v>
      </c>
    </row>
    <row r="400" spans="1:1" x14ac:dyDescent="0.25">
      <c r="A400" t="s">
        <v>3483</v>
      </c>
    </row>
    <row r="401" spans="1:1" x14ac:dyDescent="0.25">
      <c r="A401" t="s">
        <v>3193</v>
      </c>
    </row>
    <row r="402" spans="1:1" x14ac:dyDescent="0.25">
      <c r="A402" t="s">
        <v>3194</v>
      </c>
    </row>
    <row r="404" spans="1:1" x14ac:dyDescent="0.25">
      <c r="A404" t="s">
        <v>3392</v>
      </c>
    </row>
    <row r="405" spans="1:1" x14ac:dyDescent="0.25">
      <c r="A405" t="s">
        <v>3393</v>
      </c>
    </row>
    <row r="406" spans="1:1" x14ac:dyDescent="0.25">
      <c r="A406" t="s">
        <v>3484</v>
      </c>
    </row>
    <row r="407" spans="1:1" x14ac:dyDescent="0.25">
      <c r="A407" t="s">
        <v>3485</v>
      </c>
    </row>
    <row r="408" spans="1:1" x14ac:dyDescent="0.25">
      <c r="A408" t="s">
        <v>3424</v>
      </c>
    </row>
    <row r="409" spans="1:1" x14ac:dyDescent="0.25">
      <c r="A409" t="s">
        <v>3397</v>
      </c>
    </row>
    <row r="410" spans="1:1" x14ac:dyDescent="0.25">
      <c r="A410" t="s">
        <v>3398</v>
      </c>
    </row>
    <row r="411" spans="1:1" x14ac:dyDescent="0.25">
      <c r="A411" t="s">
        <v>3486</v>
      </c>
    </row>
    <row r="412" spans="1:1" x14ac:dyDescent="0.25">
      <c r="A412" t="s">
        <v>3487</v>
      </c>
    </row>
    <row r="413" spans="1:1" x14ac:dyDescent="0.25">
      <c r="A413" t="s">
        <v>3401</v>
      </c>
    </row>
    <row r="414" spans="1:1" x14ac:dyDescent="0.25">
      <c r="A414" t="s">
        <v>3402</v>
      </c>
    </row>
    <row r="416" spans="1:1" x14ac:dyDescent="0.25">
      <c r="A416" t="s">
        <v>3392</v>
      </c>
    </row>
    <row r="417" spans="1:1" x14ac:dyDescent="0.25">
      <c r="A417" t="s">
        <v>3393</v>
      </c>
    </row>
    <row r="418" spans="1:1" x14ac:dyDescent="0.25">
      <c r="A418" t="s">
        <v>3488</v>
      </c>
    </row>
    <row r="419" spans="1:1" x14ac:dyDescent="0.25">
      <c r="A419" t="s">
        <v>3489</v>
      </c>
    </row>
    <row r="420" spans="1:1" x14ac:dyDescent="0.25">
      <c r="A420" t="s">
        <v>3424</v>
      </c>
    </row>
    <row r="421" spans="1:1" x14ac:dyDescent="0.25">
      <c r="A421" t="s">
        <v>3397</v>
      </c>
    </row>
    <row r="422" spans="1:1" x14ac:dyDescent="0.25">
      <c r="A422" t="s">
        <v>3398</v>
      </c>
    </row>
    <row r="423" spans="1:1" x14ac:dyDescent="0.25">
      <c r="A423" t="s">
        <v>3425</v>
      </c>
    </row>
    <row r="424" spans="1:1" x14ac:dyDescent="0.25">
      <c r="A424" t="s">
        <v>3490</v>
      </c>
    </row>
    <row r="425" spans="1:1" x14ac:dyDescent="0.25">
      <c r="A425" t="s">
        <v>3401</v>
      </c>
    </row>
    <row r="426" spans="1:1" x14ac:dyDescent="0.25">
      <c r="A426" t="s">
        <v>3402</v>
      </c>
    </row>
    <row r="428" spans="1:1" x14ac:dyDescent="0.25">
      <c r="A428" t="s">
        <v>3392</v>
      </c>
    </row>
    <row r="429" spans="1:1" x14ac:dyDescent="0.25">
      <c r="A429" t="s">
        <v>3393</v>
      </c>
    </row>
    <row r="430" spans="1:1" x14ac:dyDescent="0.25">
      <c r="A430" t="s">
        <v>3491</v>
      </c>
    </row>
    <row r="431" spans="1:1" x14ac:dyDescent="0.25">
      <c r="A431" t="s">
        <v>3492</v>
      </c>
    </row>
    <row r="432" spans="1:1" x14ac:dyDescent="0.25">
      <c r="A432" t="s">
        <v>3424</v>
      </c>
    </row>
    <row r="433" spans="1:1" x14ac:dyDescent="0.25">
      <c r="A433" t="s">
        <v>3397</v>
      </c>
    </row>
    <row r="434" spans="1:1" x14ac:dyDescent="0.25">
      <c r="A434" t="s">
        <v>3398</v>
      </c>
    </row>
    <row r="435" spans="1:1" x14ac:dyDescent="0.25">
      <c r="A435" t="s">
        <v>3466</v>
      </c>
    </row>
    <row r="436" spans="1:1" x14ac:dyDescent="0.25">
      <c r="A436" t="s">
        <v>3493</v>
      </c>
    </row>
    <row r="437" spans="1:1" x14ac:dyDescent="0.25">
      <c r="A437" t="s">
        <v>3401</v>
      </c>
    </row>
    <row r="438" spans="1:1" x14ac:dyDescent="0.25">
      <c r="A438" t="s">
        <v>3402</v>
      </c>
    </row>
    <row r="440" spans="1:1" x14ac:dyDescent="0.25">
      <c r="A440" t="s">
        <v>3392</v>
      </c>
    </row>
    <row r="441" spans="1:1" x14ac:dyDescent="0.25">
      <c r="A441" t="s">
        <v>3393</v>
      </c>
    </row>
    <row r="442" spans="1:1" x14ac:dyDescent="0.25">
      <c r="A442" t="s">
        <v>3494</v>
      </c>
    </row>
    <row r="443" spans="1:1" x14ac:dyDescent="0.25">
      <c r="A443" t="s">
        <v>3495</v>
      </c>
    </row>
    <row r="444" spans="1:1" x14ac:dyDescent="0.25">
      <c r="A444" t="s">
        <v>3424</v>
      </c>
    </row>
    <row r="445" spans="1:1" x14ac:dyDescent="0.25">
      <c r="A445" t="s">
        <v>3397</v>
      </c>
    </row>
    <row r="446" spans="1:1" x14ac:dyDescent="0.25">
      <c r="A446" t="s">
        <v>3398</v>
      </c>
    </row>
    <row r="447" spans="1:1" x14ac:dyDescent="0.25">
      <c r="A447" t="s">
        <v>3425</v>
      </c>
    </row>
    <row r="448" spans="1:1" x14ac:dyDescent="0.25">
      <c r="A448" t="s">
        <v>3496</v>
      </c>
    </row>
    <row r="449" spans="1:1" x14ac:dyDescent="0.25">
      <c r="A449" t="s">
        <v>3401</v>
      </c>
    </row>
    <row r="450" spans="1:1" x14ac:dyDescent="0.25">
      <c r="A450" t="s">
        <v>3402</v>
      </c>
    </row>
    <row r="452" spans="1:1" x14ac:dyDescent="0.25">
      <c r="A452" t="s">
        <v>3392</v>
      </c>
    </row>
    <row r="453" spans="1:1" x14ac:dyDescent="0.25">
      <c r="A453" t="s">
        <v>3393</v>
      </c>
    </row>
    <row r="454" spans="1:1" x14ac:dyDescent="0.25">
      <c r="A454" t="s">
        <v>3497</v>
      </c>
    </row>
    <row r="455" spans="1:1" x14ac:dyDescent="0.25">
      <c r="A455" t="s">
        <v>3498</v>
      </c>
    </row>
    <row r="456" spans="1:1" x14ac:dyDescent="0.25">
      <c r="A456" t="s">
        <v>3424</v>
      </c>
    </row>
    <row r="457" spans="1:1" x14ac:dyDescent="0.25">
      <c r="A457" t="s">
        <v>3397</v>
      </c>
    </row>
    <row r="458" spans="1:1" x14ac:dyDescent="0.25">
      <c r="A458" t="s">
        <v>3398</v>
      </c>
    </row>
    <row r="459" spans="1:1" x14ac:dyDescent="0.25">
      <c r="A459" t="s">
        <v>3425</v>
      </c>
    </row>
    <row r="460" spans="1:1" x14ac:dyDescent="0.25">
      <c r="A460" t="s">
        <v>3499</v>
      </c>
    </row>
    <row r="461" spans="1:1" x14ac:dyDescent="0.25">
      <c r="A461" t="s">
        <v>3401</v>
      </c>
    </row>
    <row r="462" spans="1:1" x14ac:dyDescent="0.25">
      <c r="A462" t="s">
        <v>3402</v>
      </c>
    </row>
    <row r="464" spans="1:1" x14ac:dyDescent="0.25">
      <c r="A464" t="s">
        <v>3184</v>
      </c>
    </row>
    <row r="465" spans="1:1" x14ac:dyDescent="0.25">
      <c r="A465" t="s">
        <v>3185</v>
      </c>
    </row>
    <row r="466" spans="1:1" x14ac:dyDescent="0.25">
      <c r="A466" t="s">
        <v>3500</v>
      </c>
    </row>
    <row r="467" spans="1:1" x14ac:dyDescent="0.25">
      <c r="A467" t="s">
        <v>3501</v>
      </c>
    </row>
    <row r="468" spans="1:1" x14ac:dyDescent="0.25">
      <c r="A468" t="s">
        <v>3445</v>
      </c>
    </row>
    <row r="469" spans="1:1" x14ac:dyDescent="0.25">
      <c r="A469" t="s">
        <v>3214</v>
      </c>
    </row>
    <row r="470" spans="1:1" x14ac:dyDescent="0.25">
      <c r="A470" t="s">
        <v>3190</v>
      </c>
    </row>
    <row r="471" spans="1:1" x14ac:dyDescent="0.25">
      <c r="A471" t="s">
        <v>3446</v>
      </c>
    </row>
    <row r="472" spans="1:1" x14ac:dyDescent="0.25">
      <c r="A472" t="s">
        <v>3502</v>
      </c>
    </row>
    <row r="473" spans="1:1" x14ac:dyDescent="0.25">
      <c r="A473" t="s">
        <v>3193</v>
      </c>
    </row>
    <row r="474" spans="1:1" x14ac:dyDescent="0.25">
      <c r="A474" t="s">
        <v>3194</v>
      </c>
    </row>
    <row r="476" spans="1:1" x14ac:dyDescent="0.25">
      <c r="A476" t="s">
        <v>3184</v>
      </c>
    </row>
    <row r="477" spans="1:1" x14ac:dyDescent="0.25">
      <c r="A477" t="s">
        <v>3185</v>
      </c>
    </row>
    <row r="478" spans="1:1" x14ac:dyDescent="0.25">
      <c r="A478" t="s">
        <v>3503</v>
      </c>
    </row>
    <row r="479" spans="1:1" x14ac:dyDescent="0.25">
      <c r="A479" t="s">
        <v>3504</v>
      </c>
    </row>
    <row r="480" spans="1:1" x14ac:dyDescent="0.25">
      <c r="A480" t="s">
        <v>3445</v>
      </c>
    </row>
    <row r="481" spans="1:1" x14ac:dyDescent="0.25">
      <c r="A481" t="s">
        <v>3214</v>
      </c>
    </row>
    <row r="482" spans="1:1" x14ac:dyDescent="0.25">
      <c r="A482" t="s">
        <v>3190</v>
      </c>
    </row>
    <row r="483" spans="1:1" x14ac:dyDescent="0.25">
      <c r="A483" t="s">
        <v>3479</v>
      </c>
    </row>
    <row r="484" spans="1:1" x14ac:dyDescent="0.25">
      <c r="A484" t="s">
        <v>3505</v>
      </c>
    </row>
    <row r="485" spans="1:1" x14ac:dyDescent="0.25">
      <c r="A485" t="s">
        <v>3193</v>
      </c>
    </row>
    <row r="486" spans="1:1" x14ac:dyDescent="0.25">
      <c r="A486" t="s">
        <v>3194</v>
      </c>
    </row>
    <row r="488" spans="1:1" x14ac:dyDescent="0.25">
      <c r="A488" t="s">
        <v>3184</v>
      </c>
    </row>
    <row r="489" spans="1:1" x14ac:dyDescent="0.25">
      <c r="A489" t="s">
        <v>3185</v>
      </c>
    </row>
    <row r="490" spans="1:1" x14ac:dyDescent="0.25">
      <c r="A490" t="s">
        <v>3506</v>
      </c>
    </row>
    <row r="491" spans="1:1" x14ac:dyDescent="0.25">
      <c r="A491" t="s">
        <v>3507</v>
      </c>
    </row>
    <row r="492" spans="1:1" x14ac:dyDescent="0.25">
      <c r="A492" t="s">
        <v>3445</v>
      </c>
    </row>
    <row r="493" spans="1:1" x14ac:dyDescent="0.25">
      <c r="A493" t="s">
        <v>3214</v>
      </c>
    </row>
    <row r="494" spans="1:1" x14ac:dyDescent="0.25">
      <c r="A494" t="s">
        <v>3190</v>
      </c>
    </row>
    <row r="495" spans="1:1" x14ac:dyDescent="0.25">
      <c r="A495" t="s">
        <v>3479</v>
      </c>
    </row>
    <row r="496" spans="1:1" x14ac:dyDescent="0.25">
      <c r="A496" t="s">
        <v>3508</v>
      </c>
    </row>
    <row r="497" spans="1:1" x14ac:dyDescent="0.25">
      <c r="A497" t="s">
        <v>3193</v>
      </c>
    </row>
    <row r="498" spans="1:1" x14ac:dyDescent="0.25">
      <c r="A498" t="s">
        <v>3194</v>
      </c>
    </row>
    <row r="500" spans="1:1" x14ac:dyDescent="0.25">
      <c r="A500" t="s">
        <v>3184</v>
      </c>
    </row>
    <row r="501" spans="1:1" x14ac:dyDescent="0.25">
      <c r="A501" t="s">
        <v>3185</v>
      </c>
    </row>
    <row r="502" spans="1:1" x14ac:dyDescent="0.25">
      <c r="A502" t="s">
        <v>3509</v>
      </c>
    </row>
    <row r="503" spans="1:1" x14ac:dyDescent="0.25">
      <c r="A503" t="s">
        <v>3510</v>
      </c>
    </row>
    <row r="504" spans="1:1" x14ac:dyDescent="0.25">
      <c r="A504" t="s">
        <v>3445</v>
      </c>
    </row>
    <row r="505" spans="1:1" x14ac:dyDescent="0.25">
      <c r="A505" t="s">
        <v>3214</v>
      </c>
    </row>
    <row r="506" spans="1:1" x14ac:dyDescent="0.25">
      <c r="A506" t="s">
        <v>3190</v>
      </c>
    </row>
    <row r="507" spans="1:1" x14ac:dyDescent="0.25">
      <c r="A507" t="s">
        <v>3446</v>
      </c>
    </row>
    <row r="508" spans="1:1" x14ac:dyDescent="0.25">
      <c r="A508" t="s">
        <v>3511</v>
      </c>
    </row>
    <row r="509" spans="1:1" x14ac:dyDescent="0.25">
      <c r="A509" t="s">
        <v>3193</v>
      </c>
    </row>
    <row r="510" spans="1:1" x14ac:dyDescent="0.25">
      <c r="A510" t="s">
        <v>3194</v>
      </c>
    </row>
    <row r="512" spans="1:1" x14ac:dyDescent="0.25">
      <c r="A512" t="s">
        <v>3392</v>
      </c>
    </row>
    <row r="513" spans="1:1" x14ac:dyDescent="0.25">
      <c r="A513" t="s">
        <v>3393</v>
      </c>
    </row>
    <row r="514" spans="1:1" x14ac:dyDescent="0.25">
      <c r="A514" t="s">
        <v>3512</v>
      </c>
    </row>
    <row r="515" spans="1:1" x14ac:dyDescent="0.25">
      <c r="A515" t="s">
        <v>3513</v>
      </c>
    </row>
    <row r="516" spans="1:1" x14ac:dyDescent="0.25">
      <c r="A516" t="s">
        <v>3514</v>
      </c>
    </row>
    <row r="517" spans="1:1" x14ac:dyDescent="0.25">
      <c r="A517" t="s">
        <v>3397</v>
      </c>
    </row>
    <row r="518" spans="1:1" x14ac:dyDescent="0.25">
      <c r="A518" t="s">
        <v>3398</v>
      </c>
    </row>
    <row r="519" spans="1:1" x14ac:dyDescent="0.25">
      <c r="A519" t="s">
        <v>3515</v>
      </c>
    </row>
    <row r="520" spans="1:1" x14ac:dyDescent="0.25">
      <c r="A520" t="s">
        <v>3516</v>
      </c>
    </row>
    <row r="521" spans="1:1" x14ac:dyDescent="0.25">
      <c r="A521" t="s">
        <v>3401</v>
      </c>
    </row>
    <row r="522" spans="1:1" x14ac:dyDescent="0.25">
      <c r="A522" t="s">
        <v>3402</v>
      </c>
    </row>
    <row r="524" spans="1:1" x14ac:dyDescent="0.25">
      <c r="A524" t="s">
        <v>3392</v>
      </c>
    </row>
    <row r="525" spans="1:1" x14ac:dyDescent="0.25">
      <c r="A525" t="s">
        <v>3393</v>
      </c>
    </row>
    <row r="526" spans="1:1" x14ac:dyDescent="0.25">
      <c r="A526" t="s">
        <v>3517</v>
      </c>
    </row>
    <row r="527" spans="1:1" x14ac:dyDescent="0.25">
      <c r="A527" t="s">
        <v>3518</v>
      </c>
    </row>
    <row r="528" spans="1:1" x14ac:dyDescent="0.25">
      <c r="A528" t="s">
        <v>3519</v>
      </c>
    </row>
    <row r="529" spans="1:1" x14ac:dyDescent="0.25">
      <c r="A529" t="s">
        <v>3397</v>
      </c>
    </row>
    <row r="530" spans="1:1" x14ac:dyDescent="0.25">
      <c r="A530" t="s">
        <v>3398</v>
      </c>
    </row>
    <row r="531" spans="1:1" x14ac:dyDescent="0.25">
      <c r="A531" t="s">
        <v>3399</v>
      </c>
    </row>
    <row r="532" spans="1:1" x14ac:dyDescent="0.25">
      <c r="A532" t="s">
        <v>3520</v>
      </c>
    </row>
    <row r="533" spans="1:1" x14ac:dyDescent="0.25">
      <c r="A533" t="s">
        <v>3401</v>
      </c>
    </row>
    <row r="534" spans="1:1" x14ac:dyDescent="0.25">
      <c r="A534" t="s">
        <v>3402</v>
      </c>
    </row>
    <row r="536" spans="1:1" x14ac:dyDescent="0.25">
      <c r="A536" t="s">
        <v>3184</v>
      </c>
    </row>
    <row r="537" spans="1:1" x14ac:dyDescent="0.25">
      <c r="A537" t="s">
        <v>3185</v>
      </c>
    </row>
    <row r="538" spans="1:1" x14ac:dyDescent="0.25">
      <c r="A538" t="s">
        <v>3521</v>
      </c>
    </row>
    <row r="539" spans="1:1" x14ac:dyDescent="0.25">
      <c r="A539" t="s">
        <v>3522</v>
      </c>
    </row>
    <row r="540" spans="1:1" x14ac:dyDescent="0.25">
      <c r="A540" t="s">
        <v>3241</v>
      </c>
    </row>
    <row r="541" spans="1:1" x14ac:dyDescent="0.25">
      <c r="A541" t="s">
        <v>3214</v>
      </c>
    </row>
    <row r="542" spans="1:1" x14ac:dyDescent="0.25">
      <c r="A542" t="s">
        <v>3190</v>
      </c>
    </row>
    <row r="543" spans="1:1" x14ac:dyDescent="0.25">
      <c r="A543" t="s">
        <v>3208</v>
      </c>
    </row>
    <row r="544" spans="1:1" x14ac:dyDescent="0.25">
      <c r="A544" t="s">
        <v>3523</v>
      </c>
    </row>
    <row r="545" spans="1:1" x14ac:dyDescent="0.25">
      <c r="A545" t="s">
        <v>3193</v>
      </c>
    </row>
    <row r="546" spans="1:1" x14ac:dyDescent="0.25">
      <c r="A546" t="s">
        <v>3194</v>
      </c>
    </row>
    <row r="548" spans="1:1" x14ac:dyDescent="0.25">
      <c r="A548" t="s">
        <v>3184</v>
      </c>
    </row>
    <row r="549" spans="1:1" x14ac:dyDescent="0.25">
      <c r="A549" t="s">
        <v>3185</v>
      </c>
    </row>
    <row r="550" spans="1:1" x14ac:dyDescent="0.25">
      <c r="A550" t="s">
        <v>3524</v>
      </c>
    </row>
    <row r="551" spans="1:1" x14ac:dyDescent="0.25">
      <c r="A551" t="s">
        <v>3525</v>
      </c>
    </row>
    <row r="552" spans="1:1" x14ac:dyDescent="0.25">
      <c r="A552" t="s">
        <v>3270</v>
      </c>
    </row>
    <row r="553" spans="1:1" x14ac:dyDescent="0.25">
      <c r="A553" t="s">
        <v>3214</v>
      </c>
    </row>
    <row r="554" spans="1:1" x14ac:dyDescent="0.25">
      <c r="A554" t="s">
        <v>3190</v>
      </c>
    </row>
    <row r="555" spans="1:1" x14ac:dyDescent="0.25">
      <c r="A555" t="s">
        <v>3266</v>
      </c>
    </row>
    <row r="556" spans="1:1" x14ac:dyDescent="0.25">
      <c r="A556" t="s">
        <v>3526</v>
      </c>
    </row>
    <row r="557" spans="1:1" x14ac:dyDescent="0.25">
      <c r="A557" t="s">
        <v>3193</v>
      </c>
    </row>
    <row r="558" spans="1:1" x14ac:dyDescent="0.25">
      <c r="A558" t="s">
        <v>3194</v>
      </c>
    </row>
    <row r="560" spans="1:1" x14ac:dyDescent="0.25">
      <c r="A560" t="s">
        <v>3392</v>
      </c>
    </row>
    <row r="561" spans="1:1" x14ac:dyDescent="0.25">
      <c r="A561" t="s">
        <v>3393</v>
      </c>
    </row>
    <row r="562" spans="1:1" x14ac:dyDescent="0.25">
      <c r="A562" t="s">
        <v>3527</v>
      </c>
    </row>
    <row r="563" spans="1:1" x14ac:dyDescent="0.25">
      <c r="A563" t="s">
        <v>3528</v>
      </c>
    </row>
    <row r="564" spans="1:1" x14ac:dyDescent="0.25">
      <c r="A564" t="s">
        <v>3529</v>
      </c>
    </row>
    <row r="565" spans="1:1" x14ac:dyDescent="0.25">
      <c r="A565" t="s">
        <v>3397</v>
      </c>
    </row>
    <row r="566" spans="1:1" x14ac:dyDescent="0.25">
      <c r="A566" t="s">
        <v>3398</v>
      </c>
    </row>
    <row r="567" spans="1:1" x14ac:dyDescent="0.25">
      <c r="A567" t="s">
        <v>3530</v>
      </c>
    </row>
    <row r="568" spans="1:1" x14ac:dyDescent="0.25">
      <c r="A568" t="s">
        <v>3531</v>
      </c>
    </row>
    <row r="569" spans="1:1" x14ac:dyDescent="0.25">
      <c r="A569" t="s">
        <v>3401</v>
      </c>
    </row>
    <row r="570" spans="1:1" x14ac:dyDescent="0.25">
      <c r="A570" t="s">
        <v>3402</v>
      </c>
    </row>
    <row r="572" spans="1:1" x14ac:dyDescent="0.25">
      <c r="A572" t="s">
        <v>3392</v>
      </c>
    </row>
    <row r="573" spans="1:1" x14ac:dyDescent="0.25">
      <c r="A573" t="s">
        <v>3393</v>
      </c>
    </row>
    <row r="574" spans="1:1" x14ac:dyDescent="0.25">
      <c r="A574" t="s">
        <v>3532</v>
      </c>
    </row>
    <row r="575" spans="1:1" x14ac:dyDescent="0.25">
      <c r="A575" t="s">
        <v>3533</v>
      </c>
    </row>
    <row r="576" spans="1:1" x14ac:dyDescent="0.25">
      <c r="A576" t="s">
        <v>3534</v>
      </c>
    </row>
    <row r="577" spans="1:1" x14ac:dyDescent="0.25">
      <c r="A577" t="s">
        <v>3397</v>
      </c>
    </row>
    <row r="578" spans="1:1" x14ac:dyDescent="0.25">
      <c r="A578" t="s">
        <v>3398</v>
      </c>
    </row>
    <row r="579" spans="1:1" x14ac:dyDescent="0.25">
      <c r="A579" t="s">
        <v>3535</v>
      </c>
    </row>
    <row r="580" spans="1:1" x14ac:dyDescent="0.25">
      <c r="A580" t="s">
        <v>3536</v>
      </c>
    </row>
    <row r="581" spans="1:1" x14ac:dyDescent="0.25">
      <c r="A581" t="s">
        <v>3401</v>
      </c>
    </row>
    <row r="582" spans="1:1" x14ac:dyDescent="0.25">
      <c r="A582" t="s">
        <v>3402</v>
      </c>
    </row>
    <row r="584" spans="1:1" x14ac:dyDescent="0.25">
      <c r="A584" t="s">
        <v>3392</v>
      </c>
    </row>
    <row r="585" spans="1:1" x14ac:dyDescent="0.25">
      <c r="A585" t="s">
        <v>3393</v>
      </c>
    </row>
    <row r="586" spans="1:1" x14ac:dyDescent="0.25">
      <c r="A586" t="s">
        <v>3537</v>
      </c>
    </row>
    <row r="587" spans="1:1" x14ac:dyDescent="0.25">
      <c r="A587" t="s">
        <v>3538</v>
      </c>
    </row>
    <row r="588" spans="1:1" x14ac:dyDescent="0.25">
      <c r="A588" t="s">
        <v>3529</v>
      </c>
    </row>
    <row r="589" spans="1:1" x14ac:dyDescent="0.25">
      <c r="A589" t="s">
        <v>3397</v>
      </c>
    </row>
    <row r="590" spans="1:1" x14ac:dyDescent="0.25">
      <c r="A590" t="s">
        <v>3398</v>
      </c>
    </row>
    <row r="591" spans="1:1" x14ac:dyDescent="0.25">
      <c r="A591" t="s">
        <v>3399</v>
      </c>
    </row>
    <row r="592" spans="1:1" x14ac:dyDescent="0.25">
      <c r="A592" t="s">
        <v>3539</v>
      </c>
    </row>
    <row r="593" spans="1:1" x14ac:dyDescent="0.25">
      <c r="A593" t="s">
        <v>3401</v>
      </c>
    </row>
    <row r="594" spans="1:1" x14ac:dyDescent="0.25">
      <c r="A594" t="s">
        <v>3402</v>
      </c>
    </row>
    <row r="596" spans="1:1" x14ac:dyDescent="0.25">
      <c r="A596" t="s">
        <v>3392</v>
      </c>
    </row>
    <row r="597" spans="1:1" x14ac:dyDescent="0.25">
      <c r="A597" t="s">
        <v>3393</v>
      </c>
    </row>
    <row r="598" spans="1:1" x14ac:dyDescent="0.25">
      <c r="A598" t="s">
        <v>3540</v>
      </c>
    </row>
    <row r="599" spans="1:1" x14ac:dyDescent="0.25">
      <c r="A599" t="s">
        <v>3541</v>
      </c>
    </row>
    <row r="600" spans="1:1" x14ac:dyDescent="0.25">
      <c r="A600" t="s">
        <v>3424</v>
      </c>
    </row>
    <row r="601" spans="1:1" x14ac:dyDescent="0.25">
      <c r="A601" t="s">
        <v>3397</v>
      </c>
    </row>
    <row r="602" spans="1:1" x14ac:dyDescent="0.25">
      <c r="A602" t="s">
        <v>3398</v>
      </c>
    </row>
    <row r="603" spans="1:1" x14ac:dyDescent="0.25">
      <c r="A603" t="s">
        <v>3399</v>
      </c>
    </row>
    <row r="604" spans="1:1" x14ac:dyDescent="0.25">
      <c r="A604" t="s">
        <v>3542</v>
      </c>
    </row>
    <row r="605" spans="1:1" x14ac:dyDescent="0.25">
      <c r="A605" t="s">
        <v>3401</v>
      </c>
    </row>
    <row r="606" spans="1:1" x14ac:dyDescent="0.25">
      <c r="A606" t="s">
        <v>3402</v>
      </c>
    </row>
    <row r="608" spans="1:1" x14ac:dyDescent="0.25">
      <c r="A608" t="s">
        <v>3392</v>
      </c>
    </row>
    <row r="609" spans="1:1" x14ac:dyDescent="0.25">
      <c r="A609" t="s">
        <v>3393</v>
      </c>
    </row>
    <row r="610" spans="1:1" x14ac:dyDescent="0.25">
      <c r="A610" t="s">
        <v>3543</v>
      </c>
    </row>
    <row r="611" spans="1:1" x14ac:dyDescent="0.25">
      <c r="A611" t="s">
        <v>3544</v>
      </c>
    </row>
    <row r="612" spans="1:1" x14ac:dyDescent="0.25">
      <c r="A612" t="s">
        <v>3545</v>
      </c>
    </row>
    <row r="613" spans="1:1" x14ac:dyDescent="0.25">
      <c r="A613" t="s">
        <v>3397</v>
      </c>
    </row>
    <row r="614" spans="1:1" x14ac:dyDescent="0.25">
      <c r="A614" t="s">
        <v>3398</v>
      </c>
    </row>
    <row r="615" spans="1:1" x14ac:dyDescent="0.25">
      <c r="A615" t="s">
        <v>3399</v>
      </c>
    </row>
    <row r="616" spans="1:1" x14ac:dyDescent="0.25">
      <c r="A616" t="s">
        <v>3546</v>
      </c>
    </row>
    <row r="617" spans="1:1" x14ac:dyDescent="0.25">
      <c r="A617" t="s">
        <v>3401</v>
      </c>
    </row>
    <row r="618" spans="1:1" x14ac:dyDescent="0.25">
      <c r="A618" t="s">
        <v>3402</v>
      </c>
    </row>
    <row r="620" spans="1:1" x14ac:dyDescent="0.25">
      <c r="A620" t="s">
        <v>3392</v>
      </c>
    </row>
    <row r="621" spans="1:1" x14ac:dyDescent="0.25">
      <c r="A621" t="s">
        <v>3393</v>
      </c>
    </row>
    <row r="622" spans="1:1" x14ac:dyDescent="0.25">
      <c r="A622" t="s">
        <v>3547</v>
      </c>
    </row>
    <row r="623" spans="1:1" x14ac:dyDescent="0.25">
      <c r="A623" t="s">
        <v>3548</v>
      </c>
    </row>
    <row r="624" spans="1:1" x14ac:dyDescent="0.25">
      <c r="A624" t="s">
        <v>3549</v>
      </c>
    </row>
    <row r="625" spans="1:1" x14ac:dyDescent="0.25">
      <c r="A625" t="s">
        <v>3397</v>
      </c>
    </row>
    <row r="626" spans="1:1" x14ac:dyDescent="0.25">
      <c r="A626" t="s">
        <v>3398</v>
      </c>
    </row>
    <row r="627" spans="1:1" x14ac:dyDescent="0.25">
      <c r="A627" t="s">
        <v>3399</v>
      </c>
    </row>
    <row r="628" spans="1:1" x14ac:dyDescent="0.25">
      <c r="A628" t="s">
        <v>3550</v>
      </c>
    </row>
    <row r="629" spans="1:1" x14ac:dyDescent="0.25">
      <c r="A629" t="s">
        <v>3401</v>
      </c>
    </row>
    <row r="630" spans="1:1" x14ac:dyDescent="0.25">
      <c r="A630" t="s">
        <v>3402</v>
      </c>
    </row>
    <row r="632" spans="1:1" x14ac:dyDescent="0.25">
      <c r="A632" t="s">
        <v>3392</v>
      </c>
    </row>
    <row r="633" spans="1:1" x14ac:dyDescent="0.25">
      <c r="A633" t="s">
        <v>3393</v>
      </c>
    </row>
    <row r="634" spans="1:1" x14ac:dyDescent="0.25">
      <c r="A634" t="s">
        <v>3551</v>
      </c>
    </row>
    <row r="635" spans="1:1" x14ac:dyDescent="0.25">
      <c r="A635" t="s">
        <v>3552</v>
      </c>
    </row>
    <row r="636" spans="1:1" x14ac:dyDescent="0.25">
      <c r="A636" t="s">
        <v>3553</v>
      </c>
    </row>
    <row r="637" spans="1:1" x14ac:dyDescent="0.25">
      <c r="A637" t="s">
        <v>3397</v>
      </c>
    </row>
    <row r="638" spans="1:1" x14ac:dyDescent="0.25">
      <c r="A638" t="s">
        <v>3398</v>
      </c>
    </row>
    <row r="639" spans="1:1" x14ac:dyDescent="0.25">
      <c r="A639" t="s">
        <v>3554</v>
      </c>
    </row>
    <row r="640" spans="1:1" x14ac:dyDescent="0.25">
      <c r="A640" t="s">
        <v>3555</v>
      </c>
    </row>
    <row r="641" spans="1:1" x14ac:dyDescent="0.25">
      <c r="A641" t="s">
        <v>3401</v>
      </c>
    </row>
    <row r="642" spans="1:1" x14ac:dyDescent="0.25">
      <c r="A642" t="s">
        <v>3402</v>
      </c>
    </row>
    <row r="644" spans="1:1" x14ac:dyDescent="0.25">
      <c r="A644" t="s">
        <v>3392</v>
      </c>
    </row>
    <row r="645" spans="1:1" x14ac:dyDescent="0.25">
      <c r="A645" t="s">
        <v>3393</v>
      </c>
    </row>
    <row r="646" spans="1:1" x14ac:dyDescent="0.25">
      <c r="A646" t="s">
        <v>3556</v>
      </c>
    </row>
    <row r="647" spans="1:1" x14ac:dyDescent="0.25">
      <c r="A647" t="s">
        <v>3557</v>
      </c>
    </row>
    <row r="648" spans="1:1" x14ac:dyDescent="0.25">
      <c r="A648" t="s">
        <v>3558</v>
      </c>
    </row>
    <row r="649" spans="1:1" x14ac:dyDescent="0.25">
      <c r="A649" t="s">
        <v>3397</v>
      </c>
    </row>
    <row r="650" spans="1:1" x14ac:dyDescent="0.25">
      <c r="A650" t="s">
        <v>3398</v>
      </c>
    </row>
    <row r="651" spans="1:1" x14ac:dyDescent="0.25">
      <c r="A651" t="s">
        <v>3559</v>
      </c>
    </row>
    <row r="652" spans="1:1" x14ac:dyDescent="0.25">
      <c r="A652" t="s">
        <v>3560</v>
      </c>
    </row>
    <row r="653" spans="1:1" x14ac:dyDescent="0.25">
      <c r="A653" t="s">
        <v>3401</v>
      </c>
    </row>
    <row r="654" spans="1:1" x14ac:dyDescent="0.25">
      <c r="A654" t="s">
        <v>3402</v>
      </c>
    </row>
    <row r="656" spans="1:1" x14ac:dyDescent="0.25">
      <c r="A656" t="s">
        <v>3392</v>
      </c>
    </row>
    <row r="657" spans="1:1" x14ac:dyDescent="0.25">
      <c r="A657" t="s">
        <v>3393</v>
      </c>
    </row>
    <row r="658" spans="1:1" x14ac:dyDescent="0.25">
      <c r="A658" t="s">
        <v>3561</v>
      </c>
    </row>
    <row r="659" spans="1:1" x14ac:dyDescent="0.25">
      <c r="A659" t="s">
        <v>3562</v>
      </c>
    </row>
    <row r="660" spans="1:1" x14ac:dyDescent="0.25">
      <c r="A660" t="s">
        <v>3545</v>
      </c>
    </row>
    <row r="661" spans="1:1" x14ac:dyDescent="0.25">
      <c r="A661" t="s">
        <v>3397</v>
      </c>
    </row>
    <row r="662" spans="1:1" x14ac:dyDescent="0.25">
      <c r="A662" t="s">
        <v>3398</v>
      </c>
    </row>
    <row r="663" spans="1:1" x14ac:dyDescent="0.25">
      <c r="A663" t="s">
        <v>3563</v>
      </c>
    </row>
    <row r="664" spans="1:1" x14ac:dyDescent="0.25">
      <c r="A664" t="s">
        <v>3564</v>
      </c>
    </row>
    <row r="665" spans="1:1" x14ac:dyDescent="0.25">
      <c r="A665" t="s">
        <v>3401</v>
      </c>
    </row>
    <row r="666" spans="1:1" x14ac:dyDescent="0.25">
      <c r="A666" t="s">
        <v>3402</v>
      </c>
    </row>
    <row r="668" spans="1:1" x14ac:dyDescent="0.25">
      <c r="A668" t="s">
        <v>3392</v>
      </c>
    </row>
    <row r="669" spans="1:1" x14ac:dyDescent="0.25">
      <c r="A669" t="s">
        <v>3393</v>
      </c>
    </row>
    <row r="670" spans="1:1" x14ac:dyDescent="0.25">
      <c r="A670" t="s">
        <v>3565</v>
      </c>
    </row>
    <row r="671" spans="1:1" x14ac:dyDescent="0.25">
      <c r="A671" t="s">
        <v>3566</v>
      </c>
    </row>
    <row r="672" spans="1:1" x14ac:dyDescent="0.25">
      <c r="A672" t="s">
        <v>3545</v>
      </c>
    </row>
    <row r="673" spans="1:1" x14ac:dyDescent="0.25">
      <c r="A673" t="s">
        <v>3397</v>
      </c>
    </row>
    <row r="674" spans="1:1" x14ac:dyDescent="0.25">
      <c r="A674" t="s">
        <v>3398</v>
      </c>
    </row>
    <row r="675" spans="1:1" x14ac:dyDescent="0.25">
      <c r="A675" t="s">
        <v>3563</v>
      </c>
    </row>
    <row r="676" spans="1:1" x14ac:dyDescent="0.25">
      <c r="A676" t="s">
        <v>3567</v>
      </c>
    </row>
    <row r="677" spans="1:1" x14ac:dyDescent="0.25">
      <c r="A677" t="s">
        <v>3401</v>
      </c>
    </row>
    <row r="678" spans="1:1" x14ac:dyDescent="0.25">
      <c r="A678" t="s">
        <v>3402</v>
      </c>
    </row>
    <row r="680" spans="1:1" x14ac:dyDescent="0.25">
      <c r="A680" t="s">
        <v>3392</v>
      </c>
    </row>
    <row r="681" spans="1:1" x14ac:dyDescent="0.25">
      <c r="A681" t="s">
        <v>3393</v>
      </c>
    </row>
    <row r="682" spans="1:1" x14ac:dyDescent="0.25">
      <c r="A682" t="s">
        <v>3568</v>
      </c>
    </row>
    <row r="683" spans="1:1" x14ac:dyDescent="0.25">
      <c r="A683" t="s">
        <v>3569</v>
      </c>
    </row>
    <row r="684" spans="1:1" x14ac:dyDescent="0.25">
      <c r="A684" t="s">
        <v>3545</v>
      </c>
    </row>
    <row r="685" spans="1:1" x14ac:dyDescent="0.25">
      <c r="A685" t="s">
        <v>3397</v>
      </c>
    </row>
    <row r="686" spans="1:1" x14ac:dyDescent="0.25">
      <c r="A686" t="s">
        <v>3398</v>
      </c>
    </row>
    <row r="687" spans="1:1" x14ac:dyDescent="0.25">
      <c r="A687" t="s">
        <v>3563</v>
      </c>
    </row>
    <row r="688" spans="1:1" x14ac:dyDescent="0.25">
      <c r="A688" t="s">
        <v>3570</v>
      </c>
    </row>
    <row r="689" spans="1:1" x14ac:dyDescent="0.25">
      <c r="A689" t="s">
        <v>3401</v>
      </c>
    </row>
    <row r="690" spans="1:1" x14ac:dyDescent="0.25">
      <c r="A690" t="s">
        <v>3402</v>
      </c>
    </row>
    <row r="692" spans="1:1" x14ac:dyDescent="0.25">
      <c r="A692" t="s">
        <v>3392</v>
      </c>
    </row>
    <row r="693" spans="1:1" x14ac:dyDescent="0.25">
      <c r="A693" t="s">
        <v>3393</v>
      </c>
    </row>
    <row r="694" spans="1:1" x14ac:dyDescent="0.25">
      <c r="A694" t="s">
        <v>3571</v>
      </c>
    </row>
    <row r="695" spans="1:1" x14ac:dyDescent="0.25">
      <c r="A695" t="s">
        <v>3572</v>
      </c>
    </row>
    <row r="696" spans="1:1" x14ac:dyDescent="0.25">
      <c r="A696" t="s">
        <v>3545</v>
      </c>
    </row>
    <row r="697" spans="1:1" x14ac:dyDescent="0.25">
      <c r="A697" t="s">
        <v>3397</v>
      </c>
    </row>
    <row r="698" spans="1:1" x14ac:dyDescent="0.25">
      <c r="A698" t="s">
        <v>3398</v>
      </c>
    </row>
    <row r="699" spans="1:1" x14ac:dyDescent="0.25">
      <c r="A699" t="s">
        <v>3563</v>
      </c>
    </row>
    <row r="700" spans="1:1" x14ac:dyDescent="0.25">
      <c r="A700" t="s">
        <v>3573</v>
      </c>
    </row>
    <row r="701" spans="1:1" x14ac:dyDescent="0.25">
      <c r="A701" t="s">
        <v>3401</v>
      </c>
    </row>
    <row r="702" spans="1:1" x14ac:dyDescent="0.25">
      <c r="A702" t="s">
        <v>3402</v>
      </c>
    </row>
    <row r="704" spans="1:1" x14ac:dyDescent="0.25">
      <c r="A704" t="s">
        <v>3184</v>
      </c>
    </row>
    <row r="705" spans="1:1" x14ac:dyDescent="0.25">
      <c r="A705" t="s">
        <v>3185</v>
      </c>
    </row>
    <row r="706" spans="1:1" x14ac:dyDescent="0.25">
      <c r="A706" t="s">
        <v>3574</v>
      </c>
    </row>
    <row r="707" spans="1:1" x14ac:dyDescent="0.25">
      <c r="A707" t="s">
        <v>3575</v>
      </c>
    </row>
    <row r="708" spans="1:1" x14ac:dyDescent="0.25">
      <c r="A708" t="s">
        <v>3576</v>
      </c>
    </row>
    <row r="709" spans="1:1" x14ac:dyDescent="0.25">
      <c r="A709" t="s">
        <v>3214</v>
      </c>
    </row>
    <row r="710" spans="1:1" x14ac:dyDescent="0.25">
      <c r="A710" t="s">
        <v>3190</v>
      </c>
    </row>
    <row r="711" spans="1:1" x14ac:dyDescent="0.25">
      <c r="A711" t="s">
        <v>3215</v>
      </c>
    </row>
    <row r="712" spans="1:1" x14ac:dyDescent="0.25">
      <c r="A712" t="s">
        <v>3577</v>
      </c>
    </row>
    <row r="713" spans="1:1" x14ac:dyDescent="0.25">
      <c r="A713" t="s">
        <v>3193</v>
      </c>
    </row>
    <row r="714" spans="1:1" x14ac:dyDescent="0.25">
      <c r="A714" t="s">
        <v>3194</v>
      </c>
    </row>
    <row r="716" spans="1:1" x14ac:dyDescent="0.25">
      <c r="A716" t="s">
        <v>3184</v>
      </c>
    </row>
    <row r="717" spans="1:1" x14ac:dyDescent="0.25">
      <c r="A717" t="s">
        <v>3185</v>
      </c>
    </row>
    <row r="718" spans="1:1" x14ac:dyDescent="0.25">
      <c r="A718" t="s">
        <v>3578</v>
      </c>
    </row>
    <row r="719" spans="1:1" x14ac:dyDescent="0.25">
      <c r="A719" t="s">
        <v>3579</v>
      </c>
    </row>
    <row r="720" spans="1:1" x14ac:dyDescent="0.25">
      <c r="A720" t="s">
        <v>3576</v>
      </c>
    </row>
    <row r="721" spans="1:1" x14ac:dyDescent="0.25">
      <c r="A721" t="s">
        <v>3214</v>
      </c>
    </row>
    <row r="722" spans="1:1" x14ac:dyDescent="0.25">
      <c r="A722" t="s">
        <v>3190</v>
      </c>
    </row>
    <row r="723" spans="1:1" x14ac:dyDescent="0.25">
      <c r="A723" t="s">
        <v>3580</v>
      </c>
    </row>
    <row r="724" spans="1:1" x14ac:dyDescent="0.25">
      <c r="A724" t="s">
        <v>3581</v>
      </c>
    </row>
    <row r="725" spans="1:1" x14ac:dyDescent="0.25">
      <c r="A725" t="s">
        <v>3193</v>
      </c>
    </row>
    <row r="726" spans="1:1" x14ac:dyDescent="0.25">
      <c r="A726" t="s">
        <v>3194</v>
      </c>
    </row>
    <row r="728" spans="1:1" x14ac:dyDescent="0.25">
      <c r="A728" t="s">
        <v>3184</v>
      </c>
    </row>
    <row r="729" spans="1:1" x14ac:dyDescent="0.25">
      <c r="A729" t="s">
        <v>3185</v>
      </c>
    </row>
    <row r="730" spans="1:1" x14ac:dyDescent="0.25">
      <c r="A730" t="s">
        <v>3582</v>
      </c>
    </row>
    <row r="731" spans="1:1" x14ac:dyDescent="0.25">
      <c r="A731" t="s">
        <v>3575</v>
      </c>
    </row>
    <row r="732" spans="1:1" x14ac:dyDescent="0.25">
      <c r="A732" t="s">
        <v>3576</v>
      </c>
    </row>
    <row r="733" spans="1:1" x14ac:dyDescent="0.25">
      <c r="A733" t="s">
        <v>3214</v>
      </c>
    </row>
    <row r="734" spans="1:1" x14ac:dyDescent="0.25">
      <c r="A734" t="s">
        <v>3190</v>
      </c>
    </row>
    <row r="735" spans="1:1" x14ac:dyDescent="0.25">
      <c r="A735" t="s">
        <v>3215</v>
      </c>
    </row>
    <row r="736" spans="1:1" x14ac:dyDescent="0.25">
      <c r="A736" t="s">
        <v>3583</v>
      </c>
    </row>
    <row r="737" spans="1:1" x14ac:dyDescent="0.25">
      <c r="A737" t="s">
        <v>3193</v>
      </c>
    </row>
    <row r="738" spans="1:1" x14ac:dyDescent="0.25">
      <c r="A738" t="s">
        <v>3194</v>
      </c>
    </row>
    <row r="740" spans="1:1" x14ac:dyDescent="0.25">
      <c r="A740" t="s">
        <v>3184</v>
      </c>
    </row>
    <row r="741" spans="1:1" x14ac:dyDescent="0.25">
      <c r="A741" t="s">
        <v>3185</v>
      </c>
    </row>
    <row r="742" spans="1:1" x14ac:dyDescent="0.25">
      <c r="A742" t="s">
        <v>3584</v>
      </c>
    </row>
    <row r="743" spans="1:1" x14ac:dyDescent="0.25">
      <c r="A743" t="s">
        <v>3579</v>
      </c>
    </row>
    <row r="744" spans="1:1" x14ac:dyDescent="0.25">
      <c r="A744" t="s">
        <v>3576</v>
      </c>
    </row>
    <row r="745" spans="1:1" x14ac:dyDescent="0.25">
      <c r="A745" t="s">
        <v>3214</v>
      </c>
    </row>
    <row r="746" spans="1:1" x14ac:dyDescent="0.25">
      <c r="A746" t="s">
        <v>3190</v>
      </c>
    </row>
    <row r="747" spans="1:1" x14ac:dyDescent="0.25">
      <c r="A747" t="s">
        <v>3585</v>
      </c>
    </row>
    <row r="748" spans="1:1" x14ac:dyDescent="0.25">
      <c r="A748" t="s">
        <v>3586</v>
      </c>
    </row>
    <row r="749" spans="1:1" x14ac:dyDescent="0.25">
      <c r="A749" t="s">
        <v>3193</v>
      </c>
    </row>
    <row r="750" spans="1:1" x14ac:dyDescent="0.25">
      <c r="A750" t="s">
        <v>3194</v>
      </c>
    </row>
    <row r="752" spans="1:1" x14ac:dyDescent="0.25">
      <c r="A752" t="s">
        <v>3184</v>
      </c>
    </row>
    <row r="753" spans="1:1" x14ac:dyDescent="0.25">
      <c r="A753" t="s">
        <v>3185</v>
      </c>
    </row>
    <row r="754" spans="1:1" x14ac:dyDescent="0.25">
      <c r="A754" t="s">
        <v>3587</v>
      </c>
    </row>
    <row r="755" spans="1:1" x14ac:dyDescent="0.25">
      <c r="A755" t="s">
        <v>3575</v>
      </c>
    </row>
    <row r="756" spans="1:1" x14ac:dyDescent="0.25">
      <c r="A756" t="s">
        <v>3576</v>
      </c>
    </row>
    <row r="757" spans="1:1" x14ac:dyDescent="0.25">
      <c r="A757" t="s">
        <v>3214</v>
      </c>
    </row>
    <row r="758" spans="1:1" x14ac:dyDescent="0.25">
      <c r="A758" t="s">
        <v>3190</v>
      </c>
    </row>
    <row r="759" spans="1:1" x14ac:dyDescent="0.25">
      <c r="A759" t="s">
        <v>3215</v>
      </c>
    </row>
    <row r="760" spans="1:1" x14ac:dyDescent="0.25">
      <c r="A760" t="s">
        <v>3588</v>
      </c>
    </row>
    <row r="761" spans="1:1" x14ac:dyDescent="0.25">
      <c r="A761" t="s">
        <v>3193</v>
      </c>
    </row>
    <row r="762" spans="1:1" x14ac:dyDescent="0.25">
      <c r="A762" t="s">
        <v>3194</v>
      </c>
    </row>
    <row r="764" spans="1:1" x14ac:dyDescent="0.25">
      <c r="A764" t="s">
        <v>3184</v>
      </c>
    </row>
    <row r="765" spans="1:1" x14ac:dyDescent="0.25">
      <c r="A765" t="s">
        <v>3185</v>
      </c>
    </row>
    <row r="766" spans="1:1" x14ac:dyDescent="0.25">
      <c r="A766" t="s">
        <v>3589</v>
      </c>
    </row>
    <row r="767" spans="1:1" x14ac:dyDescent="0.25">
      <c r="A767" t="s">
        <v>3579</v>
      </c>
    </row>
    <row r="768" spans="1:1" x14ac:dyDescent="0.25">
      <c r="A768" t="s">
        <v>3576</v>
      </c>
    </row>
    <row r="769" spans="1:1" x14ac:dyDescent="0.25">
      <c r="A769" t="s">
        <v>3214</v>
      </c>
    </row>
    <row r="770" spans="1:1" x14ac:dyDescent="0.25">
      <c r="A770" t="s">
        <v>3190</v>
      </c>
    </row>
    <row r="771" spans="1:1" x14ac:dyDescent="0.25">
      <c r="A771" t="s">
        <v>3580</v>
      </c>
    </row>
    <row r="772" spans="1:1" x14ac:dyDescent="0.25">
      <c r="A772" t="s">
        <v>3590</v>
      </c>
    </row>
    <row r="773" spans="1:1" x14ac:dyDescent="0.25">
      <c r="A773" t="s">
        <v>3193</v>
      </c>
    </row>
    <row r="774" spans="1:1" x14ac:dyDescent="0.25">
      <c r="A774" t="s">
        <v>3194</v>
      </c>
    </row>
    <row r="776" spans="1:1" x14ac:dyDescent="0.25">
      <c r="A776" t="s">
        <v>3184</v>
      </c>
    </row>
    <row r="777" spans="1:1" x14ac:dyDescent="0.25">
      <c r="A777" t="s">
        <v>3185</v>
      </c>
    </row>
    <row r="778" spans="1:1" x14ac:dyDescent="0.25">
      <c r="A778" t="s">
        <v>3591</v>
      </c>
    </row>
    <row r="779" spans="1:1" x14ac:dyDescent="0.25">
      <c r="A779" t="s">
        <v>3575</v>
      </c>
    </row>
    <row r="780" spans="1:1" x14ac:dyDescent="0.25">
      <c r="A780" t="s">
        <v>3576</v>
      </c>
    </row>
    <row r="781" spans="1:1" x14ac:dyDescent="0.25">
      <c r="A781" t="s">
        <v>3214</v>
      </c>
    </row>
    <row r="782" spans="1:1" x14ac:dyDescent="0.25">
      <c r="A782" t="s">
        <v>3190</v>
      </c>
    </row>
    <row r="783" spans="1:1" x14ac:dyDescent="0.25">
      <c r="A783" t="s">
        <v>3215</v>
      </c>
    </row>
    <row r="784" spans="1:1" x14ac:dyDescent="0.25">
      <c r="A784" t="s">
        <v>3592</v>
      </c>
    </row>
    <row r="785" spans="1:1" x14ac:dyDescent="0.25">
      <c r="A785" t="s">
        <v>3193</v>
      </c>
    </row>
    <row r="786" spans="1:1" x14ac:dyDescent="0.25">
      <c r="A786" t="s">
        <v>3194</v>
      </c>
    </row>
    <row r="788" spans="1:1" x14ac:dyDescent="0.25">
      <c r="A788" t="s">
        <v>3184</v>
      </c>
    </row>
    <row r="789" spans="1:1" x14ac:dyDescent="0.25">
      <c r="A789" t="s">
        <v>3185</v>
      </c>
    </row>
    <row r="790" spans="1:1" x14ac:dyDescent="0.25">
      <c r="A790" t="s">
        <v>3593</v>
      </c>
    </row>
    <row r="791" spans="1:1" x14ac:dyDescent="0.25">
      <c r="A791" t="s">
        <v>3579</v>
      </c>
    </row>
    <row r="792" spans="1:1" x14ac:dyDescent="0.25">
      <c r="A792" t="s">
        <v>3576</v>
      </c>
    </row>
    <row r="793" spans="1:1" x14ac:dyDescent="0.25">
      <c r="A793" t="s">
        <v>3214</v>
      </c>
    </row>
    <row r="794" spans="1:1" x14ac:dyDescent="0.25">
      <c r="A794" t="s">
        <v>3190</v>
      </c>
    </row>
    <row r="795" spans="1:1" x14ac:dyDescent="0.25">
      <c r="A795" t="s">
        <v>3580</v>
      </c>
    </row>
    <row r="796" spans="1:1" x14ac:dyDescent="0.25">
      <c r="A796" t="s">
        <v>3594</v>
      </c>
    </row>
    <row r="797" spans="1:1" x14ac:dyDescent="0.25">
      <c r="A797" t="s">
        <v>3193</v>
      </c>
    </row>
    <row r="798" spans="1:1" x14ac:dyDescent="0.25">
      <c r="A798" t="s">
        <v>3194</v>
      </c>
    </row>
    <row r="800" spans="1:1" x14ac:dyDescent="0.25">
      <c r="A800" t="s">
        <v>3392</v>
      </c>
    </row>
    <row r="801" spans="1:1" x14ac:dyDescent="0.25">
      <c r="A801" t="s">
        <v>3393</v>
      </c>
    </row>
    <row r="802" spans="1:1" x14ac:dyDescent="0.25">
      <c r="A802" t="s">
        <v>3595</v>
      </c>
    </row>
    <row r="803" spans="1:1" x14ac:dyDescent="0.25">
      <c r="A803" t="s">
        <v>3596</v>
      </c>
    </row>
    <row r="804" spans="1:1" x14ac:dyDescent="0.25">
      <c r="A804" t="s">
        <v>3597</v>
      </c>
    </row>
    <row r="805" spans="1:1" x14ac:dyDescent="0.25">
      <c r="A805" t="s">
        <v>3397</v>
      </c>
    </row>
    <row r="806" spans="1:1" x14ac:dyDescent="0.25">
      <c r="A806" t="s">
        <v>3398</v>
      </c>
    </row>
    <row r="807" spans="1:1" x14ac:dyDescent="0.25">
      <c r="A807" t="s">
        <v>3563</v>
      </c>
    </row>
    <row r="808" spans="1:1" x14ac:dyDescent="0.25">
      <c r="A808" t="s">
        <v>3598</v>
      </c>
    </row>
    <row r="809" spans="1:1" x14ac:dyDescent="0.25">
      <c r="A809" t="s">
        <v>3401</v>
      </c>
    </row>
    <row r="810" spans="1:1" x14ac:dyDescent="0.25">
      <c r="A810" t="s">
        <v>3402</v>
      </c>
    </row>
    <row r="812" spans="1:1" x14ac:dyDescent="0.25">
      <c r="A812" t="s">
        <v>3392</v>
      </c>
    </row>
    <row r="813" spans="1:1" x14ac:dyDescent="0.25">
      <c r="A813" t="s">
        <v>3393</v>
      </c>
    </row>
    <row r="814" spans="1:1" x14ac:dyDescent="0.25">
      <c r="A814" t="s">
        <v>3599</v>
      </c>
    </row>
    <row r="815" spans="1:1" x14ac:dyDescent="0.25">
      <c r="A815" t="s">
        <v>3600</v>
      </c>
    </row>
    <row r="816" spans="1:1" x14ac:dyDescent="0.25">
      <c r="A816" t="s">
        <v>3545</v>
      </c>
    </row>
    <row r="817" spans="1:1" x14ac:dyDescent="0.25">
      <c r="A817" t="s">
        <v>3397</v>
      </c>
    </row>
    <row r="818" spans="1:1" x14ac:dyDescent="0.25">
      <c r="A818" t="s">
        <v>3398</v>
      </c>
    </row>
    <row r="819" spans="1:1" x14ac:dyDescent="0.25">
      <c r="A819" t="s">
        <v>3563</v>
      </c>
    </row>
    <row r="820" spans="1:1" x14ac:dyDescent="0.25">
      <c r="A820" t="s">
        <v>3601</v>
      </c>
    </row>
    <row r="821" spans="1:1" x14ac:dyDescent="0.25">
      <c r="A821" t="s">
        <v>3401</v>
      </c>
    </row>
    <row r="822" spans="1:1" x14ac:dyDescent="0.25">
      <c r="A822" t="s">
        <v>3402</v>
      </c>
    </row>
    <row r="824" spans="1:1" x14ac:dyDescent="0.25">
      <c r="A824" t="s">
        <v>3392</v>
      </c>
    </row>
    <row r="825" spans="1:1" x14ac:dyDescent="0.25">
      <c r="A825" t="s">
        <v>3393</v>
      </c>
    </row>
    <row r="826" spans="1:1" x14ac:dyDescent="0.25">
      <c r="A826" t="s">
        <v>3602</v>
      </c>
    </row>
    <row r="827" spans="1:1" x14ac:dyDescent="0.25">
      <c r="A827" t="s">
        <v>3603</v>
      </c>
    </row>
    <row r="828" spans="1:1" x14ac:dyDescent="0.25">
      <c r="A828" t="s">
        <v>3545</v>
      </c>
    </row>
    <row r="829" spans="1:1" x14ac:dyDescent="0.25">
      <c r="A829" t="s">
        <v>3397</v>
      </c>
    </row>
    <row r="830" spans="1:1" x14ac:dyDescent="0.25">
      <c r="A830" t="s">
        <v>3398</v>
      </c>
    </row>
    <row r="831" spans="1:1" x14ac:dyDescent="0.25">
      <c r="A831" t="s">
        <v>3563</v>
      </c>
    </row>
    <row r="832" spans="1:1" x14ac:dyDescent="0.25">
      <c r="A832" t="s">
        <v>3604</v>
      </c>
    </row>
    <row r="833" spans="1:1" x14ac:dyDescent="0.25">
      <c r="A833" t="s">
        <v>3401</v>
      </c>
    </row>
    <row r="834" spans="1:1" x14ac:dyDescent="0.25">
      <c r="A834" t="s">
        <v>3402</v>
      </c>
    </row>
    <row r="836" spans="1:1" x14ac:dyDescent="0.25">
      <c r="A836" t="s">
        <v>3392</v>
      </c>
    </row>
    <row r="837" spans="1:1" x14ac:dyDescent="0.25">
      <c r="A837" t="s">
        <v>3393</v>
      </c>
    </row>
    <row r="838" spans="1:1" x14ac:dyDescent="0.25">
      <c r="A838" t="s">
        <v>3605</v>
      </c>
    </row>
    <row r="839" spans="1:1" x14ac:dyDescent="0.25">
      <c r="A839" t="s">
        <v>3606</v>
      </c>
    </row>
    <row r="840" spans="1:1" x14ac:dyDescent="0.25">
      <c r="A840" t="s">
        <v>3607</v>
      </c>
    </row>
    <row r="841" spans="1:1" x14ac:dyDescent="0.25">
      <c r="A841" t="s">
        <v>3397</v>
      </c>
    </row>
    <row r="842" spans="1:1" x14ac:dyDescent="0.25">
      <c r="A842" t="s">
        <v>3398</v>
      </c>
    </row>
    <row r="843" spans="1:1" x14ac:dyDescent="0.25">
      <c r="A843" t="s">
        <v>3399</v>
      </c>
    </row>
    <row r="844" spans="1:1" x14ac:dyDescent="0.25">
      <c r="A844" t="s">
        <v>3608</v>
      </c>
    </row>
    <row r="845" spans="1:1" x14ac:dyDescent="0.25">
      <c r="A845" t="s">
        <v>3401</v>
      </c>
    </row>
    <row r="846" spans="1:1" x14ac:dyDescent="0.25">
      <c r="A846" t="s">
        <v>3402</v>
      </c>
    </row>
    <row r="848" spans="1:1" x14ac:dyDescent="0.25">
      <c r="A848" t="s">
        <v>3392</v>
      </c>
    </row>
    <row r="849" spans="1:1" x14ac:dyDescent="0.25">
      <c r="A849" t="s">
        <v>3393</v>
      </c>
    </row>
    <row r="850" spans="1:1" x14ac:dyDescent="0.25">
      <c r="A850" t="s">
        <v>3609</v>
      </c>
    </row>
    <row r="851" spans="1:1" x14ac:dyDescent="0.25">
      <c r="A851" t="s">
        <v>3610</v>
      </c>
    </row>
    <row r="852" spans="1:1" x14ac:dyDescent="0.25">
      <c r="A852" t="s">
        <v>3529</v>
      </c>
    </row>
    <row r="853" spans="1:1" x14ac:dyDescent="0.25">
      <c r="A853" t="s">
        <v>3397</v>
      </c>
    </row>
    <row r="854" spans="1:1" x14ac:dyDescent="0.25">
      <c r="A854" t="s">
        <v>3398</v>
      </c>
    </row>
    <row r="855" spans="1:1" x14ac:dyDescent="0.25">
      <c r="A855" t="s">
        <v>3611</v>
      </c>
    </row>
    <row r="856" spans="1:1" x14ac:dyDescent="0.25">
      <c r="A856" t="s">
        <v>3612</v>
      </c>
    </row>
    <row r="857" spans="1:1" x14ac:dyDescent="0.25">
      <c r="A857" t="s">
        <v>3401</v>
      </c>
    </row>
    <row r="858" spans="1:1" x14ac:dyDescent="0.25">
      <c r="A858" t="s">
        <v>3402</v>
      </c>
    </row>
    <row r="860" spans="1:1" x14ac:dyDescent="0.25">
      <c r="A860" t="s">
        <v>3392</v>
      </c>
    </row>
    <row r="861" spans="1:1" x14ac:dyDescent="0.25">
      <c r="A861" t="s">
        <v>3393</v>
      </c>
    </row>
    <row r="862" spans="1:1" x14ac:dyDescent="0.25">
      <c r="A862" t="s">
        <v>3613</v>
      </c>
    </row>
    <row r="863" spans="1:1" x14ac:dyDescent="0.25">
      <c r="A863" t="s">
        <v>3614</v>
      </c>
    </row>
    <row r="864" spans="1:1" x14ac:dyDescent="0.25">
      <c r="A864" t="s">
        <v>3615</v>
      </c>
    </row>
    <row r="865" spans="1:1" x14ac:dyDescent="0.25">
      <c r="A865" t="s">
        <v>3397</v>
      </c>
    </row>
    <row r="866" spans="1:1" x14ac:dyDescent="0.25">
      <c r="A866" t="s">
        <v>3398</v>
      </c>
    </row>
    <row r="867" spans="1:1" x14ac:dyDescent="0.25">
      <c r="A867" t="s">
        <v>3399</v>
      </c>
    </row>
    <row r="868" spans="1:1" x14ac:dyDescent="0.25">
      <c r="A868" t="s">
        <v>3616</v>
      </c>
    </row>
    <row r="869" spans="1:1" x14ac:dyDescent="0.25">
      <c r="A869" t="s">
        <v>3401</v>
      </c>
    </row>
    <row r="870" spans="1:1" x14ac:dyDescent="0.25">
      <c r="A870" t="s">
        <v>3402</v>
      </c>
    </row>
    <row r="872" spans="1:1" x14ac:dyDescent="0.25">
      <c r="A872" t="s">
        <v>3184</v>
      </c>
    </row>
    <row r="873" spans="1:1" x14ac:dyDescent="0.25">
      <c r="A873" t="s">
        <v>3185</v>
      </c>
    </row>
    <row r="874" spans="1:1" x14ac:dyDescent="0.25">
      <c r="A874" t="s">
        <v>3617</v>
      </c>
    </row>
    <row r="875" spans="1:1" x14ac:dyDescent="0.25">
      <c r="A875" t="s">
        <v>3618</v>
      </c>
    </row>
    <row r="876" spans="1:1" x14ac:dyDescent="0.25">
      <c r="A876" t="s">
        <v>3619</v>
      </c>
    </row>
    <row r="877" spans="1:1" x14ac:dyDescent="0.25">
      <c r="A877" t="s">
        <v>3207</v>
      </c>
    </row>
    <row r="878" spans="1:1" x14ac:dyDescent="0.25">
      <c r="A878" t="s">
        <v>3190</v>
      </c>
    </row>
    <row r="879" spans="1:1" x14ac:dyDescent="0.25">
      <c r="A879" t="s">
        <v>3225</v>
      </c>
    </row>
    <row r="880" spans="1:1" x14ac:dyDescent="0.25">
      <c r="A880" t="s">
        <v>3620</v>
      </c>
    </row>
    <row r="881" spans="1:1" x14ac:dyDescent="0.25">
      <c r="A881" t="s">
        <v>3210</v>
      </c>
    </row>
    <row r="882" spans="1:1" x14ac:dyDescent="0.25">
      <c r="A882" t="s">
        <v>3194</v>
      </c>
    </row>
    <row r="884" spans="1:1" x14ac:dyDescent="0.25">
      <c r="A884" t="s">
        <v>3184</v>
      </c>
    </row>
    <row r="885" spans="1:1" x14ac:dyDescent="0.25">
      <c r="A885" t="s">
        <v>3185</v>
      </c>
    </row>
    <row r="886" spans="1:1" x14ac:dyDescent="0.25">
      <c r="A886" t="s">
        <v>3621</v>
      </c>
    </row>
    <row r="887" spans="1:1" x14ac:dyDescent="0.25">
      <c r="A887" t="s">
        <v>3622</v>
      </c>
    </row>
    <row r="888" spans="1:1" x14ac:dyDescent="0.25">
      <c r="A888" t="s">
        <v>3619</v>
      </c>
    </row>
    <row r="889" spans="1:1" x14ac:dyDescent="0.25">
      <c r="A889" t="s">
        <v>3207</v>
      </c>
    </row>
    <row r="890" spans="1:1" x14ac:dyDescent="0.25">
      <c r="A890" t="s">
        <v>3190</v>
      </c>
    </row>
    <row r="891" spans="1:1" x14ac:dyDescent="0.25">
      <c r="A891" t="s">
        <v>3225</v>
      </c>
    </row>
    <row r="892" spans="1:1" x14ac:dyDescent="0.25">
      <c r="A892" t="s">
        <v>3623</v>
      </c>
    </row>
    <row r="893" spans="1:1" x14ac:dyDescent="0.25">
      <c r="A893" t="s">
        <v>3210</v>
      </c>
    </row>
    <row r="894" spans="1:1" x14ac:dyDescent="0.25">
      <c r="A894" t="s">
        <v>3194</v>
      </c>
    </row>
    <row r="896" spans="1:1" x14ac:dyDescent="0.25">
      <c r="A896" t="s">
        <v>3184</v>
      </c>
    </row>
    <row r="897" spans="1:1" x14ac:dyDescent="0.25">
      <c r="A897" t="s">
        <v>3185</v>
      </c>
    </row>
    <row r="898" spans="1:1" x14ac:dyDescent="0.25">
      <c r="A898" t="s">
        <v>3624</v>
      </c>
    </row>
    <row r="899" spans="1:1" x14ac:dyDescent="0.25">
      <c r="A899" t="s">
        <v>3625</v>
      </c>
    </row>
    <row r="900" spans="1:1" x14ac:dyDescent="0.25">
      <c r="A900" t="s">
        <v>3626</v>
      </c>
    </row>
    <row r="901" spans="1:1" x14ac:dyDescent="0.25">
      <c r="A901" t="s">
        <v>3207</v>
      </c>
    </row>
    <row r="902" spans="1:1" x14ac:dyDescent="0.25">
      <c r="A902" t="s">
        <v>3190</v>
      </c>
    </row>
    <row r="903" spans="1:1" x14ac:dyDescent="0.25">
      <c r="A903" t="s">
        <v>3225</v>
      </c>
    </row>
    <row r="904" spans="1:1" x14ac:dyDescent="0.25">
      <c r="A904" t="s">
        <v>3627</v>
      </c>
    </row>
    <row r="905" spans="1:1" x14ac:dyDescent="0.25">
      <c r="A905" t="s">
        <v>3210</v>
      </c>
    </row>
    <row r="906" spans="1:1" x14ac:dyDescent="0.25">
      <c r="A906" t="s">
        <v>3194</v>
      </c>
    </row>
    <row r="908" spans="1:1" x14ac:dyDescent="0.25">
      <c r="A908" t="s">
        <v>3392</v>
      </c>
    </row>
    <row r="909" spans="1:1" x14ac:dyDescent="0.25">
      <c r="A909" t="s">
        <v>3393</v>
      </c>
    </row>
    <row r="910" spans="1:1" x14ac:dyDescent="0.25">
      <c r="A910" t="s">
        <v>3628</v>
      </c>
    </row>
    <row r="911" spans="1:1" x14ac:dyDescent="0.25">
      <c r="A911" t="s">
        <v>3629</v>
      </c>
    </row>
    <row r="912" spans="1:1" x14ac:dyDescent="0.25">
      <c r="A912" t="s">
        <v>3534</v>
      </c>
    </row>
    <row r="913" spans="1:1" x14ac:dyDescent="0.25">
      <c r="A913" t="s">
        <v>3397</v>
      </c>
    </row>
    <row r="914" spans="1:1" x14ac:dyDescent="0.25">
      <c r="A914" t="s">
        <v>3398</v>
      </c>
    </row>
    <row r="915" spans="1:1" x14ac:dyDescent="0.25">
      <c r="A915" t="s">
        <v>3563</v>
      </c>
    </row>
    <row r="916" spans="1:1" x14ac:dyDescent="0.25">
      <c r="A916" t="s">
        <v>3630</v>
      </c>
    </row>
    <row r="917" spans="1:1" x14ac:dyDescent="0.25">
      <c r="A917" t="s">
        <v>3401</v>
      </c>
    </row>
    <row r="918" spans="1:1" x14ac:dyDescent="0.25">
      <c r="A918" t="s">
        <v>3402</v>
      </c>
    </row>
    <row r="920" spans="1:1" x14ac:dyDescent="0.25">
      <c r="A920" t="s">
        <v>3392</v>
      </c>
    </row>
    <row r="921" spans="1:1" x14ac:dyDescent="0.25">
      <c r="A921" t="s">
        <v>3393</v>
      </c>
    </row>
    <row r="922" spans="1:1" x14ac:dyDescent="0.25">
      <c r="A922" t="s">
        <v>3631</v>
      </c>
    </row>
    <row r="923" spans="1:1" x14ac:dyDescent="0.25">
      <c r="A923" t="s">
        <v>3632</v>
      </c>
    </row>
    <row r="924" spans="1:1" x14ac:dyDescent="0.25">
      <c r="A924" t="s">
        <v>3633</v>
      </c>
    </row>
    <row r="925" spans="1:1" x14ac:dyDescent="0.25">
      <c r="A925" t="s">
        <v>3397</v>
      </c>
    </row>
    <row r="926" spans="1:1" x14ac:dyDescent="0.25">
      <c r="A926" t="s">
        <v>3398</v>
      </c>
    </row>
    <row r="927" spans="1:1" x14ac:dyDescent="0.25">
      <c r="A927" t="s">
        <v>3563</v>
      </c>
    </row>
    <row r="928" spans="1:1" x14ac:dyDescent="0.25">
      <c r="A928" t="s">
        <v>3634</v>
      </c>
    </row>
    <row r="929" spans="1:1" x14ac:dyDescent="0.25">
      <c r="A929" t="s">
        <v>3401</v>
      </c>
    </row>
    <row r="930" spans="1:1" x14ac:dyDescent="0.25">
      <c r="A930" t="s">
        <v>3402</v>
      </c>
    </row>
    <row r="932" spans="1:1" x14ac:dyDescent="0.25">
      <c r="A932" t="s">
        <v>3392</v>
      </c>
    </row>
    <row r="933" spans="1:1" x14ac:dyDescent="0.25">
      <c r="A933" t="s">
        <v>3393</v>
      </c>
    </row>
    <row r="934" spans="1:1" x14ac:dyDescent="0.25">
      <c r="A934" t="s">
        <v>3635</v>
      </c>
    </row>
    <row r="935" spans="1:1" x14ac:dyDescent="0.25">
      <c r="A935" t="s">
        <v>3636</v>
      </c>
    </row>
    <row r="936" spans="1:1" x14ac:dyDescent="0.25">
      <c r="A936" t="s">
        <v>3633</v>
      </c>
    </row>
    <row r="937" spans="1:1" x14ac:dyDescent="0.25">
      <c r="A937" t="s">
        <v>3397</v>
      </c>
    </row>
    <row r="938" spans="1:1" x14ac:dyDescent="0.25">
      <c r="A938" t="s">
        <v>3398</v>
      </c>
    </row>
    <row r="939" spans="1:1" x14ac:dyDescent="0.25">
      <c r="A939" t="s">
        <v>3563</v>
      </c>
    </row>
    <row r="940" spans="1:1" x14ac:dyDescent="0.25">
      <c r="A940" t="s">
        <v>3637</v>
      </c>
    </row>
    <row r="941" spans="1:1" x14ac:dyDescent="0.25">
      <c r="A941" t="s">
        <v>3401</v>
      </c>
    </row>
    <row r="942" spans="1:1" x14ac:dyDescent="0.25">
      <c r="A942" t="s">
        <v>3402</v>
      </c>
    </row>
    <row r="944" spans="1:1" x14ac:dyDescent="0.25">
      <c r="A944" t="s">
        <v>3392</v>
      </c>
    </row>
    <row r="945" spans="1:1" x14ac:dyDescent="0.25">
      <c r="A945" t="s">
        <v>3393</v>
      </c>
    </row>
    <row r="946" spans="1:1" x14ac:dyDescent="0.25">
      <c r="A946" t="s">
        <v>3638</v>
      </c>
    </row>
    <row r="947" spans="1:1" x14ac:dyDescent="0.25">
      <c r="A947" t="s">
        <v>3639</v>
      </c>
    </row>
    <row r="948" spans="1:1" x14ac:dyDescent="0.25">
      <c r="A948" t="s">
        <v>3640</v>
      </c>
    </row>
    <row r="949" spans="1:1" x14ac:dyDescent="0.25">
      <c r="A949" t="s">
        <v>3397</v>
      </c>
    </row>
    <row r="950" spans="1:1" x14ac:dyDescent="0.25">
      <c r="A950" t="s">
        <v>3398</v>
      </c>
    </row>
    <row r="951" spans="1:1" x14ac:dyDescent="0.25">
      <c r="A951" t="s">
        <v>3563</v>
      </c>
    </row>
    <row r="952" spans="1:1" x14ac:dyDescent="0.25">
      <c r="A952" t="s">
        <v>3641</v>
      </c>
    </row>
    <row r="953" spans="1:1" x14ac:dyDescent="0.25">
      <c r="A953" t="s">
        <v>3401</v>
      </c>
    </row>
    <row r="954" spans="1:1" x14ac:dyDescent="0.25">
      <c r="A954" t="s">
        <v>3402</v>
      </c>
    </row>
    <row r="956" spans="1:1" x14ac:dyDescent="0.25">
      <c r="A956" t="s">
        <v>3184</v>
      </c>
    </row>
    <row r="957" spans="1:1" x14ac:dyDescent="0.25">
      <c r="A957" t="s">
        <v>3185</v>
      </c>
    </row>
    <row r="958" spans="1:1" x14ac:dyDescent="0.25">
      <c r="A958" t="s">
        <v>3642</v>
      </c>
    </row>
    <row r="959" spans="1:1" x14ac:dyDescent="0.25">
      <c r="A959" t="s">
        <v>3643</v>
      </c>
    </row>
    <row r="960" spans="1:1" x14ac:dyDescent="0.25">
      <c r="A960" t="s">
        <v>3619</v>
      </c>
    </row>
    <row r="961" spans="1:1" x14ac:dyDescent="0.25">
      <c r="A961" t="s">
        <v>3207</v>
      </c>
    </row>
    <row r="962" spans="1:1" x14ac:dyDescent="0.25">
      <c r="A962" t="s">
        <v>3190</v>
      </c>
    </row>
    <row r="963" spans="1:1" x14ac:dyDescent="0.25">
      <c r="A963" t="s">
        <v>3208</v>
      </c>
    </row>
    <row r="964" spans="1:1" x14ac:dyDescent="0.25">
      <c r="A964" t="s">
        <v>3644</v>
      </c>
    </row>
    <row r="965" spans="1:1" x14ac:dyDescent="0.25">
      <c r="A965" t="s">
        <v>3210</v>
      </c>
    </row>
    <row r="966" spans="1:1" x14ac:dyDescent="0.25">
      <c r="A966" t="s">
        <v>3194</v>
      </c>
    </row>
    <row r="968" spans="1:1" x14ac:dyDescent="0.25">
      <c r="A968" t="s">
        <v>3392</v>
      </c>
    </row>
    <row r="969" spans="1:1" x14ac:dyDescent="0.25">
      <c r="A969" t="s">
        <v>3393</v>
      </c>
    </row>
    <row r="970" spans="1:1" x14ac:dyDescent="0.25">
      <c r="A970" t="s">
        <v>3645</v>
      </c>
    </row>
    <row r="971" spans="1:1" x14ac:dyDescent="0.25">
      <c r="A971" t="s">
        <v>3646</v>
      </c>
    </row>
    <row r="972" spans="1:1" x14ac:dyDescent="0.25">
      <c r="A972" t="s">
        <v>3640</v>
      </c>
    </row>
    <row r="973" spans="1:1" x14ac:dyDescent="0.25">
      <c r="A973" t="s">
        <v>3397</v>
      </c>
    </row>
    <row r="974" spans="1:1" x14ac:dyDescent="0.25">
      <c r="A974" t="s">
        <v>3398</v>
      </c>
    </row>
    <row r="975" spans="1:1" x14ac:dyDescent="0.25">
      <c r="A975" t="s">
        <v>3563</v>
      </c>
    </row>
    <row r="976" spans="1:1" x14ac:dyDescent="0.25">
      <c r="A976" t="s">
        <v>3647</v>
      </c>
    </row>
    <row r="977" spans="1:1" x14ac:dyDescent="0.25">
      <c r="A977" t="s">
        <v>3401</v>
      </c>
    </row>
    <row r="978" spans="1:1" x14ac:dyDescent="0.25">
      <c r="A978" t="s">
        <v>3402</v>
      </c>
    </row>
    <row r="980" spans="1:1" x14ac:dyDescent="0.25">
      <c r="A980" t="s">
        <v>3392</v>
      </c>
    </row>
    <row r="981" spans="1:1" x14ac:dyDescent="0.25">
      <c r="A981" t="s">
        <v>3393</v>
      </c>
    </row>
    <row r="982" spans="1:1" x14ac:dyDescent="0.25">
      <c r="A982" t="s">
        <v>3648</v>
      </c>
    </row>
    <row r="983" spans="1:1" x14ac:dyDescent="0.25">
      <c r="A983" t="s">
        <v>3649</v>
      </c>
    </row>
    <row r="984" spans="1:1" x14ac:dyDescent="0.25">
      <c r="A984" t="s">
        <v>3545</v>
      </c>
    </row>
    <row r="985" spans="1:1" x14ac:dyDescent="0.25">
      <c r="A985" t="s">
        <v>3397</v>
      </c>
    </row>
    <row r="986" spans="1:1" x14ac:dyDescent="0.25">
      <c r="A986" t="s">
        <v>3398</v>
      </c>
    </row>
    <row r="987" spans="1:1" x14ac:dyDescent="0.25">
      <c r="A987" t="s">
        <v>3563</v>
      </c>
    </row>
    <row r="988" spans="1:1" x14ac:dyDescent="0.25">
      <c r="A988" t="s">
        <v>3650</v>
      </c>
    </row>
    <row r="989" spans="1:1" x14ac:dyDescent="0.25">
      <c r="A989" t="s">
        <v>3401</v>
      </c>
    </row>
    <row r="990" spans="1:1" x14ac:dyDescent="0.25">
      <c r="A990" t="s">
        <v>3402</v>
      </c>
    </row>
    <row r="992" spans="1:1" x14ac:dyDescent="0.25">
      <c r="A992" t="s">
        <v>3392</v>
      </c>
    </row>
    <row r="993" spans="1:1" x14ac:dyDescent="0.25">
      <c r="A993" t="s">
        <v>3393</v>
      </c>
    </row>
    <row r="994" spans="1:1" x14ac:dyDescent="0.25">
      <c r="A994" t="s">
        <v>3651</v>
      </c>
    </row>
    <row r="995" spans="1:1" x14ac:dyDescent="0.25">
      <c r="A995" t="s">
        <v>3652</v>
      </c>
    </row>
    <row r="996" spans="1:1" x14ac:dyDescent="0.25">
      <c r="A996" t="s">
        <v>3597</v>
      </c>
    </row>
    <row r="997" spans="1:1" x14ac:dyDescent="0.25">
      <c r="A997" t="s">
        <v>3397</v>
      </c>
    </row>
    <row r="998" spans="1:1" x14ac:dyDescent="0.25">
      <c r="A998" t="s">
        <v>3398</v>
      </c>
    </row>
    <row r="999" spans="1:1" x14ac:dyDescent="0.25">
      <c r="A999" t="s">
        <v>3653</v>
      </c>
    </row>
    <row r="1000" spans="1:1" x14ac:dyDescent="0.25">
      <c r="A1000" t="s">
        <v>3654</v>
      </c>
    </row>
    <row r="1001" spans="1:1" x14ac:dyDescent="0.25">
      <c r="A1001" t="s">
        <v>3655</v>
      </c>
    </row>
    <row r="1002" spans="1:1" x14ac:dyDescent="0.25">
      <c r="A1002" t="s">
        <v>3402</v>
      </c>
    </row>
    <row r="1004" spans="1:1" x14ac:dyDescent="0.25">
      <c r="A1004" t="s">
        <v>3656</v>
      </c>
    </row>
    <row r="1006" spans="1:1" x14ac:dyDescent="0.25">
      <c r="A1006" t="s">
        <v>3657</v>
      </c>
    </row>
    <row r="1007" spans="1:1" x14ac:dyDescent="0.25">
      <c r="A1007" t="s">
        <v>3392</v>
      </c>
    </row>
    <row r="1008" spans="1:1" x14ac:dyDescent="0.25">
      <c r="A1008" t="s">
        <v>3393</v>
      </c>
    </row>
    <row r="1009" spans="1:1" x14ac:dyDescent="0.25">
      <c r="A1009" t="s">
        <v>3658</v>
      </c>
    </row>
    <row r="1010" spans="1:1" x14ac:dyDescent="0.25">
      <c r="A1010" t="s">
        <v>3398</v>
      </c>
    </row>
    <row r="1011" spans="1:1" x14ac:dyDescent="0.25">
      <c r="A1011" t="s">
        <v>3399</v>
      </c>
    </row>
    <row r="1012" spans="1:1" x14ac:dyDescent="0.25">
      <c r="A1012" t="s">
        <v>3659</v>
      </c>
    </row>
    <row r="1013" spans="1:1" x14ac:dyDescent="0.25">
      <c r="A1013" t="s">
        <v>3401</v>
      </c>
    </row>
    <row r="1014" spans="1:1" x14ac:dyDescent="0.25">
      <c r="A1014" t="s">
        <v>3402</v>
      </c>
    </row>
    <row r="1016" spans="1:1" x14ac:dyDescent="0.25">
      <c r="A1016" t="s">
        <v>3392</v>
      </c>
    </row>
    <row r="1017" spans="1:1" x14ac:dyDescent="0.25">
      <c r="A1017" t="s">
        <v>3393</v>
      </c>
    </row>
    <row r="1018" spans="1:1" x14ac:dyDescent="0.25">
      <c r="A1018" t="s">
        <v>3660</v>
      </c>
    </row>
    <row r="1019" spans="1:1" x14ac:dyDescent="0.25">
      <c r="A1019" t="s">
        <v>3398</v>
      </c>
    </row>
    <row r="1020" spans="1:1" x14ac:dyDescent="0.25">
      <c r="A1020" t="s">
        <v>3399</v>
      </c>
    </row>
    <row r="1021" spans="1:1" x14ac:dyDescent="0.25">
      <c r="A1021" t="s">
        <v>3661</v>
      </c>
    </row>
    <row r="1022" spans="1:1" x14ac:dyDescent="0.25">
      <c r="A1022" t="s">
        <v>3401</v>
      </c>
    </row>
    <row r="1023" spans="1:1" x14ac:dyDescent="0.25">
      <c r="A1023" t="s">
        <v>3402</v>
      </c>
    </row>
    <row r="1025" spans="1:1" x14ac:dyDescent="0.25">
      <c r="A1025" t="s">
        <v>3392</v>
      </c>
    </row>
    <row r="1026" spans="1:1" x14ac:dyDescent="0.25">
      <c r="A1026" t="s">
        <v>3393</v>
      </c>
    </row>
    <row r="1027" spans="1:1" x14ac:dyDescent="0.25">
      <c r="A1027" t="s">
        <v>3662</v>
      </c>
    </row>
    <row r="1028" spans="1:1" x14ac:dyDescent="0.25">
      <c r="A1028" t="s">
        <v>3398</v>
      </c>
    </row>
    <row r="1029" spans="1:1" x14ac:dyDescent="0.25">
      <c r="A1029" t="s">
        <v>3399</v>
      </c>
    </row>
    <row r="1030" spans="1:1" x14ac:dyDescent="0.25">
      <c r="A1030" t="s">
        <v>3663</v>
      </c>
    </row>
    <row r="1031" spans="1:1" x14ac:dyDescent="0.25">
      <c r="A1031" t="s">
        <v>3401</v>
      </c>
    </row>
    <row r="1032" spans="1:1" x14ac:dyDescent="0.25">
      <c r="A1032" t="s">
        <v>3402</v>
      </c>
    </row>
    <row r="1034" spans="1:1" x14ac:dyDescent="0.25">
      <c r="A1034" t="s">
        <v>3392</v>
      </c>
    </row>
    <row r="1035" spans="1:1" x14ac:dyDescent="0.25">
      <c r="A1035" t="s">
        <v>3393</v>
      </c>
    </row>
    <row r="1036" spans="1:1" x14ac:dyDescent="0.25">
      <c r="A1036" t="s">
        <v>3664</v>
      </c>
    </row>
    <row r="1037" spans="1:1" x14ac:dyDescent="0.25">
      <c r="A1037" t="s">
        <v>3398</v>
      </c>
    </row>
    <row r="1038" spans="1:1" x14ac:dyDescent="0.25">
      <c r="A1038" t="s">
        <v>3399</v>
      </c>
    </row>
    <row r="1039" spans="1:1" x14ac:dyDescent="0.25">
      <c r="A1039" t="s">
        <v>3665</v>
      </c>
    </row>
    <row r="1040" spans="1:1" x14ac:dyDescent="0.25">
      <c r="A1040" t="s">
        <v>3401</v>
      </c>
    </row>
    <row r="1041" spans="1:1" x14ac:dyDescent="0.25">
      <c r="A1041" t="s">
        <v>3402</v>
      </c>
    </row>
    <row r="1043" spans="1:1" x14ac:dyDescent="0.25">
      <c r="A1043" t="s">
        <v>3392</v>
      </c>
    </row>
    <row r="1044" spans="1:1" x14ac:dyDescent="0.25">
      <c r="A1044" t="s">
        <v>3393</v>
      </c>
    </row>
    <row r="1045" spans="1:1" x14ac:dyDescent="0.25">
      <c r="A1045" t="s">
        <v>3666</v>
      </c>
    </row>
    <row r="1046" spans="1:1" x14ac:dyDescent="0.25">
      <c r="A1046" t="s">
        <v>3398</v>
      </c>
    </row>
    <row r="1047" spans="1:1" x14ac:dyDescent="0.25">
      <c r="A1047" t="s">
        <v>3399</v>
      </c>
    </row>
    <row r="1048" spans="1:1" x14ac:dyDescent="0.25">
      <c r="A1048" t="s">
        <v>3667</v>
      </c>
    </row>
    <row r="1049" spans="1:1" x14ac:dyDescent="0.25">
      <c r="A1049" t="s">
        <v>3401</v>
      </c>
    </row>
    <row r="1050" spans="1:1" x14ac:dyDescent="0.25">
      <c r="A1050" t="s">
        <v>3402</v>
      </c>
    </row>
    <row r="1052" spans="1:1" x14ac:dyDescent="0.25">
      <c r="A1052" t="s">
        <v>3392</v>
      </c>
    </row>
    <row r="1053" spans="1:1" x14ac:dyDescent="0.25">
      <c r="A1053" t="s">
        <v>3393</v>
      </c>
    </row>
    <row r="1054" spans="1:1" x14ac:dyDescent="0.25">
      <c r="A1054" t="s">
        <v>3668</v>
      </c>
    </row>
    <row r="1055" spans="1:1" x14ac:dyDescent="0.25">
      <c r="A1055" t="s">
        <v>3398</v>
      </c>
    </row>
    <row r="1056" spans="1:1" x14ac:dyDescent="0.25">
      <c r="A1056" t="s">
        <v>3399</v>
      </c>
    </row>
    <row r="1057" spans="1:1" x14ac:dyDescent="0.25">
      <c r="A1057" t="s">
        <v>3669</v>
      </c>
    </row>
    <row r="1058" spans="1:1" x14ac:dyDescent="0.25">
      <c r="A1058" t="s">
        <v>3401</v>
      </c>
    </row>
    <row r="1059" spans="1:1" x14ac:dyDescent="0.25">
      <c r="A1059" t="s">
        <v>3402</v>
      </c>
    </row>
    <row r="1061" spans="1:1" x14ac:dyDescent="0.25">
      <c r="A1061" t="s">
        <v>3392</v>
      </c>
    </row>
    <row r="1062" spans="1:1" x14ac:dyDescent="0.25">
      <c r="A1062" t="s">
        <v>3393</v>
      </c>
    </row>
    <row r="1063" spans="1:1" x14ac:dyDescent="0.25">
      <c r="A1063" t="s">
        <v>3670</v>
      </c>
    </row>
    <row r="1064" spans="1:1" x14ac:dyDescent="0.25">
      <c r="A1064" t="s">
        <v>3398</v>
      </c>
    </row>
    <row r="1065" spans="1:1" x14ac:dyDescent="0.25">
      <c r="A1065" t="s">
        <v>3399</v>
      </c>
    </row>
    <row r="1066" spans="1:1" x14ac:dyDescent="0.25">
      <c r="A1066" t="s">
        <v>3671</v>
      </c>
    </row>
    <row r="1067" spans="1:1" x14ac:dyDescent="0.25">
      <c r="A1067" t="s">
        <v>3401</v>
      </c>
    </row>
    <row r="1068" spans="1:1" x14ac:dyDescent="0.25">
      <c r="A1068" t="s">
        <v>3402</v>
      </c>
    </row>
    <row r="1070" spans="1:1" x14ac:dyDescent="0.25">
      <c r="A1070" t="s">
        <v>3392</v>
      </c>
    </row>
    <row r="1071" spans="1:1" x14ac:dyDescent="0.25">
      <c r="A1071" t="s">
        <v>3393</v>
      </c>
    </row>
    <row r="1072" spans="1:1" x14ac:dyDescent="0.25">
      <c r="A1072" t="s">
        <v>3672</v>
      </c>
    </row>
    <row r="1073" spans="1:1" x14ac:dyDescent="0.25">
      <c r="A1073" t="s">
        <v>3398</v>
      </c>
    </row>
    <row r="1074" spans="1:1" x14ac:dyDescent="0.25">
      <c r="A1074" t="s">
        <v>3399</v>
      </c>
    </row>
    <row r="1075" spans="1:1" x14ac:dyDescent="0.25">
      <c r="A1075" t="s">
        <v>3673</v>
      </c>
    </row>
    <row r="1076" spans="1:1" x14ac:dyDescent="0.25">
      <c r="A1076" t="s">
        <v>3401</v>
      </c>
    </row>
    <row r="1077" spans="1:1" x14ac:dyDescent="0.25">
      <c r="A1077" t="s">
        <v>3402</v>
      </c>
    </row>
    <row r="1079" spans="1:1" x14ac:dyDescent="0.25">
      <c r="A1079" t="s">
        <v>3392</v>
      </c>
    </row>
    <row r="1080" spans="1:1" x14ac:dyDescent="0.25">
      <c r="A1080" t="s">
        <v>3393</v>
      </c>
    </row>
    <row r="1081" spans="1:1" x14ac:dyDescent="0.25">
      <c r="A1081" t="s">
        <v>3674</v>
      </c>
    </row>
    <row r="1082" spans="1:1" x14ac:dyDescent="0.25">
      <c r="A1082" t="s">
        <v>3398</v>
      </c>
    </row>
    <row r="1083" spans="1:1" x14ac:dyDescent="0.25">
      <c r="A1083" t="s">
        <v>3399</v>
      </c>
    </row>
    <row r="1084" spans="1:1" x14ac:dyDescent="0.25">
      <c r="A1084" t="s">
        <v>3675</v>
      </c>
    </row>
    <row r="1085" spans="1:1" x14ac:dyDescent="0.25">
      <c r="A1085" t="s">
        <v>3401</v>
      </c>
    </row>
    <row r="1086" spans="1:1" x14ac:dyDescent="0.25">
      <c r="A1086" t="s">
        <v>3402</v>
      </c>
    </row>
    <row r="1088" spans="1:1" x14ac:dyDescent="0.25">
      <c r="A1088" t="s">
        <v>3392</v>
      </c>
    </row>
    <row r="1089" spans="1:1" x14ac:dyDescent="0.25">
      <c r="A1089" t="s">
        <v>3393</v>
      </c>
    </row>
    <row r="1090" spans="1:1" x14ac:dyDescent="0.25">
      <c r="A1090" t="s">
        <v>3676</v>
      </c>
    </row>
    <row r="1091" spans="1:1" x14ac:dyDescent="0.25">
      <c r="A1091" t="s">
        <v>3398</v>
      </c>
    </row>
    <row r="1092" spans="1:1" x14ac:dyDescent="0.25">
      <c r="A1092" t="s">
        <v>3399</v>
      </c>
    </row>
    <row r="1093" spans="1:1" x14ac:dyDescent="0.25">
      <c r="A1093" t="s">
        <v>3677</v>
      </c>
    </row>
    <row r="1094" spans="1:1" x14ac:dyDescent="0.25">
      <c r="A1094" t="s">
        <v>3401</v>
      </c>
    </row>
    <row r="1095" spans="1:1" x14ac:dyDescent="0.25">
      <c r="A1095" t="s">
        <v>3402</v>
      </c>
    </row>
    <row r="1097" spans="1:1" x14ac:dyDescent="0.25">
      <c r="A1097" t="s">
        <v>3392</v>
      </c>
    </row>
    <row r="1098" spans="1:1" x14ac:dyDescent="0.25">
      <c r="A1098" t="s">
        <v>3393</v>
      </c>
    </row>
    <row r="1099" spans="1:1" x14ac:dyDescent="0.25">
      <c r="A1099" t="s">
        <v>3678</v>
      </c>
    </row>
    <row r="1100" spans="1:1" x14ac:dyDescent="0.25">
      <c r="A1100" t="s">
        <v>3398</v>
      </c>
    </row>
    <row r="1101" spans="1:1" x14ac:dyDescent="0.25">
      <c r="A1101" t="s">
        <v>3399</v>
      </c>
    </row>
    <row r="1102" spans="1:1" x14ac:dyDescent="0.25">
      <c r="A1102" t="s">
        <v>3679</v>
      </c>
    </row>
    <row r="1103" spans="1:1" x14ac:dyDescent="0.25">
      <c r="A1103" t="s">
        <v>3401</v>
      </c>
    </row>
    <row r="1104" spans="1:1" x14ac:dyDescent="0.25">
      <c r="A1104" t="s">
        <v>3402</v>
      </c>
    </row>
    <row r="1106" spans="1:1" x14ac:dyDescent="0.25">
      <c r="A1106" t="s">
        <v>3392</v>
      </c>
    </row>
    <row r="1107" spans="1:1" x14ac:dyDescent="0.25">
      <c r="A1107" t="s">
        <v>3393</v>
      </c>
    </row>
    <row r="1108" spans="1:1" x14ac:dyDescent="0.25">
      <c r="A1108" t="s">
        <v>3680</v>
      </c>
    </row>
    <row r="1109" spans="1:1" x14ac:dyDescent="0.25">
      <c r="A1109" t="s">
        <v>3398</v>
      </c>
    </row>
    <row r="1110" spans="1:1" x14ac:dyDescent="0.25">
      <c r="A1110" t="s">
        <v>3399</v>
      </c>
    </row>
    <row r="1111" spans="1:1" x14ac:dyDescent="0.25">
      <c r="A1111" t="s">
        <v>3681</v>
      </c>
    </row>
    <row r="1112" spans="1:1" x14ac:dyDescent="0.25">
      <c r="A1112" t="s">
        <v>3401</v>
      </c>
    </row>
    <row r="1113" spans="1:1" x14ac:dyDescent="0.25">
      <c r="A1113" t="s">
        <v>3402</v>
      </c>
    </row>
    <row r="1115" spans="1:1" x14ac:dyDescent="0.25">
      <c r="A1115" t="s">
        <v>3392</v>
      </c>
    </row>
    <row r="1116" spans="1:1" x14ac:dyDescent="0.25">
      <c r="A1116" t="s">
        <v>3393</v>
      </c>
    </row>
    <row r="1117" spans="1:1" x14ac:dyDescent="0.25">
      <c r="A1117" t="s">
        <v>3682</v>
      </c>
    </row>
    <row r="1118" spans="1:1" x14ac:dyDescent="0.25">
      <c r="A1118" t="s">
        <v>3398</v>
      </c>
    </row>
    <row r="1119" spans="1:1" x14ac:dyDescent="0.25">
      <c r="A1119" t="s">
        <v>3399</v>
      </c>
    </row>
    <row r="1120" spans="1:1" x14ac:dyDescent="0.25">
      <c r="A1120" t="s">
        <v>3683</v>
      </c>
    </row>
    <row r="1121" spans="1:1" x14ac:dyDescent="0.25">
      <c r="A1121" t="s">
        <v>3401</v>
      </c>
    </row>
    <row r="1122" spans="1:1" x14ac:dyDescent="0.25">
      <c r="A1122" t="s">
        <v>3402</v>
      </c>
    </row>
    <row r="1123" spans="1:1" x14ac:dyDescent="0.25">
      <c r="A1123" t="s">
        <v>3684</v>
      </c>
    </row>
    <row r="1125" spans="1:1" x14ac:dyDescent="0.25">
      <c r="A1125" t="s">
        <v>3685</v>
      </c>
    </row>
    <row r="1126" spans="1:1" x14ac:dyDescent="0.25">
      <c r="A1126" t="s">
        <v>3686</v>
      </c>
    </row>
    <row r="1127" spans="1:1" x14ac:dyDescent="0.25">
      <c r="A1127" t="s">
        <v>3687</v>
      </c>
    </row>
    <row r="1128" spans="1:1" x14ac:dyDescent="0.25">
      <c r="A1128" t="s">
        <v>3688</v>
      </c>
    </row>
    <row r="1129" spans="1:1" x14ac:dyDescent="0.25">
      <c r="A1129" t="s">
        <v>3597</v>
      </c>
    </row>
    <row r="1130" spans="1:1" x14ac:dyDescent="0.25">
      <c r="A1130" t="s">
        <v>3397</v>
      </c>
    </row>
    <row r="1131" spans="1:1" x14ac:dyDescent="0.25">
      <c r="A1131" t="s">
        <v>3689</v>
      </c>
    </row>
    <row r="1132" spans="1:1" x14ac:dyDescent="0.25">
      <c r="A1132" t="s">
        <v>3690</v>
      </c>
    </row>
    <row r="1133" spans="1:1" x14ac:dyDescent="0.25">
      <c r="A1133" t="s">
        <v>3691</v>
      </c>
    </row>
    <row r="1135" spans="1:1" x14ac:dyDescent="0.25">
      <c r="A1135" t="s">
        <v>3392</v>
      </c>
    </row>
    <row r="1136" spans="1:1" x14ac:dyDescent="0.25">
      <c r="A1136" t="s">
        <v>3393</v>
      </c>
    </row>
    <row r="1137" spans="1:1" x14ac:dyDescent="0.25">
      <c r="A1137" t="s">
        <v>3692</v>
      </c>
    </row>
    <row r="1138" spans="1:1" x14ac:dyDescent="0.25">
      <c r="A1138" t="s">
        <v>3693</v>
      </c>
    </row>
    <row r="1139" spans="1:1" x14ac:dyDescent="0.25">
      <c r="A1139" t="s">
        <v>3694</v>
      </c>
    </row>
    <row r="1140" spans="1:1" x14ac:dyDescent="0.25">
      <c r="A1140" t="s">
        <v>3397</v>
      </c>
    </row>
    <row r="1141" spans="1:1" x14ac:dyDescent="0.25">
      <c r="A1141" t="s">
        <v>3398</v>
      </c>
    </row>
    <row r="1142" spans="1:1" x14ac:dyDescent="0.25">
      <c r="A1142" t="s">
        <v>3399</v>
      </c>
    </row>
    <row r="1143" spans="1:1" x14ac:dyDescent="0.25">
      <c r="A1143" t="s">
        <v>3695</v>
      </c>
    </row>
    <row r="1144" spans="1:1" x14ac:dyDescent="0.25">
      <c r="A1144" t="s">
        <v>3401</v>
      </c>
    </row>
    <row r="1145" spans="1:1" x14ac:dyDescent="0.25">
      <c r="A1145" t="s">
        <v>3402</v>
      </c>
    </row>
    <row r="1147" spans="1:1" x14ac:dyDescent="0.25">
      <c r="A1147" t="s">
        <v>3392</v>
      </c>
    </row>
    <row r="1148" spans="1:1" x14ac:dyDescent="0.25">
      <c r="A1148" t="s">
        <v>3393</v>
      </c>
    </row>
    <row r="1149" spans="1:1" x14ac:dyDescent="0.25">
      <c r="A1149" t="s">
        <v>3696</v>
      </c>
    </row>
    <row r="1150" spans="1:1" x14ac:dyDescent="0.25">
      <c r="A1150" t="s">
        <v>3697</v>
      </c>
    </row>
    <row r="1151" spans="1:1" x14ac:dyDescent="0.25">
      <c r="A1151" t="s">
        <v>3640</v>
      </c>
    </row>
    <row r="1152" spans="1:1" x14ac:dyDescent="0.25">
      <c r="A1152" t="s">
        <v>3397</v>
      </c>
    </row>
    <row r="1153" spans="1:1" x14ac:dyDescent="0.25">
      <c r="A1153" t="s">
        <v>3398</v>
      </c>
    </row>
    <row r="1154" spans="1:1" x14ac:dyDescent="0.25">
      <c r="A1154" t="s">
        <v>3399</v>
      </c>
    </row>
    <row r="1155" spans="1:1" x14ac:dyDescent="0.25">
      <c r="A1155" t="s">
        <v>3698</v>
      </c>
    </row>
    <row r="1156" spans="1:1" x14ac:dyDescent="0.25">
      <c r="A1156" t="s">
        <v>3401</v>
      </c>
    </row>
    <row r="1157" spans="1:1" x14ac:dyDescent="0.25">
      <c r="A1157" t="s">
        <v>3402</v>
      </c>
    </row>
    <row r="1159" spans="1:1" x14ac:dyDescent="0.25">
      <c r="A1159" t="s">
        <v>3392</v>
      </c>
    </row>
    <row r="1160" spans="1:1" x14ac:dyDescent="0.25">
      <c r="A1160" t="s">
        <v>3393</v>
      </c>
    </row>
    <row r="1161" spans="1:1" x14ac:dyDescent="0.25">
      <c r="A1161" t="s">
        <v>3699</v>
      </c>
    </row>
    <row r="1162" spans="1:1" x14ac:dyDescent="0.25">
      <c r="A1162" t="s">
        <v>3700</v>
      </c>
    </row>
    <row r="1163" spans="1:1" x14ac:dyDescent="0.25">
      <c r="A1163" t="s">
        <v>3701</v>
      </c>
    </row>
    <row r="1164" spans="1:1" x14ac:dyDescent="0.25">
      <c r="A1164" t="s">
        <v>3397</v>
      </c>
    </row>
    <row r="1165" spans="1:1" x14ac:dyDescent="0.25">
      <c r="A1165" t="s">
        <v>3398</v>
      </c>
    </row>
    <row r="1166" spans="1:1" x14ac:dyDescent="0.25">
      <c r="A1166" t="s">
        <v>3399</v>
      </c>
    </row>
    <row r="1167" spans="1:1" x14ac:dyDescent="0.25">
      <c r="A1167" t="s">
        <v>3702</v>
      </c>
    </row>
    <row r="1168" spans="1:1" x14ac:dyDescent="0.25">
      <c r="A1168" t="s">
        <v>3401</v>
      </c>
    </row>
    <row r="1169" spans="1:1" x14ac:dyDescent="0.25">
      <c r="A1169" t="s">
        <v>3402</v>
      </c>
    </row>
    <row r="1171" spans="1:1" x14ac:dyDescent="0.25">
      <c r="A1171" t="s">
        <v>3392</v>
      </c>
    </row>
    <row r="1172" spans="1:1" x14ac:dyDescent="0.25">
      <c r="A1172" t="s">
        <v>3393</v>
      </c>
    </row>
    <row r="1173" spans="1:1" x14ac:dyDescent="0.25">
      <c r="A1173" t="s">
        <v>3703</v>
      </c>
    </row>
    <row r="1174" spans="1:1" x14ac:dyDescent="0.25">
      <c r="A1174" t="s">
        <v>3704</v>
      </c>
    </row>
    <row r="1175" spans="1:1" x14ac:dyDescent="0.25">
      <c r="A1175" t="s">
        <v>3545</v>
      </c>
    </row>
    <row r="1176" spans="1:1" x14ac:dyDescent="0.25">
      <c r="A1176" t="s">
        <v>3397</v>
      </c>
    </row>
    <row r="1177" spans="1:1" x14ac:dyDescent="0.25">
      <c r="A1177" t="s">
        <v>3398</v>
      </c>
    </row>
    <row r="1178" spans="1:1" x14ac:dyDescent="0.25">
      <c r="A1178" t="s">
        <v>3563</v>
      </c>
    </row>
    <row r="1179" spans="1:1" x14ac:dyDescent="0.25">
      <c r="A1179" t="s">
        <v>3705</v>
      </c>
    </row>
    <row r="1180" spans="1:1" x14ac:dyDescent="0.25">
      <c r="A1180" t="s">
        <v>3401</v>
      </c>
    </row>
    <row r="1181" spans="1:1" x14ac:dyDescent="0.25">
      <c r="A1181" t="s">
        <v>3402</v>
      </c>
    </row>
    <row r="1183" spans="1:1" x14ac:dyDescent="0.25">
      <c r="A1183" t="s">
        <v>3392</v>
      </c>
    </row>
    <row r="1184" spans="1:1" x14ac:dyDescent="0.25">
      <c r="A1184" t="s">
        <v>3393</v>
      </c>
    </row>
    <row r="1185" spans="1:1" x14ac:dyDescent="0.25">
      <c r="A1185" t="s">
        <v>3706</v>
      </c>
    </row>
    <row r="1186" spans="1:1" x14ac:dyDescent="0.25">
      <c r="A1186" t="s">
        <v>3707</v>
      </c>
    </row>
    <row r="1187" spans="1:1" x14ac:dyDescent="0.25">
      <c r="A1187" t="s">
        <v>3545</v>
      </c>
    </row>
    <row r="1188" spans="1:1" x14ac:dyDescent="0.25">
      <c r="A1188" t="s">
        <v>3397</v>
      </c>
    </row>
    <row r="1189" spans="1:1" x14ac:dyDescent="0.25">
      <c r="A1189" t="s">
        <v>3398</v>
      </c>
    </row>
    <row r="1190" spans="1:1" x14ac:dyDescent="0.25">
      <c r="A1190" t="s">
        <v>3563</v>
      </c>
    </row>
    <row r="1191" spans="1:1" x14ac:dyDescent="0.25">
      <c r="A1191" t="s">
        <v>3708</v>
      </c>
    </row>
    <row r="1192" spans="1:1" x14ac:dyDescent="0.25">
      <c r="A1192" t="s">
        <v>3401</v>
      </c>
    </row>
    <row r="1193" spans="1:1" x14ac:dyDescent="0.25">
      <c r="A1193" t="s">
        <v>3402</v>
      </c>
    </row>
    <row r="1195" spans="1:1" x14ac:dyDescent="0.25">
      <c r="A1195" t="s">
        <v>3392</v>
      </c>
    </row>
    <row r="1196" spans="1:1" x14ac:dyDescent="0.25">
      <c r="A1196" t="s">
        <v>3393</v>
      </c>
    </row>
    <row r="1197" spans="1:1" x14ac:dyDescent="0.25">
      <c r="A1197" t="s">
        <v>3709</v>
      </c>
    </row>
    <row r="1198" spans="1:1" x14ac:dyDescent="0.25">
      <c r="A1198" t="s">
        <v>3710</v>
      </c>
    </row>
    <row r="1199" spans="1:1" x14ac:dyDescent="0.25">
      <c r="A1199" t="s">
        <v>3545</v>
      </c>
    </row>
    <row r="1200" spans="1:1" x14ac:dyDescent="0.25">
      <c r="A1200" t="s">
        <v>3397</v>
      </c>
    </row>
    <row r="1201" spans="1:1" x14ac:dyDescent="0.25">
      <c r="A1201" t="s">
        <v>3398</v>
      </c>
    </row>
    <row r="1202" spans="1:1" x14ac:dyDescent="0.25">
      <c r="A1202" t="s">
        <v>3563</v>
      </c>
    </row>
    <row r="1203" spans="1:1" x14ac:dyDescent="0.25">
      <c r="A1203" t="s">
        <v>3711</v>
      </c>
    </row>
    <row r="1204" spans="1:1" x14ac:dyDescent="0.25">
      <c r="A1204" t="s">
        <v>3401</v>
      </c>
    </row>
    <row r="1205" spans="1:1" x14ac:dyDescent="0.25">
      <c r="A1205" t="s">
        <v>3402</v>
      </c>
    </row>
    <row r="1207" spans="1:1" x14ac:dyDescent="0.25">
      <c r="A1207" t="s">
        <v>3392</v>
      </c>
    </row>
    <row r="1208" spans="1:1" x14ac:dyDescent="0.25">
      <c r="A1208" t="s">
        <v>3393</v>
      </c>
    </row>
    <row r="1209" spans="1:1" x14ac:dyDescent="0.25">
      <c r="A1209" t="s">
        <v>3712</v>
      </c>
    </row>
    <row r="1210" spans="1:1" x14ac:dyDescent="0.25">
      <c r="A1210" t="s">
        <v>3713</v>
      </c>
    </row>
    <row r="1211" spans="1:1" x14ac:dyDescent="0.25">
      <c r="A1211" t="s">
        <v>3545</v>
      </c>
    </row>
    <row r="1212" spans="1:1" x14ac:dyDescent="0.25">
      <c r="A1212" t="s">
        <v>3397</v>
      </c>
    </row>
    <row r="1213" spans="1:1" x14ac:dyDescent="0.25">
      <c r="A1213" t="s">
        <v>3398</v>
      </c>
    </row>
    <row r="1214" spans="1:1" x14ac:dyDescent="0.25">
      <c r="A1214" t="s">
        <v>3399</v>
      </c>
    </row>
    <row r="1215" spans="1:1" x14ac:dyDescent="0.25">
      <c r="A1215" t="s">
        <v>3714</v>
      </c>
    </row>
    <row r="1216" spans="1:1" x14ac:dyDescent="0.25">
      <c r="A1216" t="s">
        <v>3401</v>
      </c>
    </row>
    <row r="1217" spans="1:1" x14ac:dyDescent="0.25">
      <c r="A1217" t="s">
        <v>3402</v>
      </c>
    </row>
    <row r="1219" spans="1:1" x14ac:dyDescent="0.25">
      <c r="A1219" t="s">
        <v>3392</v>
      </c>
    </row>
    <row r="1220" spans="1:1" x14ac:dyDescent="0.25">
      <c r="A1220" t="s">
        <v>3393</v>
      </c>
    </row>
    <row r="1221" spans="1:1" x14ac:dyDescent="0.25">
      <c r="A1221" t="s">
        <v>3715</v>
      </c>
    </row>
    <row r="1222" spans="1:1" x14ac:dyDescent="0.25">
      <c r="A1222" t="s">
        <v>3716</v>
      </c>
    </row>
    <row r="1223" spans="1:1" x14ac:dyDescent="0.25">
      <c r="A1223" t="s">
        <v>3597</v>
      </c>
    </row>
    <row r="1224" spans="1:1" x14ac:dyDescent="0.25">
      <c r="A1224" t="s">
        <v>3397</v>
      </c>
    </row>
    <row r="1225" spans="1:1" x14ac:dyDescent="0.25">
      <c r="A1225" t="s">
        <v>3398</v>
      </c>
    </row>
    <row r="1226" spans="1:1" x14ac:dyDescent="0.25">
      <c r="A1226" t="s">
        <v>3399</v>
      </c>
    </row>
    <row r="1227" spans="1:1" x14ac:dyDescent="0.25">
      <c r="A1227" t="s">
        <v>3717</v>
      </c>
    </row>
    <row r="1228" spans="1:1" x14ac:dyDescent="0.25">
      <c r="A1228" t="s">
        <v>3401</v>
      </c>
    </row>
    <row r="1229" spans="1:1" x14ac:dyDescent="0.25">
      <c r="A1229" t="s">
        <v>3402</v>
      </c>
    </row>
    <row r="1231" spans="1:1" x14ac:dyDescent="0.25">
      <c r="A1231" t="s">
        <v>3392</v>
      </c>
    </row>
    <row r="1232" spans="1:1" x14ac:dyDescent="0.25">
      <c r="A1232" t="s">
        <v>3393</v>
      </c>
    </row>
    <row r="1233" spans="1:1" x14ac:dyDescent="0.25">
      <c r="A1233" t="s">
        <v>3718</v>
      </c>
    </row>
    <row r="1234" spans="1:1" x14ac:dyDescent="0.25">
      <c r="A1234" t="s">
        <v>3719</v>
      </c>
    </row>
    <row r="1235" spans="1:1" x14ac:dyDescent="0.25">
      <c r="A1235" t="s">
        <v>3545</v>
      </c>
    </row>
    <row r="1236" spans="1:1" x14ac:dyDescent="0.25">
      <c r="A1236" t="s">
        <v>3397</v>
      </c>
    </row>
    <row r="1237" spans="1:1" x14ac:dyDescent="0.25">
      <c r="A1237" t="s">
        <v>3398</v>
      </c>
    </row>
    <row r="1238" spans="1:1" x14ac:dyDescent="0.25">
      <c r="A1238" t="s">
        <v>3399</v>
      </c>
    </row>
    <row r="1239" spans="1:1" x14ac:dyDescent="0.25">
      <c r="A1239" t="s">
        <v>3720</v>
      </c>
    </row>
    <row r="1240" spans="1:1" x14ac:dyDescent="0.25">
      <c r="A1240" t="s">
        <v>3401</v>
      </c>
    </row>
    <row r="1241" spans="1:1" x14ac:dyDescent="0.25">
      <c r="A1241" t="s">
        <v>3402</v>
      </c>
    </row>
    <row r="1243" spans="1:1" x14ac:dyDescent="0.25">
      <c r="A1243" t="s">
        <v>3392</v>
      </c>
    </row>
    <row r="1244" spans="1:1" x14ac:dyDescent="0.25">
      <c r="A1244" t="s">
        <v>3393</v>
      </c>
    </row>
    <row r="1245" spans="1:1" x14ac:dyDescent="0.25">
      <c r="A1245" t="s">
        <v>3721</v>
      </c>
    </row>
    <row r="1246" spans="1:1" x14ac:dyDescent="0.25">
      <c r="A1246" t="s">
        <v>3722</v>
      </c>
    </row>
    <row r="1247" spans="1:1" x14ac:dyDescent="0.25">
      <c r="A1247" t="s">
        <v>3615</v>
      </c>
    </row>
    <row r="1248" spans="1:1" x14ac:dyDescent="0.25">
      <c r="A1248" t="s">
        <v>3397</v>
      </c>
    </row>
    <row r="1249" spans="1:1" x14ac:dyDescent="0.25">
      <c r="A1249" t="s">
        <v>3398</v>
      </c>
    </row>
    <row r="1250" spans="1:1" x14ac:dyDescent="0.25">
      <c r="A1250" t="s">
        <v>3399</v>
      </c>
    </row>
    <row r="1251" spans="1:1" x14ac:dyDescent="0.25">
      <c r="A1251" t="s">
        <v>3723</v>
      </c>
    </row>
    <row r="1252" spans="1:1" x14ac:dyDescent="0.25">
      <c r="A1252" t="s">
        <v>3401</v>
      </c>
    </row>
    <row r="1253" spans="1:1" x14ac:dyDescent="0.25">
      <c r="A1253" t="s">
        <v>3402</v>
      </c>
    </row>
    <row r="1255" spans="1:1" x14ac:dyDescent="0.25">
      <c r="A1255" t="s">
        <v>3392</v>
      </c>
    </row>
    <row r="1256" spans="1:1" x14ac:dyDescent="0.25">
      <c r="A1256" t="s">
        <v>3393</v>
      </c>
    </row>
    <row r="1257" spans="1:1" x14ac:dyDescent="0.25">
      <c r="A1257" t="s">
        <v>3724</v>
      </c>
    </row>
    <row r="1258" spans="1:1" x14ac:dyDescent="0.25">
      <c r="A1258" t="s">
        <v>3725</v>
      </c>
    </row>
    <row r="1259" spans="1:1" x14ac:dyDescent="0.25">
      <c r="A1259" t="s">
        <v>3726</v>
      </c>
    </row>
    <row r="1260" spans="1:1" x14ac:dyDescent="0.25">
      <c r="A1260" t="s">
        <v>3397</v>
      </c>
    </row>
    <row r="1261" spans="1:1" x14ac:dyDescent="0.25">
      <c r="A1261" t="s">
        <v>3398</v>
      </c>
    </row>
    <row r="1262" spans="1:1" x14ac:dyDescent="0.25">
      <c r="A1262" t="s">
        <v>3399</v>
      </c>
    </row>
    <row r="1263" spans="1:1" x14ac:dyDescent="0.25">
      <c r="A1263" t="s">
        <v>3727</v>
      </c>
    </row>
    <row r="1264" spans="1:1" x14ac:dyDescent="0.25">
      <c r="A1264" t="s">
        <v>3401</v>
      </c>
    </row>
    <row r="1265" spans="1:1" x14ac:dyDescent="0.25">
      <c r="A1265" t="s">
        <v>3402</v>
      </c>
    </row>
    <row r="1267" spans="1:1" x14ac:dyDescent="0.25">
      <c r="A1267" t="s">
        <v>3392</v>
      </c>
    </row>
    <row r="1268" spans="1:1" x14ac:dyDescent="0.25">
      <c r="A1268" t="s">
        <v>3393</v>
      </c>
    </row>
    <row r="1269" spans="1:1" x14ac:dyDescent="0.25">
      <c r="A1269" t="s">
        <v>3728</v>
      </c>
    </row>
    <row r="1270" spans="1:1" x14ac:dyDescent="0.25">
      <c r="A1270" t="s">
        <v>3729</v>
      </c>
    </row>
    <row r="1271" spans="1:1" x14ac:dyDescent="0.25">
      <c r="A1271" t="s">
        <v>3730</v>
      </c>
    </row>
    <row r="1272" spans="1:1" x14ac:dyDescent="0.25">
      <c r="A1272" t="s">
        <v>3397</v>
      </c>
    </row>
    <row r="1273" spans="1:1" x14ac:dyDescent="0.25">
      <c r="A1273" t="s">
        <v>3398</v>
      </c>
    </row>
    <row r="1274" spans="1:1" x14ac:dyDescent="0.25">
      <c r="A1274" t="s">
        <v>3399</v>
      </c>
    </row>
    <row r="1275" spans="1:1" x14ac:dyDescent="0.25">
      <c r="A1275" t="s">
        <v>3731</v>
      </c>
    </row>
    <row r="1276" spans="1:1" x14ac:dyDescent="0.25">
      <c r="A1276" t="s">
        <v>3401</v>
      </c>
    </row>
    <row r="1277" spans="1:1" x14ac:dyDescent="0.25">
      <c r="A1277" t="s">
        <v>3402</v>
      </c>
    </row>
    <row r="1279" spans="1:1" x14ac:dyDescent="0.25">
      <c r="A1279" t="s">
        <v>3392</v>
      </c>
    </row>
    <row r="1280" spans="1:1" x14ac:dyDescent="0.25">
      <c r="A1280" t="s">
        <v>3393</v>
      </c>
    </row>
    <row r="1281" spans="1:1" x14ac:dyDescent="0.25">
      <c r="A1281" t="s">
        <v>3732</v>
      </c>
    </row>
    <row r="1282" spans="1:1" x14ac:dyDescent="0.25">
      <c r="A1282" t="s">
        <v>3733</v>
      </c>
    </row>
    <row r="1283" spans="1:1" x14ac:dyDescent="0.25">
      <c r="A1283" t="s">
        <v>3545</v>
      </c>
    </row>
    <row r="1284" spans="1:1" x14ac:dyDescent="0.25">
      <c r="A1284" t="s">
        <v>3397</v>
      </c>
    </row>
    <row r="1285" spans="1:1" x14ac:dyDescent="0.25">
      <c r="A1285" t="s">
        <v>3398</v>
      </c>
    </row>
    <row r="1286" spans="1:1" x14ac:dyDescent="0.25">
      <c r="A1286" t="s">
        <v>3399</v>
      </c>
    </row>
    <row r="1287" spans="1:1" x14ac:dyDescent="0.25">
      <c r="A1287" t="s">
        <v>3734</v>
      </c>
    </row>
    <row r="1288" spans="1:1" x14ac:dyDescent="0.25">
      <c r="A1288" t="s">
        <v>3401</v>
      </c>
    </row>
    <row r="1289" spans="1:1" x14ac:dyDescent="0.25">
      <c r="A1289" t="s">
        <v>3402</v>
      </c>
    </row>
    <row r="1291" spans="1:1" x14ac:dyDescent="0.25">
      <c r="A1291" t="s">
        <v>3184</v>
      </c>
    </row>
    <row r="1292" spans="1:1" x14ac:dyDescent="0.25">
      <c r="A1292" t="s">
        <v>3185</v>
      </c>
    </row>
    <row r="1293" spans="1:1" x14ac:dyDescent="0.25">
      <c r="A1293" t="s">
        <v>3735</v>
      </c>
    </row>
    <row r="1294" spans="1:1" x14ac:dyDescent="0.25">
      <c r="A1294" t="s">
        <v>3736</v>
      </c>
    </row>
    <row r="1295" spans="1:1" x14ac:dyDescent="0.25">
      <c r="A1295" t="s">
        <v>3626</v>
      </c>
    </row>
    <row r="1296" spans="1:1" x14ac:dyDescent="0.25">
      <c r="A1296" t="s">
        <v>3207</v>
      </c>
    </row>
    <row r="1297" spans="1:1" x14ac:dyDescent="0.25">
      <c r="A1297" t="s">
        <v>3190</v>
      </c>
    </row>
    <row r="1298" spans="1:1" x14ac:dyDescent="0.25">
      <c r="A1298" t="s">
        <v>3225</v>
      </c>
    </row>
    <row r="1299" spans="1:1" x14ac:dyDescent="0.25">
      <c r="A1299" t="s">
        <v>3737</v>
      </c>
    </row>
    <row r="1300" spans="1:1" x14ac:dyDescent="0.25">
      <c r="A1300" t="s">
        <v>3210</v>
      </c>
    </row>
    <row r="1301" spans="1:1" x14ac:dyDescent="0.25">
      <c r="A1301" t="s">
        <v>3194</v>
      </c>
    </row>
    <row r="1303" spans="1:1" x14ac:dyDescent="0.25">
      <c r="A1303" t="s">
        <v>3392</v>
      </c>
    </row>
    <row r="1304" spans="1:1" x14ac:dyDescent="0.25">
      <c r="A1304" t="s">
        <v>3393</v>
      </c>
    </row>
    <row r="1305" spans="1:1" x14ac:dyDescent="0.25">
      <c r="A1305" t="s">
        <v>3738</v>
      </c>
    </row>
    <row r="1306" spans="1:1" x14ac:dyDescent="0.25">
      <c r="A1306" t="s">
        <v>3739</v>
      </c>
    </row>
    <row r="1307" spans="1:1" x14ac:dyDescent="0.25">
      <c r="A1307" t="s">
        <v>3740</v>
      </c>
    </row>
    <row r="1308" spans="1:1" x14ac:dyDescent="0.25">
      <c r="A1308" t="s">
        <v>3397</v>
      </c>
    </row>
    <row r="1309" spans="1:1" x14ac:dyDescent="0.25">
      <c r="A1309" t="s">
        <v>3398</v>
      </c>
    </row>
    <row r="1310" spans="1:1" x14ac:dyDescent="0.25">
      <c r="A1310" t="s">
        <v>3399</v>
      </c>
    </row>
    <row r="1311" spans="1:1" x14ac:dyDescent="0.25">
      <c r="A1311" t="s">
        <v>3741</v>
      </c>
    </row>
    <row r="1312" spans="1:1" x14ac:dyDescent="0.25">
      <c r="A1312" t="s">
        <v>3401</v>
      </c>
    </row>
    <row r="1313" spans="1:1" x14ac:dyDescent="0.25">
      <c r="A1313" t="s">
        <v>3402</v>
      </c>
    </row>
    <row r="1315" spans="1:1" x14ac:dyDescent="0.25">
      <c r="A1315" t="s">
        <v>3392</v>
      </c>
    </row>
    <row r="1316" spans="1:1" x14ac:dyDescent="0.25">
      <c r="A1316" t="s">
        <v>3393</v>
      </c>
    </row>
    <row r="1317" spans="1:1" x14ac:dyDescent="0.25">
      <c r="A1317" t="s">
        <v>3742</v>
      </c>
    </row>
    <row r="1318" spans="1:1" x14ac:dyDescent="0.25">
      <c r="A1318" t="s">
        <v>3743</v>
      </c>
    </row>
    <row r="1319" spans="1:1" x14ac:dyDescent="0.25">
      <c r="A1319" t="s">
        <v>3740</v>
      </c>
    </row>
    <row r="1320" spans="1:1" x14ac:dyDescent="0.25">
      <c r="A1320" t="s">
        <v>3397</v>
      </c>
    </row>
    <row r="1321" spans="1:1" x14ac:dyDescent="0.25">
      <c r="A1321" t="s">
        <v>3398</v>
      </c>
    </row>
    <row r="1322" spans="1:1" x14ac:dyDescent="0.25">
      <c r="A1322" t="s">
        <v>3611</v>
      </c>
    </row>
    <row r="1323" spans="1:1" x14ac:dyDescent="0.25">
      <c r="A1323" t="s">
        <v>3744</v>
      </c>
    </row>
    <row r="1324" spans="1:1" x14ac:dyDescent="0.25">
      <c r="A1324" t="s">
        <v>3401</v>
      </c>
    </row>
    <row r="1325" spans="1:1" x14ac:dyDescent="0.25">
      <c r="A1325" t="s">
        <v>3402</v>
      </c>
    </row>
    <row r="1327" spans="1:1" x14ac:dyDescent="0.25">
      <c r="A1327" t="s">
        <v>3184</v>
      </c>
    </row>
    <row r="1328" spans="1:1" x14ac:dyDescent="0.25">
      <c r="A1328" t="s">
        <v>3185</v>
      </c>
    </row>
    <row r="1329" spans="1:1" x14ac:dyDescent="0.25">
      <c r="A1329" t="s">
        <v>3745</v>
      </c>
    </row>
    <row r="1330" spans="1:1" x14ac:dyDescent="0.25">
      <c r="A1330" t="s">
        <v>3746</v>
      </c>
    </row>
    <row r="1331" spans="1:1" x14ac:dyDescent="0.25">
      <c r="A1331" t="s">
        <v>3747</v>
      </c>
    </row>
    <row r="1332" spans="1:1" x14ac:dyDescent="0.25">
      <c r="A1332" t="s">
        <v>3207</v>
      </c>
    </row>
    <row r="1333" spans="1:1" x14ac:dyDescent="0.25">
      <c r="A1333" t="s">
        <v>3190</v>
      </c>
    </row>
    <row r="1334" spans="1:1" x14ac:dyDescent="0.25">
      <c r="A1334" t="s">
        <v>3225</v>
      </c>
    </row>
    <row r="1335" spans="1:1" x14ac:dyDescent="0.25">
      <c r="A1335" t="s">
        <v>3748</v>
      </c>
    </row>
    <row r="1336" spans="1:1" x14ac:dyDescent="0.25">
      <c r="A1336" t="s">
        <v>3210</v>
      </c>
    </row>
    <row r="1337" spans="1:1" x14ac:dyDescent="0.25">
      <c r="A1337" t="s">
        <v>3194</v>
      </c>
    </row>
    <row r="1339" spans="1:1" x14ac:dyDescent="0.25">
      <c r="A1339" t="s">
        <v>3184</v>
      </c>
    </row>
    <row r="1340" spans="1:1" x14ac:dyDescent="0.25">
      <c r="A1340" t="s">
        <v>3185</v>
      </c>
    </row>
    <row r="1341" spans="1:1" x14ac:dyDescent="0.25">
      <c r="A1341" t="s">
        <v>3749</v>
      </c>
    </row>
    <row r="1342" spans="1:1" x14ac:dyDescent="0.25">
      <c r="A1342" t="s">
        <v>3750</v>
      </c>
    </row>
    <row r="1343" spans="1:1" x14ac:dyDescent="0.25">
      <c r="A1343" t="s">
        <v>3751</v>
      </c>
    </row>
    <row r="1344" spans="1:1" x14ac:dyDescent="0.25">
      <c r="A1344" t="s">
        <v>3207</v>
      </c>
    </row>
    <row r="1345" spans="1:1" x14ac:dyDescent="0.25">
      <c r="A1345" t="s">
        <v>3190</v>
      </c>
    </row>
    <row r="1346" spans="1:1" x14ac:dyDescent="0.25">
      <c r="A1346" t="s">
        <v>3752</v>
      </c>
    </row>
    <row r="1347" spans="1:1" x14ac:dyDescent="0.25">
      <c r="A1347" t="s">
        <v>3753</v>
      </c>
    </row>
    <row r="1348" spans="1:1" x14ac:dyDescent="0.25">
      <c r="A1348" t="s">
        <v>3210</v>
      </c>
    </row>
    <row r="1349" spans="1:1" x14ac:dyDescent="0.25">
      <c r="A1349" t="s">
        <v>3194</v>
      </c>
    </row>
    <row r="1351" spans="1:1" x14ac:dyDescent="0.25">
      <c r="A1351" t="s">
        <v>3392</v>
      </c>
    </row>
    <row r="1352" spans="1:1" x14ac:dyDescent="0.25">
      <c r="A1352" t="s">
        <v>3393</v>
      </c>
    </row>
    <row r="1353" spans="1:1" x14ac:dyDescent="0.25">
      <c r="A1353" t="s">
        <v>3754</v>
      </c>
    </row>
    <row r="1354" spans="1:1" x14ac:dyDescent="0.25">
      <c r="A1354" t="s">
        <v>3755</v>
      </c>
    </row>
    <row r="1355" spans="1:1" x14ac:dyDescent="0.25">
      <c r="A1355" t="s">
        <v>3756</v>
      </c>
    </row>
    <row r="1356" spans="1:1" x14ac:dyDescent="0.25">
      <c r="A1356" t="s">
        <v>3397</v>
      </c>
    </row>
    <row r="1357" spans="1:1" x14ac:dyDescent="0.25">
      <c r="A1357" t="s">
        <v>3398</v>
      </c>
    </row>
    <row r="1358" spans="1:1" x14ac:dyDescent="0.25">
      <c r="A1358" t="s">
        <v>3399</v>
      </c>
    </row>
    <row r="1359" spans="1:1" x14ac:dyDescent="0.25">
      <c r="A1359" t="s">
        <v>3757</v>
      </c>
    </row>
    <row r="1360" spans="1:1" x14ac:dyDescent="0.25">
      <c r="A1360" t="s">
        <v>3401</v>
      </c>
    </row>
    <row r="1361" spans="1:1" x14ac:dyDescent="0.25">
      <c r="A1361" t="s">
        <v>3402</v>
      </c>
    </row>
    <row r="1363" spans="1:1" x14ac:dyDescent="0.25">
      <c r="A1363" t="s">
        <v>3184</v>
      </c>
    </row>
    <row r="1364" spans="1:1" x14ac:dyDescent="0.25">
      <c r="A1364" t="s">
        <v>3185</v>
      </c>
    </row>
    <row r="1365" spans="1:1" x14ac:dyDescent="0.25">
      <c r="A1365" t="s">
        <v>3758</v>
      </c>
    </row>
    <row r="1366" spans="1:1" x14ac:dyDescent="0.25">
      <c r="A1366" t="s">
        <v>3759</v>
      </c>
    </row>
    <row r="1367" spans="1:1" x14ac:dyDescent="0.25">
      <c r="A1367" t="s">
        <v>3307</v>
      </c>
    </row>
    <row r="1368" spans="1:1" x14ac:dyDescent="0.25">
      <c r="A1368" t="s">
        <v>3207</v>
      </c>
    </row>
    <row r="1369" spans="1:1" x14ac:dyDescent="0.25">
      <c r="A1369" t="s">
        <v>3190</v>
      </c>
    </row>
    <row r="1370" spans="1:1" x14ac:dyDescent="0.25">
      <c r="A1370" t="s">
        <v>3208</v>
      </c>
    </row>
    <row r="1371" spans="1:1" x14ac:dyDescent="0.25">
      <c r="A1371" t="s">
        <v>3760</v>
      </c>
    </row>
    <row r="1372" spans="1:1" x14ac:dyDescent="0.25">
      <c r="A1372" t="s">
        <v>3210</v>
      </c>
    </row>
    <row r="1373" spans="1:1" x14ac:dyDescent="0.25">
      <c r="A1373" t="s">
        <v>3194</v>
      </c>
    </row>
    <row r="1375" spans="1:1" x14ac:dyDescent="0.25">
      <c r="A1375" t="s">
        <v>3392</v>
      </c>
    </row>
    <row r="1376" spans="1:1" x14ac:dyDescent="0.25">
      <c r="A1376" t="s">
        <v>3393</v>
      </c>
    </row>
    <row r="1377" spans="1:1" x14ac:dyDescent="0.25">
      <c r="A1377" t="s">
        <v>3761</v>
      </c>
    </row>
    <row r="1378" spans="1:1" x14ac:dyDescent="0.25">
      <c r="A1378" t="s">
        <v>3762</v>
      </c>
    </row>
    <row r="1379" spans="1:1" x14ac:dyDescent="0.25">
      <c r="A1379" t="s">
        <v>3545</v>
      </c>
    </row>
    <row r="1380" spans="1:1" x14ac:dyDescent="0.25">
      <c r="A1380" t="s">
        <v>3397</v>
      </c>
    </row>
    <row r="1381" spans="1:1" x14ac:dyDescent="0.25">
      <c r="A1381" t="s">
        <v>3398</v>
      </c>
    </row>
    <row r="1382" spans="1:1" x14ac:dyDescent="0.25">
      <c r="A1382" t="s">
        <v>3563</v>
      </c>
    </row>
    <row r="1383" spans="1:1" x14ac:dyDescent="0.25">
      <c r="A1383" t="s">
        <v>3763</v>
      </c>
    </row>
    <row r="1384" spans="1:1" x14ac:dyDescent="0.25">
      <c r="A1384" t="s">
        <v>3401</v>
      </c>
    </row>
    <row r="1385" spans="1:1" x14ac:dyDescent="0.25">
      <c r="A1385" t="s">
        <v>3402</v>
      </c>
    </row>
    <row r="1387" spans="1:1" x14ac:dyDescent="0.25">
      <c r="A1387" t="s">
        <v>3392</v>
      </c>
    </row>
    <row r="1388" spans="1:1" x14ac:dyDescent="0.25">
      <c r="A1388" t="s">
        <v>3393</v>
      </c>
    </row>
    <row r="1389" spans="1:1" x14ac:dyDescent="0.25">
      <c r="A1389" t="s">
        <v>3764</v>
      </c>
    </row>
    <row r="1390" spans="1:1" x14ac:dyDescent="0.25">
      <c r="A1390" t="s">
        <v>3765</v>
      </c>
    </row>
    <row r="1391" spans="1:1" x14ac:dyDescent="0.25">
      <c r="A1391" t="s">
        <v>3545</v>
      </c>
    </row>
    <row r="1392" spans="1:1" x14ac:dyDescent="0.25">
      <c r="A1392" t="s">
        <v>3397</v>
      </c>
    </row>
    <row r="1393" spans="1:1" x14ac:dyDescent="0.25">
      <c r="A1393" t="s">
        <v>3398</v>
      </c>
    </row>
    <row r="1394" spans="1:1" x14ac:dyDescent="0.25">
      <c r="A1394" t="s">
        <v>3563</v>
      </c>
    </row>
    <row r="1395" spans="1:1" x14ac:dyDescent="0.25">
      <c r="A1395" t="s">
        <v>3766</v>
      </c>
    </row>
    <row r="1396" spans="1:1" x14ac:dyDescent="0.25">
      <c r="A1396" t="s">
        <v>3401</v>
      </c>
    </row>
    <row r="1397" spans="1:1" x14ac:dyDescent="0.25">
      <c r="A1397" t="s">
        <v>3402</v>
      </c>
    </row>
    <row r="1399" spans="1:1" x14ac:dyDescent="0.25">
      <c r="A1399" t="s">
        <v>3392</v>
      </c>
    </row>
    <row r="1400" spans="1:1" x14ac:dyDescent="0.25">
      <c r="A1400" t="s">
        <v>3393</v>
      </c>
    </row>
    <row r="1401" spans="1:1" x14ac:dyDescent="0.25">
      <c r="A1401" t="s">
        <v>3767</v>
      </c>
    </row>
    <row r="1402" spans="1:1" x14ac:dyDescent="0.25">
      <c r="A1402" t="s">
        <v>3768</v>
      </c>
    </row>
    <row r="1403" spans="1:1" x14ac:dyDescent="0.25">
      <c r="A1403" t="s">
        <v>3545</v>
      </c>
    </row>
    <row r="1404" spans="1:1" x14ac:dyDescent="0.25">
      <c r="A1404" t="s">
        <v>3397</v>
      </c>
    </row>
    <row r="1405" spans="1:1" x14ac:dyDescent="0.25">
      <c r="A1405" t="s">
        <v>3398</v>
      </c>
    </row>
    <row r="1406" spans="1:1" x14ac:dyDescent="0.25">
      <c r="A1406" t="s">
        <v>3563</v>
      </c>
    </row>
    <row r="1407" spans="1:1" x14ac:dyDescent="0.25">
      <c r="A1407" t="s">
        <v>3769</v>
      </c>
    </row>
    <row r="1408" spans="1:1" x14ac:dyDescent="0.25">
      <c r="A1408" t="s">
        <v>3401</v>
      </c>
    </row>
    <row r="1409" spans="1:1" x14ac:dyDescent="0.25">
      <c r="A1409" t="s">
        <v>3402</v>
      </c>
    </row>
    <row r="1411" spans="1:1" x14ac:dyDescent="0.25">
      <c r="A1411" t="s">
        <v>3184</v>
      </c>
    </row>
    <row r="1412" spans="1:1" x14ac:dyDescent="0.25">
      <c r="A1412" t="s">
        <v>3185</v>
      </c>
    </row>
    <row r="1413" spans="1:1" x14ac:dyDescent="0.25">
      <c r="A1413" t="s">
        <v>3770</v>
      </c>
    </row>
    <row r="1414" spans="1:1" x14ac:dyDescent="0.25">
      <c r="A1414" t="s">
        <v>3205</v>
      </c>
    </row>
    <row r="1415" spans="1:1" x14ac:dyDescent="0.25">
      <c r="A1415" t="s">
        <v>3206</v>
      </c>
    </row>
    <row r="1416" spans="1:1" x14ac:dyDescent="0.25">
      <c r="A1416" t="s">
        <v>3207</v>
      </c>
    </row>
    <row r="1417" spans="1:1" x14ac:dyDescent="0.25">
      <c r="A1417" t="s">
        <v>3190</v>
      </c>
    </row>
    <row r="1418" spans="1:1" x14ac:dyDescent="0.25">
      <c r="A1418" t="s">
        <v>3208</v>
      </c>
    </row>
    <row r="1419" spans="1:1" x14ac:dyDescent="0.25">
      <c r="A1419" t="s">
        <v>3209</v>
      </c>
    </row>
    <row r="1420" spans="1:1" x14ac:dyDescent="0.25">
      <c r="A1420" t="s">
        <v>3210</v>
      </c>
    </row>
    <row r="1421" spans="1:1" x14ac:dyDescent="0.25">
      <c r="A1421" t="s">
        <v>3194</v>
      </c>
    </row>
    <row r="1423" spans="1:1" x14ac:dyDescent="0.25">
      <c r="A1423" t="s">
        <v>3184</v>
      </c>
    </row>
    <row r="1424" spans="1:1" x14ac:dyDescent="0.25">
      <c r="A1424" t="s">
        <v>3185</v>
      </c>
    </row>
    <row r="1425" spans="1:1" x14ac:dyDescent="0.25">
      <c r="A1425" t="s">
        <v>3771</v>
      </c>
    </row>
    <row r="1426" spans="1:1" x14ac:dyDescent="0.25">
      <c r="A1426" t="s">
        <v>3772</v>
      </c>
    </row>
    <row r="1427" spans="1:1" x14ac:dyDescent="0.25">
      <c r="A1427" t="s">
        <v>3773</v>
      </c>
    </row>
    <row r="1428" spans="1:1" x14ac:dyDescent="0.25">
      <c r="A1428" t="s">
        <v>3207</v>
      </c>
    </row>
    <row r="1429" spans="1:1" x14ac:dyDescent="0.25">
      <c r="A1429" t="s">
        <v>3190</v>
      </c>
    </row>
    <row r="1430" spans="1:1" x14ac:dyDescent="0.25">
      <c r="A1430" t="s">
        <v>3774</v>
      </c>
    </row>
    <row r="1431" spans="1:1" x14ac:dyDescent="0.25">
      <c r="A1431" t="s">
        <v>3775</v>
      </c>
    </row>
    <row r="1432" spans="1:1" x14ac:dyDescent="0.25">
      <c r="A1432" t="s">
        <v>3210</v>
      </c>
    </row>
    <row r="1433" spans="1:1" x14ac:dyDescent="0.25">
      <c r="A1433" t="s">
        <v>3194</v>
      </c>
    </row>
    <row r="1435" spans="1:1" x14ac:dyDescent="0.25">
      <c r="A1435" t="s">
        <v>3392</v>
      </c>
    </row>
    <row r="1436" spans="1:1" x14ac:dyDescent="0.25">
      <c r="A1436" t="s">
        <v>3393</v>
      </c>
    </row>
    <row r="1437" spans="1:1" x14ac:dyDescent="0.25">
      <c r="A1437" t="s">
        <v>3776</v>
      </c>
    </row>
    <row r="1438" spans="1:1" x14ac:dyDescent="0.25">
      <c r="A1438" t="s">
        <v>3777</v>
      </c>
    </row>
    <row r="1439" spans="1:1" x14ac:dyDescent="0.25">
      <c r="A1439" t="s">
        <v>3529</v>
      </c>
    </row>
    <row r="1440" spans="1:1" x14ac:dyDescent="0.25">
      <c r="A1440" t="s">
        <v>3397</v>
      </c>
    </row>
    <row r="1441" spans="1:1" x14ac:dyDescent="0.25">
      <c r="A1441" t="s">
        <v>3398</v>
      </c>
    </row>
    <row r="1442" spans="1:1" x14ac:dyDescent="0.25">
      <c r="A1442" t="s">
        <v>3399</v>
      </c>
    </row>
    <row r="1443" spans="1:1" x14ac:dyDescent="0.25">
      <c r="A1443" t="s">
        <v>3778</v>
      </c>
    </row>
    <row r="1444" spans="1:1" x14ac:dyDescent="0.25">
      <c r="A1444" t="s">
        <v>3401</v>
      </c>
    </row>
    <row r="1445" spans="1:1" x14ac:dyDescent="0.25">
      <c r="A1445" t="s">
        <v>3402</v>
      </c>
    </row>
    <row r="1447" spans="1:1" x14ac:dyDescent="0.25">
      <c r="A1447" t="s">
        <v>3392</v>
      </c>
    </row>
    <row r="1448" spans="1:1" x14ac:dyDescent="0.25">
      <c r="A1448" t="s">
        <v>3393</v>
      </c>
    </row>
    <row r="1449" spans="1:1" x14ac:dyDescent="0.25">
      <c r="A1449" t="s">
        <v>3779</v>
      </c>
    </row>
    <row r="1450" spans="1:1" x14ac:dyDescent="0.25">
      <c r="A1450" t="s">
        <v>3780</v>
      </c>
    </row>
    <row r="1451" spans="1:1" x14ac:dyDescent="0.25">
      <c r="A1451" t="s">
        <v>3633</v>
      </c>
    </row>
    <row r="1452" spans="1:1" x14ac:dyDescent="0.25">
      <c r="A1452" t="s">
        <v>3397</v>
      </c>
    </row>
    <row r="1453" spans="1:1" x14ac:dyDescent="0.25">
      <c r="A1453" t="s">
        <v>3398</v>
      </c>
    </row>
    <row r="1454" spans="1:1" x14ac:dyDescent="0.25">
      <c r="A1454" t="s">
        <v>3399</v>
      </c>
    </row>
    <row r="1455" spans="1:1" x14ac:dyDescent="0.25">
      <c r="A1455" t="s">
        <v>3781</v>
      </c>
    </row>
    <row r="1456" spans="1:1" x14ac:dyDescent="0.25">
      <c r="A1456" t="s">
        <v>3401</v>
      </c>
    </row>
    <row r="1457" spans="1:1" x14ac:dyDescent="0.25">
      <c r="A1457" t="s">
        <v>3402</v>
      </c>
    </row>
    <row r="1459" spans="1:1" x14ac:dyDescent="0.25">
      <c r="A1459" t="s">
        <v>3184</v>
      </c>
    </row>
    <row r="1460" spans="1:1" x14ac:dyDescent="0.25">
      <c r="A1460" t="s">
        <v>3185</v>
      </c>
    </row>
    <row r="1461" spans="1:1" x14ac:dyDescent="0.25">
      <c r="A1461" t="s">
        <v>3782</v>
      </c>
    </row>
    <row r="1462" spans="1:1" x14ac:dyDescent="0.25">
      <c r="A1462" t="s">
        <v>3212</v>
      </c>
    </row>
    <row r="1463" spans="1:1" x14ac:dyDescent="0.25">
      <c r="A1463" t="s">
        <v>3213</v>
      </c>
    </row>
    <row r="1464" spans="1:1" x14ac:dyDescent="0.25">
      <c r="A1464" t="s">
        <v>3214</v>
      </c>
    </row>
    <row r="1465" spans="1:1" x14ac:dyDescent="0.25">
      <c r="A1465" t="s">
        <v>3190</v>
      </c>
    </row>
    <row r="1466" spans="1:1" x14ac:dyDescent="0.25">
      <c r="A1466" t="s">
        <v>3215</v>
      </c>
    </row>
    <row r="1467" spans="1:1" x14ac:dyDescent="0.25">
      <c r="A1467" t="s">
        <v>3216</v>
      </c>
    </row>
    <row r="1468" spans="1:1" x14ac:dyDescent="0.25">
      <c r="A1468" t="s">
        <v>3193</v>
      </c>
    </row>
    <row r="1469" spans="1:1" x14ac:dyDescent="0.25">
      <c r="A1469" t="s">
        <v>3194</v>
      </c>
    </row>
    <row r="1471" spans="1:1" x14ac:dyDescent="0.25">
      <c r="A1471" t="s">
        <v>3392</v>
      </c>
    </row>
    <row r="1472" spans="1:1" x14ac:dyDescent="0.25">
      <c r="A1472" t="s">
        <v>3393</v>
      </c>
    </row>
    <row r="1473" spans="1:1" x14ac:dyDescent="0.25">
      <c r="A1473" t="s">
        <v>3783</v>
      </c>
    </row>
    <row r="1474" spans="1:1" x14ac:dyDescent="0.25">
      <c r="A1474" t="s">
        <v>3784</v>
      </c>
    </row>
    <row r="1475" spans="1:1" x14ac:dyDescent="0.25">
      <c r="A1475" t="s">
        <v>3633</v>
      </c>
    </row>
    <row r="1476" spans="1:1" x14ac:dyDescent="0.25">
      <c r="A1476" t="s">
        <v>3397</v>
      </c>
    </row>
    <row r="1477" spans="1:1" x14ac:dyDescent="0.25">
      <c r="A1477" t="s">
        <v>3398</v>
      </c>
    </row>
    <row r="1478" spans="1:1" x14ac:dyDescent="0.25">
      <c r="A1478" t="s">
        <v>3399</v>
      </c>
    </row>
    <row r="1479" spans="1:1" x14ac:dyDescent="0.25">
      <c r="A1479" t="s">
        <v>3785</v>
      </c>
    </row>
    <row r="1480" spans="1:1" x14ac:dyDescent="0.25">
      <c r="A1480" t="s">
        <v>3401</v>
      </c>
    </row>
    <row r="1481" spans="1:1" x14ac:dyDescent="0.25">
      <c r="A1481" t="s">
        <v>3402</v>
      </c>
    </row>
    <row r="1483" spans="1:1" x14ac:dyDescent="0.25">
      <c r="A1483" t="s">
        <v>3392</v>
      </c>
    </row>
    <row r="1484" spans="1:1" x14ac:dyDescent="0.25">
      <c r="A1484" t="s">
        <v>3393</v>
      </c>
    </row>
    <row r="1485" spans="1:1" x14ac:dyDescent="0.25">
      <c r="A1485" t="s">
        <v>3786</v>
      </c>
    </row>
    <row r="1486" spans="1:1" x14ac:dyDescent="0.25">
      <c r="A1486" t="s">
        <v>3787</v>
      </c>
    </row>
    <row r="1487" spans="1:1" x14ac:dyDescent="0.25">
      <c r="A1487" t="s">
        <v>3633</v>
      </c>
    </row>
    <row r="1488" spans="1:1" x14ac:dyDescent="0.25">
      <c r="A1488" t="s">
        <v>3397</v>
      </c>
    </row>
    <row r="1489" spans="1:1" x14ac:dyDescent="0.25">
      <c r="A1489" t="s">
        <v>3398</v>
      </c>
    </row>
    <row r="1490" spans="1:1" x14ac:dyDescent="0.25">
      <c r="A1490" t="s">
        <v>3788</v>
      </c>
    </row>
    <row r="1491" spans="1:1" x14ac:dyDescent="0.25">
      <c r="A1491" t="s">
        <v>3789</v>
      </c>
    </row>
    <row r="1492" spans="1:1" x14ac:dyDescent="0.25">
      <c r="A1492" t="s">
        <v>3401</v>
      </c>
    </row>
    <row r="1493" spans="1:1" x14ac:dyDescent="0.25">
      <c r="A1493" t="s">
        <v>3402</v>
      </c>
    </row>
    <row r="1495" spans="1:1" x14ac:dyDescent="0.25">
      <c r="A1495" t="s">
        <v>3392</v>
      </c>
    </row>
    <row r="1496" spans="1:1" x14ac:dyDescent="0.25">
      <c r="A1496" t="s">
        <v>3393</v>
      </c>
    </row>
    <row r="1497" spans="1:1" x14ac:dyDescent="0.25">
      <c r="A1497" t="s">
        <v>3790</v>
      </c>
    </row>
    <row r="1498" spans="1:1" x14ac:dyDescent="0.25">
      <c r="A1498" t="s">
        <v>3791</v>
      </c>
    </row>
    <row r="1499" spans="1:1" x14ac:dyDescent="0.25">
      <c r="A1499" t="s">
        <v>3597</v>
      </c>
    </row>
    <row r="1500" spans="1:1" x14ac:dyDescent="0.25">
      <c r="A1500" t="s">
        <v>3397</v>
      </c>
    </row>
    <row r="1501" spans="1:1" x14ac:dyDescent="0.25">
      <c r="A1501" t="s">
        <v>3398</v>
      </c>
    </row>
    <row r="1502" spans="1:1" x14ac:dyDescent="0.25">
      <c r="A1502" t="s">
        <v>3399</v>
      </c>
    </row>
    <row r="1503" spans="1:1" x14ac:dyDescent="0.25">
      <c r="A1503" t="s">
        <v>3792</v>
      </c>
    </row>
    <row r="1504" spans="1:1" x14ac:dyDescent="0.25">
      <c r="A1504" t="s">
        <v>3401</v>
      </c>
    </row>
    <row r="1505" spans="1:1" x14ac:dyDescent="0.25">
      <c r="A1505" t="s">
        <v>3402</v>
      </c>
    </row>
    <row r="1507" spans="1:1" x14ac:dyDescent="0.25">
      <c r="A1507" t="s">
        <v>3392</v>
      </c>
    </row>
    <row r="1508" spans="1:1" x14ac:dyDescent="0.25">
      <c r="A1508" t="s">
        <v>3393</v>
      </c>
    </row>
    <row r="1509" spans="1:1" x14ac:dyDescent="0.25">
      <c r="A1509" t="s">
        <v>3793</v>
      </c>
    </row>
    <row r="1510" spans="1:1" x14ac:dyDescent="0.25">
      <c r="A1510" t="s">
        <v>3794</v>
      </c>
    </row>
    <row r="1511" spans="1:1" x14ac:dyDescent="0.25">
      <c r="A1511" t="s">
        <v>3597</v>
      </c>
    </row>
    <row r="1512" spans="1:1" x14ac:dyDescent="0.25">
      <c r="A1512" t="s">
        <v>3397</v>
      </c>
    </row>
    <row r="1513" spans="1:1" x14ac:dyDescent="0.25">
      <c r="A1513" t="s">
        <v>3398</v>
      </c>
    </row>
    <row r="1514" spans="1:1" x14ac:dyDescent="0.25">
      <c r="A1514" t="s">
        <v>3399</v>
      </c>
    </row>
    <row r="1515" spans="1:1" x14ac:dyDescent="0.25">
      <c r="A1515" t="s">
        <v>3795</v>
      </c>
    </row>
    <row r="1516" spans="1:1" x14ac:dyDescent="0.25">
      <c r="A1516" t="s">
        <v>3401</v>
      </c>
    </row>
    <row r="1517" spans="1:1" x14ac:dyDescent="0.25">
      <c r="A1517" t="s">
        <v>3402</v>
      </c>
    </row>
    <row r="1519" spans="1:1" x14ac:dyDescent="0.25">
      <c r="A1519" t="s">
        <v>3392</v>
      </c>
    </row>
    <row r="1520" spans="1:1" x14ac:dyDescent="0.25">
      <c r="A1520" t="s">
        <v>3393</v>
      </c>
    </row>
    <row r="1521" spans="1:1" x14ac:dyDescent="0.25">
      <c r="A1521" t="s">
        <v>3796</v>
      </c>
    </row>
    <row r="1522" spans="1:1" x14ac:dyDescent="0.25">
      <c r="A1522" t="s">
        <v>3797</v>
      </c>
    </row>
    <row r="1523" spans="1:1" x14ac:dyDescent="0.25">
      <c r="A1523" t="s">
        <v>3597</v>
      </c>
    </row>
    <row r="1524" spans="1:1" x14ac:dyDescent="0.25">
      <c r="A1524" t="s">
        <v>3397</v>
      </c>
    </row>
    <row r="1525" spans="1:1" x14ac:dyDescent="0.25">
      <c r="A1525" t="s">
        <v>3398</v>
      </c>
    </row>
    <row r="1526" spans="1:1" x14ac:dyDescent="0.25">
      <c r="A1526" t="s">
        <v>3399</v>
      </c>
    </row>
    <row r="1527" spans="1:1" x14ac:dyDescent="0.25">
      <c r="A1527" t="s">
        <v>3798</v>
      </c>
    </row>
    <row r="1528" spans="1:1" x14ac:dyDescent="0.25">
      <c r="A1528" t="s">
        <v>3401</v>
      </c>
    </row>
    <row r="1529" spans="1:1" x14ac:dyDescent="0.25">
      <c r="A1529" t="s">
        <v>3402</v>
      </c>
    </row>
    <row r="1531" spans="1:1" x14ac:dyDescent="0.25">
      <c r="A1531" t="s">
        <v>3392</v>
      </c>
    </row>
    <row r="1532" spans="1:1" x14ac:dyDescent="0.25">
      <c r="A1532" t="s">
        <v>3393</v>
      </c>
    </row>
    <row r="1533" spans="1:1" x14ac:dyDescent="0.25">
      <c r="A1533" t="s">
        <v>3799</v>
      </c>
    </row>
    <row r="1534" spans="1:1" x14ac:dyDescent="0.25">
      <c r="A1534" t="s">
        <v>3800</v>
      </c>
    </row>
    <row r="1535" spans="1:1" x14ac:dyDescent="0.25">
      <c r="A1535" t="s">
        <v>3597</v>
      </c>
    </row>
    <row r="1536" spans="1:1" x14ac:dyDescent="0.25">
      <c r="A1536" t="s">
        <v>3397</v>
      </c>
    </row>
    <row r="1537" spans="1:1" x14ac:dyDescent="0.25">
      <c r="A1537" t="s">
        <v>3398</v>
      </c>
    </row>
    <row r="1538" spans="1:1" x14ac:dyDescent="0.25">
      <c r="A1538" t="s">
        <v>3399</v>
      </c>
    </row>
    <row r="1539" spans="1:1" x14ac:dyDescent="0.25">
      <c r="A1539" t="s">
        <v>3801</v>
      </c>
    </row>
    <row r="1540" spans="1:1" x14ac:dyDescent="0.25">
      <c r="A1540" t="s">
        <v>3401</v>
      </c>
    </row>
    <row r="1541" spans="1:1" x14ac:dyDescent="0.25">
      <c r="A1541" t="s">
        <v>3402</v>
      </c>
    </row>
    <row r="1543" spans="1:1" x14ac:dyDescent="0.25">
      <c r="A1543" t="s">
        <v>3392</v>
      </c>
    </row>
    <row r="1544" spans="1:1" x14ac:dyDescent="0.25">
      <c r="A1544" t="s">
        <v>3393</v>
      </c>
    </row>
    <row r="1545" spans="1:1" x14ac:dyDescent="0.25">
      <c r="A1545" t="s">
        <v>3802</v>
      </c>
    </row>
    <row r="1546" spans="1:1" x14ac:dyDescent="0.25">
      <c r="A1546" t="s">
        <v>3803</v>
      </c>
    </row>
    <row r="1547" spans="1:1" x14ac:dyDescent="0.25">
      <c r="A1547" t="s">
        <v>3597</v>
      </c>
    </row>
    <row r="1548" spans="1:1" x14ac:dyDescent="0.25">
      <c r="A1548" t="s">
        <v>3397</v>
      </c>
    </row>
    <row r="1549" spans="1:1" x14ac:dyDescent="0.25">
      <c r="A1549" t="s">
        <v>3398</v>
      </c>
    </row>
    <row r="1550" spans="1:1" x14ac:dyDescent="0.25">
      <c r="A1550" t="s">
        <v>3399</v>
      </c>
    </row>
    <row r="1551" spans="1:1" x14ac:dyDescent="0.25">
      <c r="A1551" t="s">
        <v>3804</v>
      </c>
    </row>
    <row r="1552" spans="1:1" x14ac:dyDescent="0.25">
      <c r="A1552" t="s">
        <v>3401</v>
      </c>
    </row>
    <row r="1553" spans="1:1" x14ac:dyDescent="0.25">
      <c r="A1553" t="s">
        <v>3402</v>
      </c>
    </row>
    <row r="1555" spans="1:1" x14ac:dyDescent="0.25">
      <c r="A1555" t="s">
        <v>3656</v>
      </c>
    </row>
    <row r="1556" spans="1:1" x14ac:dyDescent="0.25">
      <c r="A1556" t="s">
        <v>3657</v>
      </c>
    </row>
    <row r="1557" spans="1:1" x14ac:dyDescent="0.25">
      <c r="A1557" t="s">
        <v>3392</v>
      </c>
    </row>
    <row r="1558" spans="1:1" x14ac:dyDescent="0.25">
      <c r="A1558" t="s">
        <v>3393</v>
      </c>
    </row>
    <row r="1559" spans="1:1" x14ac:dyDescent="0.25">
      <c r="A1559" t="s">
        <v>3805</v>
      </c>
    </row>
    <row r="1560" spans="1:1" x14ac:dyDescent="0.25">
      <c r="A1560" t="s">
        <v>3398</v>
      </c>
    </row>
    <row r="1561" spans="1:1" x14ac:dyDescent="0.25">
      <c r="A1561" t="s">
        <v>3806</v>
      </c>
    </row>
    <row r="1562" spans="1:1" x14ac:dyDescent="0.25">
      <c r="A1562" t="s">
        <v>3807</v>
      </c>
    </row>
    <row r="1563" spans="1:1" x14ac:dyDescent="0.25">
      <c r="A1563" t="s">
        <v>3401</v>
      </c>
    </row>
    <row r="1564" spans="1:1" x14ac:dyDescent="0.25">
      <c r="A1564" t="s">
        <v>3402</v>
      </c>
    </row>
    <row r="1566" spans="1:1" x14ac:dyDescent="0.25">
      <c r="A1566" t="s">
        <v>3392</v>
      </c>
    </row>
    <row r="1567" spans="1:1" x14ac:dyDescent="0.25">
      <c r="A1567" t="s">
        <v>3393</v>
      </c>
    </row>
    <row r="1568" spans="1:1" x14ac:dyDescent="0.25">
      <c r="A1568" t="s">
        <v>3808</v>
      </c>
    </row>
    <row r="1569" spans="1:1" x14ac:dyDescent="0.25">
      <c r="A1569" t="s">
        <v>3398</v>
      </c>
    </row>
    <row r="1570" spans="1:1" x14ac:dyDescent="0.25">
      <c r="A1570" t="s">
        <v>3399</v>
      </c>
    </row>
    <row r="1571" spans="1:1" x14ac:dyDescent="0.25">
      <c r="A1571" t="s">
        <v>3809</v>
      </c>
    </row>
    <row r="1572" spans="1:1" x14ac:dyDescent="0.25">
      <c r="A1572" t="s">
        <v>3401</v>
      </c>
    </row>
    <row r="1573" spans="1:1" x14ac:dyDescent="0.25">
      <c r="A1573" t="s">
        <v>3402</v>
      </c>
    </row>
    <row r="1574" spans="1:1" x14ac:dyDescent="0.25">
      <c r="A1574" t="s">
        <v>3684</v>
      </c>
    </row>
    <row r="1576" spans="1:1" x14ac:dyDescent="0.25">
      <c r="A1576" t="s">
        <v>3685</v>
      </c>
    </row>
    <row r="1578" spans="1:1" x14ac:dyDescent="0.25">
      <c r="A1578" t="s">
        <v>3686</v>
      </c>
    </row>
    <row r="1579" spans="1:1" x14ac:dyDescent="0.25">
      <c r="A1579" t="s">
        <v>3810</v>
      </c>
    </row>
    <row r="1580" spans="1:1" x14ac:dyDescent="0.25">
      <c r="A1580" t="s">
        <v>3811</v>
      </c>
    </row>
    <row r="1581" spans="1:1" x14ac:dyDescent="0.25">
      <c r="A1581" t="s">
        <v>3597</v>
      </c>
    </row>
    <row r="1582" spans="1:1" x14ac:dyDescent="0.25">
      <c r="A1582" t="s">
        <v>3397</v>
      </c>
    </row>
    <row r="1583" spans="1:1" x14ac:dyDescent="0.25">
      <c r="A1583" t="s">
        <v>3689</v>
      </c>
    </row>
    <row r="1584" spans="1:1" x14ac:dyDescent="0.25">
      <c r="A1584" t="s">
        <v>3690</v>
      </c>
    </row>
    <row r="1585" spans="1:1" x14ac:dyDescent="0.25">
      <c r="A1585" t="s">
        <v>3691</v>
      </c>
    </row>
    <row r="1587" spans="1:1" x14ac:dyDescent="0.25">
      <c r="A1587" t="s">
        <v>3184</v>
      </c>
    </row>
    <row r="1588" spans="1:1" x14ac:dyDescent="0.25">
      <c r="A1588" t="s">
        <v>3185</v>
      </c>
    </row>
    <row r="1589" spans="1:1" x14ac:dyDescent="0.25">
      <c r="A1589" t="s">
        <v>3812</v>
      </c>
    </row>
    <row r="1590" spans="1:1" x14ac:dyDescent="0.25">
      <c r="A1590" t="s">
        <v>3813</v>
      </c>
    </row>
    <row r="1591" spans="1:1" x14ac:dyDescent="0.25">
      <c r="A1591" t="s">
        <v>3213</v>
      </c>
    </row>
    <row r="1592" spans="1:1" x14ac:dyDescent="0.25">
      <c r="A1592" t="s">
        <v>3214</v>
      </c>
    </row>
    <row r="1593" spans="1:1" x14ac:dyDescent="0.25">
      <c r="A1593" t="s">
        <v>3190</v>
      </c>
    </row>
    <row r="1594" spans="1:1" x14ac:dyDescent="0.25">
      <c r="A1594" t="s">
        <v>3215</v>
      </c>
    </row>
    <row r="1595" spans="1:1" x14ac:dyDescent="0.25">
      <c r="A1595" t="s">
        <v>3814</v>
      </c>
    </row>
    <row r="1596" spans="1:1" x14ac:dyDescent="0.25">
      <c r="A1596" t="s">
        <v>3193</v>
      </c>
    </row>
    <row r="1597" spans="1:1" x14ac:dyDescent="0.25">
      <c r="A1597" t="s">
        <v>3194</v>
      </c>
    </row>
    <row r="1599" spans="1:1" x14ac:dyDescent="0.25">
      <c r="A1599" t="s">
        <v>3392</v>
      </c>
    </row>
    <row r="1600" spans="1:1" x14ac:dyDescent="0.25">
      <c r="A1600" t="s">
        <v>3393</v>
      </c>
    </row>
    <row r="1601" spans="1:1" x14ac:dyDescent="0.25">
      <c r="A1601" t="s">
        <v>3815</v>
      </c>
    </row>
    <row r="1602" spans="1:1" x14ac:dyDescent="0.25">
      <c r="A1602" t="s">
        <v>3816</v>
      </c>
    </row>
    <row r="1603" spans="1:1" x14ac:dyDescent="0.25">
      <c r="A1603" t="s">
        <v>3597</v>
      </c>
    </row>
    <row r="1604" spans="1:1" x14ac:dyDescent="0.25">
      <c r="A1604" t="s">
        <v>3397</v>
      </c>
    </row>
    <row r="1605" spans="1:1" x14ac:dyDescent="0.25">
      <c r="A1605" t="s">
        <v>3398</v>
      </c>
    </row>
    <row r="1606" spans="1:1" x14ac:dyDescent="0.25">
      <c r="A1606" t="s">
        <v>3399</v>
      </c>
    </row>
    <row r="1607" spans="1:1" x14ac:dyDescent="0.25">
      <c r="A1607" t="s">
        <v>3817</v>
      </c>
    </row>
    <row r="1608" spans="1:1" x14ac:dyDescent="0.25">
      <c r="A1608" t="s">
        <v>3401</v>
      </c>
    </row>
    <row r="1609" spans="1:1" x14ac:dyDescent="0.25">
      <c r="A1609" t="s">
        <v>3402</v>
      </c>
    </row>
    <row r="1611" spans="1:1" x14ac:dyDescent="0.25">
      <c r="A1611" t="s">
        <v>3392</v>
      </c>
    </row>
    <row r="1612" spans="1:1" x14ac:dyDescent="0.25">
      <c r="A1612" t="s">
        <v>3393</v>
      </c>
    </row>
    <row r="1613" spans="1:1" x14ac:dyDescent="0.25">
      <c r="A1613" t="s">
        <v>3818</v>
      </c>
    </row>
    <row r="1614" spans="1:1" x14ac:dyDescent="0.25">
      <c r="A1614" t="s">
        <v>3819</v>
      </c>
    </row>
    <row r="1615" spans="1:1" x14ac:dyDescent="0.25">
      <c r="A1615" t="s">
        <v>3529</v>
      </c>
    </row>
    <row r="1616" spans="1:1" x14ac:dyDescent="0.25">
      <c r="A1616" t="s">
        <v>3397</v>
      </c>
    </row>
    <row r="1617" spans="1:1" x14ac:dyDescent="0.25">
      <c r="A1617" t="s">
        <v>3398</v>
      </c>
    </row>
    <row r="1618" spans="1:1" x14ac:dyDescent="0.25">
      <c r="A1618" t="s">
        <v>3530</v>
      </c>
    </row>
    <row r="1619" spans="1:1" x14ac:dyDescent="0.25">
      <c r="A1619" t="s">
        <v>3820</v>
      </c>
    </row>
    <row r="1620" spans="1:1" x14ac:dyDescent="0.25">
      <c r="A1620" t="s">
        <v>3401</v>
      </c>
    </row>
    <row r="1621" spans="1:1" x14ac:dyDescent="0.25">
      <c r="A1621" t="s">
        <v>3402</v>
      </c>
    </row>
    <row r="1623" spans="1:1" x14ac:dyDescent="0.25">
      <c r="A1623" t="s">
        <v>3392</v>
      </c>
    </row>
    <row r="1624" spans="1:1" x14ac:dyDescent="0.25">
      <c r="A1624" t="s">
        <v>3393</v>
      </c>
    </row>
    <row r="1625" spans="1:1" x14ac:dyDescent="0.25">
      <c r="A1625" t="s">
        <v>3821</v>
      </c>
    </row>
    <row r="1626" spans="1:1" x14ac:dyDescent="0.25">
      <c r="A1626" t="s">
        <v>3822</v>
      </c>
    </row>
    <row r="1627" spans="1:1" x14ac:dyDescent="0.25">
      <c r="A1627" t="s">
        <v>3823</v>
      </c>
    </row>
    <row r="1628" spans="1:1" x14ac:dyDescent="0.25">
      <c r="A1628" t="s">
        <v>3397</v>
      </c>
    </row>
    <row r="1629" spans="1:1" x14ac:dyDescent="0.25">
      <c r="A1629" t="s">
        <v>3398</v>
      </c>
    </row>
    <row r="1630" spans="1:1" x14ac:dyDescent="0.25">
      <c r="A1630" t="s">
        <v>3563</v>
      </c>
    </row>
    <row r="1631" spans="1:1" x14ac:dyDescent="0.25">
      <c r="A1631" t="s">
        <v>3824</v>
      </c>
    </row>
    <row r="1632" spans="1:1" x14ac:dyDescent="0.25">
      <c r="A1632" t="s">
        <v>3401</v>
      </c>
    </row>
    <row r="1633" spans="1:1" x14ac:dyDescent="0.25">
      <c r="A1633" t="s">
        <v>3402</v>
      </c>
    </row>
    <row r="1635" spans="1:1" x14ac:dyDescent="0.25">
      <c r="A1635" t="s">
        <v>3392</v>
      </c>
    </row>
    <row r="1636" spans="1:1" x14ac:dyDescent="0.25">
      <c r="A1636" t="s">
        <v>3393</v>
      </c>
    </row>
    <row r="1637" spans="1:1" x14ac:dyDescent="0.25">
      <c r="A1637" t="s">
        <v>3825</v>
      </c>
    </row>
    <row r="1638" spans="1:1" x14ac:dyDescent="0.25">
      <c r="A1638" t="s">
        <v>3826</v>
      </c>
    </row>
    <row r="1639" spans="1:1" x14ac:dyDescent="0.25">
      <c r="A1639" t="s">
        <v>3827</v>
      </c>
    </row>
    <row r="1640" spans="1:1" x14ac:dyDescent="0.25">
      <c r="A1640" t="s">
        <v>3397</v>
      </c>
    </row>
    <row r="1641" spans="1:1" x14ac:dyDescent="0.25">
      <c r="A1641" t="s">
        <v>3398</v>
      </c>
    </row>
    <row r="1642" spans="1:1" x14ac:dyDescent="0.25">
      <c r="A1642" t="s">
        <v>3563</v>
      </c>
    </row>
    <row r="1643" spans="1:1" x14ac:dyDescent="0.25">
      <c r="A1643" t="s">
        <v>3828</v>
      </c>
    </row>
    <row r="1644" spans="1:1" x14ac:dyDescent="0.25">
      <c r="A1644" t="s">
        <v>3401</v>
      </c>
    </row>
    <row r="1645" spans="1:1" x14ac:dyDescent="0.25">
      <c r="A1645" t="s">
        <v>3402</v>
      </c>
    </row>
    <row r="1647" spans="1:1" x14ac:dyDescent="0.25">
      <c r="A1647" t="s">
        <v>3392</v>
      </c>
    </row>
    <row r="1648" spans="1:1" x14ac:dyDescent="0.25">
      <c r="A1648" t="s">
        <v>3393</v>
      </c>
    </row>
    <row r="1649" spans="1:1" x14ac:dyDescent="0.25">
      <c r="A1649" t="s">
        <v>3829</v>
      </c>
    </row>
    <row r="1650" spans="1:1" x14ac:dyDescent="0.25">
      <c r="A1650" t="s">
        <v>3830</v>
      </c>
    </row>
    <row r="1651" spans="1:1" x14ac:dyDescent="0.25">
      <c r="A1651" t="s">
        <v>3831</v>
      </c>
    </row>
    <row r="1652" spans="1:1" x14ac:dyDescent="0.25">
      <c r="A1652" t="s">
        <v>3397</v>
      </c>
    </row>
    <row r="1653" spans="1:1" x14ac:dyDescent="0.25">
      <c r="A1653" t="s">
        <v>3398</v>
      </c>
    </row>
    <row r="1654" spans="1:1" x14ac:dyDescent="0.25">
      <c r="A1654" t="s">
        <v>3399</v>
      </c>
    </row>
    <row r="1655" spans="1:1" x14ac:dyDescent="0.25">
      <c r="A1655" t="s">
        <v>3832</v>
      </c>
    </row>
    <row r="1656" spans="1:1" x14ac:dyDescent="0.25">
      <c r="A1656" t="s">
        <v>3401</v>
      </c>
    </row>
    <row r="1657" spans="1:1" x14ac:dyDescent="0.25">
      <c r="A1657" t="s">
        <v>3402</v>
      </c>
    </row>
    <row r="1659" spans="1:1" x14ac:dyDescent="0.25">
      <c r="A1659" t="s">
        <v>3392</v>
      </c>
    </row>
    <row r="1660" spans="1:1" x14ac:dyDescent="0.25">
      <c r="A1660" t="s">
        <v>3393</v>
      </c>
    </row>
    <row r="1661" spans="1:1" x14ac:dyDescent="0.25">
      <c r="A1661" t="s">
        <v>3833</v>
      </c>
    </row>
    <row r="1662" spans="1:1" x14ac:dyDescent="0.25">
      <c r="A1662" t="s">
        <v>3834</v>
      </c>
    </row>
    <row r="1663" spans="1:1" x14ac:dyDescent="0.25">
      <c r="A1663" t="s">
        <v>3545</v>
      </c>
    </row>
    <row r="1664" spans="1:1" x14ac:dyDescent="0.25">
      <c r="A1664" t="s">
        <v>3397</v>
      </c>
    </row>
    <row r="1665" spans="1:1" x14ac:dyDescent="0.25">
      <c r="A1665" t="s">
        <v>3398</v>
      </c>
    </row>
    <row r="1666" spans="1:1" x14ac:dyDescent="0.25">
      <c r="A1666" t="s">
        <v>3563</v>
      </c>
    </row>
    <row r="1667" spans="1:1" x14ac:dyDescent="0.25">
      <c r="A1667" t="s">
        <v>3835</v>
      </c>
    </row>
    <row r="1668" spans="1:1" x14ac:dyDescent="0.25">
      <c r="A1668" t="s">
        <v>3401</v>
      </c>
    </row>
    <row r="1669" spans="1:1" x14ac:dyDescent="0.25">
      <c r="A1669" t="s">
        <v>3402</v>
      </c>
    </row>
    <row r="1671" spans="1:1" x14ac:dyDescent="0.25">
      <c r="A1671" t="s">
        <v>3184</v>
      </c>
    </row>
    <row r="1672" spans="1:1" x14ac:dyDescent="0.25">
      <c r="A1672" t="s">
        <v>3185</v>
      </c>
    </row>
    <row r="1673" spans="1:1" x14ac:dyDescent="0.25">
      <c r="A1673" t="s">
        <v>3836</v>
      </c>
    </row>
    <row r="1674" spans="1:1" x14ac:dyDescent="0.25">
      <c r="A1674" t="s">
        <v>3837</v>
      </c>
    </row>
    <row r="1675" spans="1:1" x14ac:dyDescent="0.25">
      <c r="A1675" t="s">
        <v>3838</v>
      </c>
    </row>
    <row r="1676" spans="1:1" x14ac:dyDescent="0.25">
      <c r="A1676" t="s">
        <v>3207</v>
      </c>
    </row>
    <row r="1677" spans="1:1" x14ac:dyDescent="0.25">
      <c r="A1677" t="s">
        <v>3190</v>
      </c>
    </row>
    <row r="1678" spans="1:1" x14ac:dyDescent="0.25">
      <c r="A1678" t="s">
        <v>3225</v>
      </c>
    </row>
    <row r="1679" spans="1:1" x14ac:dyDescent="0.25">
      <c r="A1679" t="s">
        <v>3839</v>
      </c>
    </row>
    <row r="1680" spans="1:1" x14ac:dyDescent="0.25">
      <c r="A1680" t="s">
        <v>3210</v>
      </c>
    </row>
    <row r="1681" spans="1:1" x14ac:dyDescent="0.25">
      <c r="A1681" t="s">
        <v>3194</v>
      </c>
    </row>
    <row r="1683" spans="1:1" x14ac:dyDescent="0.25">
      <c r="A1683" t="s">
        <v>3392</v>
      </c>
    </row>
    <row r="1684" spans="1:1" x14ac:dyDescent="0.25">
      <c r="A1684" t="s">
        <v>3393</v>
      </c>
    </row>
    <row r="1685" spans="1:1" x14ac:dyDescent="0.25">
      <c r="A1685" t="s">
        <v>3840</v>
      </c>
    </row>
    <row r="1686" spans="1:1" x14ac:dyDescent="0.25">
      <c r="A1686" t="s">
        <v>3841</v>
      </c>
    </row>
    <row r="1687" spans="1:1" x14ac:dyDescent="0.25">
      <c r="A1687" t="s">
        <v>3740</v>
      </c>
    </row>
    <row r="1688" spans="1:1" x14ac:dyDescent="0.25">
      <c r="A1688" t="s">
        <v>3397</v>
      </c>
    </row>
    <row r="1689" spans="1:1" x14ac:dyDescent="0.25">
      <c r="A1689" t="s">
        <v>3398</v>
      </c>
    </row>
    <row r="1690" spans="1:1" x14ac:dyDescent="0.25">
      <c r="A1690" t="s">
        <v>3563</v>
      </c>
    </row>
    <row r="1691" spans="1:1" x14ac:dyDescent="0.25">
      <c r="A1691" t="s">
        <v>3842</v>
      </c>
    </row>
    <row r="1692" spans="1:1" x14ac:dyDescent="0.25">
      <c r="A1692" t="s">
        <v>3401</v>
      </c>
    </row>
    <row r="1693" spans="1:1" x14ac:dyDescent="0.25">
      <c r="A1693" t="s">
        <v>3402</v>
      </c>
    </row>
    <row r="1695" spans="1:1" x14ac:dyDescent="0.25">
      <c r="A1695" t="s">
        <v>3392</v>
      </c>
    </row>
    <row r="1696" spans="1:1" x14ac:dyDescent="0.25">
      <c r="A1696" t="s">
        <v>3393</v>
      </c>
    </row>
    <row r="1697" spans="1:1" x14ac:dyDescent="0.25">
      <c r="A1697" t="s">
        <v>3843</v>
      </c>
    </row>
    <row r="1698" spans="1:1" x14ac:dyDescent="0.25">
      <c r="A1698" t="s">
        <v>3844</v>
      </c>
    </row>
    <row r="1699" spans="1:1" x14ac:dyDescent="0.25">
      <c r="A1699" t="s">
        <v>3740</v>
      </c>
    </row>
    <row r="1700" spans="1:1" x14ac:dyDescent="0.25">
      <c r="A1700" t="s">
        <v>3397</v>
      </c>
    </row>
    <row r="1701" spans="1:1" x14ac:dyDescent="0.25">
      <c r="A1701" t="s">
        <v>3398</v>
      </c>
    </row>
    <row r="1702" spans="1:1" x14ac:dyDescent="0.25">
      <c r="A1702" t="s">
        <v>3563</v>
      </c>
    </row>
    <row r="1703" spans="1:1" x14ac:dyDescent="0.25">
      <c r="A1703" t="s">
        <v>3845</v>
      </c>
    </row>
    <row r="1704" spans="1:1" x14ac:dyDescent="0.25">
      <c r="A1704" t="s">
        <v>3401</v>
      </c>
    </row>
    <row r="1705" spans="1:1" x14ac:dyDescent="0.25">
      <c r="A1705" t="s">
        <v>3402</v>
      </c>
    </row>
    <row r="1707" spans="1:1" x14ac:dyDescent="0.25">
      <c r="A1707" t="s">
        <v>3392</v>
      </c>
    </row>
    <row r="1708" spans="1:1" x14ac:dyDescent="0.25">
      <c r="A1708" t="s">
        <v>3393</v>
      </c>
    </row>
    <row r="1709" spans="1:1" x14ac:dyDescent="0.25">
      <c r="A1709" t="s">
        <v>3846</v>
      </c>
    </row>
    <row r="1710" spans="1:1" x14ac:dyDescent="0.25">
      <c r="A1710" t="s">
        <v>3847</v>
      </c>
    </row>
    <row r="1711" spans="1:1" x14ac:dyDescent="0.25">
      <c r="A1711" t="s">
        <v>3740</v>
      </c>
    </row>
    <row r="1712" spans="1:1" x14ac:dyDescent="0.25">
      <c r="A1712" t="s">
        <v>3397</v>
      </c>
    </row>
    <row r="1713" spans="1:1" x14ac:dyDescent="0.25">
      <c r="A1713" t="s">
        <v>3398</v>
      </c>
    </row>
    <row r="1714" spans="1:1" x14ac:dyDescent="0.25">
      <c r="A1714" t="s">
        <v>3563</v>
      </c>
    </row>
    <row r="1715" spans="1:1" x14ac:dyDescent="0.25">
      <c r="A1715" t="s">
        <v>3848</v>
      </c>
    </row>
    <row r="1716" spans="1:1" x14ac:dyDescent="0.25">
      <c r="A1716" t="s">
        <v>3401</v>
      </c>
    </row>
    <row r="1717" spans="1:1" x14ac:dyDescent="0.25">
      <c r="A1717" t="s">
        <v>3402</v>
      </c>
    </row>
    <row r="1719" spans="1:1" x14ac:dyDescent="0.25">
      <c r="A1719" t="s">
        <v>3184</v>
      </c>
    </row>
    <row r="1720" spans="1:1" x14ac:dyDescent="0.25">
      <c r="A1720" t="s">
        <v>3185</v>
      </c>
    </row>
    <row r="1721" spans="1:1" x14ac:dyDescent="0.25">
      <c r="A1721" t="s">
        <v>3849</v>
      </c>
    </row>
    <row r="1722" spans="1:1" x14ac:dyDescent="0.25">
      <c r="A1722" t="s">
        <v>3850</v>
      </c>
    </row>
    <row r="1723" spans="1:1" x14ac:dyDescent="0.25">
      <c r="A1723" t="s">
        <v>3851</v>
      </c>
    </row>
    <row r="1724" spans="1:1" x14ac:dyDescent="0.25">
      <c r="A1724" t="s">
        <v>3207</v>
      </c>
    </row>
    <row r="1725" spans="1:1" x14ac:dyDescent="0.25">
      <c r="A1725" t="s">
        <v>3190</v>
      </c>
    </row>
    <row r="1726" spans="1:1" x14ac:dyDescent="0.25">
      <c r="A1726" t="s">
        <v>3225</v>
      </c>
    </row>
    <row r="1727" spans="1:1" x14ac:dyDescent="0.25">
      <c r="A1727" t="s">
        <v>3852</v>
      </c>
    </row>
    <row r="1728" spans="1:1" x14ac:dyDescent="0.25">
      <c r="A1728" t="s">
        <v>3210</v>
      </c>
    </row>
    <row r="1729" spans="1:1" x14ac:dyDescent="0.25">
      <c r="A1729" t="s">
        <v>3194</v>
      </c>
    </row>
    <row r="1731" spans="1:1" x14ac:dyDescent="0.25">
      <c r="A1731" t="s">
        <v>3184</v>
      </c>
    </row>
    <row r="1732" spans="1:1" x14ac:dyDescent="0.25">
      <c r="A1732" t="s">
        <v>3185</v>
      </c>
    </row>
    <row r="1733" spans="1:1" x14ac:dyDescent="0.25">
      <c r="A1733" t="s">
        <v>3853</v>
      </c>
    </row>
    <row r="1734" spans="1:1" x14ac:dyDescent="0.25">
      <c r="A1734" t="s">
        <v>3854</v>
      </c>
    </row>
    <row r="1735" spans="1:1" x14ac:dyDescent="0.25">
      <c r="A1735" t="s">
        <v>3278</v>
      </c>
    </row>
    <row r="1736" spans="1:1" x14ac:dyDescent="0.25">
      <c r="A1736" t="s">
        <v>3214</v>
      </c>
    </row>
    <row r="1737" spans="1:1" x14ac:dyDescent="0.25">
      <c r="A1737" t="s">
        <v>3190</v>
      </c>
    </row>
    <row r="1738" spans="1:1" x14ac:dyDescent="0.25">
      <c r="A1738" t="s">
        <v>3215</v>
      </c>
    </row>
    <row r="1739" spans="1:1" x14ac:dyDescent="0.25">
      <c r="A1739" t="s">
        <v>3855</v>
      </c>
    </row>
    <row r="1740" spans="1:1" x14ac:dyDescent="0.25">
      <c r="A1740" t="s">
        <v>3193</v>
      </c>
    </row>
    <row r="1741" spans="1:1" x14ac:dyDescent="0.25">
      <c r="A1741" t="s">
        <v>3194</v>
      </c>
    </row>
    <row r="1743" spans="1:1" x14ac:dyDescent="0.25">
      <c r="A1743" t="s">
        <v>3392</v>
      </c>
    </row>
    <row r="1744" spans="1:1" x14ac:dyDescent="0.25">
      <c r="A1744" t="s">
        <v>3393</v>
      </c>
    </row>
    <row r="1745" spans="1:1" x14ac:dyDescent="0.25">
      <c r="A1745" t="s">
        <v>3856</v>
      </c>
    </row>
    <row r="1746" spans="1:1" x14ac:dyDescent="0.25">
      <c r="A1746" t="s">
        <v>3857</v>
      </c>
    </row>
    <row r="1747" spans="1:1" x14ac:dyDescent="0.25">
      <c r="A1747" t="s">
        <v>3858</v>
      </c>
    </row>
    <row r="1748" spans="1:1" x14ac:dyDescent="0.25">
      <c r="A1748" t="s">
        <v>3397</v>
      </c>
    </row>
    <row r="1749" spans="1:1" x14ac:dyDescent="0.25">
      <c r="A1749" t="s">
        <v>3398</v>
      </c>
    </row>
    <row r="1750" spans="1:1" x14ac:dyDescent="0.25">
      <c r="A1750" t="s">
        <v>3399</v>
      </c>
    </row>
    <row r="1751" spans="1:1" x14ac:dyDescent="0.25">
      <c r="A1751" t="s">
        <v>3859</v>
      </c>
    </row>
    <row r="1752" spans="1:1" x14ac:dyDescent="0.25">
      <c r="A1752" t="s">
        <v>3401</v>
      </c>
    </row>
    <row r="1753" spans="1:1" x14ac:dyDescent="0.25">
      <c r="A1753" t="s">
        <v>3402</v>
      </c>
    </row>
    <row r="1755" spans="1:1" x14ac:dyDescent="0.25">
      <c r="A1755" t="s">
        <v>3184</v>
      </c>
    </row>
    <row r="1756" spans="1:1" x14ac:dyDescent="0.25">
      <c r="A1756" t="s">
        <v>3185</v>
      </c>
    </row>
    <row r="1757" spans="1:1" x14ac:dyDescent="0.25">
      <c r="A1757" t="s">
        <v>3860</v>
      </c>
    </row>
    <row r="1758" spans="1:1" x14ac:dyDescent="0.25">
      <c r="A1758" t="s">
        <v>3861</v>
      </c>
    </row>
    <row r="1759" spans="1:1" x14ac:dyDescent="0.25">
      <c r="A1759" t="s">
        <v>3307</v>
      </c>
    </row>
    <row r="1760" spans="1:1" x14ac:dyDescent="0.25">
      <c r="A1760" t="s">
        <v>3207</v>
      </c>
    </row>
    <row r="1761" spans="1:1" x14ac:dyDescent="0.25">
      <c r="A1761" t="s">
        <v>3190</v>
      </c>
    </row>
    <row r="1762" spans="1:1" x14ac:dyDescent="0.25">
      <c r="A1762" t="s">
        <v>3208</v>
      </c>
    </row>
    <row r="1763" spans="1:1" x14ac:dyDescent="0.25">
      <c r="A1763" t="s">
        <v>3862</v>
      </c>
    </row>
    <row r="1764" spans="1:1" x14ac:dyDescent="0.25">
      <c r="A1764" t="s">
        <v>3210</v>
      </c>
    </row>
    <row r="1765" spans="1:1" x14ac:dyDescent="0.25">
      <c r="A1765" t="s">
        <v>3194</v>
      </c>
    </row>
    <row r="1767" spans="1:1" x14ac:dyDescent="0.25">
      <c r="A1767" t="s">
        <v>3184</v>
      </c>
    </row>
    <row r="1768" spans="1:1" x14ac:dyDescent="0.25">
      <c r="A1768" t="s">
        <v>3185</v>
      </c>
    </row>
    <row r="1769" spans="1:1" x14ac:dyDescent="0.25">
      <c r="A1769" t="s">
        <v>3863</v>
      </c>
    </row>
    <row r="1770" spans="1:1" x14ac:dyDescent="0.25">
      <c r="A1770" t="s">
        <v>3864</v>
      </c>
    </row>
    <row r="1771" spans="1:1" x14ac:dyDescent="0.25">
      <c r="A1771" t="s">
        <v>3307</v>
      </c>
    </row>
    <row r="1772" spans="1:1" x14ac:dyDescent="0.25">
      <c r="A1772" t="s">
        <v>3207</v>
      </c>
    </row>
    <row r="1773" spans="1:1" x14ac:dyDescent="0.25">
      <c r="A1773" t="s">
        <v>3190</v>
      </c>
    </row>
    <row r="1774" spans="1:1" x14ac:dyDescent="0.25">
      <c r="A1774" t="s">
        <v>3208</v>
      </c>
    </row>
    <row r="1775" spans="1:1" x14ac:dyDescent="0.25">
      <c r="A1775" t="s">
        <v>3865</v>
      </c>
    </row>
    <row r="1776" spans="1:1" x14ac:dyDescent="0.25">
      <c r="A1776" t="s">
        <v>3210</v>
      </c>
    </row>
    <row r="1777" spans="1:1" x14ac:dyDescent="0.25">
      <c r="A1777" t="s">
        <v>3194</v>
      </c>
    </row>
    <row r="1779" spans="1:1" x14ac:dyDescent="0.25">
      <c r="A1779" t="s">
        <v>3392</v>
      </c>
    </row>
    <row r="1780" spans="1:1" x14ac:dyDescent="0.25">
      <c r="A1780" t="s">
        <v>3393</v>
      </c>
    </row>
    <row r="1781" spans="1:1" x14ac:dyDescent="0.25">
      <c r="A1781" t="s">
        <v>3866</v>
      </c>
    </row>
    <row r="1782" spans="1:1" x14ac:dyDescent="0.25">
      <c r="A1782" t="s">
        <v>3867</v>
      </c>
    </row>
    <row r="1783" spans="1:1" x14ac:dyDescent="0.25">
      <c r="A1783" t="s">
        <v>3597</v>
      </c>
    </row>
    <row r="1784" spans="1:1" x14ac:dyDescent="0.25">
      <c r="A1784" t="s">
        <v>3397</v>
      </c>
    </row>
    <row r="1785" spans="1:1" x14ac:dyDescent="0.25">
      <c r="A1785" t="s">
        <v>3398</v>
      </c>
    </row>
    <row r="1786" spans="1:1" x14ac:dyDescent="0.25">
      <c r="A1786" t="s">
        <v>3399</v>
      </c>
    </row>
    <row r="1787" spans="1:1" x14ac:dyDescent="0.25">
      <c r="A1787" t="s">
        <v>3868</v>
      </c>
    </row>
    <row r="1788" spans="1:1" x14ac:dyDescent="0.25">
      <c r="A1788" t="s">
        <v>3401</v>
      </c>
    </row>
    <row r="1789" spans="1:1" x14ac:dyDescent="0.25">
      <c r="A1789" t="s">
        <v>3402</v>
      </c>
    </row>
    <row r="1791" spans="1:1" x14ac:dyDescent="0.25">
      <c r="A1791" t="s">
        <v>3392</v>
      </c>
    </row>
    <row r="1792" spans="1:1" x14ac:dyDescent="0.25">
      <c r="A1792" t="s">
        <v>3393</v>
      </c>
    </row>
    <row r="1793" spans="1:1" x14ac:dyDescent="0.25">
      <c r="A1793" t="s">
        <v>3869</v>
      </c>
    </row>
    <row r="1794" spans="1:1" x14ac:dyDescent="0.25">
      <c r="A1794" t="s">
        <v>3870</v>
      </c>
    </row>
    <row r="1795" spans="1:1" x14ac:dyDescent="0.25">
      <c r="A1795" t="s">
        <v>3558</v>
      </c>
    </row>
    <row r="1796" spans="1:1" x14ac:dyDescent="0.25">
      <c r="A1796" t="s">
        <v>3397</v>
      </c>
    </row>
    <row r="1797" spans="1:1" x14ac:dyDescent="0.25">
      <c r="A1797" t="s">
        <v>3398</v>
      </c>
    </row>
    <row r="1798" spans="1:1" x14ac:dyDescent="0.25">
      <c r="A1798" t="s">
        <v>3563</v>
      </c>
    </row>
    <row r="1799" spans="1:1" x14ac:dyDescent="0.25">
      <c r="A1799" t="s">
        <v>3871</v>
      </c>
    </row>
    <row r="1800" spans="1:1" x14ac:dyDescent="0.25">
      <c r="A1800" t="s">
        <v>3401</v>
      </c>
    </row>
    <row r="1801" spans="1:1" x14ac:dyDescent="0.25">
      <c r="A1801" t="s">
        <v>3402</v>
      </c>
    </row>
    <row r="1803" spans="1:1" x14ac:dyDescent="0.25">
      <c r="A1803" t="s">
        <v>3184</v>
      </c>
    </row>
    <row r="1804" spans="1:1" x14ac:dyDescent="0.25">
      <c r="A1804" t="s">
        <v>3185</v>
      </c>
    </row>
    <row r="1805" spans="1:1" x14ac:dyDescent="0.25">
      <c r="A1805" t="s">
        <v>3872</v>
      </c>
    </row>
    <row r="1806" spans="1:1" x14ac:dyDescent="0.25">
      <c r="A1806" t="s">
        <v>3873</v>
      </c>
    </row>
    <row r="1807" spans="1:1" x14ac:dyDescent="0.25">
      <c r="A1807" t="s">
        <v>3874</v>
      </c>
    </row>
    <row r="1808" spans="1:1" x14ac:dyDescent="0.25">
      <c r="A1808" t="s">
        <v>3207</v>
      </c>
    </row>
    <row r="1809" spans="1:1" x14ac:dyDescent="0.25">
      <c r="A1809" t="s">
        <v>3190</v>
      </c>
    </row>
    <row r="1810" spans="1:1" x14ac:dyDescent="0.25">
      <c r="A1810" t="s">
        <v>3225</v>
      </c>
    </row>
    <row r="1811" spans="1:1" x14ac:dyDescent="0.25">
      <c r="A1811" t="s">
        <v>3875</v>
      </c>
    </row>
    <row r="1812" spans="1:1" x14ac:dyDescent="0.25">
      <c r="A1812" t="s">
        <v>3210</v>
      </c>
    </row>
    <row r="1813" spans="1:1" x14ac:dyDescent="0.25">
      <c r="A1813" t="s">
        <v>3194</v>
      </c>
    </row>
    <row r="1815" spans="1:1" x14ac:dyDescent="0.25">
      <c r="A1815" t="s">
        <v>3392</v>
      </c>
    </row>
    <row r="1816" spans="1:1" x14ac:dyDescent="0.25">
      <c r="A1816" t="s">
        <v>3393</v>
      </c>
    </row>
    <row r="1817" spans="1:1" x14ac:dyDescent="0.25">
      <c r="A1817" t="s">
        <v>3876</v>
      </c>
    </row>
    <row r="1818" spans="1:1" x14ac:dyDescent="0.25">
      <c r="A1818" t="s">
        <v>3877</v>
      </c>
    </row>
    <row r="1819" spans="1:1" x14ac:dyDescent="0.25">
      <c r="A1819" t="s">
        <v>3558</v>
      </c>
    </row>
    <row r="1820" spans="1:1" x14ac:dyDescent="0.25">
      <c r="A1820" t="s">
        <v>3397</v>
      </c>
    </row>
    <row r="1821" spans="1:1" x14ac:dyDescent="0.25">
      <c r="A1821" t="s">
        <v>3398</v>
      </c>
    </row>
    <row r="1822" spans="1:1" x14ac:dyDescent="0.25">
      <c r="A1822" t="s">
        <v>3563</v>
      </c>
    </row>
    <row r="1823" spans="1:1" x14ac:dyDescent="0.25">
      <c r="A1823" t="s">
        <v>3878</v>
      </c>
    </row>
    <row r="1824" spans="1:1" x14ac:dyDescent="0.25">
      <c r="A1824" t="s">
        <v>3401</v>
      </c>
    </row>
    <row r="1825" spans="1:1" x14ac:dyDescent="0.25">
      <c r="A1825" t="s">
        <v>3402</v>
      </c>
    </row>
    <row r="1827" spans="1:1" x14ac:dyDescent="0.25">
      <c r="A1827" t="s">
        <v>3392</v>
      </c>
    </row>
    <row r="1828" spans="1:1" x14ac:dyDescent="0.25">
      <c r="A1828" t="s">
        <v>3393</v>
      </c>
    </row>
    <row r="1829" spans="1:1" x14ac:dyDescent="0.25">
      <c r="A1829" t="s">
        <v>3879</v>
      </c>
    </row>
    <row r="1830" spans="1:1" x14ac:dyDescent="0.25">
      <c r="A1830" t="s">
        <v>3880</v>
      </c>
    </row>
    <row r="1831" spans="1:1" x14ac:dyDescent="0.25">
      <c r="A1831" t="s">
        <v>3529</v>
      </c>
    </row>
    <row r="1832" spans="1:1" x14ac:dyDescent="0.25">
      <c r="A1832" t="s">
        <v>3397</v>
      </c>
    </row>
    <row r="1833" spans="1:1" x14ac:dyDescent="0.25">
      <c r="A1833" t="s">
        <v>3398</v>
      </c>
    </row>
    <row r="1834" spans="1:1" x14ac:dyDescent="0.25">
      <c r="A1834" t="s">
        <v>3563</v>
      </c>
    </row>
    <row r="1835" spans="1:1" x14ac:dyDescent="0.25">
      <c r="A1835" t="s">
        <v>3881</v>
      </c>
    </row>
    <row r="1836" spans="1:1" x14ac:dyDescent="0.25">
      <c r="A1836" t="s">
        <v>3401</v>
      </c>
    </row>
    <row r="1837" spans="1:1" x14ac:dyDescent="0.25">
      <c r="A1837" t="s">
        <v>3402</v>
      </c>
    </row>
    <row r="1839" spans="1:1" x14ac:dyDescent="0.25">
      <c r="A1839" t="s">
        <v>3392</v>
      </c>
    </row>
    <row r="1840" spans="1:1" x14ac:dyDescent="0.25">
      <c r="A1840" t="s">
        <v>3393</v>
      </c>
    </row>
    <row r="1841" spans="1:1" x14ac:dyDescent="0.25">
      <c r="A1841" t="s">
        <v>3882</v>
      </c>
    </row>
    <row r="1842" spans="1:1" x14ac:dyDescent="0.25">
      <c r="A1842" t="s">
        <v>3883</v>
      </c>
    </row>
    <row r="1843" spans="1:1" x14ac:dyDescent="0.25">
      <c r="A1843" t="s">
        <v>3558</v>
      </c>
    </row>
    <row r="1844" spans="1:1" x14ac:dyDescent="0.25">
      <c r="A1844" t="s">
        <v>3397</v>
      </c>
    </row>
    <row r="1845" spans="1:1" x14ac:dyDescent="0.25">
      <c r="A1845" t="s">
        <v>3398</v>
      </c>
    </row>
    <row r="1846" spans="1:1" x14ac:dyDescent="0.25">
      <c r="A1846" t="s">
        <v>3399</v>
      </c>
    </row>
    <row r="1847" spans="1:1" x14ac:dyDescent="0.25">
      <c r="A1847" t="s">
        <v>3884</v>
      </c>
    </row>
    <row r="1848" spans="1:1" x14ac:dyDescent="0.25">
      <c r="A1848" t="s">
        <v>3401</v>
      </c>
    </row>
    <row r="1849" spans="1:1" x14ac:dyDescent="0.25">
      <c r="A1849" t="s">
        <v>3402</v>
      </c>
    </row>
    <row r="1851" spans="1:1" x14ac:dyDescent="0.25">
      <c r="A1851" t="s">
        <v>3392</v>
      </c>
    </row>
    <row r="1852" spans="1:1" x14ac:dyDescent="0.25">
      <c r="A1852" t="s">
        <v>3393</v>
      </c>
    </row>
    <row r="1853" spans="1:1" x14ac:dyDescent="0.25">
      <c r="A1853" t="s">
        <v>3885</v>
      </c>
    </row>
    <row r="1854" spans="1:1" x14ac:dyDescent="0.25">
      <c r="A1854" t="s">
        <v>3886</v>
      </c>
    </row>
    <row r="1855" spans="1:1" x14ac:dyDescent="0.25">
      <c r="A1855" t="s">
        <v>3607</v>
      </c>
    </row>
    <row r="1856" spans="1:1" x14ac:dyDescent="0.25">
      <c r="A1856" t="s">
        <v>3397</v>
      </c>
    </row>
    <row r="1857" spans="1:1" x14ac:dyDescent="0.25">
      <c r="A1857" t="s">
        <v>3398</v>
      </c>
    </row>
    <row r="1858" spans="1:1" x14ac:dyDescent="0.25">
      <c r="A1858" t="s">
        <v>3399</v>
      </c>
    </row>
    <row r="1859" spans="1:1" x14ac:dyDescent="0.25">
      <c r="A1859" t="s">
        <v>3887</v>
      </c>
    </row>
    <row r="1860" spans="1:1" x14ac:dyDescent="0.25">
      <c r="A1860" t="s">
        <v>3401</v>
      </c>
    </row>
    <row r="1861" spans="1:1" x14ac:dyDescent="0.25">
      <c r="A1861" t="s">
        <v>3402</v>
      </c>
    </row>
    <row r="1863" spans="1:1" x14ac:dyDescent="0.25">
      <c r="A1863" t="s">
        <v>3656</v>
      </c>
    </row>
    <row r="1865" spans="1:1" x14ac:dyDescent="0.25">
      <c r="A1865" t="s">
        <v>3657</v>
      </c>
    </row>
    <row r="1866" spans="1:1" x14ac:dyDescent="0.25">
      <c r="A1866" t="s">
        <v>3392</v>
      </c>
    </row>
    <row r="1867" spans="1:1" x14ac:dyDescent="0.25">
      <c r="A1867" t="s">
        <v>3393</v>
      </c>
    </row>
    <row r="1868" spans="1:1" x14ac:dyDescent="0.25">
      <c r="A1868" t="s">
        <v>3888</v>
      </c>
    </row>
    <row r="1869" spans="1:1" x14ac:dyDescent="0.25">
      <c r="A1869" t="s">
        <v>3398</v>
      </c>
    </row>
    <row r="1870" spans="1:1" x14ac:dyDescent="0.25">
      <c r="A1870" t="s">
        <v>3889</v>
      </c>
    </row>
    <row r="1871" spans="1:1" x14ac:dyDescent="0.25">
      <c r="A1871" t="s">
        <v>3890</v>
      </c>
    </row>
    <row r="1872" spans="1:1" x14ac:dyDescent="0.25">
      <c r="A1872" t="s">
        <v>3401</v>
      </c>
    </row>
    <row r="1873" spans="1:1" x14ac:dyDescent="0.25">
      <c r="A1873" t="s">
        <v>3402</v>
      </c>
    </row>
    <row r="1875" spans="1:1" x14ac:dyDescent="0.25">
      <c r="A1875" t="s">
        <v>3392</v>
      </c>
    </row>
    <row r="1876" spans="1:1" x14ac:dyDescent="0.25">
      <c r="A1876" t="s">
        <v>3393</v>
      </c>
    </row>
    <row r="1877" spans="1:1" x14ac:dyDescent="0.25">
      <c r="A1877" t="s">
        <v>3891</v>
      </c>
    </row>
    <row r="1878" spans="1:1" x14ac:dyDescent="0.25">
      <c r="A1878" t="s">
        <v>3398</v>
      </c>
    </row>
    <row r="1879" spans="1:1" x14ac:dyDescent="0.25">
      <c r="A1879" t="s">
        <v>3399</v>
      </c>
    </row>
    <row r="1880" spans="1:1" x14ac:dyDescent="0.25">
      <c r="A1880" t="s">
        <v>3892</v>
      </c>
    </row>
    <row r="1881" spans="1:1" x14ac:dyDescent="0.25">
      <c r="A1881" t="s">
        <v>3401</v>
      </c>
    </row>
    <row r="1882" spans="1:1" x14ac:dyDescent="0.25">
      <c r="A1882" t="s">
        <v>3402</v>
      </c>
    </row>
    <row r="1883" spans="1:1" x14ac:dyDescent="0.25">
      <c r="A1883" t="s">
        <v>3684</v>
      </c>
    </row>
    <row r="1885" spans="1:1" x14ac:dyDescent="0.25">
      <c r="A1885" t="s">
        <v>3685</v>
      </c>
    </row>
    <row r="1887" spans="1:1" x14ac:dyDescent="0.25">
      <c r="A1887" t="s">
        <v>3686</v>
      </c>
    </row>
    <row r="1888" spans="1:1" x14ac:dyDescent="0.25">
      <c r="A1888" t="s">
        <v>3893</v>
      </c>
    </row>
    <row r="1889" spans="1:1" x14ac:dyDescent="0.25">
      <c r="A1889" t="s">
        <v>3894</v>
      </c>
    </row>
    <row r="1890" spans="1:1" x14ac:dyDescent="0.25">
      <c r="A1890" t="s">
        <v>3558</v>
      </c>
    </row>
    <row r="1891" spans="1:1" x14ac:dyDescent="0.25">
      <c r="A1891" t="s">
        <v>3397</v>
      </c>
    </row>
    <row r="1892" spans="1:1" x14ac:dyDescent="0.25">
      <c r="A1892" t="s">
        <v>3689</v>
      </c>
    </row>
    <row r="1894" spans="1:1" x14ac:dyDescent="0.25">
      <c r="A1894" t="s">
        <v>3690</v>
      </c>
    </row>
    <row r="1896" spans="1:1" x14ac:dyDescent="0.25">
      <c r="A1896" t="s">
        <v>3691</v>
      </c>
    </row>
    <row r="1898" spans="1:1" x14ac:dyDescent="0.25">
      <c r="A1898" t="s">
        <v>3656</v>
      </c>
    </row>
    <row r="1900" spans="1:1" x14ac:dyDescent="0.25">
      <c r="A1900" t="s">
        <v>3657</v>
      </c>
    </row>
    <row r="1901" spans="1:1" x14ac:dyDescent="0.25">
      <c r="A1901" t="s">
        <v>3392</v>
      </c>
    </row>
    <row r="1902" spans="1:1" x14ac:dyDescent="0.25">
      <c r="A1902" t="s">
        <v>3393</v>
      </c>
    </row>
    <row r="1903" spans="1:1" x14ac:dyDescent="0.25">
      <c r="A1903" t="s">
        <v>3895</v>
      </c>
    </row>
    <row r="1904" spans="1:1" x14ac:dyDescent="0.25">
      <c r="A1904" t="s">
        <v>3398</v>
      </c>
    </row>
    <row r="1905" spans="1:1" x14ac:dyDescent="0.25">
      <c r="A1905" t="s">
        <v>3563</v>
      </c>
    </row>
    <row r="1906" spans="1:1" x14ac:dyDescent="0.25">
      <c r="A1906" t="s">
        <v>3896</v>
      </c>
    </row>
    <row r="1907" spans="1:1" x14ac:dyDescent="0.25">
      <c r="A1907" t="s">
        <v>3401</v>
      </c>
    </row>
    <row r="1908" spans="1:1" x14ac:dyDescent="0.25">
      <c r="A1908" t="s">
        <v>3402</v>
      </c>
    </row>
    <row r="1910" spans="1:1" x14ac:dyDescent="0.25">
      <c r="A1910" t="s">
        <v>3392</v>
      </c>
    </row>
    <row r="1911" spans="1:1" x14ac:dyDescent="0.25">
      <c r="A1911" t="s">
        <v>3393</v>
      </c>
    </row>
    <row r="1912" spans="1:1" x14ac:dyDescent="0.25">
      <c r="A1912" t="s">
        <v>3897</v>
      </c>
    </row>
    <row r="1913" spans="1:1" x14ac:dyDescent="0.25">
      <c r="A1913" t="s">
        <v>3398</v>
      </c>
    </row>
    <row r="1914" spans="1:1" x14ac:dyDescent="0.25">
      <c r="A1914" t="s">
        <v>3399</v>
      </c>
    </row>
    <row r="1915" spans="1:1" x14ac:dyDescent="0.25">
      <c r="A1915" t="s">
        <v>3898</v>
      </c>
    </row>
    <row r="1916" spans="1:1" x14ac:dyDescent="0.25">
      <c r="A1916" t="s">
        <v>3401</v>
      </c>
    </row>
    <row r="1917" spans="1:1" x14ac:dyDescent="0.25">
      <c r="A1917" t="s">
        <v>3402</v>
      </c>
    </row>
    <row r="1918" spans="1:1" x14ac:dyDescent="0.25">
      <c r="A1918" t="s">
        <v>3684</v>
      </c>
    </row>
    <row r="1920" spans="1:1" x14ac:dyDescent="0.25">
      <c r="A1920" t="s">
        <v>3685</v>
      </c>
    </row>
    <row r="1922" spans="1:1" x14ac:dyDescent="0.25">
      <c r="A1922" t="s">
        <v>3686</v>
      </c>
    </row>
    <row r="1923" spans="1:1" x14ac:dyDescent="0.25">
      <c r="A1923" t="s">
        <v>3899</v>
      </c>
    </row>
    <row r="1924" spans="1:1" x14ac:dyDescent="0.25">
      <c r="A1924" t="s">
        <v>3900</v>
      </c>
    </row>
    <row r="1925" spans="1:1" x14ac:dyDescent="0.25">
      <c r="A1925" t="s">
        <v>3558</v>
      </c>
    </row>
    <row r="1926" spans="1:1" x14ac:dyDescent="0.25">
      <c r="A1926" t="s">
        <v>3397</v>
      </c>
    </row>
    <row r="1927" spans="1:1" x14ac:dyDescent="0.25">
      <c r="A1927" t="s">
        <v>3689</v>
      </c>
    </row>
    <row r="1929" spans="1:1" x14ac:dyDescent="0.25">
      <c r="A1929" t="s">
        <v>3690</v>
      </c>
    </row>
    <row r="1931" spans="1:1" x14ac:dyDescent="0.25">
      <c r="A1931" t="s">
        <v>3691</v>
      </c>
    </row>
    <row r="1933" spans="1:1" x14ac:dyDescent="0.25">
      <c r="A1933" t="s">
        <v>3392</v>
      </c>
    </row>
    <row r="1934" spans="1:1" x14ac:dyDescent="0.25">
      <c r="A1934" t="s">
        <v>3393</v>
      </c>
    </row>
    <row r="1935" spans="1:1" x14ac:dyDescent="0.25">
      <c r="A1935" t="s">
        <v>3901</v>
      </c>
    </row>
    <row r="1936" spans="1:1" x14ac:dyDescent="0.25">
      <c r="A1936" t="s">
        <v>3902</v>
      </c>
    </row>
    <row r="1937" spans="1:1" x14ac:dyDescent="0.25">
      <c r="A1937" t="s">
        <v>3558</v>
      </c>
    </row>
    <row r="1938" spans="1:1" x14ac:dyDescent="0.25">
      <c r="A1938" t="s">
        <v>3397</v>
      </c>
    </row>
    <row r="1939" spans="1:1" x14ac:dyDescent="0.25">
      <c r="A1939" t="s">
        <v>3398</v>
      </c>
    </row>
    <row r="1940" spans="1:1" x14ac:dyDescent="0.25">
      <c r="A1940" t="s">
        <v>3563</v>
      </c>
    </row>
    <row r="1941" spans="1:1" x14ac:dyDescent="0.25">
      <c r="A1941" t="s">
        <v>3903</v>
      </c>
    </row>
    <row r="1942" spans="1:1" x14ac:dyDescent="0.25">
      <c r="A1942" t="s">
        <v>3401</v>
      </c>
    </row>
    <row r="1943" spans="1:1" x14ac:dyDescent="0.25">
      <c r="A1943" t="s">
        <v>3402</v>
      </c>
    </row>
    <row r="1945" spans="1:1" x14ac:dyDescent="0.25">
      <c r="A1945" t="s">
        <v>3392</v>
      </c>
    </row>
    <row r="1946" spans="1:1" x14ac:dyDescent="0.25">
      <c r="A1946" t="s">
        <v>3393</v>
      </c>
    </row>
    <row r="1947" spans="1:1" x14ac:dyDescent="0.25">
      <c r="A1947" t="s">
        <v>3904</v>
      </c>
    </row>
    <row r="1948" spans="1:1" x14ac:dyDescent="0.25">
      <c r="A1948" t="s">
        <v>3905</v>
      </c>
    </row>
    <row r="1949" spans="1:1" x14ac:dyDescent="0.25">
      <c r="A1949" t="s">
        <v>3906</v>
      </c>
    </row>
    <row r="1950" spans="1:1" x14ac:dyDescent="0.25">
      <c r="A1950" t="s">
        <v>3397</v>
      </c>
    </row>
    <row r="1951" spans="1:1" x14ac:dyDescent="0.25">
      <c r="A1951" t="s">
        <v>3398</v>
      </c>
    </row>
    <row r="1952" spans="1:1" x14ac:dyDescent="0.25">
      <c r="A1952" t="s">
        <v>3399</v>
      </c>
    </row>
    <row r="1953" spans="1:1" x14ac:dyDescent="0.25">
      <c r="A1953" t="s">
        <v>3907</v>
      </c>
    </row>
    <row r="1954" spans="1:1" x14ac:dyDescent="0.25">
      <c r="A1954" t="s">
        <v>3401</v>
      </c>
    </row>
    <row r="1955" spans="1:1" x14ac:dyDescent="0.25">
      <c r="A1955" t="s">
        <v>3402</v>
      </c>
    </row>
    <row r="1957" spans="1:1" x14ac:dyDescent="0.25">
      <c r="A1957" t="s">
        <v>3184</v>
      </c>
    </row>
    <row r="1958" spans="1:1" x14ac:dyDescent="0.25">
      <c r="A1958" t="s">
        <v>3185</v>
      </c>
    </row>
    <row r="1959" spans="1:1" x14ac:dyDescent="0.25">
      <c r="A1959" t="s">
        <v>3908</v>
      </c>
    </row>
    <row r="1960" spans="1:1" x14ac:dyDescent="0.25">
      <c r="A1960" t="s">
        <v>3909</v>
      </c>
    </row>
    <row r="1961" spans="1:1" x14ac:dyDescent="0.25">
      <c r="A1961" t="s">
        <v>3910</v>
      </c>
    </row>
    <row r="1962" spans="1:1" x14ac:dyDescent="0.25">
      <c r="A1962" t="s">
        <v>3214</v>
      </c>
    </row>
    <row r="1963" spans="1:1" x14ac:dyDescent="0.25">
      <c r="A1963" t="s">
        <v>3190</v>
      </c>
    </row>
    <row r="1964" spans="1:1" x14ac:dyDescent="0.25">
      <c r="A1964" t="s">
        <v>3266</v>
      </c>
    </row>
    <row r="1965" spans="1:1" x14ac:dyDescent="0.25">
      <c r="A1965" t="s">
        <v>3911</v>
      </c>
    </row>
    <row r="1966" spans="1:1" x14ac:dyDescent="0.25">
      <c r="A1966" t="s">
        <v>3193</v>
      </c>
    </row>
    <row r="1967" spans="1:1" x14ac:dyDescent="0.25">
      <c r="A1967" t="s">
        <v>3194</v>
      </c>
    </row>
    <row r="1969" spans="1:1" x14ac:dyDescent="0.25">
      <c r="A1969" t="s">
        <v>3184</v>
      </c>
    </row>
    <row r="1970" spans="1:1" x14ac:dyDescent="0.25">
      <c r="A1970" t="s">
        <v>3185</v>
      </c>
    </row>
    <row r="1971" spans="1:1" x14ac:dyDescent="0.25">
      <c r="A1971" t="s">
        <v>3912</v>
      </c>
    </row>
    <row r="1972" spans="1:1" x14ac:dyDescent="0.25">
      <c r="A1972" t="s">
        <v>3913</v>
      </c>
    </row>
    <row r="1973" spans="1:1" x14ac:dyDescent="0.25">
      <c r="A1973" t="s">
        <v>3302</v>
      </c>
    </row>
    <row r="1974" spans="1:1" x14ac:dyDescent="0.25">
      <c r="A1974" t="s">
        <v>3214</v>
      </c>
    </row>
    <row r="1975" spans="1:1" x14ac:dyDescent="0.25">
      <c r="A1975" t="s">
        <v>3190</v>
      </c>
    </row>
    <row r="1976" spans="1:1" x14ac:dyDescent="0.25">
      <c r="A1976" t="s">
        <v>3215</v>
      </c>
    </row>
    <row r="1977" spans="1:1" x14ac:dyDescent="0.25">
      <c r="A1977" t="s">
        <v>3914</v>
      </c>
    </row>
    <row r="1978" spans="1:1" x14ac:dyDescent="0.25">
      <c r="A1978" t="s">
        <v>3193</v>
      </c>
    </row>
    <row r="1979" spans="1:1" x14ac:dyDescent="0.25">
      <c r="A1979" t="s">
        <v>3194</v>
      </c>
    </row>
    <row r="1981" spans="1:1" x14ac:dyDescent="0.25">
      <c r="A1981" t="s">
        <v>3392</v>
      </c>
    </row>
    <row r="1982" spans="1:1" x14ac:dyDescent="0.25">
      <c r="A1982" t="s">
        <v>3393</v>
      </c>
    </row>
    <row r="1983" spans="1:1" x14ac:dyDescent="0.25">
      <c r="A1983" t="s">
        <v>3915</v>
      </c>
    </row>
    <row r="1984" spans="1:1" x14ac:dyDescent="0.25">
      <c r="A1984" t="s">
        <v>3916</v>
      </c>
    </row>
    <row r="1985" spans="1:1" x14ac:dyDescent="0.25">
      <c r="A1985" t="s">
        <v>3827</v>
      </c>
    </row>
    <row r="1986" spans="1:1" x14ac:dyDescent="0.25">
      <c r="A1986" t="s">
        <v>3397</v>
      </c>
    </row>
    <row r="1987" spans="1:1" x14ac:dyDescent="0.25">
      <c r="A1987" t="s">
        <v>3398</v>
      </c>
    </row>
    <row r="1988" spans="1:1" x14ac:dyDescent="0.25">
      <c r="A1988" t="s">
        <v>3563</v>
      </c>
    </row>
    <row r="1989" spans="1:1" x14ac:dyDescent="0.25">
      <c r="A1989" t="s">
        <v>3917</v>
      </c>
    </row>
    <row r="1990" spans="1:1" x14ac:dyDescent="0.25">
      <c r="A1990" t="s">
        <v>3401</v>
      </c>
    </row>
    <row r="1991" spans="1:1" x14ac:dyDescent="0.25">
      <c r="A1991" t="s">
        <v>3402</v>
      </c>
    </row>
    <row r="1993" spans="1:1" x14ac:dyDescent="0.25">
      <c r="A1993" t="s">
        <v>3392</v>
      </c>
    </row>
    <row r="1994" spans="1:1" x14ac:dyDescent="0.25">
      <c r="A1994" t="s">
        <v>3393</v>
      </c>
    </row>
    <row r="1995" spans="1:1" x14ac:dyDescent="0.25">
      <c r="A1995" t="s">
        <v>3918</v>
      </c>
    </row>
    <row r="1996" spans="1:1" x14ac:dyDescent="0.25">
      <c r="A1996" t="s">
        <v>3919</v>
      </c>
    </row>
    <row r="1997" spans="1:1" x14ac:dyDescent="0.25">
      <c r="A1997" t="s">
        <v>3920</v>
      </c>
    </row>
    <row r="1998" spans="1:1" x14ac:dyDescent="0.25">
      <c r="A1998" t="s">
        <v>3397</v>
      </c>
    </row>
    <row r="1999" spans="1:1" x14ac:dyDescent="0.25">
      <c r="A1999" t="s">
        <v>3398</v>
      </c>
    </row>
    <row r="2000" spans="1:1" x14ac:dyDescent="0.25">
      <c r="A2000" t="s">
        <v>3399</v>
      </c>
    </row>
    <row r="2001" spans="1:1" x14ac:dyDescent="0.25">
      <c r="A2001" t="s">
        <v>3921</v>
      </c>
    </row>
    <row r="2002" spans="1:1" x14ac:dyDescent="0.25">
      <c r="A2002" t="s">
        <v>3401</v>
      </c>
    </row>
    <row r="2003" spans="1:1" x14ac:dyDescent="0.25">
      <c r="A2003" t="s">
        <v>3402</v>
      </c>
    </row>
    <row r="2005" spans="1:1" x14ac:dyDescent="0.25">
      <c r="A2005" t="s">
        <v>3184</v>
      </c>
    </row>
    <row r="2006" spans="1:1" x14ac:dyDescent="0.25">
      <c r="A2006" t="s">
        <v>3185</v>
      </c>
    </row>
    <row r="2007" spans="1:1" x14ac:dyDescent="0.25">
      <c r="A2007" t="s">
        <v>3922</v>
      </c>
    </row>
    <row r="2008" spans="1:1" x14ac:dyDescent="0.25">
      <c r="A2008" t="s">
        <v>3923</v>
      </c>
    </row>
    <row r="2009" spans="1:1" x14ac:dyDescent="0.25">
      <c r="A2009" t="s">
        <v>3213</v>
      </c>
    </row>
    <row r="2010" spans="1:1" x14ac:dyDescent="0.25">
      <c r="A2010" t="s">
        <v>3214</v>
      </c>
    </row>
    <row r="2011" spans="1:1" x14ac:dyDescent="0.25">
      <c r="A2011" t="s">
        <v>3190</v>
      </c>
    </row>
    <row r="2012" spans="1:1" x14ac:dyDescent="0.25">
      <c r="A2012" t="s">
        <v>3924</v>
      </c>
    </row>
    <row r="2013" spans="1:1" x14ac:dyDescent="0.25">
      <c r="A2013" t="s">
        <v>3925</v>
      </c>
    </row>
    <row r="2014" spans="1:1" x14ac:dyDescent="0.25">
      <c r="A2014" t="s">
        <v>3193</v>
      </c>
    </row>
    <row r="2015" spans="1:1" x14ac:dyDescent="0.25">
      <c r="A2015" t="s">
        <v>3194</v>
      </c>
    </row>
    <row r="2017" spans="1:1" x14ac:dyDescent="0.25">
      <c r="A2017" t="s">
        <v>3392</v>
      </c>
    </row>
    <row r="2018" spans="1:1" x14ac:dyDescent="0.25">
      <c r="A2018" t="s">
        <v>3393</v>
      </c>
    </row>
    <row r="2019" spans="1:1" x14ac:dyDescent="0.25">
      <c r="A2019" t="s">
        <v>3926</v>
      </c>
    </row>
    <row r="2020" spans="1:1" x14ac:dyDescent="0.25">
      <c r="A2020" t="s">
        <v>3927</v>
      </c>
    </row>
    <row r="2021" spans="1:1" x14ac:dyDescent="0.25">
      <c r="A2021" t="s">
        <v>3545</v>
      </c>
    </row>
    <row r="2022" spans="1:1" x14ac:dyDescent="0.25">
      <c r="A2022" t="s">
        <v>3397</v>
      </c>
    </row>
    <row r="2023" spans="1:1" x14ac:dyDescent="0.25">
      <c r="A2023" t="s">
        <v>3398</v>
      </c>
    </row>
    <row r="2024" spans="1:1" x14ac:dyDescent="0.25">
      <c r="A2024" t="s">
        <v>3563</v>
      </c>
    </row>
    <row r="2025" spans="1:1" x14ac:dyDescent="0.25">
      <c r="A2025" t="s">
        <v>3928</v>
      </c>
    </row>
    <row r="2026" spans="1:1" x14ac:dyDescent="0.25">
      <c r="A2026" t="s">
        <v>3401</v>
      </c>
    </row>
    <row r="2027" spans="1:1" x14ac:dyDescent="0.25">
      <c r="A2027" t="s">
        <v>3402</v>
      </c>
    </row>
    <row r="2029" spans="1:1" x14ac:dyDescent="0.25">
      <c r="A2029" t="s">
        <v>3184</v>
      </c>
    </row>
    <row r="2030" spans="1:1" x14ac:dyDescent="0.25">
      <c r="A2030" t="s">
        <v>3185</v>
      </c>
    </row>
    <row r="2031" spans="1:1" x14ac:dyDescent="0.25">
      <c r="A2031" t="s">
        <v>3929</v>
      </c>
    </row>
    <row r="2032" spans="1:1" x14ac:dyDescent="0.25">
      <c r="A2032" t="s">
        <v>3930</v>
      </c>
    </row>
    <row r="2033" spans="1:1" x14ac:dyDescent="0.25">
      <c r="A2033" t="s">
        <v>3931</v>
      </c>
    </row>
    <row r="2034" spans="1:1" x14ac:dyDescent="0.25">
      <c r="A2034" t="s">
        <v>3214</v>
      </c>
    </row>
    <row r="2035" spans="1:1" x14ac:dyDescent="0.25">
      <c r="A2035" t="s">
        <v>3190</v>
      </c>
    </row>
    <row r="2036" spans="1:1" x14ac:dyDescent="0.25">
      <c r="A2036" t="s">
        <v>3266</v>
      </c>
    </row>
    <row r="2037" spans="1:1" x14ac:dyDescent="0.25">
      <c r="A2037" t="s">
        <v>3932</v>
      </c>
    </row>
    <row r="2038" spans="1:1" x14ac:dyDescent="0.25">
      <c r="A2038" t="s">
        <v>3193</v>
      </c>
    </row>
    <row r="2039" spans="1:1" x14ac:dyDescent="0.25">
      <c r="A2039" t="s">
        <v>3194</v>
      </c>
    </row>
    <row r="2041" spans="1:1" x14ac:dyDescent="0.25">
      <c r="A2041" t="s">
        <v>3392</v>
      </c>
    </row>
    <row r="2042" spans="1:1" x14ac:dyDescent="0.25">
      <c r="A2042" t="s">
        <v>3393</v>
      </c>
    </row>
    <row r="2043" spans="1:1" x14ac:dyDescent="0.25">
      <c r="A2043" t="s">
        <v>3933</v>
      </c>
    </row>
    <row r="2044" spans="1:1" x14ac:dyDescent="0.25">
      <c r="A2044" t="s">
        <v>3934</v>
      </c>
    </row>
    <row r="2045" spans="1:1" x14ac:dyDescent="0.25">
      <c r="A2045" t="s">
        <v>3597</v>
      </c>
    </row>
    <row r="2046" spans="1:1" x14ac:dyDescent="0.25">
      <c r="A2046" t="s">
        <v>3397</v>
      </c>
    </row>
    <row r="2047" spans="1:1" x14ac:dyDescent="0.25">
      <c r="A2047" t="s">
        <v>3398</v>
      </c>
    </row>
    <row r="2048" spans="1:1" x14ac:dyDescent="0.25">
      <c r="A2048" t="s">
        <v>3563</v>
      </c>
    </row>
    <row r="2049" spans="1:1" x14ac:dyDescent="0.25">
      <c r="A2049" t="s">
        <v>3935</v>
      </c>
    </row>
    <row r="2050" spans="1:1" x14ac:dyDescent="0.25">
      <c r="A2050" t="s">
        <v>3401</v>
      </c>
    </row>
    <row r="2051" spans="1:1" x14ac:dyDescent="0.25">
      <c r="A2051" t="s">
        <v>3402</v>
      </c>
    </row>
    <row r="2053" spans="1:1" x14ac:dyDescent="0.25">
      <c r="A2053" t="s">
        <v>3184</v>
      </c>
    </row>
    <row r="2054" spans="1:1" x14ac:dyDescent="0.25">
      <c r="A2054" t="s">
        <v>3185</v>
      </c>
    </row>
    <row r="2055" spans="1:1" x14ac:dyDescent="0.25">
      <c r="A2055" t="s">
        <v>3936</v>
      </c>
    </row>
    <row r="2056" spans="1:1" x14ac:dyDescent="0.25">
      <c r="A2056" t="s">
        <v>3937</v>
      </c>
    </row>
    <row r="2057" spans="1:1" x14ac:dyDescent="0.25">
      <c r="A2057" t="s">
        <v>3302</v>
      </c>
    </row>
    <row r="2058" spans="1:1" x14ac:dyDescent="0.25">
      <c r="A2058" t="s">
        <v>3214</v>
      </c>
    </row>
    <row r="2059" spans="1:1" x14ac:dyDescent="0.25">
      <c r="A2059" t="s">
        <v>3190</v>
      </c>
    </row>
    <row r="2060" spans="1:1" x14ac:dyDescent="0.25">
      <c r="A2060" t="s">
        <v>3938</v>
      </c>
    </row>
    <row r="2061" spans="1:1" x14ac:dyDescent="0.25">
      <c r="A2061" t="s">
        <v>3939</v>
      </c>
    </row>
    <row r="2062" spans="1:1" x14ac:dyDescent="0.25">
      <c r="A2062" t="s">
        <v>3193</v>
      </c>
    </row>
    <row r="2063" spans="1:1" x14ac:dyDescent="0.25">
      <c r="A2063" t="s">
        <v>3194</v>
      </c>
    </row>
    <row r="2065" spans="1:1" x14ac:dyDescent="0.25">
      <c r="A2065" t="s">
        <v>3392</v>
      </c>
    </row>
    <row r="2066" spans="1:1" x14ac:dyDescent="0.25">
      <c r="A2066" t="s">
        <v>3393</v>
      </c>
    </row>
    <row r="2067" spans="1:1" x14ac:dyDescent="0.25">
      <c r="A2067" t="s">
        <v>3940</v>
      </c>
    </row>
    <row r="2068" spans="1:1" x14ac:dyDescent="0.25">
      <c r="A2068" t="s">
        <v>3941</v>
      </c>
    </row>
    <row r="2069" spans="1:1" x14ac:dyDescent="0.25">
      <c r="A2069" t="s">
        <v>3942</v>
      </c>
    </row>
    <row r="2070" spans="1:1" x14ac:dyDescent="0.25">
      <c r="A2070" t="s">
        <v>3397</v>
      </c>
    </row>
    <row r="2071" spans="1:1" x14ac:dyDescent="0.25">
      <c r="A2071" t="s">
        <v>3398</v>
      </c>
    </row>
    <row r="2072" spans="1:1" x14ac:dyDescent="0.25">
      <c r="A2072" t="s">
        <v>3563</v>
      </c>
    </row>
    <row r="2073" spans="1:1" x14ac:dyDescent="0.25">
      <c r="A2073" t="s">
        <v>3943</v>
      </c>
    </row>
    <row r="2074" spans="1:1" x14ac:dyDescent="0.25">
      <c r="A2074" t="s">
        <v>3401</v>
      </c>
    </row>
    <row r="2075" spans="1:1" x14ac:dyDescent="0.25">
      <c r="A2075" t="s">
        <v>3402</v>
      </c>
    </row>
    <row r="2077" spans="1:1" x14ac:dyDescent="0.25">
      <c r="A2077" t="s">
        <v>3656</v>
      </c>
    </row>
    <row r="2079" spans="1:1" x14ac:dyDescent="0.25">
      <c r="A2079" t="s">
        <v>3657</v>
      </c>
    </row>
    <row r="2080" spans="1:1" x14ac:dyDescent="0.25">
      <c r="A2080" t="s">
        <v>3392</v>
      </c>
    </row>
    <row r="2081" spans="1:1" x14ac:dyDescent="0.25">
      <c r="A2081" t="s">
        <v>3393</v>
      </c>
    </row>
    <row r="2082" spans="1:1" x14ac:dyDescent="0.25">
      <c r="A2082" t="s">
        <v>3944</v>
      </c>
    </row>
    <row r="2083" spans="1:1" x14ac:dyDescent="0.25">
      <c r="A2083" t="s">
        <v>3398</v>
      </c>
    </row>
    <row r="2084" spans="1:1" x14ac:dyDescent="0.25">
      <c r="A2084" t="s">
        <v>3563</v>
      </c>
    </row>
    <row r="2085" spans="1:1" x14ac:dyDescent="0.25">
      <c r="A2085" t="s">
        <v>3945</v>
      </c>
    </row>
    <row r="2086" spans="1:1" x14ac:dyDescent="0.25">
      <c r="A2086" t="s">
        <v>3401</v>
      </c>
    </row>
    <row r="2087" spans="1:1" x14ac:dyDescent="0.25">
      <c r="A2087" t="s">
        <v>3946</v>
      </c>
    </row>
    <row r="2088" spans="1:1" x14ac:dyDescent="0.25">
      <c r="A2088" t="s">
        <v>3402</v>
      </c>
    </row>
    <row r="2090" spans="1:1" x14ac:dyDescent="0.25">
      <c r="A2090" t="s">
        <v>3392</v>
      </c>
    </row>
    <row r="2091" spans="1:1" x14ac:dyDescent="0.25">
      <c r="A2091" t="s">
        <v>3947</v>
      </c>
    </row>
    <row r="2092" spans="1:1" x14ac:dyDescent="0.25">
      <c r="A2092" t="s">
        <v>3948</v>
      </c>
    </row>
    <row r="2093" spans="1:1" x14ac:dyDescent="0.25">
      <c r="A2093" t="s">
        <v>3398</v>
      </c>
    </row>
    <row r="2094" spans="1:1" x14ac:dyDescent="0.25">
      <c r="A2094" t="s">
        <v>3949</v>
      </c>
    </row>
    <row r="2095" spans="1:1" x14ac:dyDescent="0.25">
      <c r="A2095" t="s">
        <v>3950</v>
      </c>
    </row>
    <row r="2096" spans="1:1" x14ac:dyDescent="0.25">
      <c r="A2096" t="s">
        <v>3951</v>
      </c>
    </row>
    <row r="2097" spans="1:1" x14ac:dyDescent="0.25">
      <c r="A2097" t="s">
        <v>3402</v>
      </c>
    </row>
    <row r="2098" spans="1:1" x14ac:dyDescent="0.25">
      <c r="A2098" t="s">
        <v>3684</v>
      </c>
    </row>
    <row r="2100" spans="1:1" x14ac:dyDescent="0.25">
      <c r="A2100" t="s">
        <v>3685</v>
      </c>
    </row>
    <row r="2102" spans="1:1" x14ac:dyDescent="0.25">
      <c r="A2102" t="s">
        <v>3686</v>
      </c>
    </row>
    <row r="2103" spans="1:1" x14ac:dyDescent="0.25">
      <c r="A2103" t="s">
        <v>3952</v>
      </c>
    </row>
    <row r="2104" spans="1:1" x14ac:dyDescent="0.25">
      <c r="A2104" t="s">
        <v>3953</v>
      </c>
    </row>
    <row r="2105" spans="1:1" x14ac:dyDescent="0.25">
      <c r="A2105" t="s">
        <v>3942</v>
      </c>
    </row>
    <row r="2106" spans="1:1" x14ac:dyDescent="0.25">
      <c r="A2106" t="s">
        <v>3397</v>
      </c>
    </row>
    <row r="2107" spans="1:1" x14ac:dyDescent="0.25">
      <c r="A2107" t="s">
        <v>3689</v>
      </c>
    </row>
    <row r="2109" spans="1:1" x14ac:dyDescent="0.25">
      <c r="A2109" t="s">
        <v>3690</v>
      </c>
    </row>
    <row r="2111" spans="1:1" x14ac:dyDescent="0.25">
      <c r="A2111" t="s">
        <v>3691</v>
      </c>
    </row>
    <row r="2113" spans="1:1" x14ac:dyDescent="0.25">
      <c r="A2113" t="s">
        <v>3184</v>
      </c>
    </row>
    <row r="2114" spans="1:1" x14ac:dyDescent="0.25">
      <c r="A2114" t="s">
        <v>3185</v>
      </c>
    </row>
    <row r="2115" spans="1:1" x14ac:dyDescent="0.25">
      <c r="A2115" t="s">
        <v>3954</v>
      </c>
    </row>
    <row r="2116" spans="1:1" x14ac:dyDescent="0.25">
      <c r="A2116" t="s">
        <v>3218</v>
      </c>
    </row>
    <row r="2117" spans="1:1" x14ac:dyDescent="0.25">
      <c r="A2117" t="s">
        <v>3219</v>
      </c>
    </row>
    <row r="2118" spans="1:1" x14ac:dyDescent="0.25">
      <c r="A2118" t="s">
        <v>3214</v>
      </c>
    </row>
    <row r="2119" spans="1:1" x14ac:dyDescent="0.25">
      <c r="A2119" t="s">
        <v>3190</v>
      </c>
    </row>
    <row r="2120" spans="1:1" x14ac:dyDescent="0.25">
      <c r="A2120" t="s">
        <v>3220</v>
      </c>
    </row>
    <row r="2121" spans="1:1" x14ac:dyDescent="0.25">
      <c r="A2121" t="s">
        <v>3221</v>
      </c>
    </row>
    <row r="2122" spans="1:1" x14ac:dyDescent="0.25">
      <c r="A2122" t="s">
        <v>3193</v>
      </c>
    </row>
    <row r="2123" spans="1:1" x14ac:dyDescent="0.25">
      <c r="A2123" t="s">
        <v>3194</v>
      </c>
    </row>
    <row r="2125" spans="1:1" x14ac:dyDescent="0.25">
      <c r="A2125" t="s">
        <v>3184</v>
      </c>
    </row>
    <row r="2126" spans="1:1" x14ac:dyDescent="0.25">
      <c r="A2126" t="s">
        <v>3185</v>
      </c>
    </row>
    <row r="2127" spans="1:1" x14ac:dyDescent="0.25">
      <c r="A2127" t="s">
        <v>3955</v>
      </c>
    </row>
    <row r="2128" spans="1:1" x14ac:dyDescent="0.25">
      <c r="A2128" t="s">
        <v>3223</v>
      </c>
    </row>
    <row r="2129" spans="1:1" x14ac:dyDescent="0.25">
      <c r="A2129" t="s">
        <v>3224</v>
      </c>
    </row>
    <row r="2130" spans="1:1" x14ac:dyDescent="0.25">
      <c r="A2130" t="s">
        <v>3214</v>
      </c>
    </row>
    <row r="2131" spans="1:1" x14ac:dyDescent="0.25">
      <c r="A2131" t="s">
        <v>3190</v>
      </c>
    </row>
    <row r="2132" spans="1:1" x14ac:dyDescent="0.25">
      <c r="A2132" t="s">
        <v>3225</v>
      </c>
    </row>
    <row r="2133" spans="1:1" x14ac:dyDescent="0.25">
      <c r="A2133" t="s">
        <v>3226</v>
      </c>
    </row>
    <row r="2134" spans="1:1" x14ac:dyDescent="0.25">
      <c r="A2134" t="s">
        <v>3210</v>
      </c>
    </row>
    <row r="2135" spans="1:1" x14ac:dyDescent="0.25">
      <c r="A2135" t="s">
        <v>3194</v>
      </c>
    </row>
    <row r="2137" spans="1:1" x14ac:dyDescent="0.25">
      <c r="A2137" t="s">
        <v>3184</v>
      </c>
    </row>
    <row r="2138" spans="1:1" x14ac:dyDescent="0.25">
      <c r="A2138" t="s">
        <v>3185</v>
      </c>
    </row>
    <row r="2139" spans="1:1" x14ac:dyDescent="0.25">
      <c r="A2139" t="s">
        <v>3956</v>
      </c>
    </row>
    <row r="2140" spans="1:1" x14ac:dyDescent="0.25">
      <c r="A2140" t="s">
        <v>3228</v>
      </c>
    </row>
    <row r="2141" spans="1:1" x14ac:dyDescent="0.25">
      <c r="A2141" t="s">
        <v>3224</v>
      </c>
    </row>
    <row r="2142" spans="1:1" x14ac:dyDescent="0.25">
      <c r="A2142" t="s">
        <v>3214</v>
      </c>
    </row>
    <row r="2143" spans="1:1" x14ac:dyDescent="0.25">
      <c r="A2143" t="s">
        <v>3190</v>
      </c>
    </row>
    <row r="2144" spans="1:1" x14ac:dyDescent="0.25">
      <c r="A2144" t="s">
        <v>3225</v>
      </c>
    </row>
    <row r="2145" spans="1:1" x14ac:dyDescent="0.25">
      <c r="A2145" t="s">
        <v>3229</v>
      </c>
    </row>
    <row r="2146" spans="1:1" x14ac:dyDescent="0.25">
      <c r="A2146" t="s">
        <v>3210</v>
      </c>
    </row>
    <row r="2147" spans="1:1" x14ac:dyDescent="0.25">
      <c r="A2147" t="s">
        <v>3194</v>
      </c>
    </row>
    <row r="2149" spans="1:1" x14ac:dyDescent="0.25">
      <c r="A2149" t="s">
        <v>3392</v>
      </c>
    </row>
    <row r="2150" spans="1:1" x14ac:dyDescent="0.25">
      <c r="A2150" t="s">
        <v>3393</v>
      </c>
    </row>
    <row r="2151" spans="1:1" x14ac:dyDescent="0.25">
      <c r="A2151" t="s">
        <v>3957</v>
      </c>
    </row>
    <row r="2152" spans="1:1" x14ac:dyDescent="0.25">
      <c r="A2152" t="s">
        <v>3958</v>
      </c>
    </row>
    <row r="2153" spans="1:1" x14ac:dyDescent="0.25">
      <c r="A2153" t="s">
        <v>3959</v>
      </c>
    </row>
    <row r="2154" spans="1:1" x14ac:dyDescent="0.25">
      <c r="A2154" t="s">
        <v>3397</v>
      </c>
    </row>
    <row r="2155" spans="1:1" x14ac:dyDescent="0.25">
      <c r="A2155" t="s">
        <v>3398</v>
      </c>
    </row>
    <row r="2156" spans="1:1" x14ac:dyDescent="0.25">
      <c r="A2156" t="s">
        <v>3960</v>
      </c>
    </row>
    <row r="2157" spans="1:1" x14ac:dyDescent="0.25">
      <c r="A2157" t="s">
        <v>3961</v>
      </c>
    </row>
    <row r="2158" spans="1:1" x14ac:dyDescent="0.25">
      <c r="A2158" t="s">
        <v>3401</v>
      </c>
    </row>
    <row r="2159" spans="1:1" x14ac:dyDescent="0.25">
      <c r="A2159" t="s">
        <v>3402</v>
      </c>
    </row>
    <row r="2161" spans="1:1" x14ac:dyDescent="0.25">
      <c r="A2161" t="s">
        <v>3184</v>
      </c>
    </row>
    <row r="2162" spans="1:1" x14ac:dyDescent="0.25">
      <c r="A2162" t="s">
        <v>3185</v>
      </c>
    </row>
    <row r="2163" spans="1:1" x14ac:dyDescent="0.25">
      <c r="A2163" t="s">
        <v>3962</v>
      </c>
    </row>
    <row r="2164" spans="1:1" x14ac:dyDescent="0.25">
      <c r="A2164" t="s">
        <v>3963</v>
      </c>
    </row>
    <row r="2165" spans="1:1" x14ac:dyDescent="0.25">
      <c r="A2165" t="s">
        <v>3964</v>
      </c>
    </row>
    <row r="2166" spans="1:1" x14ac:dyDescent="0.25">
      <c r="A2166" t="s">
        <v>3214</v>
      </c>
    </row>
    <row r="2167" spans="1:1" x14ac:dyDescent="0.25">
      <c r="A2167" t="s">
        <v>3190</v>
      </c>
    </row>
    <row r="2168" spans="1:1" x14ac:dyDescent="0.25">
      <c r="A2168" t="s">
        <v>3938</v>
      </c>
    </row>
    <row r="2169" spans="1:1" x14ac:dyDescent="0.25">
      <c r="A2169" t="s">
        <v>3965</v>
      </c>
    </row>
    <row r="2170" spans="1:1" x14ac:dyDescent="0.25">
      <c r="A2170" t="s">
        <v>3193</v>
      </c>
    </row>
    <row r="2171" spans="1:1" x14ac:dyDescent="0.25">
      <c r="A2171" t="s">
        <v>3194</v>
      </c>
    </row>
    <row r="2173" spans="1:1" x14ac:dyDescent="0.25">
      <c r="A2173" t="s">
        <v>3184</v>
      </c>
    </row>
    <row r="2174" spans="1:1" x14ac:dyDescent="0.25">
      <c r="A2174" t="s">
        <v>3185</v>
      </c>
    </row>
    <row r="2175" spans="1:1" x14ac:dyDescent="0.25">
      <c r="A2175" t="s">
        <v>3966</v>
      </c>
    </row>
    <row r="2176" spans="1:1" x14ac:dyDescent="0.25">
      <c r="A2176" t="s">
        <v>3967</v>
      </c>
    </row>
    <row r="2177" spans="1:1" x14ac:dyDescent="0.25">
      <c r="A2177" t="s">
        <v>3964</v>
      </c>
    </row>
    <row r="2178" spans="1:1" x14ac:dyDescent="0.25">
      <c r="A2178" t="s">
        <v>3214</v>
      </c>
    </row>
    <row r="2179" spans="1:1" x14ac:dyDescent="0.25">
      <c r="A2179" t="s">
        <v>3190</v>
      </c>
    </row>
    <row r="2180" spans="1:1" x14ac:dyDescent="0.25">
      <c r="A2180" t="s">
        <v>3938</v>
      </c>
    </row>
    <row r="2181" spans="1:1" x14ac:dyDescent="0.25">
      <c r="A2181" t="s">
        <v>3968</v>
      </c>
    </row>
    <row r="2182" spans="1:1" x14ac:dyDescent="0.25">
      <c r="A2182" t="s">
        <v>3193</v>
      </c>
    </row>
    <row r="2183" spans="1:1" x14ac:dyDescent="0.25">
      <c r="A2183" t="s">
        <v>3194</v>
      </c>
    </row>
    <row r="2185" spans="1:1" x14ac:dyDescent="0.25">
      <c r="A2185" t="s">
        <v>3392</v>
      </c>
    </row>
    <row r="2186" spans="1:1" x14ac:dyDescent="0.25">
      <c r="A2186" t="s">
        <v>3393</v>
      </c>
    </row>
    <row r="2187" spans="1:1" x14ac:dyDescent="0.25">
      <c r="A2187" t="s">
        <v>3969</v>
      </c>
    </row>
    <row r="2188" spans="1:1" x14ac:dyDescent="0.25">
      <c r="A2188" t="s">
        <v>3970</v>
      </c>
    </row>
    <row r="2189" spans="1:1" x14ac:dyDescent="0.25">
      <c r="A2189" t="s">
        <v>3971</v>
      </c>
    </row>
    <row r="2190" spans="1:1" x14ac:dyDescent="0.25">
      <c r="A2190" t="s">
        <v>3397</v>
      </c>
    </row>
    <row r="2191" spans="1:1" x14ac:dyDescent="0.25">
      <c r="A2191" t="s">
        <v>3398</v>
      </c>
    </row>
    <row r="2192" spans="1:1" x14ac:dyDescent="0.25">
      <c r="A2192" t="s">
        <v>3563</v>
      </c>
    </row>
    <row r="2193" spans="1:1" x14ac:dyDescent="0.25">
      <c r="A2193" t="s">
        <v>3972</v>
      </c>
    </row>
    <row r="2194" spans="1:1" x14ac:dyDescent="0.25">
      <c r="A2194" t="s">
        <v>3401</v>
      </c>
    </row>
    <row r="2195" spans="1:1" x14ac:dyDescent="0.25">
      <c r="A2195" t="s">
        <v>3402</v>
      </c>
    </row>
    <row r="2197" spans="1:1" x14ac:dyDescent="0.25">
      <c r="A2197" t="s">
        <v>3392</v>
      </c>
    </row>
    <row r="2198" spans="1:1" x14ac:dyDescent="0.25">
      <c r="A2198" t="s">
        <v>3393</v>
      </c>
    </row>
    <row r="2199" spans="1:1" x14ac:dyDescent="0.25">
      <c r="A2199" t="s">
        <v>3973</v>
      </c>
    </row>
    <row r="2200" spans="1:1" x14ac:dyDescent="0.25">
      <c r="A2200" t="s">
        <v>3974</v>
      </c>
    </row>
    <row r="2201" spans="1:1" x14ac:dyDescent="0.25">
      <c r="A2201" t="s">
        <v>3975</v>
      </c>
    </row>
    <row r="2202" spans="1:1" x14ac:dyDescent="0.25">
      <c r="A2202" t="s">
        <v>3397</v>
      </c>
    </row>
    <row r="2203" spans="1:1" x14ac:dyDescent="0.25">
      <c r="A2203" t="s">
        <v>3398</v>
      </c>
    </row>
    <row r="2204" spans="1:1" x14ac:dyDescent="0.25">
      <c r="A2204" t="s">
        <v>3399</v>
      </c>
    </row>
    <row r="2205" spans="1:1" x14ac:dyDescent="0.25">
      <c r="A2205" t="s">
        <v>3976</v>
      </c>
    </row>
    <row r="2206" spans="1:1" x14ac:dyDescent="0.25">
      <c r="A2206" t="s">
        <v>3401</v>
      </c>
    </row>
    <row r="2207" spans="1:1" x14ac:dyDescent="0.25">
      <c r="A2207" t="s">
        <v>3402</v>
      </c>
    </row>
    <row r="2209" spans="1:1" x14ac:dyDescent="0.25">
      <c r="A2209" t="s">
        <v>3392</v>
      </c>
    </row>
    <row r="2210" spans="1:1" x14ac:dyDescent="0.25">
      <c r="A2210" t="s">
        <v>3393</v>
      </c>
    </row>
    <row r="2211" spans="1:1" x14ac:dyDescent="0.25">
      <c r="A2211" t="s">
        <v>3977</v>
      </c>
    </row>
    <row r="2212" spans="1:1" x14ac:dyDescent="0.25">
      <c r="A2212" t="s">
        <v>3978</v>
      </c>
    </row>
    <row r="2213" spans="1:1" x14ac:dyDescent="0.25">
      <c r="A2213" t="s">
        <v>3597</v>
      </c>
    </row>
    <row r="2214" spans="1:1" x14ac:dyDescent="0.25">
      <c r="A2214" t="s">
        <v>3397</v>
      </c>
    </row>
    <row r="2215" spans="1:1" x14ac:dyDescent="0.25">
      <c r="A2215" t="s">
        <v>3398</v>
      </c>
    </row>
    <row r="2216" spans="1:1" x14ac:dyDescent="0.25">
      <c r="A2216" t="s">
        <v>3399</v>
      </c>
    </row>
    <row r="2217" spans="1:1" x14ac:dyDescent="0.25">
      <c r="A2217" t="s">
        <v>3979</v>
      </c>
    </row>
    <row r="2218" spans="1:1" x14ac:dyDescent="0.25">
      <c r="A2218" t="s">
        <v>3401</v>
      </c>
    </row>
    <row r="2219" spans="1:1" x14ac:dyDescent="0.25">
      <c r="A2219" t="s">
        <v>3402</v>
      </c>
    </row>
    <row r="2221" spans="1:1" x14ac:dyDescent="0.25">
      <c r="A2221" t="s">
        <v>3392</v>
      </c>
    </row>
    <row r="2222" spans="1:1" x14ac:dyDescent="0.25">
      <c r="A2222" t="s">
        <v>3393</v>
      </c>
    </row>
    <row r="2223" spans="1:1" x14ac:dyDescent="0.25">
      <c r="A2223" t="s">
        <v>3980</v>
      </c>
    </row>
    <row r="2224" spans="1:1" x14ac:dyDescent="0.25">
      <c r="A2224" t="s">
        <v>3981</v>
      </c>
    </row>
    <row r="2225" spans="1:1" x14ac:dyDescent="0.25">
      <c r="A2225" t="s">
        <v>3975</v>
      </c>
    </row>
    <row r="2226" spans="1:1" x14ac:dyDescent="0.25">
      <c r="A2226" t="s">
        <v>3397</v>
      </c>
    </row>
    <row r="2227" spans="1:1" x14ac:dyDescent="0.25">
      <c r="A2227" t="s">
        <v>3398</v>
      </c>
    </row>
    <row r="2228" spans="1:1" x14ac:dyDescent="0.25">
      <c r="A2228" t="s">
        <v>3563</v>
      </c>
    </row>
    <row r="2229" spans="1:1" x14ac:dyDescent="0.25">
      <c r="A2229" t="s">
        <v>3982</v>
      </c>
    </row>
    <row r="2230" spans="1:1" x14ac:dyDescent="0.25">
      <c r="A2230" t="s">
        <v>3401</v>
      </c>
    </row>
    <row r="2231" spans="1:1" x14ac:dyDescent="0.25">
      <c r="A2231" t="s">
        <v>3402</v>
      </c>
    </row>
    <row r="2233" spans="1:1" x14ac:dyDescent="0.25">
      <c r="A2233" t="s">
        <v>3392</v>
      </c>
    </row>
    <row r="2234" spans="1:1" x14ac:dyDescent="0.25">
      <c r="A2234" t="s">
        <v>3393</v>
      </c>
    </row>
    <row r="2235" spans="1:1" x14ac:dyDescent="0.25">
      <c r="A2235" t="s">
        <v>3983</v>
      </c>
    </row>
    <row r="2236" spans="1:1" x14ac:dyDescent="0.25">
      <c r="A2236" t="s">
        <v>3984</v>
      </c>
    </row>
    <row r="2237" spans="1:1" x14ac:dyDescent="0.25">
      <c r="A2237" t="s">
        <v>3545</v>
      </c>
    </row>
    <row r="2238" spans="1:1" x14ac:dyDescent="0.25">
      <c r="A2238" t="s">
        <v>3397</v>
      </c>
    </row>
    <row r="2239" spans="1:1" x14ac:dyDescent="0.25">
      <c r="A2239" t="s">
        <v>3398</v>
      </c>
    </row>
    <row r="2240" spans="1:1" x14ac:dyDescent="0.25">
      <c r="A2240" t="s">
        <v>3563</v>
      </c>
    </row>
    <row r="2241" spans="1:1" x14ac:dyDescent="0.25">
      <c r="A2241" t="s">
        <v>3985</v>
      </c>
    </row>
    <row r="2242" spans="1:1" x14ac:dyDescent="0.25">
      <c r="A2242" t="s">
        <v>3401</v>
      </c>
    </row>
    <row r="2243" spans="1:1" x14ac:dyDescent="0.25">
      <c r="A2243" t="s">
        <v>3402</v>
      </c>
    </row>
    <row r="2245" spans="1:1" x14ac:dyDescent="0.25">
      <c r="A2245" t="s">
        <v>3392</v>
      </c>
    </row>
    <row r="2246" spans="1:1" x14ac:dyDescent="0.25">
      <c r="A2246" t="s">
        <v>3393</v>
      </c>
    </row>
    <row r="2247" spans="1:1" x14ac:dyDescent="0.25">
      <c r="A2247" t="s">
        <v>3986</v>
      </c>
    </row>
    <row r="2248" spans="1:1" x14ac:dyDescent="0.25">
      <c r="A2248" t="s">
        <v>3987</v>
      </c>
    </row>
    <row r="2249" spans="1:1" x14ac:dyDescent="0.25">
      <c r="A2249" t="s">
        <v>3827</v>
      </c>
    </row>
    <row r="2250" spans="1:1" x14ac:dyDescent="0.25">
      <c r="A2250" t="s">
        <v>3397</v>
      </c>
    </row>
    <row r="2251" spans="1:1" x14ac:dyDescent="0.25">
      <c r="A2251" t="s">
        <v>3398</v>
      </c>
    </row>
    <row r="2252" spans="1:1" x14ac:dyDescent="0.25">
      <c r="A2252" t="s">
        <v>3399</v>
      </c>
    </row>
    <row r="2253" spans="1:1" x14ac:dyDescent="0.25">
      <c r="A2253" t="s">
        <v>3988</v>
      </c>
    </row>
    <row r="2254" spans="1:1" x14ac:dyDescent="0.25">
      <c r="A2254" t="s">
        <v>3401</v>
      </c>
    </row>
    <row r="2255" spans="1:1" x14ac:dyDescent="0.25">
      <c r="A2255" t="s">
        <v>3402</v>
      </c>
    </row>
    <row r="2257" spans="1:1" x14ac:dyDescent="0.25">
      <c r="A2257" t="s">
        <v>3656</v>
      </c>
    </row>
    <row r="2259" spans="1:1" x14ac:dyDescent="0.25">
      <c r="A2259" t="s">
        <v>3657</v>
      </c>
    </row>
    <row r="2260" spans="1:1" x14ac:dyDescent="0.25">
      <c r="A2260" t="s">
        <v>3392</v>
      </c>
    </row>
    <row r="2261" spans="1:1" x14ac:dyDescent="0.25">
      <c r="A2261" t="s">
        <v>3393</v>
      </c>
    </row>
    <row r="2262" spans="1:1" x14ac:dyDescent="0.25">
      <c r="A2262" t="s">
        <v>3989</v>
      </c>
    </row>
    <row r="2263" spans="1:1" x14ac:dyDescent="0.25">
      <c r="A2263" t="s">
        <v>3398</v>
      </c>
    </row>
    <row r="2264" spans="1:1" x14ac:dyDescent="0.25">
      <c r="A2264" t="s">
        <v>3990</v>
      </c>
    </row>
    <row r="2265" spans="1:1" x14ac:dyDescent="0.25">
      <c r="A2265" t="s">
        <v>3991</v>
      </c>
    </row>
    <row r="2266" spans="1:1" x14ac:dyDescent="0.25">
      <c r="A2266" t="s">
        <v>3401</v>
      </c>
    </row>
    <row r="2267" spans="1:1" x14ac:dyDescent="0.25">
      <c r="A2267" t="s">
        <v>3402</v>
      </c>
    </row>
    <row r="2269" spans="1:1" x14ac:dyDescent="0.25">
      <c r="A2269" t="s">
        <v>3392</v>
      </c>
    </row>
    <row r="2270" spans="1:1" x14ac:dyDescent="0.25">
      <c r="A2270" t="s">
        <v>3393</v>
      </c>
    </row>
    <row r="2271" spans="1:1" x14ac:dyDescent="0.25">
      <c r="A2271" t="s">
        <v>3992</v>
      </c>
    </row>
    <row r="2272" spans="1:1" x14ac:dyDescent="0.25">
      <c r="A2272" t="s">
        <v>3398</v>
      </c>
    </row>
    <row r="2273" spans="1:1" x14ac:dyDescent="0.25">
      <c r="A2273" t="s">
        <v>3990</v>
      </c>
    </row>
    <row r="2274" spans="1:1" x14ac:dyDescent="0.25">
      <c r="A2274" t="s">
        <v>3993</v>
      </c>
    </row>
    <row r="2275" spans="1:1" x14ac:dyDescent="0.25">
      <c r="A2275" t="s">
        <v>3401</v>
      </c>
    </row>
    <row r="2276" spans="1:1" x14ac:dyDescent="0.25">
      <c r="A2276" t="s">
        <v>3402</v>
      </c>
    </row>
    <row r="2277" spans="1:1" x14ac:dyDescent="0.25">
      <c r="A2277" t="s">
        <v>3684</v>
      </c>
    </row>
    <row r="2279" spans="1:1" x14ac:dyDescent="0.25">
      <c r="A2279" t="s">
        <v>3685</v>
      </c>
    </row>
    <row r="2281" spans="1:1" x14ac:dyDescent="0.25">
      <c r="A2281" t="s">
        <v>3686</v>
      </c>
    </row>
    <row r="2282" spans="1:1" x14ac:dyDescent="0.25">
      <c r="A2282" t="s">
        <v>3994</v>
      </c>
    </row>
    <row r="2283" spans="1:1" x14ac:dyDescent="0.25">
      <c r="A2283" t="s">
        <v>3995</v>
      </c>
    </row>
    <row r="2284" spans="1:1" x14ac:dyDescent="0.25">
      <c r="A2284" t="s">
        <v>3996</v>
      </c>
    </row>
    <row r="2285" spans="1:1" x14ac:dyDescent="0.25">
      <c r="A2285" t="s">
        <v>3397</v>
      </c>
    </row>
    <row r="2286" spans="1:1" x14ac:dyDescent="0.25">
      <c r="A2286" t="s">
        <v>3689</v>
      </c>
    </row>
    <row r="2288" spans="1:1" x14ac:dyDescent="0.25">
      <c r="A2288" t="s">
        <v>3690</v>
      </c>
    </row>
    <row r="2290" spans="1:1" x14ac:dyDescent="0.25">
      <c r="A2290" t="s">
        <v>3691</v>
      </c>
    </row>
    <row r="2292" spans="1:1" x14ac:dyDescent="0.25">
      <c r="A2292" t="s">
        <v>3184</v>
      </c>
    </row>
    <row r="2293" spans="1:1" x14ac:dyDescent="0.25">
      <c r="A2293" t="s">
        <v>3185</v>
      </c>
    </row>
    <row r="2294" spans="1:1" x14ac:dyDescent="0.25">
      <c r="A2294" t="s">
        <v>3997</v>
      </c>
    </row>
    <row r="2295" spans="1:1" x14ac:dyDescent="0.25">
      <c r="A2295" t="s">
        <v>3998</v>
      </c>
    </row>
    <row r="2296" spans="1:1" x14ac:dyDescent="0.25">
      <c r="A2296" t="s">
        <v>3302</v>
      </c>
    </row>
    <row r="2297" spans="1:1" x14ac:dyDescent="0.25">
      <c r="A2297" t="s">
        <v>3214</v>
      </c>
    </row>
    <row r="2298" spans="1:1" x14ac:dyDescent="0.25">
      <c r="A2298" t="s">
        <v>3190</v>
      </c>
    </row>
    <row r="2299" spans="1:1" x14ac:dyDescent="0.25">
      <c r="A2299" t="s">
        <v>3999</v>
      </c>
    </row>
    <row r="2300" spans="1:1" x14ac:dyDescent="0.25">
      <c r="A2300" t="s">
        <v>4000</v>
      </c>
    </row>
    <row r="2301" spans="1:1" x14ac:dyDescent="0.25">
      <c r="A2301" t="s">
        <v>3193</v>
      </c>
    </row>
    <row r="2302" spans="1:1" x14ac:dyDescent="0.25">
      <c r="A2302" t="s">
        <v>3194</v>
      </c>
    </row>
    <row r="2304" spans="1:1" x14ac:dyDescent="0.25">
      <c r="A2304" t="s">
        <v>3392</v>
      </c>
    </row>
    <row r="2305" spans="1:1" x14ac:dyDescent="0.25">
      <c r="A2305" t="s">
        <v>3393</v>
      </c>
    </row>
    <row r="2306" spans="1:1" x14ac:dyDescent="0.25">
      <c r="A2306" t="s">
        <v>4001</v>
      </c>
    </row>
    <row r="2307" spans="1:1" x14ac:dyDescent="0.25">
      <c r="A2307" t="s">
        <v>4002</v>
      </c>
    </row>
    <row r="2308" spans="1:1" x14ac:dyDescent="0.25">
      <c r="A2308" t="s">
        <v>4003</v>
      </c>
    </row>
    <row r="2309" spans="1:1" x14ac:dyDescent="0.25">
      <c r="A2309" t="s">
        <v>3397</v>
      </c>
    </row>
    <row r="2310" spans="1:1" x14ac:dyDescent="0.25">
      <c r="A2310" t="s">
        <v>3398</v>
      </c>
    </row>
    <row r="2311" spans="1:1" x14ac:dyDescent="0.25">
      <c r="A2311" t="s">
        <v>3399</v>
      </c>
    </row>
    <row r="2312" spans="1:1" x14ac:dyDescent="0.25">
      <c r="A2312" t="s">
        <v>4004</v>
      </c>
    </row>
    <row r="2313" spans="1:1" x14ac:dyDescent="0.25">
      <c r="A2313" t="s">
        <v>3401</v>
      </c>
    </row>
    <row r="2314" spans="1:1" x14ac:dyDescent="0.25">
      <c r="A2314" t="s">
        <v>3402</v>
      </c>
    </row>
    <row r="2316" spans="1:1" x14ac:dyDescent="0.25">
      <c r="A2316" t="s">
        <v>3184</v>
      </c>
    </row>
    <row r="2317" spans="1:1" x14ac:dyDescent="0.25">
      <c r="A2317" t="s">
        <v>3185</v>
      </c>
    </row>
    <row r="2318" spans="1:1" x14ac:dyDescent="0.25">
      <c r="A2318" t="s">
        <v>4005</v>
      </c>
    </row>
    <row r="2319" spans="1:1" x14ac:dyDescent="0.25">
      <c r="A2319" t="s">
        <v>4006</v>
      </c>
    </row>
    <row r="2320" spans="1:1" x14ac:dyDescent="0.25">
      <c r="A2320" t="s">
        <v>3213</v>
      </c>
    </row>
    <row r="2321" spans="1:1" x14ac:dyDescent="0.25">
      <c r="A2321" t="s">
        <v>3214</v>
      </c>
    </row>
    <row r="2322" spans="1:1" x14ac:dyDescent="0.25">
      <c r="A2322" t="s">
        <v>3190</v>
      </c>
    </row>
    <row r="2323" spans="1:1" x14ac:dyDescent="0.25">
      <c r="A2323" t="s">
        <v>3215</v>
      </c>
    </row>
    <row r="2324" spans="1:1" x14ac:dyDescent="0.25">
      <c r="A2324" t="s">
        <v>4007</v>
      </c>
    </row>
    <row r="2325" spans="1:1" x14ac:dyDescent="0.25">
      <c r="A2325" t="s">
        <v>3193</v>
      </c>
    </row>
    <row r="2326" spans="1:1" x14ac:dyDescent="0.25">
      <c r="A2326" t="s">
        <v>3194</v>
      </c>
    </row>
    <row r="2328" spans="1:1" x14ac:dyDescent="0.25">
      <c r="A2328" t="s">
        <v>3392</v>
      </c>
    </row>
    <row r="2329" spans="1:1" x14ac:dyDescent="0.25">
      <c r="A2329" t="s">
        <v>3393</v>
      </c>
    </row>
    <row r="2330" spans="1:1" x14ac:dyDescent="0.25">
      <c r="A2330" t="s">
        <v>4008</v>
      </c>
    </row>
    <row r="2331" spans="1:1" x14ac:dyDescent="0.25">
      <c r="A2331" t="s">
        <v>4009</v>
      </c>
    </row>
    <row r="2332" spans="1:1" x14ac:dyDescent="0.25">
      <c r="A2332" t="s">
        <v>3740</v>
      </c>
    </row>
    <row r="2333" spans="1:1" x14ac:dyDescent="0.25">
      <c r="A2333" t="s">
        <v>3397</v>
      </c>
    </row>
    <row r="2334" spans="1:1" x14ac:dyDescent="0.25">
      <c r="A2334" t="s">
        <v>3398</v>
      </c>
    </row>
    <row r="2335" spans="1:1" x14ac:dyDescent="0.25">
      <c r="A2335" t="s">
        <v>4010</v>
      </c>
    </row>
    <row r="2336" spans="1:1" x14ac:dyDescent="0.25">
      <c r="A2336" t="s">
        <v>4011</v>
      </c>
    </row>
    <row r="2337" spans="1:1" x14ac:dyDescent="0.25">
      <c r="A2337" t="s">
        <v>3401</v>
      </c>
    </row>
    <row r="2338" spans="1:1" x14ac:dyDescent="0.25">
      <c r="A2338" t="s">
        <v>3402</v>
      </c>
    </row>
    <row r="2340" spans="1:1" x14ac:dyDescent="0.25">
      <c r="A2340" t="s">
        <v>3392</v>
      </c>
    </row>
    <row r="2341" spans="1:1" x14ac:dyDescent="0.25">
      <c r="A2341" t="s">
        <v>3393</v>
      </c>
    </row>
    <row r="2342" spans="1:1" x14ac:dyDescent="0.25">
      <c r="A2342" t="s">
        <v>4012</v>
      </c>
    </row>
    <row r="2343" spans="1:1" x14ac:dyDescent="0.25">
      <c r="A2343" t="s">
        <v>4013</v>
      </c>
    </row>
    <row r="2344" spans="1:1" x14ac:dyDescent="0.25">
      <c r="A2344" t="s">
        <v>3545</v>
      </c>
    </row>
    <row r="2345" spans="1:1" x14ac:dyDescent="0.25">
      <c r="A2345" t="s">
        <v>3397</v>
      </c>
    </row>
    <row r="2346" spans="1:1" x14ac:dyDescent="0.25">
      <c r="A2346" t="s">
        <v>3398</v>
      </c>
    </row>
    <row r="2347" spans="1:1" x14ac:dyDescent="0.25">
      <c r="A2347" t="s">
        <v>4014</v>
      </c>
    </row>
    <row r="2348" spans="1:1" x14ac:dyDescent="0.25">
      <c r="A2348" t="s">
        <v>4015</v>
      </c>
    </row>
    <row r="2349" spans="1:1" x14ac:dyDescent="0.25">
      <c r="A2349" t="s">
        <v>3401</v>
      </c>
    </row>
    <row r="2350" spans="1:1" x14ac:dyDescent="0.25">
      <c r="A2350" t="s">
        <v>3402</v>
      </c>
    </row>
    <row r="2352" spans="1:1" x14ac:dyDescent="0.25">
      <c r="A2352" t="s">
        <v>3184</v>
      </c>
    </row>
    <row r="2353" spans="1:1" x14ac:dyDescent="0.25">
      <c r="A2353" t="s">
        <v>3185</v>
      </c>
    </row>
    <row r="2354" spans="1:1" x14ac:dyDescent="0.25">
      <c r="A2354" t="s">
        <v>4016</v>
      </c>
    </row>
    <row r="2355" spans="1:1" x14ac:dyDescent="0.25">
      <c r="A2355" t="s">
        <v>4017</v>
      </c>
    </row>
    <row r="2356" spans="1:1" x14ac:dyDescent="0.25">
      <c r="A2356" t="s">
        <v>3213</v>
      </c>
    </row>
    <row r="2357" spans="1:1" x14ac:dyDescent="0.25">
      <c r="A2357" t="s">
        <v>3214</v>
      </c>
    </row>
    <row r="2358" spans="1:1" x14ac:dyDescent="0.25">
      <c r="A2358" t="s">
        <v>3190</v>
      </c>
    </row>
    <row r="2359" spans="1:1" x14ac:dyDescent="0.25">
      <c r="A2359" t="s">
        <v>3215</v>
      </c>
    </row>
    <row r="2360" spans="1:1" x14ac:dyDescent="0.25">
      <c r="A2360" t="s">
        <v>4018</v>
      </c>
    </row>
    <row r="2361" spans="1:1" x14ac:dyDescent="0.25">
      <c r="A2361" t="s">
        <v>3193</v>
      </c>
    </row>
    <row r="2362" spans="1:1" x14ac:dyDescent="0.25">
      <c r="A2362" t="s">
        <v>3194</v>
      </c>
    </row>
    <row r="2364" spans="1:1" x14ac:dyDescent="0.25">
      <c r="A2364" t="s">
        <v>3392</v>
      </c>
    </row>
    <row r="2365" spans="1:1" x14ac:dyDescent="0.25">
      <c r="A2365" t="s">
        <v>3393</v>
      </c>
    </row>
    <row r="2366" spans="1:1" x14ac:dyDescent="0.25">
      <c r="A2366" t="s">
        <v>4019</v>
      </c>
    </row>
    <row r="2367" spans="1:1" x14ac:dyDescent="0.25">
      <c r="A2367" t="s">
        <v>4020</v>
      </c>
    </row>
    <row r="2368" spans="1:1" x14ac:dyDescent="0.25">
      <c r="A2368" t="s">
        <v>3529</v>
      </c>
    </row>
    <row r="2369" spans="1:1" x14ac:dyDescent="0.25">
      <c r="A2369" t="s">
        <v>3397</v>
      </c>
    </row>
    <row r="2370" spans="1:1" x14ac:dyDescent="0.25">
      <c r="A2370" t="s">
        <v>3398</v>
      </c>
    </row>
    <row r="2371" spans="1:1" x14ac:dyDescent="0.25">
      <c r="A2371" t="s">
        <v>3563</v>
      </c>
    </row>
    <row r="2372" spans="1:1" x14ac:dyDescent="0.25">
      <c r="A2372" t="s">
        <v>4021</v>
      </c>
    </row>
    <row r="2373" spans="1:1" x14ac:dyDescent="0.25">
      <c r="A2373" t="s">
        <v>3401</v>
      </c>
    </row>
    <row r="2374" spans="1:1" x14ac:dyDescent="0.25">
      <c r="A2374" t="s">
        <v>3402</v>
      </c>
    </row>
    <row r="2376" spans="1:1" x14ac:dyDescent="0.25">
      <c r="A2376" t="s">
        <v>3392</v>
      </c>
    </row>
    <row r="2377" spans="1:1" x14ac:dyDescent="0.25">
      <c r="A2377" t="s">
        <v>3393</v>
      </c>
    </row>
    <row r="2378" spans="1:1" x14ac:dyDescent="0.25">
      <c r="A2378" t="s">
        <v>4022</v>
      </c>
    </row>
    <row r="2379" spans="1:1" x14ac:dyDescent="0.25">
      <c r="A2379" t="s">
        <v>4023</v>
      </c>
    </row>
    <row r="2380" spans="1:1" x14ac:dyDescent="0.25">
      <c r="A2380" t="s">
        <v>3971</v>
      </c>
    </row>
    <row r="2381" spans="1:1" x14ac:dyDescent="0.25">
      <c r="A2381" t="s">
        <v>3397</v>
      </c>
    </row>
    <row r="2382" spans="1:1" x14ac:dyDescent="0.25">
      <c r="A2382" t="s">
        <v>3398</v>
      </c>
    </row>
    <row r="2383" spans="1:1" x14ac:dyDescent="0.25">
      <c r="A2383" t="s">
        <v>3611</v>
      </c>
    </row>
    <row r="2384" spans="1:1" x14ac:dyDescent="0.25">
      <c r="A2384" t="s">
        <v>4024</v>
      </c>
    </row>
    <row r="2385" spans="1:1" x14ac:dyDescent="0.25">
      <c r="A2385" t="s">
        <v>3401</v>
      </c>
    </row>
    <row r="2386" spans="1:1" x14ac:dyDescent="0.25">
      <c r="A2386" t="s">
        <v>3402</v>
      </c>
    </row>
    <row r="2388" spans="1:1" x14ac:dyDescent="0.25">
      <c r="A2388" t="s">
        <v>3184</v>
      </c>
    </row>
    <row r="2389" spans="1:1" x14ac:dyDescent="0.25">
      <c r="A2389" t="s">
        <v>3185</v>
      </c>
    </row>
    <row r="2390" spans="1:1" x14ac:dyDescent="0.25">
      <c r="A2390" t="s">
        <v>4025</v>
      </c>
    </row>
    <row r="2391" spans="1:1" x14ac:dyDescent="0.25">
      <c r="A2391" t="s">
        <v>4026</v>
      </c>
    </row>
    <row r="2392" spans="1:1" x14ac:dyDescent="0.25">
      <c r="A2392" t="s">
        <v>4027</v>
      </c>
    </row>
    <row r="2393" spans="1:1" x14ac:dyDescent="0.25">
      <c r="A2393" t="s">
        <v>3214</v>
      </c>
    </row>
    <row r="2394" spans="1:1" x14ac:dyDescent="0.25">
      <c r="A2394" t="s">
        <v>3190</v>
      </c>
    </row>
    <row r="2395" spans="1:1" x14ac:dyDescent="0.25">
      <c r="A2395" t="s">
        <v>3215</v>
      </c>
    </row>
    <row r="2396" spans="1:1" x14ac:dyDescent="0.25">
      <c r="A2396" t="s">
        <v>4028</v>
      </c>
    </row>
    <row r="2397" spans="1:1" x14ac:dyDescent="0.25">
      <c r="A2397" t="s">
        <v>3193</v>
      </c>
    </row>
    <row r="2398" spans="1:1" x14ac:dyDescent="0.25">
      <c r="A2398" t="s">
        <v>3194</v>
      </c>
    </row>
    <row r="2400" spans="1:1" x14ac:dyDescent="0.25">
      <c r="A2400" t="s">
        <v>3184</v>
      </c>
    </row>
    <row r="2401" spans="1:1" x14ac:dyDescent="0.25">
      <c r="A2401" t="s">
        <v>3185</v>
      </c>
    </row>
    <row r="2402" spans="1:1" x14ac:dyDescent="0.25">
      <c r="A2402" t="s">
        <v>4029</v>
      </c>
    </row>
    <row r="2403" spans="1:1" x14ac:dyDescent="0.25">
      <c r="A2403" t="s">
        <v>4030</v>
      </c>
    </row>
    <row r="2404" spans="1:1" x14ac:dyDescent="0.25">
      <c r="A2404" t="s">
        <v>3270</v>
      </c>
    </row>
    <row r="2405" spans="1:1" x14ac:dyDescent="0.25">
      <c r="A2405" t="s">
        <v>3214</v>
      </c>
    </row>
    <row r="2406" spans="1:1" x14ac:dyDescent="0.25">
      <c r="A2406" t="s">
        <v>3190</v>
      </c>
    </row>
    <row r="2407" spans="1:1" x14ac:dyDescent="0.25">
      <c r="A2407" t="s">
        <v>3215</v>
      </c>
    </row>
    <row r="2408" spans="1:1" x14ac:dyDescent="0.25">
      <c r="A2408" t="s">
        <v>4031</v>
      </c>
    </row>
    <row r="2409" spans="1:1" x14ac:dyDescent="0.25">
      <c r="A2409" t="s">
        <v>3193</v>
      </c>
    </row>
    <row r="2410" spans="1:1" x14ac:dyDescent="0.25">
      <c r="A2410" t="s">
        <v>3194</v>
      </c>
    </row>
    <row r="2412" spans="1:1" x14ac:dyDescent="0.25">
      <c r="A2412" t="s">
        <v>3392</v>
      </c>
    </row>
    <row r="2413" spans="1:1" x14ac:dyDescent="0.25">
      <c r="A2413" t="s">
        <v>3393</v>
      </c>
    </row>
    <row r="2414" spans="1:1" x14ac:dyDescent="0.25">
      <c r="A2414" t="s">
        <v>4032</v>
      </c>
    </row>
    <row r="2415" spans="1:1" x14ac:dyDescent="0.25">
      <c r="A2415" t="s">
        <v>4033</v>
      </c>
    </row>
    <row r="2416" spans="1:1" x14ac:dyDescent="0.25">
      <c r="A2416" t="s">
        <v>3597</v>
      </c>
    </row>
    <row r="2417" spans="1:1" x14ac:dyDescent="0.25">
      <c r="A2417" t="s">
        <v>3397</v>
      </c>
    </row>
    <row r="2418" spans="1:1" x14ac:dyDescent="0.25">
      <c r="A2418" t="s">
        <v>3398</v>
      </c>
    </row>
    <row r="2419" spans="1:1" x14ac:dyDescent="0.25">
      <c r="A2419" t="s">
        <v>3399</v>
      </c>
    </row>
    <row r="2420" spans="1:1" x14ac:dyDescent="0.25">
      <c r="A2420" t="s">
        <v>4034</v>
      </c>
    </row>
    <row r="2421" spans="1:1" x14ac:dyDescent="0.25">
      <c r="A2421" t="s">
        <v>3401</v>
      </c>
    </row>
    <row r="2422" spans="1:1" x14ac:dyDescent="0.25">
      <c r="A2422" t="s">
        <v>3402</v>
      </c>
    </row>
    <row r="2424" spans="1:1" x14ac:dyDescent="0.25">
      <c r="A2424" t="s">
        <v>3392</v>
      </c>
    </row>
    <row r="2425" spans="1:1" x14ac:dyDescent="0.25">
      <c r="A2425" t="s">
        <v>3393</v>
      </c>
    </row>
    <row r="2426" spans="1:1" x14ac:dyDescent="0.25">
      <c r="A2426" t="s">
        <v>4035</v>
      </c>
    </row>
    <row r="2427" spans="1:1" x14ac:dyDescent="0.25">
      <c r="A2427" t="s">
        <v>4036</v>
      </c>
    </row>
    <row r="2428" spans="1:1" x14ac:dyDescent="0.25">
      <c r="A2428" t="s">
        <v>3920</v>
      </c>
    </row>
    <row r="2429" spans="1:1" x14ac:dyDescent="0.25">
      <c r="A2429" t="s">
        <v>3397</v>
      </c>
    </row>
    <row r="2430" spans="1:1" x14ac:dyDescent="0.25">
      <c r="A2430" t="s">
        <v>3398</v>
      </c>
    </row>
    <row r="2431" spans="1:1" x14ac:dyDescent="0.25">
      <c r="A2431" t="s">
        <v>3563</v>
      </c>
    </row>
    <row r="2432" spans="1:1" x14ac:dyDescent="0.25">
      <c r="A2432" t="s">
        <v>4037</v>
      </c>
    </row>
    <row r="2433" spans="1:1" x14ac:dyDescent="0.25">
      <c r="A2433" t="s">
        <v>3401</v>
      </c>
    </row>
    <row r="2434" spans="1:1" x14ac:dyDescent="0.25">
      <c r="A2434" t="s">
        <v>3402</v>
      </c>
    </row>
    <row r="2436" spans="1:1" x14ac:dyDescent="0.25">
      <c r="A2436" t="s">
        <v>3392</v>
      </c>
    </row>
    <row r="2437" spans="1:1" x14ac:dyDescent="0.25">
      <c r="A2437" t="s">
        <v>3393</v>
      </c>
    </row>
    <row r="2438" spans="1:1" x14ac:dyDescent="0.25">
      <c r="A2438" t="s">
        <v>4038</v>
      </c>
    </row>
    <row r="2439" spans="1:1" x14ac:dyDescent="0.25">
      <c r="A2439" t="s">
        <v>4036</v>
      </c>
    </row>
    <row r="2440" spans="1:1" x14ac:dyDescent="0.25">
      <c r="A2440" t="s">
        <v>3920</v>
      </c>
    </row>
    <row r="2441" spans="1:1" x14ac:dyDescent="0.25">
      <c r="A2441" t="s">
        <v>3397</v>
      </c>
    </row>
    <row r="2442" spans="1:1" x14ac:dyDescent="0.25">
      <c r="A2442" t="s">
        <v>3398</v>
      </c>
    </row>
    <row r="2443" spans="1:1" x14ac:dyDescent="0.25">
      <c r="A2443" t="s">
        <v>3563</v>
      </c>
    </row>
    <row r="2444" spans="1:1" x14ac:dyDescent="0.25">
      <c r="A2444" t="s">
        <v>4039</v>
      </c>
    </row>
    <row r="2445" spans="1:1" x14ac:dyDescent="0.25">
      <c r="A2445" t="s">
        <v>3401</v>
      </c>
    </row>
    <row r="2446" spans="1:1" x14ac:dyDescent="0.25">
      <c r="A2446" t="s">
        <v>3402</v>
      </c>
    </row>
    <row r="2448" spans="1:1" x14ac:dyDescent="0.25">
      <c r="A2448" t="s">
        <v>3392</v>
      </c>
    </row>
    <row r="2449" spans="1:1" x14ac:dyDescent="0.25">
      <c r="A2449" t="s">
        <v>3393</v>
      </c>
    </row>
    <row r="2450" spans="1:1" x14ac:dyDescent="0.25">
      <c r="A2450" t="s">
        <v>4040</v>
      </c>
    </row>
    <row r="2451" spans="1:1" x14ac:dyDescent="0.25">
      <c r="A2451" t="s">
        <v>4041</v>
      </c>
    </row>
    <row r="2452" spans="1:1" x14ac:dyDescent="0.25">
      <c r="A2452" t="s">
        <v>3920</v>
      </c>
    </row>
    <row r="2453" spans="1:1" x14ac:dyDescent="0.25">
      <c r="A2453" t="s">
        <v>3397</v>
      </c>
    </row>
    <row r="2454" spans="1:1" x14ac:dyDescent="0.25">
      <c r="A2454" t="s">
        <v>3398</v>
      </c>
    </row>
    <row r="2455" spans="1:1" x14ac:dyDescent="0.25">
      <c r="A2455" t="s">
        <v>4042</v>
      </c>
    </row>
    <row r="2456" spans="1:1" x14ac:dyDescent="0.25">
      <c r="A2456" t="s">
        <v>4043</v>
      </c>
    </row>
    <row r="2457" spans="1:1" x14ac:dyDescent="0.25">
      <c r="A2457" t="s">
        <v>3401</v>
      </c>
    </row>
    <row r="2458" spans="1:1" x14ac:dyDescent="0.25">
      <c r="A2458" t="s">
        <v>3402</v>
      </c>
    </row>
    <row r="2460" spans="1:1" x14ac:dyDescent="0.25">
      <c r="A2460" t="s">
        <v>3392</v>
      </c>
    </row>
    <row r="2461" spans="1:1" x14ac:dyDescent="0.25">
      <c r="A2461" t="s">
        <v>3393</v>
      </c>
    </row>
    <row r="2462" spans="1:1" x14ac:dyDescent="0.25">
      <c r="A2462" t="s">
        <v>4044</v>
      </c>
    </row>
    <row r="2463" spans="1:1" x14ac:dyDescent="0.25">
      <c r="A2463" t="s">
        <v>4041</v>
      </c>
    </row>
    <row r="2464" spans="1:1" x14ac:dyDescent="0.25">
      <c r="A2464" t="s">
        <v>3996</v>
      </c>
    </row>
    <row r="2465" spans="1:1" x14ac:dyDescent="0.25">
      <c r="A2465" t="s">
        <v>3397</v>
      </c>
    </row>
    <row r="2466" spans="1:1" x14ac:dyDescent="0.25">
      <c r="A2466" t="s">
        <v>3398</v>
      </c>
    </row>
    <row r="2467" spans="1:1" x14ac:dyDescent="0.25">
      <c r="A2467" t="s">
        <v>3530</v>
      </c>
    </row>
    <row r="2468" spans="1:1" x14ac:dyDescent="0.25">
      <c r="A2468" t="s">
        <v>4045</v>
      </c>
    </row>
    <row r="2469" spans="1:1" x14ac:dyDescent="0.25">
      <c r="A2469" t="s">
        <v>3401</v>
      </c>
    </row>
    <row r="2470" spans="1:1" x14ac:dyDescent="0.25">
      <c r="A2470" t="s">
        <v>3402</v>
      </c>
    </row>
    <row r="2472" spans="1:1" x14ac:dyDescent="0.25">
      <c r="A2472" t="s">
        <v>3392</v>
      </c>
    </row>
    <row r="2473" spans="1:1" x14ac:dyDescent="0.25">
      <c r="A2473" t="s">
        <v>3393</v>
      </c>
    </row>
    <row r="2474" spans="1:1" x14ac:dyDescent="0.25">
      <c r="A2474" t="s">
        <v>4046</v>
      </c>
    </row>
    <row r="2475" spans="1:1" x14ac:dyDescent="0.25">
      <c r="A2475" t="s">
        <v>4047</v>
      </c>
    </row>
    <row r="2476" spans="1:1" x14ac:dyDescent="0.25">
      <c r="A2476" t="s">
        <v>3920</v>
      </c>
    </row>
    <row r="2477" spans="1:1" x14ac:dyDescent="0.25">
      <c r="A2477" t="s">
        <v>3397</v>
      </c>
    </row>
    <row r="2478" spans="1:1" x14ac:dyDescent="0.25">
      <c r="A2478" t="s">
        <v>3398</v>
      </c>
    </row>
    <row r="2479" spans="1:1" x14ac:dyDescent="0.25">
      <c r="A2479" t="s">
        <v>3563</v>
      </c>
    </row>
    <row r="2480" spans="1:1" x14ac:dyDescent="0.25">
      <c r="A2480" t="s">
        <v>4048</v>
      </c>
    </row>
    <row r="2481" spans="1:1" x14ac:dyDescent="0.25">
      <c r="A2481" t="s">
        <v>3401</v>
      </c>
    </row>
    <row r="2482" spans="1:1" x14ac:dyDescent="0.25">
      <c r="A2482" t="s">
        <v>3402</v>
      </c>
    </row>
    <row r="2484" spans="1:1" x14ac:dyDescent="0.25">
      <c r="A2484" t="s">
        <v>3392</v>
      </c>
    </row>
    <row r="2485" spans="1:1" x14ac:dyDescent="0.25">
      <c r="A2485" t="s">
        <v>3393</v>
      </c>
    </row>
    <row r="2486" spans="1:1" x14ac:dyDescent="0.25">
      <c r="A2486" t="s">
        <v>4049</v>
      </c>
    </row>
    <row r="2487" spans="1:1" x14ac:dyDescent="0.25">
      <c r="A2487" t="s">
        <v>4050</v>
      </c>
    </row>
    <row r="2488" spans="1:1" x14ac:dyDescent="0.25">
      <c r="A2488" t="s">
        <v>3534</v>
      </c>
    </row>
    <row r="2489" spans="1:1" x14ac:dyDescent="0.25">
      <c r="A2489" t="s">
        <v>3397</v>
      </c>
    </row>
    <row r="2490" spans="1:1" x14ac:dyDescent="0.25">
      <c r="A2490" t="s">
        <v>3398</v>
      </c>
    </row>
    <row r="2491" spans="1:1" x14ac:dyDescent="0.25">
      <c r="A2491" t="s">
        <v>3399</v>
      </c>
    </row>
    <row r="2492" spans="1:1" x14ac:dyDescent="0.25">
      <c r="A2492" t="s">
        <v>4051</v>
      </c>
    </row>
    <row r="2493" spans="1:1" x14ac:dyDescent="0.25">
      <c r="A2493" t="s">
        <v>3401</v>
      </c>
    </row>
    <row r="2494" spans="1:1" x14ac:dyDescent="0.25">
      <c r="A2494" t="s">
        <v>3402</v>
      </c>
    </row>
    <row r="2496" spans="1:1" x14ac:dyDescent="0.25">
      <c r="A2496" t="s">
        <v>3392</v>
      </c>
    </row>
    <row r="2497" spans="1:1" x14ac:dyDescent="0.25">
      <c r="A2497" t="s">
        <v>3393</v>
      </c>
    </row>
    <row r="2498" spans="1:1" x14ac:dyDescent="0.25">
      <c r="A2498" t="s">
        <v>4052</v>
      </c>
    </row>
    <row r="2499" spans="1:1" x14ac:dyDescent="0.25">
      <c r="A2499" t="s">
        <v>4053</v>
      </c>
    </row>
    <row r="2500" spans="1:1" x14ac:dyDescent="0.25">
      <c r="A2500" t="s">
        <v>3597</v>
      </c>
    </row>
    <row r="2501" spans="1:1" x14ac:dyDescent="0.25">
      <c r="A2501" t="s">
        <v>3397</v>
      </c>
    </row>
    <row r="2502" spans="1:1" x14ac:dyDescent="0.25">
      <c r="A2502" t="s">
        <v>3398</v>
      </c>
    </row>
    <row r="2503" spans="1:1" x14ac:dyDescent="0.25">
      <c r="A2503" t="s">
        <v>3399</v>
      </c>
    </row>
    <row r="2504" spans="1:1" x14ac:dyDescent="0.25">
      <c r="A2504" t="s">
        <v>4054</v>
      </c>
    </row>
    <row r="2505" spans="1:1" x14ac:dyDescent="0.25">
      <c r="A2505" t="s">
        <v>3401</v>
      </c>
    </row>
    <row r="2506" spans="1:1" x14ac:dyDescent="0.25">
      <c r="A2506" t="s">
        <v>3402</v>
      </c>
    </row>
    <row r="2508" spans="1:1" x14ac:dyDescent="0.25">
      <c r="A2508" t="s">
        <v>3392</v>
      </c>
    </row>
    <row r="2509" spans="1:1" x14ac:dyDescent="0.25">
      <c r="A2509" t="s">
        <v>3393</v>
      </c>
    </row>
    <row r="2510" spans="1:1" x14ac:dyDescent="0.25">
      <c r="A2510" t="s">
        <v>4055</v>
      </c>
    </row>
    <row r="2511" spans="1:1" x14ac:dyDescent="0.25">
      <c r="A2511" t="s">
        <v>4056</v>
      </c>
    </row>
    <row r="2512" spans="1:1" x14ac:dyDescent="0.25">
      <c r="A2512" t="s">
        <v>3597</v>
      </c>
    </row>
    <row r="2513" spans="1:1" x14ac:dyDescent="0.25">
      <c r="A2513" t="s">
        <v>3397</v>
      </c>
    </row>
    <row r="2514" spans="1:1" x14ac:dyDescent="0.25">
      <c r="A2514" t="s">
        <v>3398</v>
      </c>
    </row>
    <row r="2515" spans="1:1" x14ac:dyDescent="0.25">
      <c r="A2515" t="s">
        <v>4057</v>
      </c>
    </row>
    <row r="2516" spans="1:1" x14ac:dyDescent="0.25">
      <c r="A2516" t="s">
        <v>4058</v>
      </c>
    </row>
    <row r="2517" spans="1:1" x14ac:dyDescent="0.25">
      <c r="A2517" t="s">
        <v>3401</v>
      </c>
    </row>
    <row r="2518" spans="1:1" x14ac:dyDescent="0.25">
      <c r="A2518" t="s">
        <v>3402</v>
      </c>
    </row>
    <row r="2520" spans="1:1" x14ac:dyDescent="0.25">
      <c r="A2520" t="s">
        <v>3392</v>
      </c>
    </row>
    <row r="2521" spans="1:1" x14ac:dyDescent="0.25">
      <c r="A2521" t="s">
        <v>3393</v>
      </c>
    </row>
    <row r="2522" spans="1:1" x14ac:dyDescent="0.25">
      <c r="A2522" t="s">
        <v>4059</v>
      </c>
    </row>
    <row r="2523" spans="1:1" x14ac:dyDescent="0.25">
      <c r="A2523" t="s">
        <v>4060</v>
      </c>
    </row>
    <row r="2524" spans="1:1" x14ac:dyDescent="0.25">
      <c r="A2524" t="s">
        <v>3971</v>
      </c>
    </row>
    <row r="2525" spans="1:1" x14ac:dyDescent="0.25">
      <c r="A2525" t="s">
        <v>3397</v>
      </c>
    </row>
    <row r="2526" spans="1:1" x14ac:dyDescent="0.25">
      <c r="A2526" t="s">
        <v>3398</v>
      </c>
    </row>
    <row r="2527" spans="1:1" x14ac:dyDescent="0.25">
      <c r="A2527" t="s">
        <v>3563</v>
      </c>
    </row>
    <row r="2528" spans="1:1" x14ac:dyDescent="0.25">
      <c r="A2528" t="s">
        <v>4061</v>
      </c>
    </row>
    <row r="2529" spans="1:1" x14ac:dyDescent="0.25">
      <c r="A2529" t="s">
        <v>3401</v>
      </c>
    </row>
    <row r="2530" spans="1:1" x14ac:dyDescent="0.25">
      <c r="A2530" t="s">
        <v>3402</v>
      </c>
    </row>
    <row r="2532" spans="1:1" x14ac:dyDescent="0.25">
      <c r="A2532" t="s">
        <v>3392</v>
      </c>
    </row>
    <row r="2533" spans="1:1" x14ac:dyDescent="0.25">
      <c r="A2533" t="s">
        <v>3393</v>
      </c>
    </row>
    <row r="2534" spans="1:1" x14ac:dyDescent="0.25">
      <c r="A2534" t="s">
        <v>4062</v>
      </c>
    </row>
    <row r="2535" spans="1:1" x14ac:dyDescent="0.25">
      <c r="A2535" t="s">
        <v>4063</v>
      </c>
    </row>
    <row r="2536" spans="1:1" x14ac:dyDescent="0.25">
      <c r="A2536" t="s">
        <v>3971</v>
      </c>
    </row>
    <row r="2537" spans="1:1" x14ac:dyDescent="0.25">
      <c r="A2537" t="s">
        <v>3397</v>
      </c>
    </row>
    <row r="2538" spans="1:1" x14ac:dyDescent="0.25">
      <c r="A2538" t="s">
        <v>3398</v>
      </c>
    </row>
    <row r="2539" spans="1:1" x14ac:dyDescent="0.25">
      <c r="A2539" t="s">
        <v>3563</v>
      </c>
    </row>
    <row r="2540" spans="1:1" x14ac:dyDescent="0.25">
      <c r="A2540" t="s">
        <v>4064</v>
      </c>
    </row>
    <row r="2541" spans="1:1" x14ac:dyDescent="0.25">
      <c r="A2541" t="s">
        <v>3401</v>
      </c>
    </row>
    <row r="2542" spans="1:1" x14ac:dyDescent="0.25">
      <c r="A2542" t="s">
        <v>3402</v>
      </c>
    </row>
    <row r="2544" spans="1:1" x14ac:dyDescent="0.25">
      <c r="A2544" t="s">
        <v>3392</v>
      </c>
    </row>
    <row r="2545" spans="1:1" x14ac:dyDescent="0.25">
      <c r="A2545" t="s">
        <v>3393</v>
      </c>
    </row>
    <row r="2546" spans="1:1" x14ac:dyDescent="0.25">
      <c r="A2546" t="s">
        <v>4065</v>
      </c>
    </row>
    <row r="2547" spans="1:1" x14ac:dyDescent="0.25">
      <c r="A2547" t="s">
        <v>4066</v>
      </c>
    </row>
    <row r="2548" spans="1:1" x14ac:dyDescent="0.25">
      <c r="A2548" t="s">
        <v>3971</v>
      </c>
    </row>
    <row r="2549" spans="1:1" x14ac:dyDescent="0.25">
      <c r="A2549" t="s">
        <v>3397</v>
      </c>
    </row>
    <row r="2550" spans="1:1" x14ac:dyDescent="0.25">
      <c r="A2550" t="s">
        <v>3398</v>
      </c>
    </row>
    <row r="2551" spans="1:1" x14ac:dyDescent="0.25">
      <c r="A2551" t="s">
        <v>3563</v>
      </c>
    </row>
    <row r="2552" spans="1:1" x14ac:dyDescent="0.25">
      <c r="A2552" t="s">
        <v>4067</v>
      </c>
    </row>
    <row r="2553" spans="1:1" x14ac:dyDescent="0.25">
      <c r="A2553" t="s">
        <v>3401</v>
      </c>
    </row>
    <row r="2554" spans="1:1" x14ac:dyDescent="0.25">
      <c r="A2554" t="s">
        <v>3402</v>
      </c>
    </row>
    <row r="2556" spans="1:1" x14ac:dyDescent="0.25">
      <c r="A2556" t="s">
        <v>3392</v>
      </c>
    </row>
    <row r="2557" spans="1:1" x14ac:dyDescent="0.25">
      <c r="A2557" t="s">
        <v>3393</v>
      </c>
    </row>
    <row r="2558" spans="1:1" x14ac:dyDescent="0.25">
      <c r="A2558" t="s">
        <v>4068</v>
      </c>
    </row>
    <row r="2559" spans="1:1" x14ac:dyDescent="0.25">
      <c r="A2559" t="s">
        <v>4069</v>
      </c>
    </row>
    <row r="2560" spans="1:1" x14ac:dyDescent="0.25">
      <c r="A2560" t="s">
        <v>3971</v>
      </c>
    </row>
    <row r="2561" spans="1:1" x14ac:dyDescent="0.25">
      <c r="A2561" t="s">
        <v>3397</v>
      </c>
    </row>
    <row r="2562" spans="1:1" x14ac:dyDescent="0.25">
      <c r="A2562" t="s">
        <v>3398</v>
      </c>
    </row>
    <row r="2563" spans="1:1" x14ac:dyDescent="0.25">
      <c r="A2563" t="s">
        <v>3563</v>
      </c>
    </row>
    <row r="2564" spans="1:1" x14ac:dyDescent="0.25">
      <c r="A2564" t="s">
        <v>4070</v>
      </c>
    </row>
    <row r="2565" spans="1:1" x14ac:dyDescent="0.25">
      <c r="A2565" t="s">
        <v>3401</v>
      </c>
    </row>
    <row r="2566" spans="1:1" x14ac:dyDescent="0.25">
      <c r="A2566" t="s">
        <v>3402</v>
      </c>
    </row>
    <row r="2568" spans="1:1" x14ac:dyDescent="0.25">
      <c r="A2568" t="s">
        <v>3392</v>
      </c>
    </row>
    <row r="2569" spans="1:1" x14ac:dyDescent="0.25">
      <c r="A2569" t="s">
        <v>3393</v>
      </c>
    </row>
    <row r="2570" spans="1:1" x14ac:dyDescent="0.25">
      <c r="A2570" t="s">
        <v>4071</v>
      </c>
    </row>
    <row r="2571" spans="1:1" x14ac:dyDescent="0.25">
      <c r="A2571" t="s">
        <v>4072</v>
      </c>
    </row>
    <row r="2572" spans="1:1" x14ac:dyDescent="0.25">
      <c r="A2572" t="s">
        <v>3545</v>
      </c>
    </row>
    <row r="2573" spans="1:1" x14ac:dyDescent="0.25">
      <c r="A2573" t="s">
        <v>3397</v>
      </c>
    </row>
    <row r="2574" spans="1:1" x14ac:dyDescent="0.25">
      <c r="A2574" t="s">
        <v>3398</v>
      </c>
    </row>
    <row r="2575" spans="1:1" x14ac:dyDescent="0.25">
      <c r="A2575" t="s">
        <v>3563</v>
      </c>
    </row>
    <row r="2576" spans="1:1" x14ac:dyDescent="0.25">
      <c r="A2576" t="s">
        <v>4073</v>
      </c>
    </row>
    <row r="2577" spans="1:1" x14ac:dyDescent="0.25">
      <c r="A2577" t="s">
        <v>3401</v>
      </c>
    </row>
    <row r="2578" spans="1:1" x14ac:dyDescent="0.25">
      <c r="A2578" t="s">
        <v>3402</v>
      </c>
    </row>
    <row r="2580" spans="1:1" x14ac:dyDescent="0.25">
      <c r="A2580" t="s">
        <v>3392</v>
      </c>
    </row>
    <row r="2581" spans="1:1" x14ac:dyDescent="0.25">
      <c r="A2581" t="s">
        <v>3947</v>
      </c>
    </row>
    <row r="2582" spans="1:1" x14ac:dyDescent="0.25">
      <c r="A2582" t="s">
        <v>4074</v>
      </c>
    </row>
    <row r="2583" spans="1:1" x14ac:dyDescent="0.25">
      <c r="A2583" t="s">
        <v>4075</v>
      </c>
    </row>
    <row r="2584" spans="1:1" x14ac:dyDescent="0.25">
      <c r="A2584" t="s">
        <v>3971</v>
      </c>
    </row>
    <row r="2585" spans="1:1" x14ac:dyDescent="0.25">
      <c r="A2585" t="s">
        <v>3397</v>
      </c>
    </row>
    <row r="2586" spans="1:1" x14ac:dyDescent="0.25">
      <c r="A2586" t="s">
        <v>3398</v>
      </c>
    </row>
    <row r="2587" spans="1:1" x14ac:dyDescent="0.25">
      <c r="A2587" t="s">
        <v>4076</v>
      </c>
    </row>
    <row r="2588" spans="1:1" x14ac:dyDescent="0.25">
      <c r="A2588" t="s">
        <v>3950</v>
      </c>
    </row>
    <row r="2589" spans="1:1" x14ac:dyDescent="0.25">
      <c r="A2589" t="s">
        <v>4077</v>
      </c>
    </row>
    <row r="2590" spans="1:1" x14ac:dyDescent="0.25">
      <c r="A2590" t="s">
        <v>3402</v>
      </c>
    </row>
    <row r="2592" spans="1:1" x14ac:dyDescent="0.25">
      <c r="A2592" t="s">
        <v>3392</v>
      </c>
    </row>
    <row r="2593" spans="1:1" x14ac:dyDescent="0.25">
      <c r="A2593" t="s">
        <v>3393</v>
      </c>
    </row>
    <row r="2594" spans="1:1" x14ac:dyDescent="0.25">
      <c r="A2594" t="s">
        <v>4078</v>
      </c>
    </row>
    <row r="2595" spans="1:1" x14ac:dyDescent="0.25">
      <c r="A2595" t="s">
        <v>4079</v>
      </c>
    </row>
    <row r="2596" spans="1:1" x14ac:dyDescent="0.25">
      <c r="A2596" t="s">
        <v>3607</v>
      </c>
    </row>
    <row r="2597" spans="1:1" x14ac:dyDescent="0.25">
      <c r="A2597" t="s">
        <v>3397</v>
      </c>
    </row>
    <row r="2598" spans="1:1" x14ac:dyDescent="0.25">
      <c r="A2598" t="s">
        <v>3398</v>
      </c>
    </row>
    <row r="2599" spans="1:1" x14ac:dyDescent="0.25">
      <c r="A2599" t="s">
        <v>3399</v>
      </c>
    </row>
    <row r="2600" spans="1:1" x14ac:dyDescent="0.25">
      <c r="A2600" t="s">
        <v>4080</v>
      </c>
    </row>
    <row r="2601" spans="1:1" x14ac:dyDescent="0.25">
      <c r="A2601" t="s">
        <v>3401</v>
      </c>
    </row>
    <row r="2602" spans="1:1" x14ac:dyDescent="0.25">
      <c r="A2602" t="s">
        <v>3402</v>
      </c>
    </row>
    <row r="2604" spans="1:1" x14ac:dyDescent="0.25">
      <c r="A2604" t="s">
        <v>3392</v>
      </c>
    </row>
    <row r="2605" spans="1:1" x14ac:dyDescent="0.25">
      <c r="A2605" t="s">
        <v>3393</v>
      </c>
    </row>
    <row r="2606" spans="1:1" x14ac:dyDescent="0.25">
      <c r="A2606" t="s">
        <v>4081</v>
      </c>
    </row>
    <row r="2607" spans="1:1" x14ac:dyDescent="0.25">
      <c r="A2607" t="s">
        <v>4082</v>
      </c>
    </row>
    <row r="2608" spans="1:1" x14ac:dyDescent="0.25">
      <c r="A2608" t="s">
        <v>3545</v>
      </c>
    </row>
    <row r="2609" spans="1:1" x14ac:dyDescent="0.25">
      <c r="A2609" t="s">
        <v>3397</v>
      </c>
    </row>
    <row r="2610" spans="1:1" x14ac:dyDescent="0.25">
      <c r="A2610" t="s">
        <v>3398</v>
      </c>
    </row>
    <row r="2611" spans="1:1" x14ac:dyDescent="0.25">
      <c r="A2611" t="s">
        <v>3399</v>
      </c>
    </row>
    <row r="2612" spans="1:1" x14ac:dyDescent="0.25">
      <c r="A2612" t="s">
        <v>4083</v>
      </c>
    </row>
    <row r="2613" spans="1:1" x14ac:dyDescent="0.25">
      <c r="A2613" t="s">
        <v>3401</v>
      </c>
    </row>
    <row r="2614" spans="1:1" x14ac:dyDescent="0.25">
      <c r="A2614" t="s">
        <v>3402</v>
      </c>
    </row>
    <row r="2616" spans="1:1" x14ac:dyDescent="0.25">
      <c r="A2616" t="s">
        <v>3392</v>
      </c>
    </row>
    <row r="2617" spans="1:1" x14ac:dyDescent="0.25">
      <c r="A2617" t="s">
        <v>3393</v>
      </c>
    </row>
    <row r="2618" spans="1:1" x14ac:dyDescent="0.25">
      <c r="A2618" t="s">
        <v>4084</v>
      </c>
    </row>
    <row r="2619" spans="1:1" x14ac:dyDescent="0.25">
      <c r="A2619" t="s">
        <v>4085</v>
      </c>
    </row>
    <row r="2620" spans="1:1" x14ac:dyDescent="0.25">
      <c r="A2620" t="s">
        <v>4086</v>
      </c>
    </row>
    <row r="2621" spans="1:1" x14ac:dyDescent="0.25">
      <c r="A2621" t="s">
        <v>3397</v>
      </c>
    </row>
    <row r="2622" spans="1:1" x14ac:dyDescent="0.25">
      <c r="A2622" t="s">
        <v>3398</v>
      </c>
    </row>
    <row r="2623" spans="1:1" x14ac:dyDescent="0.25">
      <c r="A2623" t="s">
        <v>3515</v>
      </c>
    </row>
    <row r="2624" spans="1:1" x14ac:dyDescent="0.25">
      <c r="A2624" t="s">
        <v>4087</v>
      </c>
    </row>
    <row r="2625" spans="1:1" x14ac:dyDescent="0.25">
      <c r="A2625" t="s">
        <v>3401</v>
      </c>
    </row>
    <row r="2626" spans="1:1" x14ac:dyDescent="0.25">
      <c r="A2626" t="s">
        <v>3402</v>
      </c>
    </row>
    <row r="2628" spans="1:1" x14ac:dyDescent="0.25">
      <c r="A2628" t="s">
        <v>3392</v>
      </c>
    </row>
    <row r="2629" spans="1:1" x14ac:dyDescent="0.25">
      <c r="A2629" t="s">
        <v>3393</v>
      </c>
    </row>
    <row r="2630" spans="1:1" x14ac:dyDescent="0.25">
      <c r="A2630" t="s">
        <v>4088</v>
      </c>
    </row>
    <row r="2631" spans="1:1" x14ac:dyDescent="0.25">
      <c r="A2631" t="s">
        <v>4089</v>
      </c>
    </row>
    <row r="2632" spans="1:1" x14ac:dyDescent="0.25">
      <c r="A2632" t="s">
        <v>4090</v>
      </c>
    </row>
    <row r="2633" spans="1:1" x14ac:dyDescent="0.25">
      <c r="A2633" t="s">
        <v>3397</v>
      </c>
    </row>
    <row r="2634" spans="1:1" x14ac:dyDescent="0.25">
      <c r="A2634" t="s">
        <v>3398</v>
      </c>
    </row>
    <row r="2635" spans="1:1" x14ac:dyDescent="0.25">
      <c r="A2635" t="s">
        <v>3399</v>
      </c>
    </row>
    <row r="2636" spans="1:1" x14ac:dyDescent="0.25">
      <c r="A2636" t="s">
        <v>4091</v>
      </c>
    </row>
    <row r="2637" spans="1:1" x14ac:dyDescent="0.25">
      <c r="A2637" t="s">
        <v>3401</v>
      </c>
    </row>
    <row r="2638" spans="1:1" x14ac:dyDescent="0.25">
      <c r="A2638" t="s">
        <v>3402</v>
      </c>
    </row>
    <row r="2640" spans="1:1" x14ac:dyDescent="0.25">
      <c r="A2640" t="s">
        <v>3392</v>
      </c>
    </row>
    <row r="2641" spans="1:1" x14ac:dyDescent="0.25">
      <c r="A2641" t="s">
        <v>3393</v>
      </c>
    </row>
    <row r="2642" spans="1:1" x14ac:dyDescent="0.25">
      <c r="A2642" t="s">
        <v>4092</v>
      </c>
    </row>
    <row r="2643" spans="1:1" x14ac:dyDescent="0.25">
      <c r="A2643" t="s">
        <v>4093</v>
      </c>
    </row>
    <row r="2644" spans="1:1" x14ac:dyDescent="0.25">
      <c r="A2644" t="s">
        <v>3740</v>
      </c>
    </row>
    <row r="2645" spans="1:1" x14ac:dyDescent="0.25">
      <c r="A2645" t="s">
        <v>3397</v>
      </c>
    </row>
    <row r="2646" spans="1:1" x14ac:dyDescent="0.25">
      <c r="A2646" t="s">
        <v>3398</v>
      </c>
    </row>
    <row r="2647" spans="1:1" x14ac:dyDescent="0.25">
      <c r="A2647" t="s">
        <v>3399</v>
      </c>
    </row>
    <row r="2648" spans="1:1" x14ac:dyDescent="0.25">
      <c r="A2648" t="s">
        <v>4094</v>
      </c>
    </row>
    <row r="2649" spans="1:1" x14ac:dyDescent="0.25">
      <c r="A2649" t="s">
        <v>3401</v>
      </c>
    </row>
    <row r="2650" spans="1:1" x14ac:dyDescent="0.25">
      <c r="A2650" t="s">
        <v>3402</v>
      </c>
    </row>
    <row r="2652" spans="1:1" x14ac:dyDescent="0.25">
      <c r="A2652" t="s">
        <v>3392</v>
      </c>
    </row>
    <row r="2653" spans="1:1" x14ac:dyDescent="0.25">
      <c r="A2653" t="s">
        <v>3393</v>
      </c>
    </row>
    <row r="2654" spans="1:1" x14ac:dyDescent="0.25">
      <c r="A2654" t="s">
        <v>4095</v>
      </c>
    </row>
    <row r="2655" spans="1:1" x14ac:dyDescent="0.25">
      <c r="A2655" t="s">
        <v>4096</v>
      </c>
    </row>
    <row r="2656" spans="1:1" x14ac:dyDescent="0.25">
      <c r="A2656" t="s">
        <v>3519</v>
      </c>
    </row>
    <row r="2657" spans="1:1" x14ac:dyDescent="0.25">
      <c r="A2657" t="s">
        <v>3397</v>
      </c>
    </row>
    <row r="2658" spans="1:1" x14ac:dyDescent="0.25">
      <c r="A2658" t="s">
        <v>3398</v>
      </c>
    </row>
    <row r="2659" spans="1:1" x14ac:dyDescent="0.25">
      <c r="A2659" t="s">
        <v>4097</v>
      </c>
    </row>
    <row r="2660" spans="1:1" x14ac:dyDescent="0.25">
      <c r="A2660" t="s">
        <v>4098</v>
      </c>
    </row>
    <row r="2661" spans="1:1" x14ac:dyDescent="0.25">
      <c r="A2661" t="s">
        <v>3401</v>
      </c>
    </row>
    <row r="2662" spans="1:1" x14ac:dyDescent="0.25">
      <c r="A2662" t="s">
        <v>3402</v>
      </c>
    </row>
    <row r="2664" spans="1:1" x14ac:dyDescent="0.25">
      <c r="A2664" t="s">
        <v>3392</v>
      </c>
    </row>
    <row r="2665" spans="1:1" x14ac:dyDescent="0.25">
      <c r="A2665" t="s">
        <v>3393</v>
      </c>
    </row>
    <row r="2666" spans="1:1" x14ac:dyDescent="0.25">
      <c r="A2666" t="s">
        <v>4099</v>
      </c>
    </row>
    <row r="2667" spans="1:1" x14ac:dyDescent="0.25">
      <c r="A2667" t="s">
        <v>4100</v>
      </c>
    </row>
    <row r="2668" spans="1:1" x14ac:dyDescent="0.25">
      <c r="A2668" t="s">
        <v>3519</v>
      </c>
    </row>
    <row r="2669" spans="1:1" x14ac:dyDescent="0.25">
      <c r="A2669" t="s">
        <v>3397</v>
      </c>
    </row>
    <row r="2670" spans="1:1" x14ac:dyDescent="0.25">
      <c r="A2670" t="s">
        <v>3398</v>
      </c>
    </row>
    <row r="2671" spans="1:1" x14ac:dyDescent="0.25">
      <c r="A2671" t="s">
        <v>4101</v>
      </c>
    </row>
    <row r="2672" spans="1:1" x14ac:dyDescent="0.25">
      <c r="A2672" t="s">
        <v>4102</v>
      </c>
    </row>
    <row r="2673" spans="1:1" x14ac:dyDescent="0.25">
      <c r="A2673" t="s">
        <v>3401</v>
      </c>
    </row>
    <row r="2674" spans="1:1" x14ac:dyDescent="0.25">
      <c r="A2674" t="s">
        <v>3402</v>
      </c>
    </row>
    <row r="2676" spans="1:1" x14ac:dyDescent="0.25">
      <c r="A2676" t="s">
        <v>3392</v>
      </c>
    </row>
    <row r="2677" spans="1:1" x14ac:dyDescent="0.25">
      <c r="A2677" t="s">
        <v>3393</v>
      </c>
    </row>
    <row r="2678" spans="1:1" x14ac:dyDescent="0.25">
      <c r="A2678" t="s">
        <v>4103</v>
      </c>
    </row>
    <row r="2679" spans="1:1" x14ac:dyDescent="0.25">
      <c r="A2679" t="s">
        <v>4100</v>
      </c>
    </row>
    <row r="2680" spans="1:1" x14ac:dyDescent="0.25">
      <c r="A2680" t="s">
        <v>3519</v>
      </c>
    </row>
    <row r="2681" spans="1:1" x14ac:dyDescent="0.25">
      <c r="A2681" t="s">
        <v>3397</v>
      </c>
    </row>
    <row r="2682" spans="1:1" x14ac:dyDescent="0.25">
      <c r="A2682" t="s">
        <v>3398</v>
      </c>
    </row>
    <row r="2683" spans="1:1" x14ac:dyDescent="0.25">
      <c r="A2683" t="s">
        <v>4104</v>
      </c>
    </row>
    <row r="2684" spans="1:1" x14ac:dyDescent="0.25">
      <c r="A2684" t="s">
        <v>4105</v>
      </c>
    </row>
    <row r="2685" spans="1:1" x14ac:dyDescent="0.25">
      <c r="A2685" t="s">
        <v>3401</v>
      </c>
    </row>
    <row r="2686" spans="1:1" x14ac:dyDescent="0.25">
      <c r="A2686" t="s">
        <v>3402</v>
      </c>
    </row>
    <row r="2688" spans="1:1" x14ac:dyDescent="0.25">
      <c r="A2688" t="s">
        <v>3392</v>
      </c>
    </row>
    <row r="2689" spans="1:1" x14ac:dyDescent="0.25">
      <c r="A2689" t="s">
        <v>3393</v>
      </c>
    </row>
    <row r="2690" spans="1:1" x14ac:dyDescent="0.25">
      <c r="A2690" t="s">
        <v>4106</v>
      </c>
    </row>
    <row r="2691" spans="1:1" x14ac:dyDescent="0.25">
      <c r="A2691" t="s">
        <v>4107</v>
      </c>
    </row>
    <row r="2692" spans="1:1" x14ac:dyDescent="0.25">
      <c r="A2692" t="s">
        <v>3519</v>
      </c>
    </row>
    <row r="2693" spans="1:1" x14ac:dyDescent="0.25">
      <c r="A2693" t="s">
        <v>3397</v>
      </c>
    </row>
    <row r="2694" spans="1:1" x14ac:dyDescent="0.25">
      <c r="A2694" t="s">
        <v>3398</v>
      </c>
    </row>
    <row r="2695" spans="1:1" x14ac:dyDescent="0.25">
      <c r="A2695" t="s">
        <v>4101</v>
      </c>
    </row>
    <row r="2696" spans="1:1" x14ac:dyDescent="0.25">
      <c r="A2696" t="s">
        <v>4108</v>
      </c>
    </row>
    <row r="2697" spans="1:1" x14ac:dyDescent="0.25">
      <c r="A2697" t="s">
        <v>3401</v>
      </c>
    </row>
    <row r="2698" spans="1:1" x14ac:dyDescent="0.25">
      <c r="A2698" t="s">
        <v>3402</v>
      </c>
    </row>
    <row r="2700" spans="1:1" x14ac:dyDescent="0.25">
      <c r="A2700" t="s">
        <v>3392</v>
      </c>
    </row>
    <row r="2701" spans="1:1" x14ac:dyDescent="0.25">
      <c r="A2701" t="s">
        <v>3393</v>
      </c>
    </row>
    <row r="2702" spans="1:1" x14ac:dyDescent="0.25">
      <c r="A2702" t="s">
        <v>4109</v>
      </c>
    </row>
    <row r="2703" spans="1:1" x14ac:dyDescent="0.25">
      <c r="A2703" t="s">
        <v>4110</v>
      </c>
    </row>
    <row r="2704" spans="1:1" x14ac:dyDescent="0.25">
      <c r="A2704" t="s">
        <v>3519</v>
      </c>
    </row>
    <row r="2705" spans="1:1" x14ac:dyDescent="0.25">
      <c r="A2705" t="s">
        <v>3397</v>
      </c>
    </row>
    <row r="2706" spans="1:1" x14ac:dyDescent="0.25">
      <c r="A2706" t="s">
        <v>3398</v>
      </c>
    </row>
    <row r="2707" spans="1:1" x14ac:dyDescent="0.25">
      <c r="A2707" t="s">
        <v>4111</v>
      </c>
    </row>
    <row r="2708" spans="1:1" x14ac:dyDescent="0.25">
      <c r="A2708" t="s">
        <v>4112</v>
      </c>
    </row>
    <row r="2709" spans="1:1" x14ac:dyDescent="0.25">
      <c r="A2709" t="s">
        <v>3401</v>
      </c>
    </row>
    <row r="2710" spans="1:1" x14ac:dyDescent="0.25">
      <c r="A2710" t="s">
        <v>3402</v>
      </c>
    </row>
    <row r="2712" spans="1:1" x14ac:dyDescent="0.25">
      <c r="A2712" t="s">
        <v>3392</v>
      </c>
    </row>
    <row r="2713" spans="1:1" x14ac:dyDescent="0.25">
      <c r="A2713" t="s">
        <v>3393</v>
      </c>
    </row>
    <row r="2714" spans="1:1" x14ac:dyDescent="0.25">
      <c r="A2714" t="s">
        <v>4113</v>
      </c>
    </row>
    <row r="2715" spans="1:1" x14ac:dyDescent="0.25">
      <c r="A2715" t="s">
        <v>4114</v>
      </c>
    </row>
    <row r="2716" spans="1:1" x14ac:dyDescent="0.25">
      <c r="A2716" t="s">
        <v>3597</v>
      </c>
    </row>
    <row r="2717" spans="1:1" x14ac:dyDescent="0.25">
      <c r="A2717" t="s">
        <v>3397</v>
      </c>
    </row>
    <row r="2718" spans="1:1" x14ac:dyDescent="0.25">
      <c r="A2718" t="s">
        <v>3398</v>
      </c>
    </row>
    <row r="2719" spans="1:1" x14ac:dyDescent="0.25">
      <c r="A2719" t="s">
        <v>3563</v>
      </c>
    </row>
    <row r="2720" spans="1:1" x14ac:dyDescent="0.25">
      <c r="A2720" t="s">
        <v>4115</v>
      </c>
    </row>
    <row r="2721" spans="1:1" x14ac:dyDescent="0.25">
      <c r="A2721" t="s">
        <v>3401</v>
      </c>
    </row>
    <row r="2722" spans="1:1" x14ac:dyDescent="0.25">
      <c r="A2722" t="s">
        <v>3402</v>
      </c>
    </row>
    <row r="2724" spans="1:1" x14ac:dyDescent="0.25">
      <c r="A2724" t="s">
        <v>3392</v>
      </c>
    </row>
    <row r="2725" spans="1:1" x14ac:dyDescent="0.25">
      <c r="A2725" t="s">
        <v>3393</v>
      </c>
    </row>
    <row r="2726" spans="1:1" x14ac:dyDescent="0.25">
      <c r="A2726" t="s">
        <v>4116</v>
      </c>
    </row>
    <row r="2727" spans="1:1" x14ac:dyDescent="0.25">
      <c r="A2727" t="s">
        <v>4117</v>
      </c>
    </row>
    <row r="2728" spans="1:1" x14ac:dyDescent="0.25">
      <c r="A2728" t="s">
        <v>3597</v>
      </c>
    </row>
    <row r="2729" spans="1:1" x14ac:dyDescent="0.25">
      <c r="A2729" t="s">
        <v>3397</v>
      </c>
    </row>
    <row r="2730" spans="1:1" x14ac:dyDescent="0.25">
      <c r="A2730" t="s">
        <v>3398</v>
      </c>
    </row>
    <row r="2731" spans="1:1" x14ac:dyDescent="0.25">
      <c r="A2731" t="s">
        <v>3399</v>
      </c>
    </row>
    <row r="2732" spans="1:1" x14ac:dyDescent="0.25">
      <c r="A2732" t="s">
        <v>4118</v>
      </c>
    </row>
    <row r="2733" spans="1:1" x14ac:dyDescent="0.25">
      <c r="A2733" t="s">
        <v>3401</v>
      </c>
    </row>
    <row r="2734" spans="1:1" x14ac:dyDescent="0.25">
      <c r="A2734" t="s">
        <v>3402</v>
      </c>
    </row>
    <row r="2736" spans="1:1" x14ac:dyDescent="0.25">
      <c r="A2736" t="s">
        <v>3392</v>
      </c>
    </row>
    <row r="2737" spans="1:1" x14ac:dyDescent="0.25">
      <c r="A2737" t="s">
        <v>3393</v>
      </c>
    </row>
    <row r="2738" spans="1:1" x14ac:dyDescent="0.25">
      <c r="A2738" t="s">
        <v>4119</v>
      </c>
    </row>
    <row r="2739" spans="1:1" x14ac:dyDescent="0.25">
      <c r="A2739" t="s">
        <v>4120</v>
      </c>
    </row>
    <row r="2740" spans="1:1" x14ac:dyDescent="0.25">
      <c r="A2740" t="s">
        <v>3971</v>
      </c>
    </row>
    <row r="2741" spans="1:1" x14ac:dyDescent="0.25">
      <c r="A2741" t="s">
        <v>3397</v>
      </c>
    </row>
    <row r="2742" spans="1:1" x14ac:dyDescent="0.25">
      <c r="A2742" t="s">
        <v>3398</v>
      </c>
    </row>
    <row r="2743" spans="1:1" x14ac:dyDescent="0.25">
      <c r="A2743" t="s">
        <v>3399</v>
      </c>
    </row>
    <row r="2744" spans="1:1" x14ac:dyDescent="0.25">
      <c r="A2744" t="s">
        <v>4121</v>
      </c>
    </row>
    <row r="2745" spans="1:1" x14ac:dyDescent="0.25">
      <c r="A2745" t="s">
        <v>3401</v>
      </c>
    </row>
    <row r="2746" spans="1:1" x14ac:dyDescent="0.25">
      <c r="A2746" t="s">
        <v>3402</v>
      </c>
    </row>
    <row r="2748" spans="1:1" x14ac:dyDescent="0.25">
      <c r="A2748" t="s">
        <v>3392</v>
      </c>
    </row>
    <row r="2749" spans="1:1" x14ac:dyDescent="0.25">
      <c r="A2749" t="s">
        <v>3393</v>
      </c>
    </row>
    <row r="2750" spans="1:1" x14ac:dyDescent="0.25">
      <c r="A2750" t="s">
        <v>4122</v>
      </c>
    </row>
    <row r="2751" spans="1:1" x14ac:dyDescent="0.25">
      <c r="A2751" t="s">
        <v>4123</v>
      </c>
    </row>
    <row r="2752" spans="1:1" x14ac:dyDescent="0.25">
      <c r="A2752" t="s">
        <v>3823</v>
      </c>
    </row>
    <row r="2753" spans="1:1" x14ac:dyDescent="0.25">
      <c r="A2753" t="s">
        <v>3397</v>
      </c>
    </row>
    <row r="2754" spans="1:1" x14ac:dyDescent="0.25">
      <c r="A2754" t="s">
        <v>3398</v>
      </c>
    </row>
    <row r="2755" spans="1:1" x14ac:dyDescent="0.25">
      <c r="A2755" t="s">
        <v>3399</v>
      </c>
    </row>
    <row r="2756" spans="1:1" x14ac:dyDescent="0.25">
      <c r="A2756" t="s">
        <v>4124</v>
      </c>
    </row>
    <row r="2757" spans="1:1" x14ac:dyDescent="0.25">
      <c r="A2757" t="s">
        <v>3401</v>
      </c>
    </row>
    <row r="2758" spans="1:1" x14ac:dyDescent="0.25">
      <c r="A2758" t="s">
        <v>3402</v>
      </c>
    </row>
    <row r="2760" spans="1:1" x14ac:dyDescent="0.25">
      <c r="A2760" t="s">
        <v>3392</v>
      </c>
    </row>
    <row r="2761" spans="1:1" x14ac:dyDescent="0.25">
      <c r="A2761" t="s">
        <v>3393</v>
      </c>
    </row>
    <row r="2762" spans="1:1" x14ac:dyDescent="0.25">
      <c r="A2762" t="s">
        <v>4125</v>
      </c>
    </row>
    <row r="2763" spans="1:1" x14ac:dyDescent="0.25">
      <c r="A2763" t="s">
        <v>4126</v>
      </c>
    </row>
    <row r="2764" spans="1:1" x14ac:dyDescent="0.25">
      <c r="A2764" t="s">
        <v>3823</v>
      </c>
    </row>
    <row r="2765" spans="1:1" x14ac:dyDescent="0.25">
      <c r="A2765" t="s">
        <v>3397</v>
      </c>
    </row>
    <row r="2766" spans="1:1" x14ac:dyDescent="0.25">
      <c r="A2766" t="s">
        <v>3398</v>
      </c>
    </row>
    <row r="2767" spans="1:1" x14ac:dyDescent="0.25">
      <c r="A2767" t="s">
        <v>3399</v>
      </c>
    </row>
    <row r="2768" spans="1:1" x14ac:dyDescent="0.25">
      <c r="A2768" t="s">
        <v>4127</v>
      </c>
    </row>
    <row r="2769" spans="1:1" x14ac:dyDescent="0.25">
      <c r="A2769" t="s">
        <v>3401</v>
      </c>
    </row>
    <row r="2770" spans="1:1" x14ac:dyDescent="0.25">
      <c r="A2770" t="s">
        <v>3402</v>
      </c>
    </row>
    <row r="2772" spans="1:1" x14ac:dyDescent="0.25">
      <c r="A2772" t="s">
        <v>3392</v>
      </c>
    </row>
    <row r="2773" spans="1:1" x14ac:dyDescent="0.25">
      <c r="A2773" t="s">
        <v>3393</v>
      </c>
    </row>
    <row r="2774" spans="1:1" x14ac:dyDescent="0.25">
      <c r="A2774" t="s">
        <v>4128</v>
      </c>
    </row>
    <row r="2775" spans="1:1" x14ac:dyDescent="0.25">
      <c r="A2775" t="s">
        <v>4129</v>
      </c>
    </row>
    <row r="2776" spans="1:1" x14ac:dyDescent="0.25">
      <c r="A2776" t="s">
        <v>3823</v>
      </c>
    </row>
    <row r="2777" spans="1:1" x14ac:dyDescent="0.25">
      <c r="A2777" t="s">
        <v>3397</v>
      </c>
    </row>
    <row r="2778" spans="1:1" x14ac:dyDescent="0.25">
      <c r="A2778" t="s">
        <v>3398</v>
      </c>
    </row>
    <row r="2779" spans="1:1" x14ac:dyDescent="0.25">
      <c r="A2779" t="s">
        <v>3563</v>
      </c>
    </row>
    <row r="2780" spans="1:1" x14ac:dyDescent="0.25">
      <c r="A2780" t="s">
        <v>4130</v>
      </c>
    </row>
    <row r="2781" spans="1:1" x14ac:dyDescent="0.25">
      <c r="A2781" t="s">
        <v>3401</v>
      </c>
    </row>
    <row r="2782" spans="1:1" x14ac:dyDescent="0.25">
      <c r="A2782" t="s">
        <v>3402</v>
      </c>
    </row>
    <row r="2784" spans="1:1" x14ac:dyDescent="0.25">
      <c r="A2784" t="s">
        <v>3392</v>
      </c>
    </row>
    <row r="2785" spans="1:1" x14ac:dyDescent="0.25">
      <c r="A2785" t="s">
        <v>3393</v>
      </c>
    </row>
    <row r="2786" spans="1:1" x14ac:dyDescent="0.25">
      <c r="A2786" t="s">
        <v>4131</v>
      </c>
    </row>
    <row r="2787" spans="1:1" x14ac:dyDescent="0.25">
      <c r="A2787" t="s">
        <v>4132</v>
      </c>
    </row>
    <row r="2788" spans="1:1" x14ac:dyDescent="0.25">
      <c r="A2788" t="s">
        <v>3545</v>
      </c>
    </row>
    <row r="2789" spans="1:1" x14ac:dyDescent="0.25">
      <c r="A2789" t="s">
        <v>3397</v>
      </c>
    </row>
    <row r="2790" spans="1:1" x14ac:dyDescent="0.25">
      <c r="A2790" t="s">
        <v>3398</v>
      </c>
    </row>
    <row r="2791" spans="1:1" x14ac:dyDescent="0.25">
      <c r="A2791" t="s">
        <v>3399</v>
      </c>
    </row>
    <row r="2792" spans="1:1" x14ac:dyDescent="0.25">
      <c r="A2792" t="s">
        <v>4133</v>
      </c>
    </row>
    <row r="2793" spans="1:1" x14ac:dyDescent="0.25">
      <c r="A2793" t="s">
        <v>3401</v>
      </c>
    </row>
    <row r="2794" spans="1:1" x14ac:dyDescent="0.25">
      <c r="A2794" t="s">
        <v>3402</v>
      </c>
    </row>
    <row r="2796" spans="1:1" x14ac:dyDescent="0.25">
      <c r="A2796" t="s">
        <v>3392</v>
      </c>
    </row>
    <row r="2797" spans="1:1" x14ac:dyDescent="0.25">
      <c r="A2797" t="s">
        <v>3393</v>
      </c>
    </row>
    <row r="2798" spans="1:1" x14ac:dyDescent="0.25">
      <c r="A2798" t="s">
        <v>4134</v>
      </c>
    </row>
    <row r="2799" spans="1:1" x14ac:dyDescent="0.25">
      <c r="A2799" t="s">
        <v>4135</v>
      </c>
    </row>
    <row r="2800" spans="1:1" x14ac:dyDescent="0.25">
      <c r="A2800" t="s">
        <v>3545</v>
      </c>
    </row>
    <row r="2801" spans="1:1" x14ac:dyDescent="0.25">
      <c r="A2801" t="s">
        <v>3397</v>
      </c>
    </row>
    <row r="2802" spans="1:1" x14ac:dyDescent="0.25">
      <c r="A2802" t="s">
        <v>3398</v>
      </c>
    </row>
    <row r="2803" spans="1:1" x14ac:dyDescent="0.25">
      <c r="A2803" t="s">
        <v>3399</v>
      </c>
    </row>
    <row r="2804" spans="1:1" x14ac:dyDescent="0.25">
      <c r="A2804" t="s">
        <v>4136</v>
      </c>
    </row>
    <row r="2805" spans="1:1" x14ac:dyDescent="0.25">
      <c r="A2805" t="s">
        <v>3401</v>
      </c>
    </row>
    <row r="2806" spans="1:1" x14ac:dyDescent="0.25">
      <c r="A2806" t="s">
        <v>3402</v>
      </c>
    </row>
    <row r="2808" spans="1:1" x14ac:dyDescent="0.25">
      <c r="A2808" t="s">
        <v>3184</v>
      </c>
    </row>
    <row r="2809" spans="1:1" x14ac:dyDescent="0.25">
      <c r="A2809" t="s">
        <v>3185</v>
      </c>
    </row>
    <row r="2810" spans="1:1" x14ac:dyDescent="0.25">
      <c r="A2810" t="s">
        <v>4137</v>
      </c>
    </row>
    <row r="2811" spans="1:1" x14ac:dyDescent="0.25">
      <c r="A2811" t="s">
        <v>4138</v>
      </c>
    </row>
    <row r="2812" spans="1:1" x14ac:dyDescent="0.25">
      <c r="A2812" t="s">
        <v>3213</v>
      </c>
    </row>
    <row r="2813" spans="1:1" x14ac:dyDescent="0.25">
      <c r="A2813" t="s">
        <v>3214</v>
      </c>
    </row>
    <row r="2814" spans="1:1" x14ac:dyDescent="0.25">
      <c r="A2814" t="s">
        <v>3190</v>
      </c>
    </row>
    <row r="2815" spans="1:1" x14ac:dyDescent="0.25">
      <c r="A2815" t="s">
        <v>3215</v>
      </c>
    </row>
    <row r="2816" spans="1:1" x14ac:dyDescent="0.25">
      <c r="A2816" t="s">
        <v>4139</v>
      </c>
    </row>
    <row r="2817" spans="1:1" x14ac:dyDescent="0.25">
      <c r="A2817" t="s">
        <v>3193</v>
      </c>
    </row>
    <row r="2818" spans="1:1" x14ac:dyDescent="0.25">
      <c r="A2818" t="s">
        <v>3194</v>
      </c>
    </row>
    <row r="2820" spans="1:1" x14ac:dyDescent="0.25">
      <c r="A2820" t="s">
        <v>3392</v>
      </c>
    </row>
    <row r="2821" spans="1:1" x14ac:dyDescent="0.25">
      <c r="A2821" t="s">
        <v>3393</v>
      </c>
    </row>
    <row r="2822" spans="1:1" x14ac:dyDescent="0.25">
      <c r="A2822" t="s">
        <v>4140</v>
      </c>
    </row>
    <row r="2823" spans="1:1" x14ac:dyDescent="0.25">
      <c r="A2823" t="s">
        <v>4141</v>
      </c>
    </row>
    <row r="2824" spans="1:1" x14ac:dyDescent="0.25">
      <c r="A2824" t="s">
        <v>3549</v>
      </c>
    </row>
    <row r="2825" spans="1:1" x14ac:dyDescent="0.25">
      <c r="A2825" t="s">
        <v>3397</v>
      </c>
    </row>
    <row r="2826" spans="1:1" x14ac:dyDescent="0.25">
      <c r="A2826" t="s">
        <v>3398</v>
      </c>
    </row>
    <row r="2827" spans="1:1" x14ac:dyDescent="0.25">
      <c r="A2827" t="s">
        <v>3399</v>
      </c>
    </row>
    <row r="2828" spans="1:1" x14ac:dyDescent="0.25">
      <c r="A2828" t="s">
        <v>4142</v>
      </c>
    </row>
    <row r="2829" spans="1:1" x14ac:dyDescent="0.25">
      <c r="A2829" t="s">
        <v>3401</v>
      </c>
    </row>
    <row r="2830" spans="1:1" x14ac:dyDescent="0.25">
      <c r="A2830" t="s">
        <v>3402</v>
      </c>
    </row>
    <row r="2832" spans="1:1" x14ac:dyDescent="0.25">
      <c r="A2832" t="s">
        <v>3184</v>
      </c>
    </row>
    <row r="2833" spans="1:1" x14ac:dyDescent="0.25">
      <c r="A2833" t="s">
        <v>3185</v>
      </c>
    </row>
    <row r="2834" spans="1:1" x14ac:dyDescent="0.25">
      <c r="A2834" t="s">
        <v>4143</v>
      </c>
    </row>
    <row r="2835" spans="1:1" x14ac:dyDescent="0.25">
      <c r="A2835" t="s">
        <v>4144</v>
      </c>
    </row>
    <row r="2836" spans="1:1" x14ac:dyDescent="0.25">
      <c r="A2836" t="s">
        <v>4145</v>
      </c>
    </row>
    <row r="2837" spans="1:1" x14ac:dyDescent="0.25">
      <c r="A2837" t="s">
        <v>3214</v>
      </c>
    </row>
    <row r="2838" spans="1:1" x14ac:dyDescent="0.25">
      <c r="A2838" t="s">
        <v>3190</v>
      </c>
    </row>
    <row r="2839" spans="1:1" x14ac:dyDescent="0.25">
      <c r="A2839" t="s">
        <v>3215</v>
      </c>
    </row>
    <row r="2840" spans="1:1" x14ac:dyDescent="0.25">
      <c r="A2840" t="s">
        <v>4146</v>
      </c>
    </row>
    <row r="2841" spans="1:1" x14ac:dyDescent="0.25">
      <c r="A2841" t="s">
        <v>3193</v>
      </c>
    </row>
    <row r="2842" spans="1:1" x14ac:dyDescent="0.25">
      <c r="A2842" t="s">
        <v>3194</v>
      </c>
    </row>
    <row r="2844" spans="1:1" x14ac:dyDescent="0.25">
      <c r="A2844" t="s">
        <v>3184</v>
      </c>
    </row>
    <row r="2845" spans="1:1" x14ac:dyDescent="0.25">
      <c r="A2845" t="s">
        <v>3185</v>
      </c>
    </row>
    <row r="2846" spans="1:1" x14ac:dyDescent="0.25">
      <c r="A2846" t="s">
        <v>4147</v>
      </c>
    </row>
    <row r="2847" spans="1:1" x14ac:dyDescent="0.25">
      <c r="A2847" t="s">
        <v>4144</v>
      </c>
    </row>
    <row r="2848" spans="1:1" x14ac:dyDescent="0.25">
      <c r="A2848" t="s">
        <v>4145</v>
      </c>
    </row>
    <row r="2849" spans="1:1" x14ac:dyDescent="0.25">
      <c r="A2849" t="s">
        <v>3214</v>
      </c>
    </row>
    <row r="2850" spans="1:1" x14ac:dyDescent="0.25">
      <c r="A2850" t="s">
        <v>3190</v>
      </c>
    </row>
    <row r="2851" spans="1:1" x14ac:dyDescent="0.25">
      <c r="A2851" t="s">
        <v>3215</v>
      </c>
    </row>
    <row r="2852" spans="1:1" x14ac:dyDescent="0.25">
      <c r="A2852" t="s">
        <v>4148</v>
      </c>
    </row>
    <row r="2853" spans="1:1" x14ac:dyDescent="0.25">
      <c r="A2853" t="s">
        <v>3193</v>
      </c>
    </row>
    <row r="2854" spans="1:1" x14ac:dyDescent="0.25">
      <c r="A2854" t="s">
        <v>3194</v>
      </c>
    </row>
    <row r="2856" spans="1:1" x14ac:dyDescent="0.25">
      <c r="A2856" t="s">
        <v>3392</v>
      </c>
    </row>
    <row r="2857" spans="1:1" x14ac:dyDescent="0.25">
      <c r="A2857" t="s">
        <v>3393</v>
      </c>
    </row>
    <row r="2858" spans="1:1" x14ac:dyDescent="0.25">
      <c r="A2858" t="s">
        <v>4149</v>
      </c>
    </row>
    <row r="2859" spans="1:1" x14ac:dyDescent="0.25">
      <c r="A2859" t="s">
        <v>4150</v>
      </c>
    </row>
    <row r="2860" spans="1:1" x14ac:dyDescent="0.25">
      <c r="A2860" t="s">
        <v>3906</v>
      </c>
    </row>
    <row r="2861" spans="1:1" x14ac:dyDescent="0.25">
      <c r="A2861" t="s">
        <v>3397</v>
      </c>
    </row>
    <row r="2862" spans="1:1" x14ac:dyDescent="0.25">
      <c r="A2862" t="s">
        <v>3398</v>
      </c>
    </row>
    <row r="2863" spans="1:1" x14ac:dyDescent="0.25">
      <c r="A2863" t="s">
        <v>3399</v>
      </c>
    </row>
    <row r="2864" spans="1:1" x14ac:dyDescent="0.25">
      <c r="A2864" t="s">
        <v>4151</v>
      </c>
    </row>
    <row r="2865" spans="1:1" x14ac:dyDescent="0.25">
      <c r="A2865" t="s">
        <v>3401</v>
      </c>
    </row>
    <row r="2866" spans="1:1" x14ac:dyDescent="0.25">
      <c r="A2866" t="s">
        <v>3402</v>
      </c>
    </row>
    <row r="2868" spans="1:1" x14ac:dyDescent="0.25">
      <c r="A2868" t="s">
        <v>3392</v>
      </c>
    </row>
    <row r="2869" spans="1:1" x14ac:dyDescent="0.25">
      <c r="A2869" t="s">
        <v>3393</v>
      </c>
    </row>
    <row r="2870" spans="1:1" x14ac:dyDescent="0.25">
      <c r="A2870" t="s">
        <v>4152</v>
      </c>
    </row>
    <row r="2871" spans="1:1" x14ac:dyDescent="0.25">
      <c r="A2871" t="s">
        <v>4150</v>
      </c>
    </row>
    <row r="2872" spans="1:1" x14ac:dyDescent="0.25">
      <c r="A2872" t="s">
        <v>3906</v>
      </c>
    </row>
    <row r="2873" spans="1:1" x14ac:dyDescent="0.25">
      <c r="A2873" t="s">
        <v>3397</v>
      </c>
    </row>
    <row r="2874" spans="1:1" x14ac:dyDescent="0.25">
      <c r="A2874" t="s">
        <v>3398</v>
      </c>
    </row>
    <row r="2875" spans="1:1" x14ac:dyDescent="0.25">
      <c r="A2875" t="s">
        <v>3399</v>
      </c>
    </row>
    <row r="2876" spans="1:1" x14ac:dyDescent="0.25">
      <c r="A2876" t="s">
        <v>4153</v>
      </c>
    </row>
    <row r="2877" spans="1:1" x14ac:dyDescent="0.25">
      <c r="A2877" t="s">
        <v>3401</v>
      </c>
    </row>
    <row r="2878" spans="1:1" x14ac:dyDescent="0.25">
      <c r="A2878" t="s">
        <v>3402</v>
      </c>
    </row>
    <row r="2880" spans="1:1" x14ac:dyDescent="0.25">
      <c r="A2880" t="s">
        <v>3392</v>
      </c>
    </row>
    <row r="2881" spans="1:1" x14ac:dyDescent="0.25">
      <c r="A2881" t="s">
        <v>3393</v>
      </c>
    </row>
    <row r="2882" spans="1:1" x14ac:dyDescent="0.25">
      <c r="A2882" t="s">
        <v>4154</v>
      </c>
    </row>
    <row r="2883" spans="1:1" x14ac:dyDescent="0.25">
      <c r="A2883" t="s">
        <v>4155</v>
      </c>
    </row>
    <row r="2884" spans="1:1" x14ac:dyDescent="0.25">
      <c r="A2884" t="s">
        <v>3545</v>
      </c>
    </row>
    <row r="2885" spans="1:1" x14ac:dyDescent="0.25">
      <c r="A2885" t="s">
        <v>3397</v>
      </c>
    </row>
    <row r="2886" spans="1:1" x14ac:dyDescent="0.25">
      <c r="A2886" t="s">
        <v>3398</v>
      </c>
    </row>
    <row r="2887" spans="1:1" x14ac:dyDescent="0.25">
      <c r="A2887" t="s">
        <v>3563</v>
      </c>
    </row>
    <row r="2888" spans="1:1" x14ac:dyDescent="0.25">
      <c r="A2888" t="s">
        <v>4156</v>
      </c>
    </row>
    <row r="2889" spans="1:1" x14ac:dyDescent="0.25">
      <c r="A2889" t="s">
        <v>3401</v>
      </c>
    </row>
    <row r="2890" spans="1:1" x14ac:dyDescent="0.25">
      <c r="A2890" t="s">
        <v>3402</v>
      </c>
    </row>
    <row r="2892" spans="1:1" x14ac:dyDescent="0.25">
      <c r="A2892" t="s">
        <v>3184</v>
      </c>
    </row>
    <row r="2893" spans="1:1" x14ac:dyDescent="0.25">
      <c r="A2893" t="s">
        <v>3185</v>
      </c>
    </row>
    <row r="2894" spans="1:1" x14ac:dyDescent="0.25">
      <c r="A2894" t="s">
        <v>4157</v>
      </c>
    </row>
    <row r="2895" spans="1:1" x14ac:dyDescent="0.25">
      <c r="A2895" t="s">
        <v>4158</v>
      </c>
    </row>
    <row r="2896" spans="1:1" x14ac:dyDescent="0.25">
      <c r="A2896" t="s">
        <v>3213</v>
      </c>
    </row>
    <row r="2897" spans="1:1" x14ac:dyDescent="0.25">
      <c r="A2897" t="s">
        <v>3214</v>
      </c>
    </row>
    <row r="2898" spans="1:1" x14ac:dyDescent="0.25">
      <c r="A2898" t="s">
        <v>3190</v>
      </c>
    </row>
    <row r="2899" spans="1:1" x14ac:dyDescent="0.25">
      <c r="A2899" t="s">
        <v>3215</v>
      </c>
    </row>
    <row r="2900" spans="1:1" x14ac:dyDescent="0.25">
      <c r="A2900" t="s">
        <v>4159</v>
      </c>
    </row>
    <row r="2901" spans="1:1" x14ac:dyDescent="0.25">
      <c r="A2901" t="s">
        <v>3193</v>
      </c>
    </row>
    <row r="2902" spans="1:1" x14ac:dyDescent="0.25">
      <c r="A2902" t="s">
        <v>3194</v>
      </c>
    </row>
    <row r="2904" spans="1:1" x14ac:dyDescent="0.25">
      <c r="A2904" t="s">
        <v>3392</v>
      </c>
    </row>
    <row r="2905" spans="1:1" x14ac:dyDescent="0.25">
      <c r="A2905" t="s">
        <v>3393</v>
      </c>
    </row>
    <row r="2906" spans="1:1" x14ac:dyDescent="0.25">
      <c r="A2906" t="s">
        <v>4160</v>
      </c>
    </row>
    <row r="2907" spans="1:1" x14ac:dyDescent="0.25">
      <c r="A2907" t="s">
        <v>4161</v>
      </c>
    </row>
    <row r="2908" spans="1:1" x14ac:dyDescent="0.25">
      <c r="A2908" t="s">
        <v>3529</v>
      </c>
    </row>
    <row r="2909" spans="1:1" x14ac:dyDescent="0.25">
      <c r="A2909" t="s">
        <v>3397</v>
      </c>
    </row>
    <row r="2910" spans="1:1" x14ac:dyDescent="0.25">
      <c r="A2910" t="s">
        <v>3398</v>
      </c>
    </row>
    <row r="2911" spans="1:1" x14ac:dyDescent="0.25">
      <c r="A2911" t="s">
        <v>3399</v>
      </c>
    </row>
    <row r="2912" spans="1:1" x14ac:dyDescent="0.25">
      <c r="A2912" t="s">
        <v>4162</v>
      </c>
    </row>
    <row r="2913" spans="1:1" x14ac:dyDescent="0.25">
      <c r="A2913" t="s">
        <v>3401</v>
      </c>
    </row>
    <row r="2914" spans="1:1" x14ac:dyDescent="0.25">
      <c r="A2914" t="s">
        <v>3402</v>
      </c>
    </row>
    <row r="2916" spans="1:1" x14ac:dyDescent="0.25">
      <c r="A2916" t="s">
        <v>3392</v>
      </c>
    </row>
    <row r="2917" spans="1:1" x14ac:dyDescent="0.25">
      <c r="A2917" t="s">
        <v>3393</v>
      </c>
    </row>
    <row r="2918" spans="1:1" x14ac:dyDescent="0.25">
      <c r="A2918" t="s">
        <v>4163</v>
      </c>
    </row>
    <row r="2919" spans="1:1" x14ac:dyDescent="0.25">
      <c r="A2919" t="s">
        <v>4164</v>
      </c>
    </row>
    <row r="2920" spans="1:1" x14ac:dyDescent="0.25">
      <c r="A2920" t="s">
        <v>3529</v>
      </c>
    </row>
    <row r="2921" spans="1:1" x14ac:dyDescent="0.25">
      <c r="A2921" t="s">
        <v>3397</v>
      </c>
    </row>
    <row r="2922" spans="1:1" x14ac:dyDescent="0.25">
      <c r="A2922" t="s">
        <v>3398</v>
      </c>
    </row>
    <row r="2923" spans="1:1" x14ac:dyDescent="0.25">
      <c r="A2923" t="s">
        <v>3399</v>
      </c>
    </row>
    <row r="2924" spans="1:1" x14ac:dyDescent="0.25">
      <c r="A2924" t="s">
        <v>4165</v>
      </c>
    </row>
    <row r="2925" spans="1:1" x14ac:dyDescent="0.25">
      <c r="A2925" t="s">
        <v>3401</v>
      </c>
    </row>
    <row r="2926" spans="1:1" x14ac:dyDescent="0.25">
      <c r="A2926" t="s">
        <v>3402</v>
      </c>
    </row>
    <row r="2928" spans="1:1" x14ac:dyDescent="0.25">
      <c r="A2928" t="s">
        <v>3392</v>
      </c>
    </row>
    <row r="2929" spans="1:1" x14ac:dyDescent="0.25">
      <c r="A2929" t="s">
        <v>3393</v>
      </c>
    </row>
    <row r="2930" spans="1:1" x14ac:dyDescent="0.25">
      <c r="A2930" t="s">
        <v>4166</v>
      </c>
    </row>
    <row r="2931" spans="1:1" x14ac:dyDescent="0.25">
      <c r="A2931" t="s">
        <v>4167</v>
      </c>
    </row>
    <row r="2932" spans="1:1" x14ac:dyDescent="0.25">
      <c r="A2932" t="s">
        <v>3597</v>
      </c>
    </row>
    <row r="2933" spans="1:1" x14ac:dyDescent="0.25">
      <c r="A2933" t="s">
        <v>3397</v>
      </c>
    </row>
    <row r="2934" spans="1:1" x14ac:dyDescent="0.25">
      <c r="A2934" t="s">
        <v>3398</v>
      </c>
    </row>
    <row r="2935" spans="1:1" x14ac:dyDescent="0.25">
      <c r="A2935" t="s">
        <v>3563</v>
      </c>
    </row>
    <row r="2936" spans="1:1" x14ac:dyDescent="0.25">
      <c r="A2936" t="s">
        <v>4168</v>
      </c>
    </row>
    <row r="2937" spans="1:1" x14ac:dyDescent="0.25">
      <c r="A2937" t="s">
        <v>3401</v>
      </c>
    </row>
    <row r="2938" spans="1:1" x14ac:dyDescent="0.25">
      <c r="A2938" t="s">
        <v>3402</v>
      </c>
    </row>
    <row r="2940" spans="1:1" x14ac:dyDescent="0.25">
      <c r="A2940" t="s">
        <v>3392</v>
      </c>
    </row>
    <row r="2941" spans="1:1" x14ac:dyDescent="0.25">
      <c r="A2941" t="s">
        <v>3393</v>
      </c>
    </row>
    <row r="2942" spans="1:1" x14ac:dyDescent="0.25">
      <c r="A2942" t="s">
        <v>4169</v>
      </c>
    </row>
    <row r="2943" spans="1:1" x14ac:dyDescent="0.25">
      <c r="A2943" t="s">
        <v>4170</v>
      </c>
    </row>
    <row r="2944" spans="1:1" x14ac:dyDescent="0.25">
      <c r="A2944" t="s">
        <v>4171</v>
      </c>
    </row>
    <row r="2945" spans="1:1" x14ac:dyDescent="0.25">
      <c r="A2945" t="s">
        <v>3397</v>
      </c>
    </row>
    <row r="2946" spans="1:1" x14ac:dyDescent="0.25">
      <c r="A2946" t="s">
        <v>3398</v>
      </c>
    </row>
    <row r="2947" spans="1:1" x14ac:dyDescent="0.25">
      <c r="A2947" t="s">
        <v>3399</v>
      </c>
    </row>
    <row r="2948" spans="1:1" x14ac:dyDescent="0.25">
      <c r="A2948" t="s">
        <v>4172</v>
      </c>
    </row>
    <row r="2949" spans="1:1" x14ac:dyDescent="0.25">
      <c r="A2949" t="s">
        <v>3401</v>
      </c>
    </row>
    <row r="2950" spans="1:1" x14ac:dyDescent="0.25">
      <c r="A2950" t="s">
        <v>3402</v>
      </c>
    </row>
    <row r="2952" spans="1:1" x14ac:dyDescent="0.25">
      <c r="A2952" t="s">
        <v>3184</v>
      </c>
    </row>
    <row r="2953" spans="1:1" x14ac:dyDescent="0.25">
      <c r="A2953" t="s">
        <v>3185</v>
      </c>
    </row>
    <row r="2954" spans="1:1" x14ac:dyDescent="0.25">
      <c r="A2954" t="s">
        <v>4173</v>
      </c>
    </row>
    <row r="2955" spans="1:1" x14ac:dyDescent="0.25">
      <c r="A2955" t="s">
        <v>4174</v>
      </c>
    </row>
    <row r="2956" spans="1:1" x14ac:dyDescent="0.25">
      <c r="A2956" t="s">
        <v>4175</v>
      </c>
    </row>
    <row r="2957" spans="1:1" x14ac:dyDescent="0.25">
      <c r="A2957" t="s">
        <v>3214</v>
      </c>
    </row>
    <row r="2958" spans="1:1" x14ac:dyDescent="0.25">
      <c r="A2958" t="s">
        <v>3190</v>
      </c>
    </row>
    <row r="2959" spans="1:1" x14ac:dyDescent="0.25">
      <c r="A2959" t="s">
        <v>3266</v>
      </c>
    </row>
    <row r="2960" spans="1:1" x14ac:dyDescent="0.25">
      <c r="A2960" t="s">
        <v>4176</v>
      </c>
    </row>
    <row r="2961" spans="1:1" x14ac:dyDescent="0.25">
      <c r="A2961" t="s">
        <v>3193</v>
      </c>
    </row>
    <row r="2962" spans="1:1" x14ac:dyDescent="0.25">
      <c r="A2962" t="s">
        <v>3194</v>
      </c>
    </row>
    <row r="2964" spans="1:1" x14ac:dyDescent="0.25">
      <c r="A2964" t="s">
        <v>3392</v>
      </c>
    </row>
    <row r="2965" spans="1:1" x14ac:dyDescent="0.25">
      <c r="A2965" t="s">
        <v>3393</v>
      </c>
    </row>
    <row r="2966" spans="1:1" x14ac:dyDescent="0.25">
      <c r="A2966" t="s">
        <v>4177</v>
      </c>
    </row>
    <row r="2967" spans="1:1" x14ac:dyDescent="0.25">
      <c r="A2967" t="s">
        <v>4178</v>
      </c>
    </row>
    <row r="2968" spans="1:1" x14ac:dyDescent="0.25">
      <c r="A2968" t="s">
        <v>4179</v>
      </c>
    </row>
    <row r="2969" spans="1:1" x14ac:dyDescent="0.25">
      <c r="A2969" t="s">
        <v>3397</v>
      </c>
    </row>
    <row r="2970" spans="1:1" x14ac:dyDescent="0.25">
      <c r="A2970" t="s">
        <v>3398</v>
      </c>
    </row>
    <row r="2971" spans="1:1" x14ac:dyDescent="0.25">
      <c r="A2971" t="s">
        <v>3399</v>
      </c>
    </row>
    <row r="2972" spans="1:1" x14ac:dyDescent="0.25">
      <c r="A2972" t="s">
        <v>4180</v>
      </c>
    </row>
    <row r="2973" spans="1:1" x14ac:dyDescent="0.25">
      <c r="A2973" t="s">
        <v>3401</v>
      </c>
    </row>
    <row r="2974" spans="1:1" x14ac:dyDescent="0.25">
      <c r="A2974" t="s">
        <v>3402</v>
      </c>
    </row>
    <row r="2976" spans="1:1" x14ac:dyDescent="0.25">
      <c r="A2976" t="s">
        <v>3392</v>
      </c>
    </row>
    <row r="2977" spans="1:1" x14ac:dyDescent="0.25">
      <c r="A2977" t="s">
        <v>3393</v>
      </c>
    </row>
    <row r="2978" spans="1:1" x14ac:dyDescent="0.25">
      <c r="A2978" t="s">
        <v>4181</v>
      </c>
    </row>
    <row r="2979" spans="1:1" x14ac:dyDescent="0.25">
      <c r="A2979" t="s">
        <v>4182</v>
      </c>
    </row>
    <row r="2980" spans="1:1" x14ac:dyDescent="0.25">
      <c r="A2980" t="s">
        <v>4179</v>
      </c>
    </row>
    <row r="2981" spans="1:1" x14ac:dyDescent="0.25">
      <c r="A2981" t="s">
        <v>3397</v>
      </c>
    </row>
    <row r="2982" spans="1:1" x14ac:dyDescent="0.25">
      <c r="A2982" t="s">
        <v>3398</v>
      </c>
    </row>
    <row r="2983" spans="1:1" x14ac:dyDescent="0.25">
      <c r="A2983" t="s">
        <v>3563</v>
      </c>
    </row>
    <row r="2984" spans="1:1" x14ac:dyDescent="0.25">
      <c r="A2984" t="s">
        <v>4183</v>
      </c>
    </row>
    <row r="2985" spans="1:1" x14ac:dyDescent="0.25">
      <c r="A2985" t="s">
        <v>3401</v>
      </c>
    </row>
    <row r="2986" spans="1:1" x14ac:dyDescent="0.25">
      <c r="A2986" t="s">
        <v>3402</v>
      </c>
    </row>
    <row r="2988" spans="1:1" x14ac:dyDescent="0.25">
      <c r="A2988" t="s">
        <v>3184</v>
      </c>
    </row>
    <row r="2989" spans="1:1" x14ac:dyDescent="0.25">
      <c r="A2989" t="s">
        <v>3185</v>
      </c>
    </row>
    <row r="2990" spans="1:1" x14ac:dyDescent="0.25">
      <c r="A2990" t="s">
        <v>4184</v>
      </c>
    </row>
    <row r="2991" spans="1:1" x14ac:dyDescent="0.25">
      <c r="A2991" t="s">
        <v>4185</v>
      </c>
    </row>
    <row r="2992" spans="1:1" x14ac:dyDescent="0.25">
      <c r="A2992" t="s">
        <v>4175</v>
      </c>
    </row>
    <row r="2993" spans="1:1" x14ac:dyDescent="0.25">
      <c r="A2993" t="s">
        <v>3214</v>
      </c>
    </row>
    <row r="2994" spans="1:1" x14ac:dyDescent="0.25">
      <c r="A2994" t="s">
        <v>3190</v>
      </c>
    </row>
    <row r="2995" spans="1:1" x14ac:dyDescent="0.25">
      <c r="A2995" t="s">
        <v>4186</v>
      </c>
    </row>
    <row r="2996" spans="1:1" x14ac:dyDescent="0.25">
      <c r="A2996" t="s">
        <v>4187</v>
      </c>
    </row>
    <row r="2997" spans="1:1" x14ac:dyDescent="0.25">
      <c r="A2997" t="s">
        <v>3193</v>
      </c>
    </row>
    <row r="2998" spans="1:1" x14ac:dyDescent="0.25">
      <c r="A2998" t="s">
        <v>3194</v>
      </c>
    </row>
    <row r="3000" spans="1:1" x14ac:dyDescent="0.25">
      <c r="A3000" t="s">
        <v>3392</v>
      </c>
    </row>
    <row r="3001" spans="1:1" x14ac:dyDescent="0.25">
      <c r="A3001" t="s">
        <v>3393</v>
      </c>
    </row>
    <row r="3002" spans="1:1" x14ac:dyDescent="0.25">
      <c r="A3002" t="s">
        <v>4188</v>
      </c>
    </row>
    <row r="3003" spans="1:1" x14ac:dyDescent="0.25">
      <c r="A3003" t="s">
        <v>4189</v>
      </c>
    </row>
    <row r="3004" spans="1:1" x14ac:dyDescent="0.25">
      <c r="A3004" t="s">
        <v>3597</v>
      </c>
    </row>
    <row r="3005" spans="1:1" x14ac:dyDescent="0.25">
      <c r="A3005" t="s">
        <v>3397</v>
      </c>
    </row>
    <row r="3006" spans="1:1" x14ac:dyDescent="0.25">
      <c r="A3006" t="s">
        <v>3398</v>
      </c>
    </row>
    <row r="3007" spans="1:1" x14ac:dyDescent="0.25">
      <c r="A3007" t="s">
        <v>3399</v>
      </c>
    </row>
    <row r="3008" spans="1:1" x14ac:dyDescent="0.25">
      <c r="A3008" t="s">
        <v>4190</v>
      </c>
    </row>
    <row r="3009" spans="1:1" x14ac:dyDescent="0.25">
      <c r="A3009" t="s">
        <v>3401</v>
      </c>
    </row>
    <row r="3010" spans="1:1" x14ac:dyDescent="0.25">
      <c r="A3010" t="s">
        <v>3402</v>
      </c>
    </row>
    <row r="3012" spans="1:1" x14ac:dyDescent="0.25">
      <c r="A3012" t="s">
        <v>3392</v>
      </c>
    </row>
    <row r="3013" spans="1:1" x14ac:dyDescent="0.25">
      <c r="A3013" t="s">
        <v>3393</v>
      </c>
    </row>
    <row r="3014" spans="1:1" x14ac:dyDescent="0.25">
      <c r="A3014" t="s">
        <v>4191</v>
      </c>
    </row>
    <row r="3015" spans="1:1" x14ac:dyDescent="0.25">
      <c r="A3015" t="s">
        <v>4192</v>
      </c>
    </row>
    <row r="3016" spans="1:1" x14ac:dyDescent="0.25">
      <c r="A3016" t="s">
        <v>3597</v>
      </c>
    </row>
    <row r="3017" spans="1:1" x14ac:dyDescent="0.25">
      <c r="A3017" t="s">
        <v>3397</v>
      </c>
    </row>
    <row r="3018" spans="1:1" x14ac:dyDescent="0.25">
      <c r="A3018" t="s">
        <v>3398</v>
      </c>
    </row>
    <row r="3019" spans="1:1" x14ac:dyDescent="0.25">
      <c r="A3019" t="s">
        <v>3399</v>
      </c>
    </row>
    <row r="3020" spans="1:1" x14ac:dyDescent="0.25">
      <c r="A3020" t="s">
        <v>4193</v>
      </c>
    </row>
    <row r="3021" spans="1:1" x14ac:dyDescent="0.25">
      <c r="A3021" t="s">
        <v>3401</v>
      </c>
    </row>
    <row r="3022" spans="1:1" x14ac:dyDescent="0.25">
      <c r="A3022" t="s">
        <v>3402</v>
      </c>
    </row>
    <row r="3024" spans="1:1" x14ac:dyDescent="0.25">
      <c r="A3024" t="s">
        <v>3392</v>
      </c>
    </row>
    <row r="3025" spans="1:1" x14ac:dyDescent="0.25">
      <c r="A3025" t="s">
        <v>3393</v>
      </c>
    </row>
    <row r="3026" spans="1:1" x14ac:dyDescent="0.25">
      <c r="A3026" t="s">
        <v>4194</v>
      </c>
    </row>
    <row r="3027" spans="1:1" x14ac:dyDescent="0.25">
      <c r="A3027" t="s">
        <v>4195</v>
      </c>
    </row>
    <row r="3028" spans="1:1" x14ac:dyDescent="0.25">
      <c r="A3028" t="s">
        <v>3597</v>
      </c>
    </row>
    <row r="3029" spans="1:1" x14ac:dyDescent="0.25">
      <c r="A3029" t="s">
        <v>3397</v>
      </c>
    </row>
    <row r="3030" spans="1:1" x14ac:dyDescent="0.25">
      <c r="A3030" t="s">
        <v>3398</v>
      </c>
    </row>
    <row r="3031" spans="1:1" x14ac:dyDescent="0.25">
      <c r="A3031" t="s">
        <v>3399</v>
      </c>
    </row>
    <row r="3032" spans="1:1" x14ac:dyDescent="0.25">
      <c r="A3032" t="s">
        <v>4196</v>
      </c>
    </row>
    <row r="3033" spans="1:1" x14ac:dyDescent="0.25">
      <c r="A3033" t="s">
        <v>3401</v>
      </c>
    </row>
    <row r="3034" spans="1:1" x14ac:dyDescent="0.25">
      <c r="A3034" t="s">
        <v>3402</v>
      </c>
    </row>
    <row r="3036" spans="1:1" x14ac:dyDescent="0.25">
      <c r="A3036" t="s">
        <v>3392</v>
      </c>
    </row>
    <row r="3037" spans="1:1" x14ac:dyDescent="0.25">
      <c r="A3037" t="s">
        <v>3393</v>
      </c>
    </row>
    <row r="3038" spans="1:1" x14ac:dyDescent="0.25">
      <c r="A3038" t="s">
        <v>4197</v>
      </c>
    </row>
    <row r="3039" spans="1:1" x14ac:dyDescent="0.25">
      <c r="A3039" t="s">
        <v>4198</v>
      </c>
    </row>
    <row r="3040" spans="1:1" x14ac:dyDescent="0.25">
      <c r="A3040" t="s">
        <v>3597</v>
      </c>
    </row>
    <row r="3041" spans="1:1" x14ac:dyDescent="0.25">
      <c r="A3041" t="s">
        <v>3397</v>
      </c>
    </row>
    <row r="3042" spans="1:1" x14ac:dyDescent="0.25">
      <c r="A3042" t="s">
        <v>3398</v>
      </c>
    </row>
    <row r="3043" spans="1:1" x14ac:dyDescent="0.25">
      <c r="A3043" t="s">
        <v>3399</v>
      </c>
    </row>
    <row r="3044" spans="1:1" x14ac:dyDescent="0.25">
      <c r="A3044" t="s">
        <v>4199</v>
      </c>
    </row>
    <row r="3045" spans="1:1" x14ac:dyDescent="0.25">
      <c r="A3045" t="s">
        <v>3401</v>
      </c>
    </row>
    <row r="3046" spans="1:1" x14ac:dyDescent="0.25">
      <c r="A3046" t="s">
        <v>3402</v>
      </c>
    </row>
    <row r="3048" spans="1:1" x14ac:dyDescent="0.25">
      <c r="A3048" t="s">
        <v>3392</v>
      </c>
    </row>
    <row r="3049" spans="1:1" x14ac:dyDescent="0.25">
      <c r="A3049" t="s">
        <v>3393</v>
      </c>
    </row>
    <row r="3050" spans="1:1" x14ac:dyDescent="0.25">
      <c r="A3050" t="s">
        <v>4200</v>
      </c>
    </row>
    <row r="3051" spans="1:1" x14ac:dyDescent="0.25">
      <c r="A3051" t="s">
        <v>4201</v>
      </c>
    </row>
    <row r="3052" spans="1:1" x14ac:dyDescent="0.25">
      <c r="A3052" t="s">
        <v>3597</v>
      </c>
    </row>
    <row r="3053" spans="1:1" x14ac:dyDescent="0.25">
      <c r="A3053" t="s">
        <v>3397</v>
      </c>
    </row>
    <row r="3054" spans="1:1" x14ac:dyDescent="0.25">
      <c r="A3054" t="s">
        <v>3398</v>
      </c>
    </row>
    <row r="3055" spans="1:1" x14ac:dyDescent="0.25">
      <c r="A3055" t="s">
        <v>3399</v>
      </c>
    </row>
    <row r="3056" spans="1:1" x14ac:dyDescent="0.25">
      <c r="A3056" t="s">
        <v>4202</v>
      </c>
    </row>
    <row r="3057" spans="1:1" x14ac:dyDescent="0.25">
      <c r="A3057" t="s">
        <v>3401</v>
      </c>
    </row>
    <row r="3058" spans="1:1" x14ac:dyDescent="0.25">
      <c r="A3058" t="s">
        <v>3402</v>
      </c>
    </row>
    <row r="3060" spans="1:1" x14ac:dyDescent="0.25">
      <c r="A3060" t="s">
        <v>3392</v>
      </c>
    </row>
    <row r="3061" spans="1:1" x14ac:dyDescent="0.25">
      <c r="A3061" t="s">
        <v>3393</v>
      </c>
    </row>
    <row r="3062" spans="1:1" x14ac:dyDescent="0.25">
      <c r="A3062" t="s">
        <v>4203</v>
      </c>
    </row>
    <row r="3063" spans="1:1" x14ac:dyDescent="0.25">
      <c r="A3063" t="s">
        <v>4204</v>
      </c>
    </row>
    <row r="3064" spans="1:1" x14ac:dyDescent="0.25">
      <c r="A3064" t="s">
        <v>4205</v>
      </c>
    </row>
    <row r="3065" spans="1:1" x14ac:dyDescent="0.25">
      <c r="A3065" t="s">
        <v>3397</v>
      </c>
    </row>
    <row r="3066" spans="1:1" x14ac:dyDescent="0.25">
      <c r="A3066" t="s">
        <v>3398</v>
      </c>
    </row>
    <row r="3067" spans="1:1" x14ac:dyDescent="0.25">
      <c r="A3067" t="s">
        <v>3399</v>
      </c>
    </row>
    <row r="3068" spans="1:1" x14ac:dyDescent="0.25">
      <c r="A3068" t="s">
        <v>4206</v>
      </c>
    </row>
    <row r="3069" spans="1:1" x14ac:dyDescent="0.25">
      <c r="A3069" t="s">
        <v>3401</v>
      </c>
    </row>
    <row r="3070" spans="1:1" x14ac:dyDescent="0.25">
      <c r="A3070" t="s">
        <v>3402</v>
      </c>
    </row>
    <row r="3072" spans="1:1" x14ac:dyDescent="0.25">
      <c r="A3072" t="s">
        <v>3392</v>
      </c>
    </row>
    <row r="3073" spans="1:1" x14ac:dyDescent="0.25">
      <c r="A3073" t="s">
        <v>3393</v>
      </c>
    </row>
    <row r="3074" spans="1:1" x14ac:dyDescent="0.25">
      <c r="A3074" t="s">
        <v>4207</v>
      </c>
    </row>
    <row r="3075" spans="1:1" x14ac:dyDescent="0.25">
      <c r="A3075" t="s">
        <v>4208</v>
      </c>
    </row>
    <row r="3076" spans="1:1" x14ac:dyDescent="0.25">
      <c r="A3076" t="s">
        <v>3545</v>
      </c>
    </row>
    <row r="3077" spans="1:1" x14ac:dyDescent="0.25">
      <c r="A3077" t="s">
        <v>3397</v>
      </c>
    </row>
    <row r="3078" spans="1:1" x14ac:dyDescent="0.25">
      <c r="A3078" t="s">
        <v>3398</v>
      </c>
    </row>
    <row r="3079" spans="1:1" x14ac:dyDescent="0.25">
      <c r="A3079" t="s">
        <v>3399</v>
      </c>
    </row>
    <row r="3080" spans="1:1" x14ac:dyDescent="0.25">
      <c r="A3080" t="s">
        <v>4209</v>
      </c>
    </row>
    <row r="3081" spans="1:1" x14ac:dyDescent="0.25">
      <c r="A3081" t="s">
        <v>3401</v>
      </c>
    </row>
    <row r="3082" spans="1:1" x14ac:dyDescent="0.25">
      <c r="A3082" t="s">
        <v>3402</v>
      </c>
    </row>
    <row r="3084" spans="1:1" x14ac:dyDescent="0.25">
      <c r="A3084" t="s">
        <v>3392</v>
      </c>
    </row>
    <row r="3085" spans="1:1" x14ac:dyDescent="0.25">
      <c r="A3085" t="s">
        <v>3393</v>
      </c>
    </row>
    <row r="3086" spans="1:1" x14ac:dyDescent="0.25">
      <c r="A3086" t="s">
        <v>4210</v>
      </c>
    </row>
    <row r="3087" spans="1:1" x14ac:dyDescent="0.25">
      <c r="A3087" t="s">
        <v>4211</v>
      </c>
    </row>
    <row r="3088" spans="1:1" x14ac:dyDescent="0.25">
      <c r="A3088" t="s">
        <v>4212</v>
      </c>
    </row>
    <row r="3089" spans="1:1" x14ac:dyDescent="0.25">
      <c r="A3089" t="s">
        <v>3397</v>
      </c>
    </row>
    <row r="3090" spans="1:1" x14ac:dyDescent="0.25">
      <c r="A3090" t="s">
        <v>3398</v>
      </c>
    </row>
    <row r="3091" spans="1:1" x14ac:dyDescent="0.25">
      <c r="A3091" t="s">
        <v>3399</v>
      </c>
    </row>
    <row r="3092" spans="1:1" x14ac:dyDescent="0.25">
      <c r="A3092" t="s">
        <v>4213</v>
      </c>
    </row>
    <row r="3093" spans="1:1" x14ac:dyDescent="0.25">
      <c r="A3093" t="s">
        <v>3401</v>
      </c>
    </row>
    <row r="3094" spans="1:1" x14ac:dyDescent="0.25">
      <c r="A3094" t="s">
        <v>3402</v>
      </c>
    </row>
    <row r="3096" spans="1:1" x14ac:dyDescent="0.25">
      <c r="A3096" t="s">
        <v>3392</v>
      </c>
    </row>
    <row r="3097" spans="1:1" x14ac:dyDescent="0.25">
      <c r="A3097" t="s">
        <v>3393</v>
      </c>
    </row>
    <row r="3098" spans="1:1" x14ac:dyDescent="0.25">
      <c r="A3098" t="s">
        <v>4214</v>
      </c>
    </row>
    <row r="3099" spans="1:1" x14ac:dyDescent="0.25">
      <c r="A3099" t="s">
        <v>4215</v>
      </c>
    </row>
    <row r="3100" spans="1:1" x14ac:dyDescent="0.25">
      <c r="A3100" t="s">
        <v>3545</v>
      </c>
    </row>
    <row r="3101" spans="1:1" x14ac:dyDescent="0.25">
      <c r="A3101" t="s">
        <v>3397</v>
      </c>
    </row>
    <row r="3102" spans="1:1" x14ac:dyDescent="0.25">
      <c r="A3102" t="s">
        <v>3398</v>
      </c>
    </row>
    <row r="3103" spans="1:1" x14ac:dyDescent="0.25">
      <c r="A3103" t="s">
        <v>3399</v>
      </c>
    </row>
    <row r="3104" spans="1:1" x14ac:dyDescent="0.25">
      <c r="A3104" t="s">
        <v>4216</v>
      </c>
    </row>
    <row r="3105" spans="1:1" x14ac:dyDescent="0.25">
      <c r="A3105" t="s">
        <v>3401</v>
      </c>
    </row>
    <row r="3106" spans="1:1" x14ac:dyDescent="0.25">
      <c r="A3106" t="s">
        <v>3402</v>
      </c>
    </row>
    <row r="3108" spans="1:1" x14ac:dyDescent="0.25">
      <c r="A3108" t="s">
        <v>3392</v>
      </c>
    </row>
    <row r="3109" spans="1:1" x14ac:dyDescent="0.25">
      <c r="A3109" t="s">
        <v>3393</v>
      </c>
    </row>
    <row r="3110" spans="1:1" x14ac:dyDescent="0.25">
      <c r="A3110" t="s">
        <v>4217</v>
      </c>
    </row>
    <row r="3111" spans="1:1" x14ac:dyDescent="0.25">
      <c r="A3111" t="s">
        <v>3826</v>
      </c>
    </row>
    <row r="3112" spans="1:1" x14ac:dyDescent="0.25">
      <c r="A3112" t="s">
        <v>3827</v>
      </c>
    </row>
    <row r="3113" spans="1:1" x14ac:dyDescent="0.25">
      <c r="A3113" t="s">
        <v>3397</v>
      </c>
    </row>
    <row r="3114" spans="1:1" x14ac:dyDescent="0.25">
      <c r="A3114" t="s">
        <v>3398</v>
      </c>
    </row>
    <row r="3115" spans="1:1" x14ac:dyDescent="0.25">
      <c r="A3115" t="s">
        <v>3563</v>
      </c>
    </row>
    <row r="3116" spans="1:1" x14ac:dyDescent="0.25">
      <c r="A3116" t="s">
        <v>4218</v>
      </c>
    </row>
    <row r="3117" spans="1:1" x14ac:dyDescent="0.25">
      <c r="A3117" t="s">
        <v>3401</v>
      </c>
    </row>
    <row r="3118" spans="1:1" x14ac:dyDescent="0.25">
      <c r="A3118" t="s">
        <v>3402</v>
      </c>
    </row>
    <row r="3120" spans="1:1" x14ac:dyDescent="0.25">
      <c r="A3120" t="s">
        <v>3392</v>
      </c>
    </row>
    <row r="3121" spans="1:1" x14ac:dyDescent="0.25">
      <c r="A3121" t="s">
        <v>3393</v>
      </c>
    </row>
    <row r="3122" spans="1:1" x14ac:dyDescent="0.25">
      <c r="A3122" t="s">
        <v>4219</v>
      </c>
    </row>
    <row r="3123" spans="1:1" x14ac:dyDescent="0.25">
      <c r="A3123" t="s">
        <v>4220</v>
      </c>
    </row>
    <row r="3124" spans="1:1" x14ac:dyDescent="0.25">
      <c r="A3124" t="s">
        <v>3920</v>
      </c>
    </row>
    <row r="3125" spans="1:1" x14ac:dyDescent="0.25">
      <c r="A3125" t="s">
        <v>3397</v>
      </c>
    </row>
    <row r="3126" spans="1:1" x14ac:dyDescent="0.25">
      <c r="A3126" t="s">
        <v>3398</v>
      </c>
    </row>
    <row r="3127" spans="1:1" x14ac:dyDescent="0.25">
      <c r="A3127" t="s">
        <v>3611</v>
      </c>
    </row>
    <row r="3128" spans="1:1" x14ac:dyDescent="0.25">
      <c r="A3128" t="s">
        <v>4221</v>
      </c>
    </row>
    <row r="3129" spans="1:1" x14ac:dyDescent="0.25">
      <c r="A3129" t="s">
        <v>3401</v>
      </c>
    </row>
    <row r="3130" spans="1:1" x14ac:dyDescent="0.25">
      <c r="A3130" t="s">
        <v>3402</v>
      </c>
    </row>
    <row r="3132" spans="1:1" x14ac:dyDescent="0.25">
      <c r="A3132" t="s">
        <v>3392</v>
      </c>
    </row>
    <row r="3133" spans="1:1" x14ac:dyDescent="0.25">
      <c r="A3133" t="s">
        <v>3393</v>
      </c>
    </row>
    <row r="3134" spans="1:1" x14ac:dyDescent="0.25">
      <c r="A3134" t="s">
        <v>4222</v>
      </c>
    </row>
    <row r="3135" spans="1:1" x14ac:dyDescent="0.25">
      <c r="A3135" t="s">
        <v>4223</v>
      </c>
    </row>
    <row r="3136" spans="1:1" x14ac:dyDescent="0.25">
      <c r="A3136" t="s">
        <v>3640</v>
      </c>
    </row>
    <row r="3137" spans="1:1" x14ac:dyDescent="0.25">
      <c r="A3137" t="s">
        <v>3397</v>
      </c>
    </row>
    <row r="3138" spans="1:1" x14ac:dyDescent="0.25">
      <c r="A3138" t="s">
        <v>3398</v>
      </c>
    </row>
    <row r="3139" spans="1:1" x14ac:dyDescent="0.25">
      <c r="A3139" t="s">
        <v>4057</v>
      </c>
    </row>
    <row r="3140" spans="1:1" x14ac:dyDescent="0.25">
      <c r="A3140" t="s">
        <v>4224</v>
      </c>
    </row>
    <row r="3141" spans="1:1" x14ac:dyDescent="0.25">
      <c r="A3141" t="s">
        <v>3401</v>
      </c>
    </row>
    <row r="3142" spans="1:1" x14ac:dyDescent="0.25">
      <c r="A3142" t="s">
        <v>3402</v>
      </c>
    </row>
    <row r="3144" spans="1:1" x14ac:dyDescent="0.25">
      <c r="A3144" t="s">
        <v>3392</v>
      </c>
    </row>
    <row r="3145" spans="1:1" x14ac:dyDescent="0.25">
      <c r="A3145" t="s">
        <v>3393</v>
      </c>
    </row>
    <row r="3146" spans="1:1" x14ac:dyDescent="0.25">
      <c r="A3146" t="s">
        <v>4225</v>
      </c>
    </row>
    <row r="3147" spans="1:1" x14ac:dyDescent="0.25">
      <c r="A3147" t="s">
        <v>4226</v>
      </c>
    </row>
    <row r="3148" spans="1:1" x14ac:dyDescent="0.25">
      <c r="A3148" t="s">
        <v>3906</v>
      </c>
    </row>
    <row r="3149" spans="1:1" x14ac:dyDescent="0.25">
      <c r="A3149" t="s">
        <v>3397</v>
      </c>
    </row>
    <row r="3150" spans="1:1" x14ac:dyDescent="0.25">
      <c r="A3150" t="s">
        <v>3398</v>
      </c>
    </row>
    <row r="3151" spans="1:1" x14ac:dyDescent="0.25">
      <c r="A3151" t="s">
        <v>3611</v>
      </c>
    </row>
    <row r="3152" spans="1:1" x14ac:dyDescent="0.25">
      <c r="A3152" t="s">
        <v>4227</v>
      </c>
    </row>
    <row r="3153" spans="1:1" x14ac:dyDescent="0.25">
      <c r="A3153" t="s">
        <v>3401</v>
      </c>
    </row>
    <row r="3154" spans="1:1" x14ac:dyDescent="0.25">
      <c r="A3154" t="s">
        <v>3402</v>
      </c>
    </row>
    <row r="3156" spans="1:1" x14ac:dyDescent="0.25">
      <c r="A3156" t="s">
        <v>3392</v>
      </c>
    </row>
    <row r="3157" spans="1:1" x14ac:dyDescent="0.25">
      <c r="A3157" t="s">
        <v>3393</v>
      </c>
    </row>
    <row r="3158" spans="1:1" x14ac:dyDescent="0.25">
      <c r="A3158" t="s">
        <v>4228</v>
      </c>
    </row>
    <row r="3159" spans="1:1" x14ac:dyDescent="0.25">
      <c r="A3159" t="s">
        <v>4229</v>
      </c>
    </row>
    <row r="3160" spans="1:1" x14ac:dyDescent="0.25">
      <c r="A3160" t="s">
        <v>3529</v>
      </c>
    </row>
    <row r="3161" spans="1:1" x14ac:dyDescent="0.25">
      <c r="A3161" t="s">
        <v>3397</v>
      </c>
    </row>
    <row r="3162" spans="1:1" x14ac:dyDescent="0.25">
      <c r="A3162" t="s">
        <v>3398</v>
      </c>
    </row>
    <row r="3163" spans="1:1" x14ac:dyDescent="0.25">
      <c r="A3163" t="s">
        <v>3399</v>
      </c>
    </row>
    <row r="3164" spans="1:1" x14ac:dyDescent="0.25">
      <c r="A3164" t="s">
        <v>4230</v>
      </c>
    </row>
    <row r="3165" spans="1:1" x14ac:dyDescent="0.25">
      <c r="A3165" t="s">
        <v>3401</v>
      </c>
    </row>
    <row r="3166" spans="1:1" x14ac:dyDescent="0.25">
      <c r="A3166" t="s">
        <v>3402</v>
      </c>
    </row>
    <row r="3168" spans="1:1" x14ac:dyDescent="0.25">
      <c r="A3168" t="s">
        <v>3392</v>
      </c>
    </row>
    <row r="3169" spans="1:1" x14ac:dyDescent="0.25">
      <c r="A3169" t="s">
        <v>3393</v>
      </c>
    </row>
    <row r="3170" spans="1:1" x14ac:dyDescent="0.25">
      <c r="A3170" t="s">
        <v>4231</v>
      </c>
    </row>
    <row r="3171" spans="1:1" x14ac:dyDescent="0.25">
      <c r="A3171" t="s">
        <v>4232</v>
      </c>
    </row>
    <row r="3172" spans="1:1" x14ac:dyDescent="0.25">
      <c r="A3172" t="s">
        <v>3545</v>
      </c>
    </row>
    <row r="3173" spans="1:1" x14ac:dyDescent="0.25">
      <c r="A3173" t="s">
        <v>3397</v>
      </c>
    </row>
    <row r="3174" spans="1:1" x14ac:dyDescent="0.25">
      <c r="A3174" t="s">
        <v>3398</v>
      </c>
    </row>
    <row r="3175" spans="1:1" x14ac:dyDescent="0.25">
      <c r="A3175" t="s">
        <v>3399</v>
      </c>
    </row>
    <row r="3176" spans="1:1" x14ac:dyDescent="0.25">
      <c r="A3176" t="s">
        <v>4233</v>
      </c>
    </row>
    <row r="3177" spans="1:1" x14ac:dyDescent="0.25">
      <c r="A3177" t="s">
        <v>3401</v>
      </c>
    </row>
    <row r="3178" spans="1:1" x14ac:dyDescent="0.25">
      <c r="A3178" t="s">
        <v>3402</v>
      </c>
    </row>
    <row r="3180" spans="1:1" x14ac:dyDescent="0.25">
      <c r="A3180" t="s">
        <v>3184</v>
      </c>
    </row>
    <row r="3181" spans="1:1" x14ac:dyDescent="0.25">
      <c r="A3181" t="s">
        <v>3230</v>
      </c>
    </row>
    <row r="3182" spans="1:1" x14ac:dyDescent="0.25">
      <c r="A3182" t="s">
        <v>4234</v>
      </c>
    </row>
    <row r="3183" spans="1:1" x14ac:dyDescent="0.25">
      <c r="A3183" t="s">
        <v>4235</v>
      </c>
    </row>
    <row r="3184" spans="1:1" x14ac:dyDescent="0.25">
      <c r="A3184" t="s">
        <v>4236</v>
      </c>
    </row>
    <row r="3185" spans="1:1" x14ac:dyDescent="0.25">
      <c r="A3185" t="s">
        <v>3214</v>
      </c>
    </row>
    <row r="3186" spans="1:1" x14ac:dyDescent="0.25">
      <c r="A3186" t="s">
        <v>3234</v>
      </c>
    </row>
    <row r="3187" spans="1:1" x14ac:dyDescent="0.25">
      <c r="A3187" t="s">
        <v>3247</v>
      </c>
    </row>
    <row r="3188" spans="1:1" x14ac:dyDescent="0.25">
      <c r="A3188" t="s">
        <v>4237</v>
      </c>
    </row>
    <row r="3189" spans="1:1" x14ac:dyDescent="0.25">
      <c r="A3189" t="s">
        <v>3194</v>
      </c>
    </row>
    <row r="3191" spans="1:1" x14ac:dyDescent="0.25">
      <c r="A3191" t="s">
        <v>3184</v>
      </c>
    </row>
    <row r="3192" spans="1:1" x14ac:dyDescent="0.25">
      <c r="A3192" t="s">
        <v>3230</v>
      </c>
    </row>
    <row r="3193" spans="1:1" x14ac:dyDescent="0.25">
      <c r="A3193" t="s">
        <v>4238</v>
      </c>
    </row>
    <row r="3194" spans="1:1" x14ac:dyDescent="0.25">
      <c r="A3194" t="s">
        <v>4239</v>
      </c>
    </row>
    <row r="3195" spans="1:1" x14ac:dyDescent="0.25">
      <c r="A3195" t="s">
        <v>3233</v>
      </c>
    </row>
    <row r="3196" spans="1:1" x14ac:dyDescent="0.25">
      <c r="A3196" t="s">
        <v>3207</v>
      </c>
    </row>
    <row r="3197" spans="1:1" x14ac:dyDescent="0.25">
      <c r="A3197" t="s">
        <v>3234</v>
      </c>
    </row>
    <row r="3198" spans="1:1" x14ac:dyDescent="0.25">
      <c r="A3198" t="s">
        <v>4240</v>
      </c>
    </row>
    <row r="3199" spans="1:1" x14ac:dyDescent="0.25">
      <c r="A3199" t="s">
        <v>4241</v>
      </c>
    </row>
    <row r="3200" spans="1:1" x14ac:dyDescent="0.25">
      <c r="A3200" t="s">
        <v>3194</v>
      </c>
    </row>
    <row r="3202" spans="1:1" x14ac:dyDescent="0.25">
      <c r="A3202" t="s">
        <v>3184</v>
      </c>
    </row>
    <row r="3203" spans="1:1" x14ac:dyDescent="0.25">
      <c r="A3203" t="s">
        <v>3230</v>
      </c>
    </row>
    <row r="3204" spans="1:1" x14ac:dyDescent="0.25">
      <c r="A3204" t="s">
        <v>4242</v>
      </c>
    </row>
    <row r="3205" spans="1:1" x14ac:dyDescent="0.25">
      <c r="A3205" t="s">
        <v>4243</v>
      </c>
    </row>
    <row r="3206" spans="1:1" x14ac:dyDescent="0.25">
      <c r="A3206" t="s">
        <v>4236</v>
      </c>
    </row>
    <row r="3207" spans="1:1" x14ac:dyDescent="0.25">
      <c r="A3207" t="s">
        <v>3214</v>
      </c>
    </row>
    <row r="3208" spans="1:1" x14ac:dyDescent="0.25">
      <c r="A3208" t="s">
        <v>3234</v>
      </c>
    </row>
    <row r="3209" spans="1:1" x14ac:dyDescent="0.25">
      <c r="A3209" t="s">
        <v>3247</v>
      </c>
    </row>
    <row r="3210" spans="1:1" x14ac:dyDescent="0.25">
      <c r="A3210" t="s">
        <v>4244</v>
      </c>
    </row>
    <row r="3211" spans="1:1" x14ac:dyDescent="0.25">
      <c r="A3211" t="s">
        <v>3194</v>
      </c>
    </row>
    <row r="3213" spans="1:1" x14ac:dyDescent="0.25">
      <c r="A3213" t="s">
        <v>3184</v>
      </c>
    </row>
    <row r="3214" spans="1:1" x14ac:dyDescent="0.25">
      <c r="A3214" t="s">
        <v>3230</v>
      </c>
    </row>
    <row r="3215" spans="1:1" x14ac:dyDescent="0.25">
      <c r="A3215" t="s">
        <v>4245</v>
      </c>
    </row>
    <row r="3216" spans="1:1" x14ac:dyDescent="0.25">
      <c r="A3216" t="s">
        <v>4246</v>
      </c>
    </row>
    <row r="3217" spans="1:1" x14ac:dyDescent="0.25">
      <c r="A3217" t="s">
        <v>4236</v>
      </c>
    </row>
    <row r="3218" spans="1:1" x14ac:dyDescent="0.25">
      <c r="A3218" t="s">
        <v>3214</v>
      </c>
    </row>
    <row r="3219" spans="1:1" x14ac:dyDescent="0.25">
      <c r="A3219" t="s">
        <v>3234</v>
      </c>
    </row>
    <row r="3220" spans="1:1" x14ac:dyDescent="0.25">
      <c r="A3220" t="s">
        <v>4247</v>
      </c>
    </row>
    <row r="3221" spans="1:1" x14ac:dyDescent="0.25">
      <c r="A3221" t="s">
        <v>4248</v>
      </c>
    </row>
    <row r="3222" spans="1:1" x14ac:dyDescent="0.25">
      <c r="A3222" t="s">
        <v>3194</v>
      </c>
    </row>
    <row r="3224" spans="1:1" x14ac:dyDescent="0.25">
      <c r="A3224" t="s">
        <v>3184</v>
      </c>
    </row>
    <row r="3225" spans="1:1" x14ac:dyDescent="0.25">
      <c r="A3225" t="s">
        <v>3230</v>
      </c>
    </row>
    <row r="3226" spans="1:1" x14ac:dyDescent="0.25">
      <c r="A3226" t="s">
        <v>4249</v>
      </c>
    </row>
    <row r="3227" spans="1:1" x14ac:dyDescent="0.25">
      <c r="A3227" t="s">
        <v>4250</v>
      </c>
    </row>
    <row r="3228" spans="1:1" x14ac:dyDescent="0.25">
      <c r="A3228" t="s">
        <v>4236</v>
      </c>
    </row>
    <row r="3229" spans="1:1" x14ac:dyDescent="0.25">
      <c r="A3229" t="s">
        <v>3214</v>
      </c>
    </row>
    <row r="3230" spans="1:1" x14ac:dyDescent="0.25">
      <c r="A3230" t="s">
        <v>3234</v>
      </c>
    </row>
    <row r="3231" spans="1:1" x14ac:dyDescent="0.25">
      <c r="A3231" t="s">
        <v>3247</v>
      </c>
    </row>
    <row r="3232" spans="1:1" x14ac:dyDescent="0.25">
      <c r="A3232" t="s">
        <v>4251</v>
      </c>
    </row>
    <row r="3233" spans="1:1" x14ac:dyDescent="0.25">
      <c r="A3233" t="s">
        <v>3194</v>
      </c>
    </row>
    <row r="3235" spans="1:1" x14ac:dyDescent="0.25">
      <c r="A3235" t="s">
        <v>3184</v>
      </c>
    </row>
    <row r="3236" spans="1:1" x14ac:dyDescent="0.25">
      <c r="A3236" t="s">
        <v>3230</v>
      </c>
    </row>
    <row r="3237" spans="1:1" x14ac:dyDescent="0.25">
      <c r="A3237" t="s">
        <v>4252</v>
      </c>
    </row>
    <row r="3238" spans="1:1" x14ac:dyDescent="0.25">
      <c r="A3238" t="s">
        <v>4253</v>
      </c>
    </row>
    <row r="3239" spans="1:1" x14ac:dyDescent="0.25">
      <c r="A3239" t="s">
        <v>4236</v>
      </c>
    </row>
    <row r="3240" spans="1:1" x14ac:dyDescent="0.25">
      <c r="A3240" t="s">
        <v>3214</v>
      </c>
    </row>
    <row r="3241" spans="1:1" x14ac:dyDescent="0.25">
      <c r="A3241" t="s">
        <v>3234</v>
      </c>
    </row>
    <row r="3242" spans="1:1" x14ac:dyDescent="0.25">
      <c r="A3242" t="s">
        <v>4254</v>
      </c>
    </row>
    <row r="3243" spans="1:1" x14ac:dyDescent="0.25">
      <c r="A3243" t="s">
        <v>4255</v>
      </c>
    </row>
    <row r="3244" spans="1:1" x14ac:dyDescent="0.25">
      <c r="A3244" t="s">
        <v>3194</v>
      </c>
    </row>
    <row r="3246" spans="1:1" x14ac:dyDescent="0.25">
      <c r="A3246" t="s">
        <v>3184</v>
      </c>
    </row>
    <row r="3247" spans="1:1" x14ac:dyDescent="0.25">
      <c r="A3247" t="s">
        <v>3230</v>
      </c>
    </row>
    <row r="3248" spans="1:1" x14ac:dyDescent="0.25">
      <c r="A3248" t="s">
        <v>4256</v>
      </c>
    </row>
    <row r="3249" spans="1:1" x14ac:dyDescent="0.25">
      <c r="A3249" t="s">
        <v>4257</v>
      </c>
    </row>
    <row r="3250" spans="1:1" x14ac:dyDescent="0.25">
      <c r="A3250" t="s">
        <v>4236</v>
      </c>
    </row>
    <row r="3251" spans="1:1" x14ac:dyDescent="0.25">
      <c r="A3251" t="s">
        <v>3214</v>
      </c>
    </row>
    <row r="3252" spans="1:1" x14ac:dyDescent="0.25">
      <c r="A3252" t="s">
        <v>3234</v>
      </c>
    </row>
    <row r="3253" spans="1:1" x14ac:dyDescent="0.25">
      <c r="A3253" t="s">
        <v>4258</v>
      </c>
    </row>
    <row r="3254" spans="1:1" x14ac:dyDescent="0.25">
      <c r="A3254" t="s">
        <v>4259</v>
      </c>
    </row>
    <row r="3255" spans="1:1" x14ac:dyDescent="0.25">
      <c r="A3255" t="s">
        <v>3194</v>
      </c>
    </row>
    <row r="3257" spans="1:1" x14ac:dyDescent="0.25">
      <c r="A3257" t="s">
        <v>3392</v>
      </c>
    </row>
    <row r="3258" spans="1:1" x14ac:dyDescent="0.25">
      <c r="A3258" t="s">
        <v>4260</v>
      </c>
    </row>
    <row r="3259" spans="1:1" x14ac:dyDescent="0.25">
      <c r="A3259" t="s">
        <v>4261</v>
      </c>
    </row>
    <row r="3260" spans="1:1" x14ac:dyDescent="0.25">
      <c r="A3260" t="s">
        <v>4262</v>
      </c>
    </row>
    <row r="3261" spans="1:1" x14ac:dyDescent="0.25">
      <c r="A3261" t="s">
        <v>4263</v>
      </c>
    </row>
    <row r="3262" spans="1:1" x14ac:dyDescent="0.25">
      <c r="A3262" t="s">
        <v>3397</v>
      </c>
    </row>
    <row r="3263" spans="1:1" x14ac:dyDescent="0.25">
      <c r="A3263" t="s">
        <v>4264</v>
      </c>
    </row>
    <row r="3264" spans="1:1" x14ac:dyDescent="0.25">
      <c r="A3264" t="s">
        <v>4265</v>
      </c>
    </row>
    <row r="3265" spans="1:1" x14ac:dyDescent="0.25">
      <c r="A3265" t="s">
        <v>4266</v>
      </c>
    </row>
    <row r="3266" spans="1:1" x14ac:dyDescent="0.25">
      <c r="A3266" t="s">
        <v>4267</v>
      </c>
    </row>
    <row r="3267" spans="1:1" x14ac:dyDescent="0.25">
      <c r="A3267" t="s">
        <v>3402</v>
      </c>
    </row>
    <row r="3269" spans="1:1" x14ac:dyDescent="0.25">
      <c r="A3269" t="s">
        <v>3392</v>
      </c>
    </row>
    <row r="3270" spans="1:1" x14ac:dyDescent="0.25">
      <c r="A3270" t="s">
        <v>4260</v>
      </c>
    </row>
    <row r="3271" spans="1:1" x14ac:dyDescent="0.25">
      <c r="A3271" t="s">
        <v>4268</v>
      </c>
    </row>
    <row r="3272" spans="1:1" x14ac:dyDescent="0.25">
      <c r="A3272" t="s">
        <v>4269</v>
      </c>
    </row>
    <row r="3273" spans="1:1" x14ac:dyDescent="0.25">
      <c r="A3273" t="s">
        <v>4263</v>
      </c>
    </row>
    <row r="3274" spans="1:1" x14ac:dyDescent="0.25">
      <c r="A3274" t="s">
        <v>3397</v>
      </c>
    </row>
    <row r="3275" spans="1:1" x14ac:dyDescent="0.25">
      <c r="A3275" t="s">
        <v>4264</v>
      </c>
    </row>
    <row r="3276" spans="1:1" x14ac:dyDescent="0.25">
      <c r="A3276" t="s">
        <v>4270</v>
      </c>
    </row>
    <row r="3277" spans="1:1" x14ac:dyDescent="0.25">
      <c r="A3277" t="s">
        <v>4271</v>
      </c>
    </row>
    <row r="3278" spans="1:1" x14ac:dyDescent="0.25">
      <c r="A3278" t="s">
        <v>4267</v>
      </c>
    </row>
    <row r="3279" spans="1:1" x14ac:dyDescent="0.25">
      <c r="A3279" t="s">
        <v>3402</v>
      </c>
    </row>
    <row r="3281" spans="1:1" x14ac:dyDescent="0.25">
      <c r="A3281" t="s">
        <v>3184</v>
      </c>
    </row>
    <row r="3282" spans="1:1" x14ac:dyDescent="0.25">
      <c r="A3282" t="s">
        <v>3230</v>
      </c>
    </row>
    <row r="3283" spans="1:1" x14ac:dyDescent="0.25">
      <c r="A3283" t="s">
        <v>4272</v>
      </c>
    </row>
    <row r="3284" spans="1:1" x14ac:dyDescent="0.25">
      <c r="A3284" t="s">
        <v>4273</v>
      </c>
    </row>
    <row r="3285" spans="1:1" x14ac:dyDescent="0.25">
      <c r="A3285" t="s">
        <v>4236</v>
      </c>
    </row>
    <row r="3286" spans="1:1" x14ac:dyDescent="0.25">
      <c r="A3286" t="s">
        <v>3214</v>
      </c>
    </row>
    <row r="3287" spans="1:1" x14ac:dyDescent="0.25">
      <c r="A3287" t="s">
        <v>3234</v>
      </c>
    </row>
    <row r="3288" spans="1:1" x14ac:dyDescent="0.25">
      <c r="A3288" t="s">
        <v>4274</v>
      </c>
    </row>
    <row r="3289" spans="1:1" x14ac:dyDescent="0.25">
      <c r="A3289" t="s">
        <v>4275</v>
      </c>
    </row>
    <row r="3290" spans="1:1" x14ac:dyDescent="0.25">
      <c r="A3290" t="s">
        <v>4276</v>
      </c>
    </row>
    <row r="3291" spans="1:1" x14ac:dyDescent="0.25">
      <c r="A3291" t="s">
        <v>3194</v>
      </c>
    </row>
    <row r="3293" spans="1:1" x14ac:dyDescent="0.25">
      <c r="A3293" t="s">
        <v>3184</v>
      </c>
    </row>
    <row r="3294" spans="1:1" x14ac:dyDescent="0.25">
      <c r="A3294" t="s">
        <v>3230</v>
      </c>
    </row>
    <row r="3295" spans="1:1" x14ac:dyDescent="0.25">
      <c r="A3295" t="s">
        <v>4277</v>
      </c>
    </row>
    <row r="3296" spans="1:1" x14ac:dyDescent="0.25">
      <c r="A3296" t="s">
        <v>4278</v>
      </c>
    </row>
    <row r="3297" spans="1:1" x14ac:dyDescent="0.25">
      <c r="A3297" t="s">
        <v>3233</v>
      </c>
    </row>
    <row r="3298" spans="1:1" x14ac:dyDescent="0.25">
      <c r="A3298" t="s">
        <v>3207</v>
      </c>
    </row>
    <row r="3299" spans="1:1" x14ac:dyDescent="0.25">
      <c r="A3299" t="s">
        <v>3234</v>
      </c>
    </row>
    <row r="3300" spans="1:1" x14ac:dyDescent="0.25">
      <c r="A3300" t="s">
        <v>4279</v>
      </c>
    </row>
    <row r="3301" spans="1:1" x14ac:dyDescent="0.25">
      <c r="A3301" t="s">
        <v>4280</v>
      </c>
    </row>
    <row r="3302" spans="1:1" x14ac:dyDescent="0.25">
      <c r="A3302" t="s">
        <v>4276</v>
      </c>
    </row>
    <row r="3303" spans="1:1" x14ac:dyDescent="0.25">
      <c r="A3303" t="s">
        <v>3194</v>
      </c>
    </row>
    <row r="3305" spans="1:1" x14ac:dyDescent="0.25">
      <c r="A3305" t="s">
        <v>3184</v>
      </c>
    </row>
    <row r="3306" spans="1:1" x14ac:dyDescent="0.25">
      <c r="A3306" t="s">
        <v>3230</v>
      </c>
    </row>
    <row r="3307" spans="1:1" x14ac:dyDescent="0.25">
      <c r="A3307" t="s">
        <v>4281</v>
      </c>
    </row>
    <row r="3308" spans="1:1" x14ac:dyDescent="0.25">
      <c r="A3308" t="s">
        <v>4282</v>
      </c>
    </row>
    <row r="3309" spans="1:1" x14ac:dyDescent="0.25">
      <c r="A3309" t="s">
        <v>4236</v>
      </c>
    </row>
    <row r="3310" spans="1:1" x14ac:dyDescent="0.25">
      <c r="A3310" t="s">
        <v>3214</v>
      </c>
    </row>
    <row r="3311" spans="1:1" x14ac:dyDescent="0.25">
      <c r="A3311" t="s">
        <v>3234</v>
      </c>
    </row>
    <row r="3312" spans="1:1" x14ac:dyDescent="0.25">
      <c r="A3312" t="s">
        <v>4283</v>
      </c>
    </row>
    <row r="3313" spans="1:1" x14ac:dyDescent="0.25">
      <c r="A3313" t="s">
        <v>4284</v>
      </c>
    </row>
    <row r="3314" spans="1:1" x14ac:dyDescent="0.25">
      <c r="A3314" t="s">
        <v>4276</v>
      </c>
    </row>
    <row r="3315" spans="1:1" x14ac:dyDescent="0.25">
      <c r="A3315" t="s">
        <v>3194</v>
      </c>
    </row>
    <row r="3317" spans="1:1" x14ac:dyDescent="0.25">
      <c r="A3317" t="s">
        <v>3392</v>
      </c>
    </row>
    <row r="3318" spans="1:1" x14ac:dyDescent="0.25">
      <c r="A3318" t="s">
        <v>4260</v>
      </c>
    </row>
    <row r="3319" spans="1:1" x14ac:dyDescent="0.25">
      <c r="A3319" t="s">
        <v>4285</v>
      </c>
    </row>
    <row r="3320" spans="1:1" x14ac:dyDescent="0.25">
      <c r="A3320" t="s">
        <v>4286</v>
      </c>
    </row>
    <row r="3321" spans="1:1" x14ac:dyDescent="0.25">
      <c r="A3321" t="s">
        <v>4263</v>
      </c>
    </row>
    <row r="3322" spans="1:1" x14ac:dyDescent="0.25">
      <c r="A3322" t="s">
        <v>3397</v>
      </c>
    </row>
    <row r="3323" spans="1:1" x14ac:dyDescent="0.25">
      <c r="A3323" t="s">
        <v>4264</v>
      </c>
    </row>
    <row r="3324" spans="1:1" x14ac:dyDescent="0.25">
      <c r="A3324" t="s">
        <v>4265</v>
      </c>
    </row>
    <row r="3325" spans="1:1" x14ac:dyDescent="0.25">
      <c r="A3325" t="s">
        <v>4287</v>
      </c>
    </row>
    <row r="3326" spans="1:1" x14ac:dyDescent="0.25">
      <c r="A3326" t="s">
        <v>4267</v>
      </c>
    </row>
    <row r="3327" spans="1:1" x14ac:dyDescent="0.25">
      <c r="A3327" t="s">
        <v>3402</v>
      </c>
    </row>
    <row r="3329" spans="1:1" x14ac:dyDescent="0.25">
      <c r="A3329" t="s">
        <v>3184</v>
      </c>
    </row>
    <row r="3330" spans="1:1" x14ac:dyDescent="0.25">
      <c r="A3330" t="s">
        <v>3230</v>
      </c>
    </row>
    <row r="3331" spans="1:1" x14ac:dyDescent="0.25">
      <c r="A3331" t="s">
        <v>4288</v>
      </c>
    </row>
    <row r="3332" spans="1:1" x14ac:dyDescent="0.25">
      <c r="A3332" t="s">
        <v>4289</v>
      </c>
    </row>
    <row r="3333" spans="1:1" x14ac:dyDescent="0.25">
      <c r="A3333" t="s">
        <v>4236</v>
      </c>
    </row>
    <row r="3334" spans="1:1" x14ac:dyDescent="0.25">
      <c r="A3334" t="s">
        <v>3214</v>
      </c>
    </row>
    <row r="3335" spans="1:1" x14ac:dyDescent="0.25">
      <c r="A3335" t="s">
        <v>3234</v>
      </c>
    </row>
    <row r="3336" spans="1:1" x14ac:dyDescent="0.25">
      <c r="A3336" t="s">
        <v>3247</v>
      </c>
    </row>
    <row r="3337" spans="1:1" x14ac:dyDescent="0.25">
      <c r="A3337" t="s">
        <v>4290</v>
      </c>
    </row>
    <row r="3338" spans="1:1" x14ac:dyDescent="0.25">
      <c r="A3338" t="s">
        <v>3194</v>
      </c>
    </row>
    <row r="3340" spans="1:1" x14ac:dyDescent="0.25">
      <c r="A3340" t="s">
        <v>3184</v>
      </c>
    </row>
    <row r="3341" spans="1:1" x14ac:dyDescent="0.25">
      <c r="A3341" t="s">
        <v>3230</v>
      </c>
    </row>
    <row r="3342" spans="1:1" x14ac:dyDescent="0.25">
      <c r="A3342" t="s">
        <v>4291</v>
      </c>
    </row>
    <row r="3343" spans="1:1" x14ac:dyDescent="0.25">
      <c r="A3343" t="s">
        <v>4292</v>
      </c>
    </row>
    <row r="3344" spans="1:1" x14ac:dyDescent="0.25">
      <c r="A3344" t="s">
        <v>4236</v>
      </c>
    </row>
    <row r="3345" spans="1:1" x14ac:dyDescent="0.25">
      <c r="A3345" t="s">
        <v>3214</v>
      </c>
    </row>
    <row r="3346" spans="1:1" x14ac:dyDescent="0.25">
      <c r="A3346" t="s">
        <v>3234</v>
      </c>
    </row>
    <row r="3347" spans="1:1" x14ac:dyDescent="0.25">
      <c r="A3347" t="s">
        <v>4258</v>
      </c>
    </row>
    <row r="3348" spans="1:1" x14ac:dyDescent="0.25">
      <c r="A3348" t="s">
        <v>4293</v>
      </c>
    </row>
    <row r="3349" spans="1:1" x14ac:dyDescent="0.25">
      <c r="A3349" t="s">
        <v>3194</v>
      </c>
    </row>
    <row r="3351" spans="1:1" x14ac:dyDescent="0.25">
      <c r="A3351" t="s">
        <v>3184</v>
      </c>
    </row>
    <row r="3352" spans="1:1" x14ac:dyDescent="0.25">
      <c r="A3352" t="s">
        <v>3230</v>
      </c>
    </row>
    <row r="3353" spans="1:1" x14ac:dyDescent="0.25">
      <c r="A3353" t="s">
        <v>4294</v>
      </c>
    </row>
    <row r="3354" spans="1:1" x14ac:dyDescent="0.25">
      <c r="A3354" t="s">
        <v>4295</v>
      </c>
    </row>
    <row r="3355" spans="1:1" x14ac:dyDescent="0.25">
      <c r="A3355" t="s">
        <v>4236</v>
      </c>
    </row>
    <row r="3356" spans="1:1" x14ac:dyDescent="0.25">
      <c r="A3356" t="s">
        <v>3214</v>
      </c>
    </row>
    <row r="3357" spans="1:1" x14ac:dyDescent="0.25">
      <c r="A3357" t="s">
        <v>3234</v>
      </c>
    </row>
    <row r="3358" spans="1:1" x14ac:dyDescent="0.25">
      <c r="A3358" t="s">
        <v>4296</v>
      </c>
    </row>
    <row r="3359" spans="1:1" x14ac:dyDescent="0.25">
      <c r="A3359" t="s">
        <v>4297</v>
      </c>
    </row>
    <row r="3360" spans="1:1" x14ac:dyDescent="0.25">
      <c r="A3360" t="s">
        <v>4276</v>
      </c>
    </row>
    <row r="3361" spans="1:1" x14ac:dyDescent="0.25">
      <c r="A3361" t="s">
        <v>3194</v>
      </c>
    </row>
    <row r="3363" spans="1:1" x14ac:dyDescent="0.25">
      <c r="A3363" t="s">
        <v>3184</v>
      </c>
    </row>
    <row r="3364" spans="1:1" x14ac:dyDescent="0.25">
      <c r="A3364" t="s">
        <v>3230</v>
      </c>
    </row>
    <row r="3365" spans="1:1" x14ac:dyDescent="0.25">
      <c r="A3365" t="s">
        <v>4298</v>
      </c>
    </row>
    <row r="3366" spans="1:1" x14ac:dyDescent="0.25">
      <c r="A3366" t="s">
        <v>4299</v>
      </c>
    </row>
    <row r="3367" spans="1:1" x14ac:dyDescent="0.25">
      <c r="A3367" t="s">
        <v>4236</v>
      </c>
    </row>
    <row r="3368" spans="1:1" x14ac:dyDescent="0.25">
      <c r="A3368" t="s">
        <v>3214</v>
      </c>
    </row>
    <row r="3369" spans="1:1" x14ac:dyDescent="0.25">
      <c r="A3369" t="s">
        <v>3234</v>
      </c>
    </row>
    <row r="3370" spans="1:1" x14ac:dyDescent="0.25">
      <c r="A3370" t="s">
        <v>4247</v>
      </c>
    </row>
    <row r="3371" spans="1:1" x14ac:dyDescent="0.25">
      <c r="A3371" t="s">
        <v>4300</v>
      </c>
    </row>
    <row r="3372" spans="1:1" x14ac:dyDescent="0.25">
      <c r="A3372" t="s">
        <v>4276</v>
      </c>
    </row>
    <row r="3373" spans="1:1" x14ac:dyDescent="0.25">
      <c r="A3373" t="s">
        <v>3194</v>
      </c>
    </row>
    <row r="3375" spans="1:1" x14ac:dyDescent="0.25">
      <c r="A3375" t="s">
        <v>3184</v>
      </c>
    </row>
    <row r="3376" spans="1:1" x14ac:dyDescent="0.25">
      <c r="A3376" t="s">
        <v>3230</v>
      </c>
    </row>
    <row r="3377" spans="1:1" x14ac:dyDescent="0.25">
      <c r="A3377" t="s">
        <v>4301</v>
      </c>
    </row>
    <row r="3378" spans="1:1" x14ac:dyDescent="0.25">
      <c r="A3378" t="s">
        <v>4302</v>
      </c>
    </row>
    <row r="3379" spans="1:1" x14ac:dyDescent="0.25">
      <c r="A3379" t="s">
        <v>4236</v>
      </c>
    </row>
    <row r="3380" spans="1:1" x14ac:dyDescent="0.25">
      <c r="A3380" t="s">
        <v>3214</v>
      </c>
    </row>
    <row r="3381" spans="1:1" x14ac:dyDescent="0.25">
      <c r="A3381" t="s">
        <v>3234</v>
      </c>
    </row>
    <row r="3382" spans="1:1" x14ac:dyDescent="0.25">
      <c r="A3382" t="s">
        <v>4303</v>
      </c>
    </row>
    <row r="3383" spans="1:1" x14ac:dyDescent="0.25">
      <c r="A3383" t="s">
        <v>4304</v>
      </c>
    </row>
    <row r="3384" spans="1:1" x14ac:dyDescent="0.25">
      <c r="A3384" t="s">
        <v>3194</v>
      </c>
    </row>
    <row r="3386" spans="1:1" x14ac:dyDescent="0.25">
      <c r="A3386" t="s">
        <v>3184</v>
      </c>
    </row>
    <row r="3387" spans="1:1" x14ac:dyDescent="0.25">
      <c r="A3387" t="s">
        <v>3230</v>
      </c>
    </row>
    <row r="3388" spans="1:1" x14ac:dyDescent="0.25">
      <c r="A3388" t="s">
        <v>4305</v>
      </c>
    </row>
    <row r="3389" spans="1:1" x14ac:dyDescent="0.25">
      <c r="A3389" t="s">
        <v>4306</v>
      </c>
    </row>
    <row r="3390" spans="1:1" x14ac:dyDescent="0.25">
      <c r="A3390" t="s">
        <v>4236</v>
      </c>
    </row>
    <row r="3391" spans="1:1" x14ac:dyDescent="0.25">
      <c r="A3391" t="s">
        <v>3214</v>
      </c>
    </row>
    <row r="3392" spans="1:1" x14ac:dyDescent="0.25">
      <c r="A3392" t="s">
        <v>3234</v>
      </c>
    </row>
    <row r="3393" spans="1:1" x14ac:dyDescent="0.25">
      <c r="A3393" t="s">
        <v>4258</v>
      </c>
    </row>
    <row r="3394" spans="1:1" x14ac:dyDescent="0.25">
      <c r="A3394" t="s">
        <v>4307</v>
      </c>
    </row>
    <row r="3395" spans="1:1" x14ac:dyDescent="0.25">
      <c r="A3395" t="s">
        <v>3194</v>
      </c>
    </row>
    <row r="3397" spans="1:1" x14ac:dyDescent="0.25">
      <c r="A3397" t="s">
        <v>3184</v>
      </c>
    </row>
    <row r="3398" spans="1:1" x14ac:dyDescent="0.25">
      <c r="A3398" t="s">
        <v>3230</v>
      </c>
    </row>
    <row r="3399" spans="1:1" x14ac:dyDescent="0.25">
      <c r="A3399" t="s">
        <v>4308</v>
      </c>
    </row>
    <row r="3400" spans="1:1" x14ac:dyDescent="0.25">
      <c r="A3400" t="s">
        <v>4309</v>
      </c>
    </row>
    <row r="3401" spans="1:1" x14ac:dyDescent="0.25">
      <c r="A3401" t="s">
        <v>4236</v>
      </c>
    </row>
    <row r="3402" spans="1:1" x14ac:dyDescent="0.25">
      <c r="A3402" t="s">
        <v>3214</v>
      </c>
    </row>
    <row r="3403" spans="1:1" x14ac:dyDescent="0.25">
      <c r="A3403" t="s">
        <v>3234</v>
      </c>
    </row>
    <row r="3404" spans="1:1" x14ac:dyDescent="0.25">
      <c r="A3404" t="s">
        <v>3247</v>
      </c>
    </row>
    <row r="3405" spans="1:1" x14ac:dyDescent="0.25">
      <c r="A3405" t="s">
        <v>4310</v>
      </c>
    </row>
    <row r="3406" spans="1:1" x14ac:dyDescent="0.25">
      <c r="A3406" t="s">
        <v>3194</v>
      </c>
    </row>
    <row r="3408" spans="1:1" x14ac:dyDescent="0.25">
      <c r="A3408" t="s">
        <v>3184</v>
      </c>
    </row>
    <row r="3409" spans="1:1" x14ac:dyDescent="0.25">
      <c r="A3409" t="s">
        <v>3230</v>
      </c>
    </row>
    <row r="3410" spans="1:1" x14ac:dyDescent="0.25">
      <c r="A3410" t="s">
        <v>4311</v>
      </c>
    </row>
    <row r="3411" spans="1:1" x14ac:dyDescent="0.25">
      <c r="A3411" t="s">
        <v>4312</v>
      </c>
    </row>
    <row r="3412" spans="1:1" x14ac:dyDescent="0.25">
      <c r="A3412" t="s">
        <v>4236</v>
      </c>
    </row>
    <row r="3413" spans="1:1" x14ac:dyDescent="0.25">
      <c r="A3413" t="s">
        <v>3214</v>
      </c>
    </row>
    <row r="3414" spans="1:1" x14ac:dyDescent="0.25">
      <c r="A3414" t="s">
        <v>3234</v>
      </c>
    </row>
    <row r="3415" spans="1:1" x14ac:dyDescent="0.25">
      <c r="A3415" t="s">
        <v>3247</v>
      </c>
    </row>
    <row r="3416" spans="1:1" x14ac:dyDescent="0.25">
      <c r="A3416" t="s">
        <v>4313</v>
      </c>
    </row>
    <row r="3417" spans="1:1" x14ac:dyDescent="0.25">
      <c r="A3417" t="s">
        <v>3194</v>
      </c>
    </row>
    <row r="3419" spans="1:1" x14ac:dyDescent="0.25">
      <c r="A3419" t="s">
        <v>3184</v>
      </c>
    </row>
    <row r="3420" spans="1:1" x14ac:dyDescent="0.25">
      <c r="A3420" t="s">
        <v>3230</v>
      </c>
    </row>
    <row r="3421" spans="1:1" x14ac:dyDescent="0.25">
      <c r="A3421" t="s">
        <v>4314</v>
      </c>
    </row>
    <row r="3422" spans="1:1" x14ac:dyDescent="0.25">
      <c r="A3422" t="s">
        <v>4315</v>
      </c>
    </row>
    <row r="3423" spans="1:1" x14ac:dyDescent="0.25">
      <c r="A3423" t="s">
        <v>4236</v>
      </c>
    </row>
    <row r="3424" spans="1:1" x14ac:dyDescent="0.25">
      <c r="A3424" t="s">
        <v>3214</v>
      </c>
    </row>
    <row r="3425" spans="1:1" x14ac:dyDescent="0.25">
      <c r="A3425" t="s">
        <v>3234</v>
      </c>
    </row>
    <row r="3426" spans="1:1" x14ac:dyDescent="0.25">
      <c r="A3426" t="s">
        <v>4258</v>
      </c>
    </row>
    <row r="3427" spans="1:1" x14ac:dyDescent="0.25">
      <c r="A3427" t="s">
        <v>4316</v>
      </c>
    </row>
    <row r="3428" spans="1:1" x14ac:dyDescent="0.25">
      <c r="A3428" t="s">
        <v>3194</v>
      </c>
    </row>
    <row r="3430" spans="1:1" x14ac:dyDescent="0.25">
      <c r="A3430" t="s">
        <v>3184</v>
      </c>
    </row>
    <row r="3431" spans="1:1" x14ac:dyDescent="0.25">
      <c r="A3431" t="s">
        <v>3230</v>
      </c>
    </row>
    <row r="3432" spans="1:1" x14ac:dyDescent="0.25">
      <c r="A3432" t="s">
        <v>4317</v>
      </c>
    </row>
    <row r="3433" spans="1:1" x14ac:dyDescent="0.25">
      <c r="A3433" t="s">
        <v>4318</v>
      </c>
    </row>
    <row r="3434" spans="1:1" x14ac:dyDescent="0.25">
      <c r="A3434" t="s">
        <v>4236</v>
      </c>
    </row>
    <row r="3435" spans="1:1" x14ac:dyDescent="0.25">
      <c r="A3435" t="s">
        <v>3214</v>
      </c>
    </row>
    <row r="3436" spans="1:1" x14ac:dyDescent="0.25">
      <c r="A3436" t="s">
        <v>3234</v>
      </c>
    </row>
    <row r="3437" spans="1:1" x14ac:dyDescent="0.25">
      <c r="A3437" t="s">
        <v>3247</v>
      </c>
    </row>
    <row r="3438" spans="1:1" x14ac:dyDescent="0.25">
      <c r="A3438" t="s">
        <v>4319</v>
      </c>
    </row>
    <row r="3439" spans="1:1" x14ac:dyDescent="0.25">
      <c r="A3439" t="s">
        <v>3194</v>
      </c>
    </row>
    <row r="3441" spans="1:1" x14ac:dyDescent="0.25">
      <c r="A3441" t="s">
        <v>3184</v>
      </c>
    </row>
    <row r="3442" spans="1:1" x14ac:dyDescent="0.25">
      <c r="A3442" t="s">
        <v>3230</v>
      </c>
    </row>
    <row r="3443" spans="1:1" x14ac:dyDescent="0.25">
      <c r="A3443" t="s">
        <v>4320</v>
      </c>
    </row>
    <row r="3444" spans="1:1" x14ac:dyDescent="0.25">
      <c r="A3444" t="s">
        <v>4321</v>
      </c>
    </row>
    <row r="3445" spans="1:1" x14ac:dyDescent="0.25">
      <c r="A3445" t="s">
        <v>4236</v>
      </c>
    </row>
    <row r="3446" spans="1:1" x14ac:dyDescent="0.25">
      <c r="A3446" t="s">
        <v>3214</v>
      </c>
    </row>
    <row r="3447" spans="1:1" x14ac:dyDescent="0.25">
      <c r="A3447" t="s">
        <v>3234</v>
      </c>
    </row>
    <row r="3448" spans="1:1" x14ac:dyDescent="0.25">
      <c r="A3448" t="s">
        <v>4258</v>
      </c>
    </row>
    <row r="3449" spans="1:1" x14ac:dyDescent="0.25">
      <c r="A3449" t="s">
        <v>4322</v>
      </c>
    </row>
    <row r="3450" spans="1:1" x14ac:dyDescent="0.25">
      <c r="A3450" t="s">
        <v>3194</v>
      </c>
    </row>
    <row r="3452" spans="1:1" x14ac:dyDescent="0.25">
      <c r="A3452" t="s">
        <v>3184</v>
      </c>
    </row>
    <row r="3453" spans="1:1" x14ac:dyDescent="0.25">
      <c r="A3453" t="s">
        <v>3230</v>
      </c>
    </row>
    <row r="3454" spans="1:1" x14ac:dyDescent="0.25">
      <c r="A3454" t="s">
        <v>4323</v>
      </c>
    </row>
    <row r="3455" spans="1:1" x14ac:dyDescent="0.25">
      <c r="A3455" t="s">
        <v>4324</v>
      </c>
    </row>
    <row r="3456" spans="1:1" x14ac:dyDescent="0.25">
      <c r="A3456" t="s">
        <v>4236</v>
      </c>
    </row>
    <row r="3457" spans="1:1" x14ac:dyDescent="0.25">
      <c r="A3457" t="s">
        <v>3214</v>
      </c>
    </row>
    <row r="3458" spans="1:1" x14ac:dyDescent="0.25">
      <c r="A3458" t="s">
        <v>3234</v>
      </c>
    </row>
    <row r="3459" spans="1:1" x14ac:dyDescent="0.25">
      <c r="A3459" t="s">
        <v>4258</v>
      </c>
    </row>
    <row r="3460" spans="1:1" x14ac:dyDescent="0.25">
      <c r="A3460" t="s">
        <v>4325</v>
      </c>
    </row>
    <row r="3461" spans="1:1" x14ac:dyDescent="0.25">
      <c r="A3461" t="s">
        <v>3194</v>
      </c>
    </row>
    <row r="3463" spans="1:1" x14ac:dyDescent="0.25">
      <c r="A3463" t="s">
        <v>3184</v>
      </c>
    </row>
    <row r="3464" spans="1:1" x14ac:dyDescent="0.25">
      <c r="A3464" t="s">
        <v>3230</v>
      </c>
    </row>
    <row r="3465" spans="1:1" x14ac:dyDescent="0.25">
      <c r="A3465" t="s">
        <v>4326</v>
      </c>
    </row>
    <row r="3466" spans="1:1" x14ac:dyDescent="0.25">
      <c r="A3466" t="s">
        <v>4327</v>
      </c>
    </row>
    <row r="3467" spans="1:1" x14ac:dyDescent="0.25">
      <c r="A3467" t="s">
        <v>4236</v>
      </c>
    </row>
    <row r="3468" spans="1:1" x14ac:dyDescent="0.25">
      <c r="A3468" t="s">
        <v>3214</v>
      </c>
    </row>
    <row r="3469" spans="1:1" x14ac:dyDescent="0.25">
      <c r="A3469" t="s">
        <v>3234</v>
      </c>
    </row>
    <row r="3470" spans="1:1" x14ac:dyDescent="0.25">
      <c r="A3470" t="s">
        <v>4258</v>
      </c>
    </row>
    <row r="3471" spans="1:1" x14ac:dyDescent="0.25">
      <c r="A3471" t="s">
        <v>4328</v>
      </c>
    </row>
    <row r="3472" spans="1:1" x14ac:dyDescent="0.25">
      <c r="A3472" t="s">
        <v>3194</v>
      </c>
    </row>
    <row r="3474" spans="1:1" x14ac:dyDescent="0.25">
      <c r="A3474" t="s">
        <v>3184</v>
      </c>
    </row>
    <row r="3475" spans="1:1" x14ac:dyDescent="0.25">
      <c r="A3475" t="s">
        <v>3230</v>
      </c>
    </row>
    <row r="3476" spans="1:1" x14ac:dyDescent="0.25">
      <c r="A3476" t="s">
        <v>4329</v>
      </c>
    </row>
    <row r="3477" spans="1:1" x14ac:dyDescent="0.25">
      <c r="A3477" t="s">
        <v>4330</v>
      </c>
    </row>
    <row r="3478" spans="1:1" x14ac:dyDescent="0.25">
      <c r="A3478" t="s">
        <v>4236</v>
      </c>
    </row>
    <row r="3479" spans="1:1" x14ac:dyDescent="0.25">
      <c r="A3479" t="s">
        <v>3214</v>
      </c>
    </row>
    <row r="3480" spans="1:1" x14ac:dyDescent="0.25">
      <c r="A3480" t="s">
        <v>3234</v>
      </c>
    </row>
    <row r="3481" spans="1:1" x14ac:dyDescent="0.25">
      <c r="A3481" t="s">
        <v>4331</v>
      </c>
    </row>
    <row r="3482" spans="1:1" x14ac:dyDescent="0.25">
      <c r="A3482" t="s">
        <v>4332</v>
      </c>
    </row>
    <row r="3483" spans="1:1" x14ac:dyDescent="0.25">
      <c r="A3483" t="s">
        <v>3194</v>
      </c>
    </row>
    <row r="3485" spans="1:1" x14ac:dyDescent="0.25">
      <c r="A3485" t="s">
        <v>3184</v>
      </c>
    </row>
    <row r="3486" spans="1:1" x14ac:dyDescent="0.25">
      <c r="A3486" t="s">
        <v>3230</v>
      </c>
    </row>
    <row r="3487" spans="1:1" x14ac:dyDescent="0.25">
      <c r="A3487" t="s">
        <v>4333</v>
      </c>
    </row>
    <row r="3488" spans="1:1" x14ac:dyDescent="0.25">
      <c r="A3488" t="s">
        <v>4334</v>
      </c>
    </row>
    <row r="3489" spans="1:1" x14ac:dyDescent="0.25">
      <c r="A3489" t="s">
        <v>4236</v>
      </c>
    </row>
    <row r="3490" spans="1:1" x14ac:dyDescent="0.25">
      <c r="A3490" t="s">
        <v>3214</v>
      </c>
    </row>
    <row r="3491" spans="1:1" x14ac:dyDescent="0.25">
      <c r="A3491" t="s">
        <v>3234</v>
      </c>
    </row>
    <row r="3492" spans="1:1" x14ac:dyDescent="0.25">
      <c r="A3492" t="s">
        <v>4296</v>
      </c>
    </row>
    <row r="3493" spans="1:1" x14ac:dyDescent="0.25">
      <c r="A3493" t="s">
        <v>4335</v>
      </c>
    </row>
    <row r="3494" spans="1:1" x14ac:dyDescent="0.25">
      <c r="A3494" t="s">
        <v>4276</v>
      </c>
    </row>
    <row r="3495" spans="1:1" x14ac:dyDescent="0.25">
      <c r="A3495" t="s">
        <v>3194</v>
      </c>
    </row>
    <row r="3497" spans="1:1" x14ac:dyDescent="0.25">
      <c r="A3497" t="s">
        <v>3184</v>
      </c>
    </row>
    <row r="3498" spans="1:1" x14ac:dyDescent="0.25">
      <c r="A3498" t="s">
        <v>3230</v>
      </c>
    </row>
    <row r="3499" spans="1:1" x14ac:dyDescent="0.25">
      <c r="A3499" t="s">
        <v>4336</v>
      </c>
    </row>
    <row r="3500" spans="1:1" x14ac:dyDescent="0.25">
      <c r="A3500" t="s">
        <v>4337</v>
      </c>
    </row>
    <row r="3501" spans="1:1" x14ac:dyDescent="0.25">
      <c r="A3501" t="s">
        <v>4236</v>
      </c>
    </row>
    <row r="3502" spans="1:1" x14ac:dyDescent="0.25">
      <c r="A3502" t="s">
        <v>3214</v>
      </c>
    </row>
    <row r="3503" spans="1:1" x14ac:dyDescent="0.25">
      <c r="A3503" t="s">
        <v>3234</v>
      </c>
    </row>
    <row r="3504" spans="1:1" x14ac:dyDescent="0.25">
      <c r="A3504" t="s">
        <v>4258</v>
      </c>
    </row>
    <row r="3505" spans="1:1" x14ac:dyDescent="0.25">
      <c r="A3505" t="s">
        <v>4338</v>
      </c>
    </row>
    <row r="3506" spans="1:1" x14ac:dyDescent="0.25">
      <c r="A3506" t="s">
        <v>4276</v>
      </c>
    </row>
    <row r="3507" spans="1:1" x14ac:dyDescent="0.25">
      <c r="A3507" t="s">
        <v>3194</v>
      </c>
    </row>
    <row r="3509" spans="1:1" x14ac:dyDescent="0.25">
      <c r="A3509" t="s">
        <v>3184</v>
      </c>
    </row>
    <row r="3510" spans="1:1" x14ac:dyDescent="0.25">
      <c r="A3510" t="s">
        <v>3230</v>
      </c>
    </row>
    <row r="3511" spans="1:1" x14ac:dyDescent="0.25">
      <c r="A3511" t="s">
        <v>4339</v>
      </c>
    </row>
    <row r="3512" spans="1:1" x14ac:dyDescent="0.25">
      <c r="A3512" t="s">
        <v>4340</v>
      </c>
    </row>
    <row r="3513" spans="1:1" x14ac:dyDescent="0.25">
      <c r="A3513" t="s">
        <v>4236</v>
      </c>
    </row>
    <row r="3514" spans="1:1" x14ac:dyDescent="0.25">
      <c r="A3514" t="s">
        <v>3214</v>
      </c>
    </row>
    <row r="3515" spans="1:1" x14ac:dyDescent="0.25">
      <c r="A3515" t="s">
        <v>3234</v>
      </c>
    </row>
    <row r="3516" spans="1:1" x14ac:dyDescent="0.25">
      <c r="A3516" t="s">
        <v>4341</v>
      </c>
    </row>
    <row r="3517" spans="1:1" x14ac:dyDescent="0.25">
      <c r="A3517" t="s">
        <v>4342</v>
      </c>
    </row>
    <row r="3518" spans="1:1" x14ac:dyDescent="0.25">
      <c r="A3518" t="s">
        <v>4276</v>
      </c>
    </row>
    <row r="3519" spans="1:1" x14ac:dyDescent="0.25">
      <c r="A3519" t="s">
        <v>3194</v>
      </c>
    </row>
    <row r="3521" spans="1:1" x14ac:dyDescent="0.25">
      <c r="A3521" t="s">
        <v>3184</v>
      </c>
    </row>
    <row r="3522" spans="1:1" x14ac:dyDescent="0.25">
      <c r="A3522" t="s">
        <v>3230</v>
      </c>
    </row>
    <row r="3523" spans="1:1" x14ac:dyDescent="0.25">
      <c r="A3523" t="s">
        <v>4343</v>
      </c>
    </row>
    <row r="3524" spans="1:1" x14ac:dyDescent="0.25">
      <c r="A3524" t="s">
        <v>4344</v>
      </c>
    </row>
    <row r="3525" spans="1:1" x14ac:dyDescent="0.25">
      <c r="A3525" t="s">
        <v>4236</v>
      </c>
    </row>
    <row r="3526" spans="1:1" x14ac:dyDescent="0.25">
      <c r="A3526" t="s">
        <v>3214</v>
      </c>
    </row>
    <row r="3527" spans="1:1" x14ac:dyDescent="0.25">
      <c r="A3527" t="s">
        <v>3234</v>
      </c>
    </row>
    <row r="3528" spans="1:1" x14ac:dyDescent="0.25">
      <c r="A3528" t="s">
        <v>4258</v>
      </c>
    </row>
    <row r="3529" spans="1:1" x14ac:dyDescent="0.25">
      <c r="A3529" t="s">
        <v>4345</v>
      </c>
    </row>
    <row r="3530" spans="1:1" x14ac:dyDescent="0.25">
      <c r="A3530" t="s">
        <v>3194</v>
      </c>
    </row>
    <row r="3532" spans="1:1" x14ac:dyDescent="0.25">
      <c r="A3532" t="s">
        <v>3184</v>
      </c>
    </row>
    <row r="3533" spans="1:1" x14ac:dyDescent="0.25">
      <c r="A3533" t="s">
        <v>3230</v>
      </c>
    </row>
    <row r="3534" spans="1:1" x14ac:dyDescent="0.25">
      <c r="A3534" t="s">
        <v>4346</v>
      </c>
    </row>
    <row r="3535" spans="1:1" x14ac:dyDescent="0.25">
      <c r="A3535" t="s">
        <v>4347</v>
      </c>
    </row>
    <row r="3536" spans="1:1" x14ac:dyDescent="0.25">
      <c r="A3536" t="s">
        <v>4236</v>
      </c>
    </row>
    <row r="3537" spans="1:1" x14ac:dyDescent="0.25">
      <c r="A3537" t="s">
        <v>3214</v>
      </c>
    </row>
    <row r="3538" spans="1:1" x14ac:dyDescent="0.25">
      <c r="A3538" t="s">
        <v>3234</v>
      </c>
    </row>
    <row r="3539" spans="1:1" x14ac:dyDescent="0.25">
      <c r="A3539" t="s">
        <v>4348</v>
      </c>
    </row>
    <row r="3540" spans="1:1" x14ac:dyDescent="0.25">
      <c r="A3540" t="s">
        <v>4349</v>
      </c>
    </row>
    <row r="3541" spans="1:1" x14ac:dyDescent="0.25">
      <c r="A3541" t="s">
        <v>4276</v>
      </c>
    </row>
    <row r="3542" spans="1:1" x14ac:dyDescent="0.25">
      <c r="A3542" t="s">
        <v>3194</v>
      </c>
    </row>
    <row r="3544" spans="1:1" x14ac:dyDescent="0.25">
      <c r="A3544" t="s">
        <v>3184</v>
      </c>
    </row>
    <row r="3545" spans="1:1" x14ac:dyDescent="0.25">
      <c r="A3545" t="s">
        <v>3230</v>
      </c>
    </row>
    <row r="3546" spans="1:1" x14ac:dyDescent="0.25">
      <c r="A3546" t="s">
        <v>4350</v>
      </c>
    </row>
    <row r="3547" spans="1:1" x14ac:dyDescent="0.25">
      <c r="A3547" t="s">
        <v>4351</v>
      </c>
    </row>
    <row r="3548" spans="1:1" x14ac:dyDescent="0.25">
      <c r="A3548" t="s">
        <v>4236</v>
      </c>
    </row>
    <row r="3549" spans="1:1" x14ac:dyDescent="0.25">
      <c r="A3549" t="s">
        <v>3214</v>
      </c>
    </row>
    <row r="3550" spans="1:1" x14ac:dyDescent="0.25">
      <c r="A3550" t="s">
        <v>3234</v>
      </c>
    </row>
    <row r="3551" spans="1:1" x14ac:dyDescent="0.25">
      <c r="A3551" t="s">
        <v>4352</v>
      </c>
    </row>
    <row r="3552" spans="1:1" x14ac:dyDescent="0.25">
      <c r="A3552" t="s">
        <v>4353</v>
      </c>
    </row>
    <row r="3553" spans="1:1" x14ac:dyDescent="0.25">
      <c r="A3553" t="s">
        <v>3194</v>
      </c>
    </row>
    <row r="3555" spans="1:1" x14ac:dyDescent="0.25">
      <c r="A3555" t="s">
        <v>3184</v>
      </c>
    </row>
    <row r="3556" spans="1:1" x14ac:dyDescent="0.25">
      <c r="A3556" t="s">
        <v>3230</v>
      </c>
    </row>
    <row r="3557" spans="1:1" x14ac:dyDescent="0.25">
      <c r="A3557" t="s">
        <v>4354</v>
      </c>
    </row>
    <row r="3558" spans="1:1" x14ac:dyDescent="0.25">
      <c r="A3558" t="s">
        <v>4355</v>
      </c>
    </row>
    <row r="3559" spans="1:1" x14ac:dyDescent="0.25">
      <c r="A3559" t="s">
        <v>4236</v>
      </c>
    </row>
    <row r="3560" spans="1:1" x14ac:dyDescent="0.25">
      <c r="A3560" t="s">
        <v>3214</v>
      </c>
    </row>
    <row r="3561" spans="1:1" x14ac:dyDescent="0.25">
      <c r="A3561" t="s">
        <v>3234</v>
      </c>
    </row>
    <row r="3562" spans="1:1" x14ac:dyDescent="0.25">
      <c r="A3562" t="s">
        <v>4283</v>
      </c>
    </row>
    <row r="3563" spans="1:1" x14ac:dyDescent="0.25">
      <c r="A3563" t="s">
        <v>4356</v>
      </c>
    </row>
    <row r="3564" spans="1:1" x14ac:dyDescent="0.25">
      <c r="A3564" t="s">
        <v>3194</v>
      </c>
    </row>
    <row r="3566" spans="1:1" x14ac:dyDescent="0.25">
      <c r="A3566" t="s">
        <v>3184</v>
      </c>
    </row>
    <row r="3567" spans="1:1" x14ac:dyDescent="0.25">
      <c r="A3567" t="s">
        <v>3230</v>
      </c>
    </row>
    <row r="3568" spans="1:1" x14ac:dyDescent="0.25">
      <c r="A3568" t="s">
        <v>4357</v>
      </c>
    </row>
    <row r="3569" spans="1:1" x14ac:dyDescent="0.25">
      <c r="A3569" t="s">
        <v>4358</v>
      </c>
    </row>
    <row r="3570" spans="1:1" x14ac:dyDescent="0.25">
      <c r="A3570" t="s">
        <v>4236</v>
      </c>
    </row>
    <row r="3571" spans="1:1" x14ac:dyDescent="0.25">
      <c r="A3571" t="s">
        <v>3214</v>
      </c>
    </row>
    <row r="3572" spans="1:1" x14ac:dyDescent="0.25">
      <c r="A3572" t="s">
        <v>3234</v>
      </c>
    </row>
    <row r="3573" spans="1:1" x14ac:dyDescent="0.25">
      <c r="A3573" t="s">
        <v>4258</v>
      </c>
    </row>
    <row r="3574" spans="1:1" x14ac:dyDescent="0.25">
      <c r="A3574" t="s">
        <v>4359</v>
      </c>
    </row>
    <row r="3575" spans="1:1" x14ac:dyDescent="0.25">
      <c r="A3575" t="s">
        <v>3194</v>
      </c>
    </row>
    <row r="3577" spans="1:1" x14ac:dyDescent="0.25">
      <c r="A3577" t="s">
        <v>3184</v>
      </c>
    </row>
    <row r="3578" spans="1:1" x14ac:dyDescent="0.25">
      <c r="A3578" t="s">
        <v>3230</v>
      </c>
    </row>
    <row r="3579" spans="1:1" x14ac:dyDescent="0.25">
      <c r="A3579" t="s">
        <v>4360</v>
      </c>
    </row>
    <row r="3580" spans="1:1" x14ac:dyDescent="0.25">
      <c r="A3580" t="s">
        <v>4361</v>
      </c>
    </row>
    <row r="3581" spans="1:1" x14ac:dyDescent="0.25">
      <c r="A3581" t="s">
        <v>3233</v>
      </c>
    </row>
    <row r="3582" spans="1:1" x14ac:dyDescent="0.25">
      <c r="A3582" t="s">
        <v>3207</v>
      </c>
    </row>
    <row r="3583" spans="1:1" x14ac:dyDescent="0.25">
      <c r="A3583" t="s">
        <v>3234</v>
      </c>
    </row>
    <row r="3584" spans="1:1" x14ac:dyDescent="0.25">
      <c r="A3584" t="s">
        <v>3235</v>
      </c>
    </row>
    <row r="3585" spans="1:1" x14ac:dyDescent="0.25">
      <c r="A3585" t="s">
        <v>4362</v>
      </c>
    </row>
    <row r="3586" spans="1:1" x14ac:dyDescent="0.25">
      <c r="A3586" t="s">
        <v>3237</v>
      </c>
    </row>
    <row r="3587" spans="1:1" x14ac:dyDescent="0.25">
      <c r="A3587" t="s">
        <v>3194</v>
      </c>
    </row>
    <row r="3589" spans="1:1" x14ac:dyDescent="0.25">
      <c r="A3589" t="s">
        <v>3184</v>
      </c>
    </row>
    <row r="3590" spans="1:1" x14ac:dyDescent="0.25">
      <c r="A3590" t="s">
        <v>3230</v>
      </c>
    </row>
    <row r="3591" spans="1:1" x14ac:dyDescent="0.25">
      <c r="A3591" t="s">
        <v>4363</v>
      </c>
    </row>
    <row r="3592" spans="1:1" x14ac:dyDescent="0.25">
      <c r="A3592" t="s">
        <v>3232</v>
      </c>
    </row>
    <row r="3593" spans="1:1" x14ac:dyDescent="0.25">
      <c r="A3593" t="s">
        <v>3233</v>
      </c>
    </row>
    <row r="3594" spans="1:1" x14ac:dyDescent="0.25">
      <c r="A3594" t="s">
        <v>3207</v>
      </c>
    </row>
    <row r="3595" spans="1:1" x14ac:dyDescent="0.25">
      <c r="A3595" t="s">
        <v>3234</v>
      </c>
    </row>
    <row r="3596" spans="1:1" x14ac:dyDescent="0.25">
      <c r="A3596" t="s">
        <v>3235</v>
      </c>
    </row>
    <row r="3597" spans="1:1" x14ac:dyDescent="0.25">
      <c r="A3597" t="s">
        <v>3236</v>
      </c>
    </row>
    <row r="3598" spans="1:1" x14ac:dyDescent="0.25">
      <c r="A3598" t="s">
        <v>3237</v>
      </c>
    </row>
    <row r="3599" spans="1:1" x14ac:dyDescent="0.25">
      <c r="A3599" t="s">
        <v>3194</v>
      </c>
    </row>
    <row r="3601" spans="1:1" x14ac:dyDescent="0.25">
      <c r="A3601" t="s">
        <v>3184</v>
      </c>
    </row>
    <row r="3602" spans="1:1" x14ac:dyDescent="0.25">
      <c r="A3602" t="s">
        <v>3238</v>
      </c>
    </row>
    <row r="3603" spans="1:1" x14ac:dyDescent="0.25">
      <c r="A3603" t="s">
        <v>4364</v>
      </c>
    </row>
    <row r="3604" spans="1:1" x14ac:dyDescent="0.25">
      <c r="A3604" t="s">
        <v>3240</v>
      </c>
    </row>
    <row r="3605" spans="1:1" x14ac:dyDescent="0.25">
      <c r="A3605" t="s">
        <v>3241</v>
      </c>
    </row>
    <row r="3606" spans="1:1" x14ac:dyDescent="0.25">
      <c r="A3606" t="s">
        <v>3214</v>
      </c>
    </row>
    <row r="3607" spans="1:1" x14ac:dyDescent="0.25">
      <c r="A3607" t="s">
        <v>3242</v>
      </c>
    </row>
    <row r="3608" spans="1:1" x14ac:dyDescent="0.25">
      <c r="A3608" t="s">
        <v>3243</v>
      </c>
    </row>
    <row r="3609" spans="1:1" x14ac:dyDescent="0.25">
      <c r="A3609" t="s">
        <v>3194</v>
      </c>
    </row>
    <row r="3611" spans="1:1" x14ac:dyDescent="0.25">
      <c r="A3611" t="s">
        <v>3392</v>
      </c>
    </row>
    <row r="3612" spans="1:1" x14ac:dyDescent="0.25">
      <c r="A3612" t="s">
        <v>3393</v>
      </c>
    </row>
    <row r="3613" spans="1:1" x14ac:dyDescent="0.25">
      <c r="A3613" t="s">
        <v>4365</v>
      </c>
    </row>
    <row r="3614" spans="1:1" x14ac:dyDescent="0.25">
      <c r="A3614" t="s">
        <v>4366</v>
      </c>
    </row>
    <row r="3615" spans="1:1" x14ac:dyDescent="0.25">
      <c r="A3615" t="s">
        <v>4367</v>
      </c>
    </row>
    <row r="3616" spans="1:1" x14ac:dyDescent="0.25">
      <c r="A3616" t="s">
        <v>3397</v>
      </c>
    </row>
    <row r="3617" spans="1:1" x14ac:dyDescent="0.25">
      <c r="A3617" t="s">
        <v>3398</v>
      </c>
    </row>
    <row r="3618" spans="1:1" x14ac:dyDescent="0.25">
      <c r="A3618" t="s">
        <v>4368</v>
      </c>
    </row>
    <row r="3619" spans="1:1" x14ac:dyDescent="0.25">
      <c r="A3619" t="s">
        <v>4369</v>
      </c>
    </row>
    <row r="3620" spans="1:1" x14ac:dyDescent="0.25">
      <c r="A3620" t="s">
        <v>3401</v>
      </c>
    </row>
    <row r="3621" spans="1:1" x14ac:dyDescent="0.25">
      <c r="A3621" t="s">
        <v>3402</v>
      </c>
    </row>
    <row r="3623" spans="1:1" x14ac:dyDescent="0.25">
      <c r="A3623" t="s">
        <v>3184</v>
      </c>
    </row>
    <row r="3624" spans="1:1" x14ac:dyDescent="0.25">
      <c r="A3624" t="s">
        <v>3185</v>
      </c>
    </row>
    <row r="3625" spans="1:1" x14ac:dyDescent="0.25">
      <c r="A3625" t="s">
        <v>4370</v>
      </c>
    </row>
    <row r="3626" spans="1:1" x14ac:dyDescent="0.25">
      <c r="A3626" t="s">
        <v>3245</v>
      </c>
    </row>
    <row r="3627" spans="1:1" x14ac:dyDescent="0.25">
      <c r="A3627" t="s">
        <v>3246</v>
      </c>
    </row>
    <row r="3628" spans="1:1" x14ac:dyDescent="0.25">
      <c r="A3628" t="s">
        <v>3214</v>
      </c>
    </row>
    <row r="3629" spans="1:1" x14ac:dyDescent="0.25">
      <c r="A3629" t="s">
        <v>3190</v>
      </c>
    </row>
    <row r="3630" spans="1:1" x14ac:dyDescent="0.25">
      <c r="A3630" t="s">
        <v>3247</v>
      </c>
    </row>
    <row r="3631" spans="1:1" x14ac:dyDescent="0.25">
      <c r="A3631" t="s">
        <v>3248</v>
      </c>
    </row>
    <row r="3632" spans="1:1" x14ac:dyDescent="0.25">
      <c r="A3632" t="s">
        <v>3193</v>
      </c>
    </row>
    <row r="3633" spans="1:1" x14ac:dyDescent="0.25">
      <c r="A3633" t="s">
        <v>3249</v>
      </c>
    </row>
    <row r="3634" spans="1:1" x14ac:dyDescent="0.25">
      <c r="A3634" t="s">
        <v>3194</v>
      </c>
    </row>
    <row r="3636" spans="1:1" x14ac:dyDescent="0.25">
      <c r="A3636" t="s">
        <v>3184</v>
      </c>
    </row>
    <row r="3637" spans="1:1" x14ac:dyDescent="0.25">
      <c r="A3637" t="s">
        <v>3185</v>
      </c>
    </row>
    <row r="3638" spans="1:1" x14ac:dyDescent="0.25">
      <c r="A3638" t="s">
        <v>4371</v>
      </c>
    </row>
    <row r="3639" spans="1:1" x14ac:dyDescent="0.25">
      <c r="A3639" t="s">
        <v>4372</v>
      </c>
    </row>
    <row r="3640" spans="1:1" x14ac:dyDescent="0.25">
      <c r="A3640" t="s">
        <v>3270</v>
      </c>
    </row>
    <row r="3641" spans="1:1" x14ac:dyDescent="0.25">
      <c r="A3641" t="s">
        <v>3214</v>
      </c>
    </row>
    <row r="3642" spans="1:1" x14ac:dyDescent="0.25">
      <c r="A3642" t="s">
        <v>3190</v>
      </c>
    </row>
    <row r="3643" spans="1:1" x14ac:dyDescent="0.25">
      <c r="A3643" t="s">
        <v>3215</v>
      </c>
    </row>
    <row r="3644" spans="1:1" x14ac:dyDescent="0.25">
      <c r="A3644" t="s">
        <v>4373</v>
      </c>
    </row>
    <row r="3645" spans="1:1" x14ac:dyDescent="0.25">
      <c r="A3645" t="s">
        <v>3193</v>
      </c>
    </row>
    <row r="3646" spans="1:1" x14ac:dyDescent="0.25">
      <c r="A3646" t="s">
        <v>3194</v>
      </c>
    </row>
    <row r="3648" spans="1:1" x14ac:dyDescent="0.25">
      <c r="A3648" t="s">
        <v>3184</v>
      </c>
    </row>
    <row r="3649" spans="1:1" x14ac:dyDescent="0.25">
      <c r="A3649" t="s">
        <v>3185</v>
      </c>
    </row>
    <row r="3650" spans="1:1" x14ac:dyDescent="0.25">
      <c r="A3650" t="s">
        <v>4374</v>
      </c>
    </row>
    <row r="3651" spans="1:1" x14ac:dyDescent="0.25">
      <c r="A3651" t="s">
        <v>4375</v>
      </c>
    </row>
    <row r="3652" spans="1:1" x14ac:dyDescent="0.25">
      <c r="A3652" t="s">
        <v>3241</v>
      </c>
    </row>
    <row r="3653" spans="1:1" x14ac:dyDescent="0.25">
      <c r="A3653" t="s">
        <v>3214</v>
      </c>
    </row>
    <row r="3654" spans="1:1" x14ac:dyDescent="0.25">
      <c r="A3654" t="s">
        <v>3190</v>
      </c>
    </row>
    <row r="3655" spans="1:1" x14ac:dyDescent="0.25">
      <c r="A3655" t="s">
        <v>3266</v>
      </c>
    </row>
    <row r="3656" spans="1:1" x14ac:dyDescent="0.25">
      <c r="A3656" t="s">
        <v>4376</v>
      </c>
    </row>
    <row r="3657" spans="1:1" x14ac:dyDescent="0.25">
      <c r="A3657" t="s">
        <v>3193</v>
      </c>
    </row>
    <row r="3658" spans="1:1" x14ac:dyDescent="0.25">
      <c r="A3658" t="s">
        <v>3194</v>
      </c>
    </row>
    <row r="3660" spans="1:1" x14ac:dyDescent="0.25">
      <c r="A3660" t="s">
        <v>3392</v>
      </c>
    </row>
    <row r="3661" spans="1:1" x14ac:dyDescent="0.25">
      <c r="A3661" t="s">
        <v>3393</v>
      </c>
    </row>
    <row r="3662" spans="1:1" x14ac:dyDescent="0.25">
      <c r="A3662" t="s">
        <v>4377</v>
      </c>
    </row>
    <row r="3663" spans="1:1" x14ac:dyDescent="0.25">
      <c r="A3663" t="s">
        <v>4378</v>
      </c>
    </row>
    <row r="3664" spans="1:1" x14ac:dyDescent="0.25">
      <c r="A3664" t="s">
        <v>3823</v>
      </c>
    </row>
    <row r="3665" spans="1:1" x14ac:dyDescent="0.25">
      <c r="A3665" t="s">
        <v>3397</v>
      </c>
    </row>
    <row r="3666" spans="1:1" x14ac:dyDescent="0.25">
      <c r="A3666" t="s">
        <v>3398</v>
      </c>
    </row>
    <row r="3667" spans="1:1" x14ac:dyDescent="0.25">
      <c r="A3667" t="s">
        <v>3399</v>
      </c>
    </row>
    <row r="3668" spans="1:1" x14ac:dyDescent="0.25">
      <c r="A3668" t="s">
        <v>4379</v>
      </c>
    </row>
    <row r="3669" spans="1:1" x14ac:dyDescent="0.25">
      <c r="A3669" t="s">
        <v>3401</v>
      </c>
    </row>
    <row r="3670" spans="1:1" x14ac:dyDescent="0.25">
      <c r="A3670" t="s">
        <v>3402</v>
      </c>
    </row>
    <row r="3672" spans="1:1" x14ac:dyDescent="0.25">
      <c r="A3672" t="s">
        <v>3392</v>
      </c>
    </row>
    <row r="3673" spans="1:1" x14ac:dyDescent="0.25">
      <c r="A3673" t="s">
        <v>3393</v>
      </c>
    </row>
    <row r="3674" spans="1:1" x14ac:dyDescent="0.25">
      <c r="A3674" t="s">
        <v>4380</v>
      </c>
    </row>
    <row r="3675" spans="1:1" x14ac:dyDescent="0.25">
      <c r="A3675" t="s">
        <v>4381</v>
      </c>
    </row>
    <row r="3676" spans="1:1" x14ac:dyDescent="0.25">
      <c r="A3676" t="s">
        <v>4382</v>
      </c>
    </row>
    <row r="3677" spans="1:1" x14ac:dyDescent="0.25">
      <c r="A3677" t="s">
        <v>3397</v>
      </c>
    </row>
    <row r="3678" spans="1:1" x14ac:dyDescent="0.25">
      <c r="A3678" t="s">
        <v>3398</v>
      </c>
    </row>
    <row r="3679" spans="1:1" x14ac:dyDescent="0.25">
      <c r="A3679" t="s">
        <v>3399</v>
      </c>
    </row>
    <row r="3680" spans="1:1" x14ac:dyDescent="0.25">
      <c r="A3680" t="s">
        <v>4383</v>
      </c>
    </row>
    <row r="3681" spans="1:1" x14ac:dyDescent="0.25">
      <c r="A3681" t="s">
        <v>3401</v>
      </c>
    </row>
    <row r="3682" spans="1:1" x14ac:dyDescent="0.25">
      <c r="A3682" t="s">
        <v>3402</v>
      </c>
    </row>
    <row r="3684" spans="1:1" x14ac:dyDescent="0.25">
      <c r="A3684" t="s">
        <v>3184</v>
      </c>
    </row>
    <row r="3685" spans="1:1" x14ac:dyDescent="0.25">
      <c r="A3685" t="s">
        <v>3185</v>
      </c>
    </row>
    <row r="3686" spans="1:1" x14ac:dyDescent="0.25">
      <c r="A3686" t="s">
        <v>4384</v>
      </c>
    </row>
    <row r="3687" spans="1:1" x14ac:dyDescent="0.25">
      <c r="A3687" t="s">
        <v>4385</v>
      </c>
    </row>
    <row r="3688" spans="1:1" x14ac:dyDescent="0.25">
      <c r="A3688" t="s">
        <v>3241</v>
      </c>
    </row>
    <row r="3689" spans="1:1" x14ac:dyDescent="0.25">
      <c r="A3689" t="s">
        <v>3214</v>
      </c>
    </row>
    <row r="3690" spans="1:1" x14ac:dyDescent="0.25">
      <c r="A3690" t="s">
        <v>3190</v>
      </c>
    </row>
    <row r="3691" spans="1:1" x14ac:dyDescent="0.25">
      <c r="A3691" t="s">
        <v>3215</v>
      </c>
    </row>
    <row r="3692" spans="1:1" x14ac:dyDescent="0.25">
      <c r="A3692" t="s">
        <v>4386</v>
      </c>
    </row>
    <row r="3693" spans="1:1" x14ac:dyDescent="0.25">
      <c r="A3693" t="s">
        <v>3193</v>
      </c>
    </row>
    <row r="3694" spans="1:1" x14ac:dyDescent="0.25">
      <c r="A3694" t="s">
        <v>3194</v>
      </c>
    </row>
    <row r="3696" spans="1:1" x14ac:dyDescent="0.25">
      <c r="A3696" t="s">
        <v>3184</v>
      </c>
    </row>
    <row r="3697" spans="1:1" x14ac:dyDescent="0.25">
      <c r="A3697" t="s">
        <v>3185</v>
      </c>
    </row>
    <row r="3698" spans="1:1" x14ac:dyDescent="0.25">
      <c r="A3698" t="s">
        <v>4387</v>
      </c>
    </row>
    <row r="3699" spans="1:1" x14ac:dyDescent="0.25">
      <c r="A3699" t="s">
        <v>3251</v>
      </c>
    </row>
    <row r="3700" spans="1:1" x14ac:dyDescent="0.25">
      <c r="A3700" t="s">
        <v>3252</v>
      </c>
    </row>
    <row r="3701" spans="1:1" x14ac:dyDescent="0.25">
      <c r="A3701" t="s">
        <v>3214</v>
      </c>
    </row>
    <row r="3702" spans="1:1" x14ac:dyDescent="0.25">
      <c r="A3702" t="s">
        <v>3190</v>
      </c>
    </row>
    <row r="3703" spans="1:1" x14ac:dyDescent="0.25">
      <c r="A3703" t="s">
        <v>3247</v>
      </c>
    </row>
    <row r="3704" spans="1:1" x14ac:dyDescent="0.25">
      <c r="A3704" t="s">
        <v>3253</v>
      </c>
    </row>
    <row r="3705" spans="1:1" x14ac:dyDescent="0.25">
      <c r="A3705" t="s">
        <v>3249</v>
      </c>
    </row>
    <row r="3706" spans="1:1" x14ac:dyDescent="0.25">
      <c r="A3706" t="s">
        <v>3193</v>
      </c>
    </row>
    <row r="3707" spans="1:1" x14ac:dyDescent="0.25">
      <c r="A3707" t="s">
        <v>3194</v>
      </c>
    </row>
    <row r="3709" spans="1:1" x14ac:dyDescent="0.25">
      <c r="A3709" t="s">
        <v>3184</v>
      </c>
    </row>
    <row r="3710" spans="1:1" x14ac:dyDescent="0.25">
      <c r="A3710" t="s">
        <v>3185</v>
      </c>
    </row>
    <row r="3711" spans="1:1" x14ac:dyDescent="0.25">
      <c r="A3711" t="s">
        <v>4388</v>
      </c>
    </row>
    <row r="3712" spans="1:1" x14ac:dyDescent="0.25">
      <c r="A3712" t="s">
        <v>3255</v>
      </c>
    </row>
    <row r="3713" spans="1:1" x14ac:dyDescent="0.25">
      <c r="A3713" t="s">
        <v>3256</v>
      </c>
    </row>
    <row r="3714" spans="1:1" x14ac:dyDescent="0.25">
      <c r="A3714" t="s">
        <v>3214</v>
      </c>
    </row>
    <row r="3715" spans="1:1" x14ac:dyDescent="0.25">
      <c r="A3715" t="s">
        <v>3190</v>
      </c>
    </row>
    <row r="3716" spans="1:1" x14ac:dyDescent="0.25">
      <c r="A3716" t="s">
        <v>3257</v>
      </c>
    </row>
    <row r="3717" spans="1:1" x14ac:dyDescent="0.25">
      <c r="A3717" t="s">
        <v>3258</v>
      </c>
    </row>
    <row r="3718" spans="1:1" x14ac:dyDescent="0.25">
      <c r="A3718" t="s">
        <v>3193</v>
      </c>
    </row>
    <row r="3719" spans="1:1" x14ac:dyDescent="0.25">
      <c r="A3719" t="s">
        <v>3194</v>
      </c>
    </row>
    <row r="3721" spans="1:1" x14ac:dyDescent="0.25">
      <c r="A3721" t="s">
        <v>3184</v>
      </c>
    </row>
    <row r="3722" spans="1:1" x14ac:dyDescent="0.25">
      <c r="A3722" t="s">
        <v>3185</v>
      </c>
    </row>
    <row r="3723" spans="1:1" x14ac:dyDescent="0.25">
      <c r="A3723" t="s">
        <v>4389</v>
      </c>
    </row>
    <row r="3724" spans="1:1" x14ac:dyDescent="0.25">
      <c r="A3724" t="s">
        <v>3260</v>
      </c>
    </row>
    <row r="3725" spans="1:1" x14ac:dyDescent="0.25">
      <c r="A3725" t="s">
        <v>3256</v>
      </c>
    </row>
    <row r="3726" spans="1:1" x14ac:dyDescent="0.25">
      <c r="A3726" t="s">
        <v>3214</v>
      </c>
    </row>
    <row r="3727" spans="1:1" x14ac:dyDescent="0.25">
      <c r="A3727" t="s">
        <v>3190</v>
      </c>
    </row>
    <row r="3728" spans="1:1" x14ac:dyDescent="0.25">
      <c r="A3728" t="s">
        <v>3261</v>
      </c>
    </row>
    <row r="3729" spans="1:1" x14ac:dyDescent="0.25">
      <c r="A3729" t="s">
        <v>3262</v>
      </c>
    </row>
    <row r="3730" spans="1:1" x14ac:dyDescent="0.25">
      <c r="A3730" t="s">
        <v>3193</v>
      </c>
    </row>
    <row r="3731" spans="1:1" x14ac:dyDescent="0.25">
      <c r="A3731" t="s">
        <v>3194</v>
      </c>
    </row>
    <row r="3733" spans="1:1" x14ac:dyDescent="0.25">
      <c r="A3733" t="s">
        <v>3184</v>
      </c>
    </row>
    <row r="3734" spans="1:1" x14ac:dyDescent="0.25">
      <c r="A3734" t="s">
        <v>3185</v>
      </c>
    </row>
    <row r="3735" spans="1:1" x14ac:dyDescent="0.25">
      <c r="A3735" t="s">
        <v>4390</v>
      </c>
    </row>
    <row r="3736" spans="1:1" x14ac:dyDescent="0.25">
      <c r="A3736" t="s">
        <v>4391</v>
      </c>
    </row>
    <row r="3737" spans="1:1" x14ac:dyDescent="0.25">
      <c r="A3737" t="s">
        <v>3241</v>
      </c>
    </row>
    <row r="3738" spans="1:1" x14ac:dyDescent="0.25">
      <c r="A3738" t="s">
        <v>3214</v>
      </c>
    </row>
    <row r="3739" spans="1:1" x14ac:dyDescent="0.25">
      <c r="A3739" t="s">
        <v>3190</v>
      </c>
    </row>
    <row r="3740" spans="1:1" x14ac:dyDescent="0.25">
      <c r="A3740" t="s">
        <v>3266</v>
      </c>
    </row>
    <row r="3741" spans="1:1" x14ac:dyDescent="0.25">
      <c r="A3741" t="s">
        <v>4392</v>
      </c>
    </row>
    <row r="3742" spans="1:1" x14ac:dyDescent="0.25">
      <c r="A3742" t="s">
        <v>3193</v>
      </c>
    </row>
    <row r="3743" spans="1:1" x14ac:dyDescent="0.25">
      <c r="A3743" t="s">
        <v>3194</v>
      </c>
    </row>
    <row r="3745" spans="1:1" x14ac:dyDescent="0.25">
      <c r="A3745" t="s">
        <v>3392</v>
      </c>
    </row>
    <row r="3746" spans="1:1" x14ac:dyDescent="0.25">
      <c r="A3746" t="s">
        <v>3393</v>
      </c>
    </row>
    <row r="3747" spans="1:1" x14ac:dyDescent="0.25">
      <c r="A3747" t="s">
        <v>4393</v>
      </c>
    </row>
    <row r="3748" spans="1:1" x14ac:dyDescent="0.25">
      <c r="A3748" t="s">
        <v>4394</v>
      </c>
    </row>
    <row r="3749" spans="1:1" x14ac:dyDescent="0.25">
      <c r="A3749" t="s">
        <v>3615</v>
      </c>
    </row>
    <row r="3750" spans="1:1" x14ac:dyDescent="0.25">
      <c r="A3750" t="s">
        <v>3397</v>
      </c>
    </row>
    <row r="3751" spans="1:1" x14ac:dyDescent="0.25">
      <c r="A3751" t="s">
        <v>3398</v>
      </c>
    </row>
    <row r="3752" spans="1:1" x14ac:dyDescent="0.25">
      <c r="A3752" t="s">
        <v>4057</v>
      </c>
    </row>
    <row r="3753" spans="1:1" x14ac:dyDescent="0.25">
      <c r="A3753" t="s">
        <v>4395</v>
      </c>
    </row>
    <row r="3754" spans="1:1" x14ac:dyDescent="0.25">
      <c r="A3754" t="s">
        <v>3401</v>
      </c>
    </row>
    <row r="3755" spans="1:1" x14ac:dyDescent="0.25">
      <c r="A3755" t="s">
        <v>3402</v>
      </c>
    </row>
    <row r="3757" spans="1:1" x14ac:dyDescent="0.25">
      <c r="A3757" t="s">
        <v>3392</v>
      </c>
    </row>
    <row r="3758" spans="1:1" x14ac:dyDescent="0.25">
      <c r="A3758" t="s">
        <v>3393</v>
      </c>
    </row>
    <row r="3759" spans="1:1" x14ac:dyDescent="0.25">
      <c r="A3759" t="s">
        <v>4396</v>
      </c>
    </row>
    <row r="3760" spans="1:1" x14ac:dyDescent="0.25">
      <c r="A3760" t="s">
        <v>4397</v>
      </c>
    </row>
    <row r="3761" spans="1:1" x14ac:dyDescent="0.25">
      <c r="A3761" t="s">
        <v>4398</v>
      </c>
    </row>
    <row r="3762" spans="1:1" x14ac:dyDescent="0.25">
      <c r="A3762" t="s">
        <v>3397</v>
      </c>
    </row>
    <row r="3763" spans="1:1" x14ac:dyDescent="0.25">
      <c r="A3763" t="s">
        <v>3398</v>
      </c>
    </row>
    <row r="3764" spans="1:1" x14ac:dyDescent="0.25">
      <c r="A3764" t="s">
        <v>3399</v>
      </c>
    </row>
    <row r="3765" spans="1:1" x14ac:dyDescent="0.25">
      <c r="A3765" t="s">
        <v>4399</v>
      </c>
    </row>
    <row r="3766" spans="1:1" x14ac:dyDescent="0.25">
      <c r="A3766" t="s">
        <v>3401</v>
      </c>
    </row>
    <row r="3767" spans="1:1" x14ac:dyDescent="0.25">
      <c r="A3767" t="s">
        <v>3402</v>
      </c>
    </row>
    <row r="3769" spans="1:1" x14ac:dyDescent="0.25">
      <c r="A3769" t="s">
        <v>3392</v>
      </c>
    </row>
    <row r="3770" spans="1:1" x14ac:dyDescent="0.25">
      <c r="A3770" t="s">
        <v>3393</v>
      </c>
    </row>
    <row r="3771" spans="1:1" x14ac:dyDescent="0.25">
      <c r="A3771" t="s">
        <v>4400</v>
      </c>
    </row>
    <row r="3772" spans="1:1" x14ac:dyDescent="0.25">
      <c r="A3772" t="s">
        <v>4401</v>
      </c>
    </row>
    <row r="3773" spans="1:1" x14ac:dyDescent="0.25">
      <c r="A3773" t="s">
        <v>3740</v>
      </c>
    </row>
    <row r="3774" spans="1:1" x14ac:dyDescent="0.25">
      <c r="A3774" t="s">
        <v>3397</v>
      </c>
    </row>
    <row r="3775" spans="1:1" x14ac:dyDescent="0.25">
      <c r="A3775" t="s">
        <v>3398</v>
      </c>
    </row>
    <row r="3776" spans="1:1" x14ac:dyDescent="0.25">
      <c r="A3776" t="s">
        <v>4402</v>
      </c>
    </row>
    <row r="3777" spans="1:1" x14ac:dyDescent="0.25">
      <c r="A3777" t="s">
        <v>4403</v>
      </c>
    </row>
    <row r="3778" spans="1:1" x14ac:dyDescent="0.25">
      <c r="A3778" t="s">
        <v>3401</v>
      </c>
    </row>
    <row r="3779" spans="1:1" x14ac:dyDescent="0.25">
      <c r="A3779" t="s">
        <v>3402</v>
      </c>
    </row>
    <row r="3781" spans="1:1" x14ac:dyDescent="0.25">
      <c r="A3781" t="s">
        <v>3392</v>
      </c>
    </row>
    <row r="3782" spans="1:1" x14ac:dyDescent="0.25">
      <c r="A3782" t="s">
        <v>3393</v>
      </c>
    </row>
    <row r="3783" spans="1:1" x14ac:dyDescent="0.25">
      <c r="A3783" t="s">
        <v>4404</v>
      </c>
    </row>
    <row r="3784" spans="1:1" x14ac:dyDescent="0.25">
      <c r="A3784" t="s">
        <v>4405</v>
      </c>
    </row>
    <row r="3785" spans="1:1" x14ac:dyDescent="0.25">
      <c r="A3785" t="s">
        <v>3424</v>
      </c>
    </row>
    <row r="3786" spans="1:1" x14ac:dyDescent="0.25">
      <c r="A3786" t="s">
        <v>3397</v>
      </c>
    </row>
    <row r="3787" spans="1:1" x14ac:dyDescent="0.25">
      <c r="A3787" t="s">
        <v>3398</v>
      </c>
    </row>
    <row r="3788" spans="1:1" x14ac:dyDescent="0.25">
      <c r="A3788" t="s">
        <v>3611</v>
      </c>
    </row>
    <row r="3789" spans="1:1" x14ac:dyDescent="0.25">
      <c r="A3789" t="s">
        <v>4406</v>
      </c>
    </row>
    <row r="3790" spans="1:1" x14ac:dyDescent="0.25">
      <c r="A3790" t="s">
        <v>3401</v>
      </c>
    </row>
    <row r="3791" spans="1:1" x14ac:dyDescent="0.25">
      <c r="A3791" t="s">
        <v>3402</v>
      </c>
    </row>
    <row r="3793" spans="1:1" x14ac:dyDescent="0.25">
      <c r="A3793" t="s">
        <v>3392</v>
      </c>
    </row>
    <row r="3794" spans="1:1" x14ac:dyDescent="0.25">
      <c r="A3794" t="s">
        <v>3393</v>
      </c>
    </row>
    <row r="3795" spans="1:1" x14ac:dyDescent="0.25">
      <c r="A3795" t="s">
        <v>4407</v>
      </c>
    </row>
    <row r="3796" spans="1:1" x14ac:dyDescent="0.25">
      <c r="A3796" t="s">
        <v>4408</v>
      </c>
    </row>
    <row r="3797" spans="1:1" x14ac:dyDescent="0.25">
      <c r="A3797" t="s">
        <v>3424</v>
      </c>
    </row>
    <row r="3798" spans="1:1" x14ac:dyDescent="0.25">
      <c r="A3798" t="s">
        <v>3397</v>
      </c>
    </row>
    <row r="3799" spans="1:1" x14ac:dyDescent="0.25">
      <c r="A3799" t="s">
        <v>3398</v>
      </c>
    </row>
    <row r="3800" spans="1:1" x14ac:dyDescent="0.25">
      <c r="A3800" t="s">
        <v>3399</v>
      </c>
    </row>
    <row r="3801" spans="1:1" x14ac:dyDescent="0.25">
      <c r="A3801" t="s">
        <v>4409</v>
      </c>
    </row>
    <row r="3802" spans="1:1" x14ac:dyDescent="0.25">
      <c r="A3802" t="s">
        <v>3401</v>
      </c>
    </row>
    <row r="3803" spans="1:1" x14ac:dyDescent="0.25">
      <c r="A3803" t="s">
        <v>3402</v>
      </c>
    </row>
    <row r="3805" spans="1:1" x14ac:dyDescent="0.25">
      <c r="A3805" t="s">
        <v>3392</v>
      </c>
    </row>
    <row r="3806" spans="1:1" x14ac:dyDescent="0.25">
      <c r="A3806" t="s">
        <v>3393</v>
      </c>
    </row>
    <row r="3807" spans="1:1" x14ac:dyDescent="0.25">
      <c r="A3807" t="s">
        <v>4410</v>
      </c>
    </row>
    <row r="3808" spans="1:1" x14ac:dyDescent="0.25">
      <c r="A3808" t="s">
        <v>4411</v>
      </c>
    </row>
    <row r="3809" spans="1:1" x14ac:dyDescent="0.25">
      <c r="A3809" t="s">
        <v>3823</v>
      </c>
    </row>
    <row r="3810" spans="1:1" x14ac:dyDescent="0.25">
      <c r="A3810" t="s">
        <v>3397</v>
      </c>
    </row>
    <row r="3811" spans="1:1" x14ac:dyDescent="0.25">
      <c r="A3811" t="s">
        <v>3398</v>
      </c>
    </row>
    <row r="3812" spans="1:1" x14ac:dyDescent="0.25">
      <c r="A3812" t="s">
        <v>3563</v>
      </c>
    </row>
    <row r="3813" spans="1:1" x14ac:dyDescent="0.25">
      <c r="A3813" t="s">
        <v>4412</v>
      </c>
    </row>
    <row r="3814" spans="1:1" x14ac:dyDescent="0.25">
      <c r="A3814" t="s">
        <v>3401</v>
      </c>
    </row>
    <row r="3815" spans="1:1" x14ac:dyDescent="0.25">
      <c r="A3815" t="s">
        <v>3402</v>
      </c>
    </row>
    <row r="3817" spans="1:1" x14ac:dyDescent="0.25">
      <c r="A3817" t="s">
        <v>3392</v>
      </c>
    </row>
    <row r="3818" spans="1:1" x14ac:dyDescent="0.25">
      <c r="A3818" t="s">
        <v>3393</v>
      </c>
    </row>
    <row r="3819" spans="1:1" x14ac:dyDescent="0.25">
      <c r="A3819" t="s">
        <v>4413</v>
      </c>
    </row>
    <row r="3820" spans="1:1" x14ac:dyDescent="0.25">
      <c r="A3820" t="s">
        <v>4414</v>
      </c>
    </row>
    <row r="3821" spans="1:1" x14ac:dyDescent="0.25">
      <c r="A3821" t="s">
        <v>3971</v>
      </c>
    </row>
    <row r="3822" spans="1:1" x14ac:dyDescent="0.25">
      <c r="A3822" t="s">
        <v>3397</v>
      </c>
    </row>
    <row r="3823" spans="1:1" x14ac:dyDescent="0.25">
      <c r="A3823" t="s">
        <v>3398</v>
      </c>
    </row>
    <row r="3824" spans="1:1" x14ac:dyDescent="0.25">
      <c r="A3824" t="s">
        <v>3563</v>
      </c>
    </row>
    <row r="3825" spans="1:1" x14ac:dyDescent="0.25">
      <c r="A3825" t="s">
        <v>4415</v>
      </c>
    </row>
    <row r="3826" spans="1:1" x14ac:dyDescent="0.25">
      <c r="A3826" t="s">
        <v>3401</v>
      </c>
    </row>
    <row r="3827" spans="1:1" x14ac:dyDescent="0.25">
      <c r="A3827" t="s">
        <v>3402</v>
      </c>
    </row>
    <row r="3829" spans="1:1" x14ac:dyDescent="0.25">
      <c r="A3829" t="s">
        <v>3392</v>
      </c>
    </row>
    <row r="3830" spans="1:1" x14ac:dyDescent="0.25">
      <c r="A3830" t="s">
        <v>3393</v>
      </c>
    </row>
    <row r="3831" spans="1:1" x14ac:dyDescent="0.25">
      <c r="A3831" t="s">
        <v>4416</v>
      </c>
    </row>
    <row r="3832" spans="1:1" x14ac:dyDescent="0.25">
      <c r="A3832" t="s">
        <v>4417</v>
      </c>
    </row>
    <row r="3833" spans="1:1" x14ac:dyDescent="0.25">
      <c r="A3833" t="s">
        <v>3740</v>
      </c>
    </row>
    <row r="3834" spans="1:1" x14ac:dyDescent="0.25">
      <c r="A3834" t="s">
        <v>3397</v>
      </c>
    </row>
    <row r="3835" spans="1:1" x14ac:dyDescent="0.25">
      <c r="A3835" t="s">
        <v>3398</v>
      </c>
    </row>
    <row r="3836" spans="1:1" x14ac:dyDescent="0.25">
      <c r="A3836" t="s">
        <v>4418</v>
      </c>
    </row>
    <row r="3837" spans="1:1" x14ac:dyDescent="0.25">
      <c r="A3837" t="s">
        <v>4419</v>
      </c>
    </row>
    <row r="3838" spans="1:1" x14ac:dyDescent="0.25">
      <c r="A3838" t="s">
        <v>3401</v>
      </c>
    </row>
    <row r="3839" spans="1:1" x14ac:dyDescent="0.25">
      <c r="A3839" t="s">
        <v>3402</v>
      </c>
    </row>
    <row r="3841" spans="1:1" x14ac:dyDescent="0.25">
      <c r="A3841" t="s">
        <v>3184</v>
      </c>
    </row>
    <row r="3842" spans="1:1" x14ac:dyDescent="0.25">
      <c r="A3842" t="s">
        <v>3185</v>
      </c>
    </row>
    <row r="3843" spans="1:1" x14ac:dyDescent="0.25">
      <c r="A3843" t="s">
        <v>4420</v>
      </c>
    </row>
    <row r="3844" spans="1:1" x14ac:dyDescent="0.25">
      <c r="A3844" t="s">
        <v>3264</v>
      </c>
    </row>
    <row r="3845" spans="1:1" x14ac:dyDescent="0.25">
      <c r="A3845" t="s">
        <v>3265</v>
      </c>
    </row>
    <row r="3846" spans="1:1" x14ac:dyDescent="0.25">
      <c r="A3846" t="s">
        <v>3214</v>
      </c>
    </row>
    <row r="3847" spans="1:1" x14ac:dyDescent="0.25">
      <c r="A3847" t="s">
        <v>3190</v>
      </c>
    </row>
    <row r="3848" spans="1:1" x14ac:dyDescent="0.25">
      <c r="A3848" t="s">
        <v>3266</v>
      </c>
    </row>
    <row r="3849" spans="1:1" x14ac:dyDescent="0.25">
      <c r="A3849" t="s">
        <v>3267</v>
      </c>
    </row>
    <row r="3850" spans="1:1" x14ac:dyDescent="0.25">
      <c r="A3850" t="s">
        <v>3193</v>
      </c>
    </row>
    <row r="3851" spans="1:1" x14ac:dyDescent="0.25">
      <c r="A3851" t="s">
        <v>3194</v>
      </c>
    </row>
    <row r="3853" spans="1:1" x14ac:dyDescent="0.25">
      <c r="A3853" t="s">
        <v>3392</v>
      </c>
    </row>
    <row r="3854" spans="1:1" x14ac:dyDescent="0.25">
      <c r="A3854" t="s">
        <v>4421</v>
      </c>
    </row>
    <row r="3855" spans="1:1" x14ac:dyDescent="0.25">
      <c r="A3855" t="s">
        <v>4422</v>
      </c>
    </row>
    <row r="3856" spans="1:1" x14ac:dyDescent="0.25">
      <c r="A3856" t="s">
        <v>4423</v>
      </c>
    </row>
    <row r="3857" spans="1:1" x14ac:dyDescent="0.25">
      <c r="A3857" t="s">
        <v>4424</v>
      </c>
    </row>
    <row r="3858" spans="1:1" x14ac:dyDescent="0.25">
      <c r="A3858" t="s">
        <v>3397</v>
      </c>
    </row>
    <row r="3859" spans="1:1" x14ac:dyDescent="0.25">
      <c r="A3859" t="s">
        <v>4425</v>
      </c>
    </row>
    <row r="3860" spans="1:1" x14ac:dyDescent="0.25">
      <c r="A3860" t="s">
        <v>4426</v>
      </c>
    </row>
    <row r="3861" spans="1:1" x14ac:dyDescent="0.25">
      <c r="A3861" t="s">
        <v>4427</v>
      </c>
    </row>
    <row r="3862" spans="1:1" x14ac:dyDescent="0.25">
      <c r="A3862" t="s">
        <v>3402</v>
      </c>
    </row>
    <row r="3864" spans="1:1" x14ac:dyDescent="0.25">
      <c r="A3864" t="s">
        <v>3184</v>
      </c>
    </row>
    <row r="3865" spans="1:1" x14ac:dyDescent="0.25">
      <c r="A3865" t="s">
        <v>3185</v>
      </c>
    </row>
    <row r="3866" spans="1:1" x14ac:dyDescent="0.25">
      <c r="A3866" t="s">
        <v>4428</v>
      </c>
    </row>
    <row r="3867" spans="1:1" x14ac:dyDescent="0.25">
      <c r="A3867" t="s">
        <v>4429</v>
      </c>
    </row>
    <row r="3868" spans="1:1" x14ac:dyDescent="0.25">
      <c r="A3868" t="s">
        <v>3278</v>
      </c>
    </row>
    <row r="3869" spans="1:1" x14ac:dyDescent="0.25">
      <c r="A3869" t="s">
        <v>3214</v>
      </c>
    </row>
    <row r="3870" spans="1:1" x14ac:dyDescent="0.25">
      <c r="A3870" t="s">
        <v>3190</v>
      </c>
    </row>
    <row r="3871" spans="1:1" x14ac:dyDescent="0.25">
      <c r="A3871" t="s">
        <v>4430</v>
      </c>
    </row>
    <row r="3872" spans="1:1" x14ac:dyDescent="0.25">
      <c r="A3872" t="s">
        <v>4431</v>
      </c>
    </row>
    <row r="3873" spans="1:1" x14ac:dyDescent="0.25">
      <c r="A3873" t="s">
        <v>3193</v>
      </c>
    </row>
    <row r="3874" spans="1:1" x14ac:dyDescent="0.25">
      <c r="A3874" t="s">
        <v>3194</v>
      </c>
    </row>
    <row r="3876" spans="1:1" x14ac:dyDescent="0.25">
      <c r="A3876" t="s">
        <v>3184</v>
      </c>
    </row>
    <row r="3877" spans="1:1" x14ac:dyDescent="0.25">
      <c r="A3877" t="s">
        <v>3185</v>
      </c>
    </row>
    <row r="3878" spans="1:1" x14ac:dyDescent="0.25">
      <c r="A3878" t="s">
        <v>4432</v>
      </c>
    </row>
    <row r="3879" spans="1:1" x14ac:dyDescent="0.25">
      <c r="A3879" t="s">
        <v>4433</v>
      </c>
    </row>
    <row r="3880" spans="1:1" x14ac:dyDescent="0.25">
      <c r="A3880" t="s">
        <v>3278</v>
      </c>
    </row>
    <row r="3881" spans="1:1" x14ac:dyDescent="0.25">
      <c r="A3881" t="s">
        <v>3214</v>
      </c>
    </row>
    <row r="3882" spans="1:1" x14ac:dyDescent="0.25">
      <c r="A3882" t="s">
        <v>3190</v>
      </c>
    </row>
    <row r="3883" spans="1:1" x14ac:dyDescent="0.25">
      <c r="A3883" t="s">
        <v>4434</v>
      </c>
    </row>
    <row r="3884" spans="1:1" x14ac:dyDescent="0.25">
      <c r="A3884" t="s">
        <v>4435</v>
      </c>
    </row>
    <row r="3885" spans="1:1" x14ac:dyDescent="0.25">
      <c r="A3885" t="s">
        <v>3193</v>
      </c>
    </row>
    <row r="3886" spans="1:1" x14ac:dyDescent="0.25">
      <c r="A3886" t="s">
        <v>3194</v>
      </c>
    </row>
    <row r="3888" spans="1:1" x14ac:dyDescent="0.25">
      <c r="A3888" t="s">
        <v>3392</v>
      </c>
    </row>
    <row r="3889" spans="1:1" x14ac:dyDescent="0.25">
      <c r="A3889" t="s">
        <v>3393</v>
      </c>
    </row>
    <row r="3890" spans="1:1" x14ac:dyDescent="0.25">
      <c r="A3890" t="s">
        <v>4436</v>
      </c>
    </row>
    <row r="3891" spans="1:1" x14ac:dyDescent="0.25">
      <c r="A3891" t="s">
        <v>4437</v>
      </c>
    </row>
    <row r="3892" spans="1:1" x14ac:dyDescent="0.25">
      <c r="A3892" t="s">
        <v>3740</v>
      </c>
    </row>
    <row r="3893" spans="1:1" x14ac:dyDescent="0.25">
      <c r="A3893" t="s">
        <v>3397</v>
      </c>
    </row>
    <row r="3894" spans="1:1" x14ac:dyDescent="0.25">
      <c r="A3894" t="s">
        <v>3398</v>
      </c>
    </row>
    <row r="3895" spans="1:1" x14ac:dyDescent="0.25">
      <c r="A3895" t="s">
        <v>4402</v>
      </c>
    </row>
    <row r="3896" spans="1:1" x14ac:dyDescent="0.25">
      <c r="A3896" t="s">
        <v>4438</v>
      </c>
    </row>
    <row r="3897" spans="1:1" x14ac:dyDescent="0.25">
      <c r="A3897" t="s">
        <v>3401</v>
      </c>
    </row>
    <row r="3898" spans="1:1" x14ac:dyDescent="0.25">
      <c r="A3898" t="s">
        <v>3402</v>
      </c>
    </row>
    <row r="3900" spans="1:1" x14ac:dyDescent="0.25">
      <c r="A3900" t="s">
        <v>3184</v>
      </c>
    </row>
    <row r="3901" spans="1:1" x14ac:dyDescent="0.25">
      <c r="A3901" t="s">
        <v>3185</v>
      </c>
    </row>
    <row r="3902" spans="1:1" x14ac:dyDescent="0.25">
      <c r="A3902" t="s">
        <v>4439</v>
      </c>
    </row>
    <row r="3903" spans="1:1" x14ac:dyDescent="0.25">
      <c r="A3903" t="s">
        <v>4440</v>
      </c>
    </row>
    <row r="3904" spans="1:1" x14ac:dyDescent="0.25">
      <c r="A3904" t="s">
        <v>4441</v>
      </c>
    </row>
    <row r="3905" spans="1:1" x14ac:dyDescent="0.25">
      <c r="A3905" t="s">
        <v>3214</v>
      </c>
    </row>
    <row r="3906" spans="1:1" x14ac:dyDescent="0.25">
      <c r="A3906" t="s">
        <v>3190</v>
      </c>
    </row>
    <row r="3907" spans="1:1" x14ac:dyDescent="0.25">
      <c r="A3907" t="s">
        <v>4442</v>
      </c>
    </row>
    <row r="3908" spans="1:1" x14ac:dyDescent="0.25">
      <c r="A3908" t="s">
        <v>4443</v>
      </c>
    </row>
    <row r="3909" spans="1:1" x14ac:dyDescent="0.25">
      <c r="A3909" t="s">
        <v>3193</v>
      </c>
    </row>
    <row r="3910" spans="1:1" x14ac:dyDescent="0.25">
      <c r="A3910" t="s">
        <v>3194</v>
      </c>
    </row>
    <row r="3912" spans="1:1" x14ac:dyDescent="0.25">
      <c r="A3912" t="s">
        <v>3184</v>
      </c>
    </row>
    <row r="3913" spans="1:1" x14ac:dyDescent="0.25">
      <c r="A3913" t="s">
        <v>3185</v>
      </c>
    </row>
    <row r="3914" spans="1:1" x14ac:dyDescent="0.25">
      <c r="A3914" t="s">
        <v>4444</v>
      </c>
    </row>
    <row r="3915" spans="1:1" x14ac:dyDescent="0.25">
      <c r="A3915" t="s">
        <v>4445</v>
      </c>
    </row>
    <row r="3916" spans="1:1" x14ac:dyDescent="0.25">
      <c r="A3916" t="s">
        <v>4446</v>
      </c>
    </row>
    <row r="3917" spans="1:1" x14ac:dyDescent="0.25">
      <c r="A3917" t="s">
        <v>3214</v>
      </c>
    </row>
    <row r="3918" spans="1:1" x14ac:dyDescent="0.25">
      <c r="A3918" t="s">
        <v>3190</v>
      </c>
    </row>
    <row r="3919" spans="1:1" x14ac:dyDescent="0.25">
      <c r="A3919" t="s">
        <v>3266</v>
      </c>
    </row>
    <row r="3920" spans="1:1" x14ac:dyDescent="0.25">
      <c r="A3920" t="s">
        <v>4447</v>
      </c>
    </row>
    <row r="3921" spans="1:1" x14ac:dyDescent="0.25">
      <c r="A3921" t="s">
        <v>3193</v>
      </c>
    </row>
    <row r="3922" spans="1:1" x14ac:dyDescent="0.25">
      <c r="A3922" t="s">
        <v>3194</v>
      </c>
    </row>
    <row r="3924" spans="1:1" x14ac:dyDescent="0.25">
      <c r="A3924" t="s">
        <v>3184</v>
      </c>
    </row>
    <row r="3925" spans="1:1" x14ac:dyDescent="0.25">
      <c r="A3925" t="s">
        <v>3185</v>
      </c>
    </row>
    <row r="3926" spans="1:1" x14ac:dyDescent="0.25">
      <c r="A3926" t="s">
        <v>4448</v>
      </c>
    </row>
    <row r="3927" spans="1:1" x14ac:dyDescent="0.25">
      <c r="A3927" t="s">
        <v>4449</v>
      </c>
    </row>
    <row r="3928" spans="1:1" x14ac:dyDescent="0.25">
      <c r="A3928" t="s">
        <v>4441</v>
      </c>
    </row>
    <row r="3929" spans="1:1" x14ac:dyDescent="0.25">
      <c r="A3929" t="s">
        <v>3214</v>
      </c>
    </row>
    <row r="3930" spans="1:1" x14ac:dyDescent="0.25">
      <c r="A3930" t="s">
        <v>3190</v>
      </c>
    </row>
    <row r="3931" spans="1:1" x14ac:dyDescent="0.25">
      <c r="A3931" t="s">
        <v>4442</v>
      </c>
    </row>
    <row r="3932" spans="1:1" x14ac:dyDescent="0.25">
      <c r="A3932" t="s">
        <v>4450</v>
      </c>
    </row>
    <row r="3933" spans="1:1" x14ac:dyDescent="0.25">
      <c r="A3933" t="s">
        <v>3193</v>
      </c>
    </row>
    <row r="3934" spans="1:1" x14ac:dyDescent="0.25">
      <c r="A3934" t="s">
        <v>3194</v>
      </c>
    </row>
    <row r="3936" spans="1:1" x14ac:dyDescent="0.25">
      <c r="A3936" t="s">
        <v>3184</v>
      </c>
    </row>
    <row r="3937" spans="1:1" x14ac:dyDescent="0.25">
      <c r="A3937" t="s">
        <v>3185</v>
      </c>
    </row>
    <row r="3938" spans="1:1" x14ac:dyDescent="0.25">
      <c r="A3938" t="s">
        <v>4451</v>
      </c>
    </row>
    <row r="3939" spans="1:1" x14ac:dyDescent="0.25">
      <c r="A3939" t="s">
        <v>4452</v>
      </c>
    </row>
    <row r="3940" spans="1:1" x14ac:dyDescent="0.25">
      <c r="A3940" t="s">
        <v>4441</v>
      </c>
    </row>
    <row r="3941" spans="1:1" x14ac:dyDescent="0.25">
      <c r="A3941" t="s">
        <v>3190</v>
      </c>
    </row>
    <row r="3942" spans="1:1" x14ac:dyDescent="0.25">
      <c r="A3942" t="s">
        <v>4453</v>
      </c>
    </row>
    <row r="3943" spans="1:1" x14ac:dyDescent="0.25">
      <c r="A3943" t="s">
        <v>4454</v>
      </c>
    </row>
    <row r="3944" spans="1:1" x14ac:dyDescent="0.25">
      <c r="A3944" t="s">
        <v>4455</v>
      </c>
    </row>
    <row r="3945" spans="1:1" x14ac:dyDescent="0.25">
      <c r="A3945" t="s">
        <v>3194</v>
      </c>
    </row>
    <row r="3947" spans="1:1" x14ac:dyDescent="0.25">
      <c r="A3947" t="s">
        <v>3184</v>
      </c>
    </row>
    <row r="3948" spans="1:1" x14ac:dyDescent="0.25">
      <c r="A3948" t="s">
        <v>3185</v>
      </c>
    </row>
    <row r="3949" spans="1:1" x14ac:dyDescent="0.25">
      <c r="A3949" t="s">
        <v>4456</v>
      </c>
    </row>
    <row r="3950" spans="1:1" x14ac:dyDescent="0.25">
      <c r="A3950" t="s">
        <v>4457</v>
      </c>
    </row>
    <row r="3951" spans="1:1" x14ac:dyDescent="0.25">
      <c r="A3951" t="s">
        <v>4441</v>
      </c>
    </row>
    <row r="3952" spans="1:1" x14ac:dyDescent="0.25">
      <c r="A3952" t="s">
        <v>3190</v>
      </c>
    </row>
    <row r="3953" spans="1:1" x14ac:dyDescent="0.25">
      <c r="A3953" t="s">
        <v>4458</v>
      </c>
    </row>
    <row r="3954" spans="1:1" x14ac:dyDescent="0.25">
      <c r="A3954" t="s">
        <v>4459</v>
      </c>
    </row>
    <row r="3955" spans="1:1" x14ac:dyDescent="0.25">
      <c r="A3955" t="s">
        <v>4455</v>
      </c>
    </row>
    <row r="3956" spans="1:1" x14ac:dyDescent="0.25">
      <c r="A3956" t="s">
        <v>3194</v>
      </c>
    </row>
    <row r="3958" spans="1:1" x14ac:dyDescent="0.25">
      <c r="A3958" t="s">
        <v>3184</v>
      </c>
    </row>
    <row r="3959" spans="1:1" x14ac:dyDescent="0.25">
      <c r="A3959" t="s">
        <v>3185</v>
      </c>
    </row>
    <row r="3960" spans="1:1" x14ac:dyDescent="0.25">
      <c r="A3960" t="s">
        <v>4460</v>
      </c>
    </row>
    <row r="3961" spans="1:1" x14ac:dyDescent="0.25">
      <c r="A3961" t="s">
        <v>4461</v>
      </c>
    </row>
    <row r="3962" spans="1:1" x14ac:dyDescent="0.25">
      <c r="A3962" t="s">
        <v>3270</v>
      </c>
    </row>
    <row r="3963" spans="1:1" x14ac:dyDescent="0.25">
      <c r="A3963" t="s">
        <v>3214</v>
      </c>
    </row>
    <row r="3964" spans="1:1" x14ac:dyDescent="0.25">
      <c r="A3964" t="s">
        <v>3190</v>
      </c>
    </row>
    <row r="3965" spans="1:1" x14ac:dyDescent="0.25">
      <c r="A3965" t="s">
        <v>3266</v>
      </c>
    </row>
    <row r="3966" spans="1:1" x14ac:dyDescent="0.25">
      <c r="A3966" t="s">
        <v>4462</v>
      </c>
    </row>
    <row r="3967" spans="1:1" x14ac:dyDescent="0.25">
      <c r="A3967" t="s">
        <v>3193</v>
      </c>
    </row>
    <row r="3968" spans="1:1" x14ac:dyDescent="0.25">
      <c r="A3968" t="s">
        <v>3194</v>
      </c>
    </row>
    <row r="3970" spans="1:1" x14ac:dyDescent="0.25">
      <c r="A3970" t="s">
        <v>3184</v>
      </c>
    </row>
    <row r="3971" spans="1:1" x14ac:dyDescent="0.25">
      <c r="A3971" t="s">
        <v>3185</v>
      </c>
    </row>
    <row r="3972" spans="1:1" x14ac:dyDescent="0.25">
      <c r="A3972" t="s">
        <v>4463</v>
      </c>
    </row>
    <row r="3973" spans="1:1" x14ac:dyDescent="0.25">
      <c r="A3973" t="s">
        <v>4464</v>
      </c>
    </row>
    <row r="3974" spans="1:1" x14ac:dyDescent="0.25">
      <c r="A3974" t="s">
        <v>3302</v>
      </c>
    </row>
    <row r="3975" spans="1:1" x14ac:dyDescent="0.25">
      <c r="A3975" t="s">
        <v>3214</v>
      </c>
    </row>
    <row r="3976" spans="1:1" x14ac:dyDescent="0.25">
      <c r="A3976" t="s">
        <v>3190</v>
      </c>
    </row>
    <row r="3977" spans="1:1" x14ac:dyDescent="0.25">
      <c r="A3977" t="s">
        <v>3266</v>
      </c>
    </row>
    <row r="3978" spans="1:1" x14ac:dyDescent="0.25">
      <c r="A3978" t="s">
        <v>4465</v>
      </c>
    </row>
    <row r="3979" spans="1:1" x14ac:dyDescent="0.25">
      <c r="A3979" t="s">
        <v>3193</v>
      </c>
    </row>
    <row r="3980" spans="1:1" x14ac:dyDescent="0.25">
      <c r="A3980" t="s">
        <v>3194</v>
      </c>
    </row>
    <row r="3982" spans="1:1" x14ac:dyDescent="0.25">
      <c r="A3982" t="s">
        <v>3392</v>
      </c>
    </row>
    <row r="3983" spans="1:1" x14ac:dyDescent="0.25">
      <c r="A3983" t="s">
        <v>3393</v>
      </c>
    </row>
    <row r="3984" spans="1:1" x14ac:dyDescent="0.25">
      <c r="A3984" t="s">
        <v>4466</v>
      </c>
    </row>
    <row r="3985" spans="1:1" x14ac:dyDescent="0.25">
      <c r="A3985" t="s">
        <v>4467</v>
      </c>
    </row>
    <row r="3986" spans="1:1" x14ac:dyDescent="0.25">
      <c r="A3986" t="s">
        <v>3519</v>
      </c>
    </row>
    <row r="3987" spans="1:1" x14ac:dyDescent="0.25">
      <c r="A3987" t="s">
        <v>3397</v>
      </c>
    </row>
    <row r="3988" spans="1:1" x14ac:dyDescent="0.25">
      <c r="A3988" t="s">
        <v>3398</v>
      </c>
    </row>
    <row r="3989" spans="1:1" x14ac:dyDescent="0.25">
      <c r="A3989" t="s">
        <v>3399</v>
      </c>
    </row>
    <row r="3990" spans="1:1" x14ac:dyDescent="0.25">
      <c r="A3990" t="s">
        <v>4468</v>
      </c>
    </row>
    <row r="3991" spans="1:1" x14ac:dyDescent="0.25">
      <c r="A3991" t="s">
        <v>3401</v>
      </c>
    </row>
    <row r="3992" spans="1:1" x14ac:dyDescent="0.25">
      <c r="A3992" t="s">
        <v>3402</v>
      </c>
    </row>
    <row r="3994" spans="1:1" x14ac:dyDescent="0.25">
      <c r="A3994" t="s">
        <v>3392</v>
      </c>
    </row>
    <row r="3995" spans="1:1" x14ac:dyDescent="0.25">
      <c r="A3995" t="s">
        <v>3393</v>
      </c>
    </row>
    <row r="3996" spans="1:1" x14ac:dyDescent="0.25">
      <c r="A3996" t="s">
        <v>4469</v>
      </c>
    </row>
    <row r="3997" spans="1:1" x14ac:dyDescent="0.25">
      <c r="A3997" t="s">
        <v>4470</v>
      </c>
    </row>
    <row r="3998" spans="1:1" x14ac:dyDescent="0.25">
      <c r="A3998" t="s">
        <v>4471</v>
      </c>
    </row>
    <row r="3999" spans="1:1" x14ac:dyDescent="0.25">
      <c r="A3999" t="s">
        <v>3397</v>
      </c>
    </row>
    <row r="4000" spans="1:1" x14ac:dyDescent="0.25">
      <c r="A4000" t="s">
        <v>3398</v>
      </c>
    </row>
    <row r="4001" spans="1:1" x14ac:dyDescent="0.25">
      <c r="A4001" t="s">
        <v>3515</v>
      </c>
    </row>
    <row r="4002" spans="1:1" x14ac:dyDescent="0.25">
      <c r="A4002" t="s">
        <v>4472</v>
      </c>
    </row>
    <row r="4003" spans="1:1" x14ac:dyDescent="0.25">
      <c r="A4003" t="s">
        <v>3401</v>
      </c>
    </row>
    <row r="4004" spans="1:1" x14ac:dyDescent="0.25">
      <c r="A4004" t="s">
        <v>3402</v>
      </c>
    </row>
    <row r="4006" spans="1:1" x14ac:dyDescent="0.25">
      <c r="A4006" t="s">
        <v>3392</v>
      </c>
    </row>
    <row r="4007" spans="1:1" x14ac:dyDescent="0.25">
      <c r="A4007" t="s">
        <v>3393</v>
      </c>
    </row>
    <row r="4008" spans="1:1" x14ac:dyDescent="0.25">
      <c r="A4008" t="s">
        <v>4473</v>
      </c>
    </row>
    <row r="4009" spans="1:1" x14ac:dyDescent="0.25">
      <c r="A4009" t="s">
        <v>4474</v>
      </c>
    </row>
    <row r="4010" spans="1:1" x14ac:dyDescent="0.25">
      <c r="A4010" t="s">
        <v>3823</v>
      </c>
    </row>
    <row r="4011" spans="1:1" x14ac:dyDescent="0.25">
      <c r="A4011" t="s">
        <v>3397</v>
      </c>
    </row>
    <row r="4012" spans="1:1" x14ac:dyDescent="0.25">
      <c r="A4012" t="s">
        <v>3398</v>
      </c>
    </row>
    <row r="4013" spans="1:1" x14ac:dyDescent="0.25">
      <c r="A4013" t="s">
        <v>3563</v>
      </c>
    </row>
    <row r="4014" spans="1:1" x14ac:dyDescent="0.25">
      <c r="A4014" t="s">
        <v>4475</v>
      </c>
    </row>
    <row r="4015" spans="1:1" x14ac:dyDescent="0.25">
      <c r="A4015" t="s">
        <v>3401</v>
      </c>
    </row>
    <row r="4016" spans="1:1" x14ac:dyDescent="0.25">
      <c r="A4016" t="s">
        <v>3402</v>
      </c>
    </row>
    <row r="4018" spans="1:1" x14ac:dyDescent="0.25">
      <c r="A4018" t="s">
        <v>3392</v>
      </c>
    </row>
    <row r="4019" spans="1:1" x14ac:dyDescent="0.25">
      <c r="A4019" t="s">
        <v>3393</v>
      </c>
    </row>
    <row r="4020" spans="1:1" x14ac:dyDescent="0.25">
      <c r="A4020" t="s">
        <v>4476</v>
      </c>
    </row>
    <row r="4021" spans="1:1" x14ac:dyDescent="0.25">
      <c r="A4021" t="s">
        <v>4477</v>
      </c>
    </row>
    <row r="4022" spans="1:1" x14ac:dyDescent="0.25">
      <c r="A4022" t="s">
        <v>4478</v>
      </c>
    </row>
    <row r="4023" spans="1:1" x14ac:dyDescent="0.25">
      <c r="A4023" t="s">
        <v>3397</v>
      </c>
    </row>
    <row r="4024" spans="1:1" x14ac:dyDescent="0.25">
      <c r="A4024" t="s">
        <v>3398</v>
      </c>
    </row>
    <row r="4025" spans="1:1" x14ac:dyDescent="0.25">
      <c r="A4025" t="s">
        <v>3399</v>
      </c>
    </row>
    <row r="4026" spans="1:1" x14ac:dyDescent="0.25">
      <c r="A4026" t="s">
        <v>4479</v>
      </c>
    </row>
    <row r="4027" spans="1:1" x14ac:dyDescent="0.25">
      <c r="A4027" t="s">
        <v>3401</v>
      </c>
    </row>
    <row r="4028" spans="1:1" x14ac:dyDescent="0.25">
      <c r="A4028" t="s">
        <v>3402</v>
      </c>
    </row>
    <row r="4030" spans="1:1" x14ac:dyDescent="0.25">
      <c r="A4030" t="s">
        <v>3184</v>
      </c>
    </row>
    <row r="4031" spans="1:1" x14ac:dyDescent="0.25">
      <c r="A4031" t="s">
        <v>3185</v>
      </c>
    </row>
    <row r="4032" spans="1:1" x14ac:dyDescent="0.25">
      <c r="A4032" t="s">
        <v>4480</v>
      </c>
    </row>
    <row r="4033" spans="1:1" x14ac:dyDescent="0.25">
      <c r="A4033" t="s">
        <v>4481</v>
      </c>
    </row>
    <row r="4034" spans="1:1" x14ac:dyDescent="0.25">
      <c r="A4034" t="s">
        <v>4027</v>
      </c>
    </row>
    <row r="4035" spans="1:1" x14ac:dyDescent="0.25">
      <c r="A4035" t="s">
        <v>3214</v>
      </c>
    </row>
    <row r="4036" spans="1:1" x14ac:dyDescent="0.25">
      <c r="A4036" t="s">
        <v>3190</v>
      </c>
    </row>
    <row r="4037" spans="1:1" x14ac:dyDescent="0.25">
      <c r="A4037" t="s">
        <v>3266</v>
      </c>
    </row>
    <row r="4038" spans="1:1" x14ac:dyDescent="0.25">
      <c r="A4038" t="s">
        <v>4482</v>
      </c>
    </row>
    <row r="4039" spans="1:1" x14ac:dyDescent="0.25">
      <c r="A4039" t="s">
        <v>3193</v>
      </c>
    </row>
    <row r="4040" spans="1:1" x14ac:dyDescent="0.25">
      <c r="A4040" t="s">
        <v>3194</v>
      </c>
    </row>
    <row r="4042" spans="1:1" x14ac:dyDescent="0.25">
      <c r="A4042" t="s">
        <v>3184</v>
      </c>
    </row>
    <row r="4043" spans="1:1" x14ac:dyDescent="0.25">
      <c r="A4043" t="s">
        <v>3185</v>
      </c>
    </row>
    <row r="4044" spans="1:1" x14ac:dyDescent="0.25">
      <c r="A4044" t="s">
        <v>4483</v>
      </c>
    </row>
    <row r="4045" spans="1:1" x14ac:dyDescent="0.25">
      <c r="A4045" t="s">
        <v>4484</v>
      </c>
    </row>
    <row r="4046" spans="1:1" x14ac:dyDescent="0.25">
      <c r="A4046" t="s">
        <v>4485</v>
      </c>
    </row>
    <row r="4047" spans="1:1" x14ac:dyDescent="0.25">
      <c r="A4047" t="s">
        <v>3214</v>
      </c>
    </row>
    <row r="4048" spans="1:1" x14ac:dyDescent="0.25">
      <c r="A4048" t="s">
        <v>3190</v>
      </c>
    </row>
    <row r="4049" spans="1:1" x14ac:dyDescent="0.25">
      <c r="A4049" t="s">
        <v>3266</v>
      </c>
    </row>
    <row r="4050" spans="1:1" x14ac:dyDescent="0.25">
      <c r="A4050" t="s">
        <v>4486</v>
      </c>
    </row>
    <row r="4051" spans="1:1" x14ac:dyDescent="0.25">
      <c r="A4051" t="s">
        <v>3193</v>
      </c>
    </row>
    <row r="4052" spans="1:1" x14ac:dyDescent="0.25">
      <c r="A4052" t="s">
        <v>3194</v>
      </c>
    </row>
    <row r="4054" spans="1:1" x14ac:dyDescent="0.25">
      <c r="A4054" t="s">
        <v>3392</v>
      </c>
    </row>
    <row r="4055" spans="1:1" x14ac:dyDescent="0.25">
      <c r="A4055" t="s">
        <v>3393</v>
      </c>
    </row>
    <row r="4056" spans="1:1" x14ac:dyDescent="0.25">
      <c r="A4056" t="s">
        <v>4487</v>
      </c>
    </row>
    <row r="4057" spans="1:1" x14ac:dyDescent="0.25">
      <c r="A4057" t="s">
        <v>4488</v>
      </c>
    </row>
    <row r="4058" spans="1:1" x14ac:dyDescent="0.25">
      <c r="A4058" t="s">
        <v>4471</v>
      </c>
    </row>
    <row r="4059" spans="1:1" x14ac:dyDescent="0.25">
      <c r="A4059" t="s">
        <v>3397</v>
      </c>
    </row>
    <row r="4060" spans="1:1" x14ac:dyDescent="0.25">
      <c r="A4060" t="s">
        <v>3398</v>
      </c>
    </row>
    <row r="4061" spans="1:1" x14ac:dyDescent="0.25">
      <c r="A4061" t="s">
        <v>3399</v>
      </c>
    </row>
    <row r="4062" spans="1:1" x14ac:dyDescent="0.25">
      <c r="A4062" t="s">
        <v>4489</v>
      </c>
    </row>
    <row r="4063" spans="1:1" x14ac:dyDescent="0.25">
      <c r="A4063" t="s">
        <v>3401</v>
      </c>
    </row>
    <row r="4064" spans="1:1" x14ac:dyDescent="0.25">
      <c r="A4064" t="s">
        <v>3402</v>
      </c>
    </row>
    <row r="4066" spans="1:1" x14ac:dyDescent="0.25">
      <c r="A4066" t="s">
        <v>3184</v>
      </c>
    </row>
    <row r="4067" spans="1:1" x14ac:dyDescent="0.25">
      <c r="A4067" t="s">
        <v>3185</v>
      </c>
    </row>
    <row r="4068" spans="1:1" x14ac:dyDescent="0.25">
      <c r="A4068" t="s">
        <v>4490</v>
      </c>
    </row>
    <row r="4069" spans="1:1" x14ac:dyDescent="0.25">
      <c r="A4069" t="s">
        <v>4491</v>
      </c>
    </row>
    <row r="4070" spans="1:1" x14ac:dyDescent="0.25">
      <c r="A4070" t="s">
        <v>4492</v>
      </c>
    </row>
    <row r="4071" spans="1:1" x14ac:dyDescent="0.25">
      <c r="A4071" t="s">
        <v>3214</v>
      </c>
    </row>
    <row r="4072" spans="1:1" x14ac:dyDescent="0.25">
      <c r="A4072" t="s">
        <v>3190</v>
      </c>
    </row>
    <row r="4073" spans="1:1" x14ac:dyDescent="0.25">
      <c r="A4073" t="s">
        <v>3266</v>
      </c>
    </row>
    <row r="4074" spans="1:1" x14ac:dyDescent="0.25">
      <c r="A4074" t="s">
        <v>4493</v>
      </c>
    </row>
    <row r="4075" spans="1:1" x14ac:dyDescent="0.25">
      <c r="A4075" t="s">
        <v>3193</v>
      </c>
    </row>
    <row r="4076" spans="1:1" x14ac:dyDescent="0.25">
      <c r="A4076" t="s">
        <v>3194</v>
      </c>
    </row>
    <row r="4078" spans="1:1" x14ac:dyDescent="0.25">
      <c r="A4078" t="s">
        <v>3392</v>
      </c>
    </row>
    <row r="4079" spans="1:1" x14ac:dyDescent="0.25">
      <c r="A4079" t="s">
        <v>3393</v>
      </c>
    </row>
    <row r="4080" spans="1:1" x14ac:dyDescent="0.25">
      <c r="A4080" t="s">
        <v>4494</v>
      </c>
    </row>
    <row r="4081" spans="1:1" x14ac:dyDescent="0.25">
      <c r="A4081" t="s">
        <v>4495</v>
      </c>
    </row>
    <row r="4082" spans="1:1" x14ac:dyDescent="0.25">
      <c r="A4082" t="s">
        <v>3424</v>
      </c>
    </row>
    <row r="4083" spans="1:1" x14ac:dyDescent="0.25">
      <c r="A4083" t="s">
        <v>3397</v>
      </c>
    </row>
    <row r="4084" spans="1:1" x14ac:dyDescent="0.25">
      <c r="A4084" t="s">
        <v>3398</v>
      </c>
    </row>
    <row r="4085" spans="1:1" x14ac:dyDescent="0.25">
      <c r="A4085" t="s">
        <v>3399</v>
      </c>
    </row>
    <row r="4086" spans="1:1" x14ac:dyDescent="0.25">
      <c r="A4086" t="s">
        <v>4496</v>
      </c>
    </row>
    <row r="4087" spans="1:1" x14ac:dyDescent="0.25">
      <c r="A4087" t="s">
        <v>3401</v>
      </c>
    </row>
    <row r="4088" spans="1:1" x14ac:dyDescent="0.25">
      <c r="A4088" t="s">
        <v>3402</v>
      </c>
    </row>
    <row r="4090" spans="1:1" x14ac:dyDescent="0.25">
      <c r="A4090" t="s">
        <v>3184</v>
      </c>
    </row>
    <row r="4091" spans="1:1" x14ac:dyDescent="0.25">
      <c r="A4091" t="s">
        <v>3185</v>
      </c>
    </row>
    <row r="4092" spans="1:1" x14ac:dyDescent="0.25">
      <c r="A4092" t="s">
        <v>4497</v>
      </c>
    </row>
    <row r="4093" spans="1:1" x14ac:dyDescent="0.25">
      <c r="A4093" t="s">
        <v>4498</v>
      </c>
    </row>
    <row r="4094" spans="1:1" x14ac:dyDescent="0.25">
      <c r="A4094" t="s">
        <v>3576</v>
      </c>
    </row>
    <row r="4095" spans="1:1" x14ac:dyDescent="0.25">
      <c r="A4095" t="s">
        <v>3214</v>
      </c>
    </row>
    <row r="4096" spans="1:1" x14ac:dyDescent="0.25">
      <c r="A4096" t="s">
        <v>3190</v>
      </c>
    </row>
    <row r="4097" spans="1:1" x14ac:dyDescent="0.25">
      <c r="A4097" t="s">
        <v>3215</v>
      </c>
    </row>
    <row r="4098" spans="1:1" x14ac:dyDescent="0.25">
      <c r="A4098" t="s">
        <v>4499</v>
      </c>
    </row>
    <row r="4099" spans="1:1" x14ac:dyDescent="0.25">
      <c r="A4099" t="s">
        <v>3193</v>
      </c>
    </row>
    <row r="4100" spans="1:1" x14ac:dyDescent="0.25">
      <c r="A4100" t="s">
        <v>3194</v>
      </c>
    </row>
    <row r="4102" spans="1:1" x14ac:dyDescent="0.25">
      <c r="A4102" t="s">
        <v>3184</v>
      </c>
    </row>
    <row r="4103" spans="1:1" x14ac:dyDescent="0.25">
      <c r="A4103" t="s">
        <v>3185</v>
      </c>
    </row>
    <row r="4104" spans="1:1" x14ac:dyDescent="0.25">
      <c r="A4104" t="s">
        <v>4500</v>
      </c>
    </row>
    <row r="4105" spans="1:1" x14ac:dyDescent="0.25">
      <c r="A4105" t="s">
        <v>4501</v>
      </c>
    </row>
    <row r="4106" spans="1:1" x14ac:dyDescent="0.25">
      <c r="A4106" t="s">
        <v>3278</v>
      </c>
    </row>
    <row r="4107" spans="1:1" x14ac:dyDescent="0.25">
      <c r="A4107" t="s">
        <v>3214</v>
      </c>
    </row>
    <row r="4108" spans="1:1" x14ac:dyDescent="0.25">
      <c r="A4108" t="s">
        <v>3190</v>
      </c>
    </row>
    <row r="4109" spans="1:1" x14ac:dyDescent="0.25">
      <c r="A4109" t="s">
        <v>3266</v>
      </c>
    </row>
    <row r="4110" spans="1:1" x14ac:dyDescent="0.25">
      <c r="A4110" t="s">
        <v>4502</v>
      </c>
    </row>
    <row r="4111" spans="1:1" x14ac:dyDescent="0.25">
      <c r="A4111" t="s">
        <v>3193</v>
      </c>
    </row>
    <row r="4112" spans="1:1" x14ac:dyDescent="0.25">
      <c r="A4112" t="s">
        <v>3194</v>
      </c>
    </row>
    <row r="4114" spans="1:1" x14ac:dyDescent="0.25">
      <c r="A4114" t="s">
        <v>3184</v>
      </c>
    </row>
    <row r="4115" spans="1:1" x14ac:dyDescent="0.25">
      <c r="A4115" t="s">
        <v>3185</v>
      </c>
    </row>
    <row r="4116" spans="1:1" x14ac:dyDescent="0.25">
      <c r="A4116" t="s">
        <v>4503</v>
      </c>
    </row>
    <row r="4117" spans="1:1" x14ac:dyDescent="0.25">
      <c r="A4117" t="s">
        <v>4504</v>
      </c>
    </row>
    <row r="4118" spans="1:1" x14ac:dyDescent="0.25">
      <c r="A4118" t="s">
        <v>3278</v>
      </c>
    </row>
    <row r="4119" spans="1:1" x14ac:dyDescent="0.25">
      <c r="A4119" t="s">
        <v>3214</v>
      </c>
    </row>
    <row r="4120" spans="1:1" x14ac:dyDescent="0.25">
      <c r="A4120" t="s">
        <v>3190</v>
      </c>
    </row>
    <row r="4121" spans="1:1" x14ac:dyDescent="0.25">
      <c r="A4121" t="s">
        <v>3266</v>
      </c>
    </row>
    <row r="4122" spans="1:1" x14ac:dyDescent="0.25">
      <c r="A4122" t="s">
        <v>4505</v>
      </c>
    </row>
    <row r="4123" spans="1:1" x14ac:dyDescent="0.25">
      <c r="A4123" t="s">
        <v>3193</v>
      </c>
    </row>
    <row r="4124" spans="1:1" x14ac:dyDescent="0.25">
      <c r="A4124" t="s">
        <v>3194</v>
      </c>
    </row>
    <row r="4126" spans="1:1" x14ac:dyDescent="0.25">
      <c r="A4126" t="s">
        <v>3184</v>
      </c>
    </row>
    <row r="4127" spans="1:1" x14ac:dyDescent="0.25">
      <c r="A4127" t="s">
        <v>3185</v>
      </c>
    </row>
    <row r="4128" spans="1:1" x14ac:dyDescent="0.25">
      <c r="A4128" t="s">
        <v>4506</v>
      </c>
    </row>
    <row r="4129" spans="1:1" x14ac:dyDescent="0.25">
      <c r="A4129" t="s">
        <v>4507</v>
      </c>
    </row>
    <row r="4130" spans="1:1" x14ac:dyDescent="0.25">
      <c r="A4130" t="s">
        <v>3278</v>
      </c>
    </row>
    <row r="4131" spans="1:1" x14ac:dyDescent="0.25">
      <c r="A4131" t="s">
        <v>3214</v>
      </c>
    </row>
    <row r="4132" spans="1:1" x14ac:dyDescent="0.25">
      <c r="A4132" t="s">
        <v>3190</v>
      </c>
    </row>
    <row r="4133" spans="1:1" x14ac:dyDescent="0.25">
      <c r="A4133" t="s">
        <v>3266</v>
      </c>
    </row>
    <row r="4134" spans="1:1" x14ac:dyDescent="0.25">
      <c r="A4134" t="s">
        <v>4508</v>
      </c>
    </row>
    <row r="4135" spans="1:1" x14ac:dyDescent="0.25">
      <c r="A4135" t="s">
        <v>3193</v>
      </c>
    </row>
    <row r="4136" spans="1:1" x14ac:dyDescent="0.25">
      <c r="A4136" t="s">
        <v>3194</v>
      </c>
    </row>
    <row r="4138" spans="1:1" x14ac:dyDescent="0.25">
      <c r="A4138" t="s">
        <v>3184</v>
      </c>
    </row>
    <row r="4139" spans="1:1" x14ac:dyDescent="0.25">
      <c r="A4139" t="s">
        <v>3185</v>
      </c>
    </row>
    <row r="4140" spans="1:1" x14ac:dyDescent="0.25">
      <c r="A4140" t="s">
        <v>4509</v>
      </c>
    </row>
    <row r="4141" spans="1:1" x14ac:dyDescent="0.25">
      <c r="A4141" t="s">
        <v>4510</v>
      </c>
    </row>
    <row r="4142" spans="1:1" x14ac:dyDescent="0.25">
      <c r="A4142" t="s">
        <v>4511</v>
      </c>
    </row>
    <row r="4143" spans="1:1" x14ac:dyDescent="0.25">
      <c r="A4143" t="s">
        <v>3214</v>
      </c>
    </row>
    <row r="4144" spans="1:1" x14ac:dyDescent="0.25">
      <c r="A4144" t="s">
        <v>3190</v>
      </c>
    </row>
    <row r="4145" spans="1:1" x14ac:dyDescent="0.25">
      <c r="A4145" t="s">
        <v>3215</v>
      </c>
    </row>
    <row r="4146" spans="1:1" x14ac:dyDescent="0.25">
      <c r="A4146" t="s">
        <v>4512</v>
      </c>
    </row>
    <row r="4147" spans="1:1" x14ac:dyDescent="0.25">
      <c r="A4147" t="s">
        <v>3193</v>
      </c>
    </row>
    <row r="4148" spans="1:1" x14ac:dyDescent="0.25">
      <c r="A4148" t="s">
        <v>3194</v>
      </c>
    </row>
    <row r="4150" spans="1:1" x14ac:dyDescent="0.25">
      <c r="A4150" t="s">
        <v>3392</v>
      </c>
    </row>
    <row r="4151" spans="1:1" x14ac:dyDescent="0.25">
      <c r="A4151" t="s">
        <v>3393</v>
      </c>
    </row>
    <row r="4152" spans="1:1" x14ac:dyDescent="0.25">
      <c r="A4152" t="s">
        <v>4513</v>
      </c>
    </row>
    <row r="4153" spans="1:1" x14ac:dyDescent="0.25">
      <c r="A4153" t="s">
        <v>4514</v>
      </c>
    </row>
    <row r="4154" spans="1:1" x14ac:dyDescent="0.25">
      <c r="A4154" t="s">
        <v>4515</v>
      </c>
    </row>
    <row r="4155" spans="1:1" x14ac:dyDescent="0.25">
      <c r="A4155" t="s">
        <v>3397</v>
      </c>
    </row>
    <row r="4156" spans="1:1" x14ac:dyDescent="0.25">
      <c r="A4156" t="s">
        <v>3398</v>
      </c>
    </row>
    <row r="4157" spans="1:1" x14ac:dyDescent="0.25">
      <c r="A4157" t="s">
        <v>4516</v>
      </c>
    </row>
    <row r="4158" spans="1:1" x14ac:dyDescent="0.25">
      <c r="A4158" t="s">
        <v>4517</v>
      </c>
    </row>
    <row r="4159" spans="1:1" x14ac:dyDescent="0.25">
      <c r="A4159" t="s">
        <v>3655</v>
      </c>
    </row>
    <row r="4160" spans="1:1" x14ac:dyDescent="0.25">
      <c r="A4160" t="s">
        <v>3402</v>
      </c>
    </row>
    <row r="4162" spans="1:1" x14ac:dyDescent="0.25">
      <c r="A4162" t="s">
        <v>3392</v>
      </c>
    </row>
    <row r="4163" spans="1:1" x14ac:dyDescent="0.25">
      <c r="A4163" t="s">
        <v>3393</v>
      </c>
    </row>
    <row r="4164" spans="1:1" x14ac:dyDescent="0.25">
      <c r="A4164" t="s">
        <v>4518</v>
      </c>
    </row>
    <row r="4165" spans="1:1" x14ac:dyDescent="0.25">
      <c r="A4165" t="s">
        <v>4519</v>
      </c>
    </row>
    <row r="4166" spans="1:1" x14ac:dyDescent="0.25">
      <c r="A4166" t="s">
        <v>4515</v>
      </c>
    </row>
    <row r="4167" spans="1:1" x14ac:dyDescent="0.25">
      <c r="A4167" t="s">
        <v>3397</v>
      </c>
    </row>
    <row r="4168" spans="1:1" x14ac:dyDescent="0.25">
      <c r="A4168" t="s">
        <v>3398</v>
      </c>
    </row>
    <row r="4169" spans="1:1" x14ac:dyDescent="0.25">
      <c r="A4169" t="s">
        <v>4520</v>
      </c>
    </row>
    <row r="4170" spans="1:1" x14ac:dyDescent="0.25">
      <c r="A4170" t="s">
        <v>4521</v>
      </c>
    </row>
    <row r="4171" spans="1:1" x14ac:dyDescent="0.25">
      <c r="A4171" t="s">
        <v>3655</v>
      </c>
    </row>
    <row r="4172" spans="1:1" x14ac:dyDescent="0.25">
      <c r="A4172" t="s">
        <v>3402</v>
      </c>
    </row>
    <row r="4174" spans="1:1" x14ac:dyDescent="0.25">
      <c r="A4174" t="s">
        <v>3184</v>
      </c>
    </row>
    <row r="4175" spans="1:1" x14ac:dyDescent="0.25">
      <c r="A4175" t="s">
        <v>3185</v>
      </c>
    </row>
    <row r="4176" spans="1:1" x14ac:dyDescent="0.25">
      <c r="A4176" t="s">
        <v>4522</v>
      </c>
    </row>
    <row r="4177" spans="1:1" x14ac:dyDescent="0.25">
      <c r="A4177" t="s">
        <v>4523</v>
      </c>
    </row>
    <row r="4178" spans="1:1" x14ac:dyDescent="0.25">
      <c r="A4178" t="s">
        <v>4446</v>
      </c>
    </row>
    <row r="4179" spans="1:1" x14ac:dyDescent="0.25">
      <c r="A4179" t="s">
        <v>3214</v>
      </c>
    </row>
    <row r="4180" spans="1:1" x14ac:dyDescent="0.25">
      <c r="A4180" t="s">
        <v>3190</v>
      </c>
    </row>
    <row r="4181" spans="1:1" x14ac:dyDescent="0.25">
      <c r="A4181" t="s">
        <v>4524</v>
      </c>
    </row>
    <row r="4182" spans="1:1" x14ac:dyDescent="0.25">
      <c r="A4182" t="s">
        <v>4525</v>
      </c>
    </row>
    <row r="4183" spans="1:1" x14ac:dyDescent="0.25">
      <c r="A4183" t="s">
        <v>3193</v>
      </c>
    </row>
    <row r="4184" spans="1:1" x14ac:dyDescent="0.25">
      <c r="A4184" t="s">
        <v>3194</v>
      </c>
    </row>
    <row r="4186" spans="1:1" x14ac:dyDescent="0.25">
      <c r="A4186" t="s">
        <v>3184</v>
      </c>
    </row>
    <row r="4187" spans="1:1" x14ac:dyDescent="0.25">
      <c r="A4187" t="s">
        <v>3185</v>
      </c>
    </row>
    <row r="4188" spans="1:1" x14ac:dyDescent="0.25">
      <c r="A4188" t="s">
        <v>4526</v>
      </c>
    </row>
    <row r="4189" spans="1:1" x14ac:dyDescent="0.25">
      <c r="A4189" t="s">
        <v>4527</v>
      </c>
    </row>
    <row r="4190" spans="1:1" x14ac:dyDescent="0.25">
      <c r="A4190" t="s">
        <v>3278</v>
      </c>
    </row>
    <row r="4191" spans="1:1" x14ac:dyDescent="0.25">
      <c r="A4191" t="s">
        <v>3214</v>
      </c>
    </row>
    <row r="4192" spans="1:1" x14ac:dyDescent="0.25">
      <c r="A4192" t="s">
        <v>3190</v>
      </c>
    </row>
    <row r="4193" spans="1:1" x14ac:dyDescent="0.25">
      <c r="A4193" t="s">
        <v>3266</v>
      </c>
    </row>
    <row r="4194" spans="1:1" x14ac:dyDescent="0.25">
      <c r="A4194" t="s">
        <v>4528</v>
      </c>
    </row>
    <row r="4195" spans="1:1" x14ac:dyDescent="0.25">
      <c r="A4195" t="s">
        <v>3193</v>
      </c>
    </row>
    <row r="4196" spans="1:1" x14ac:dyDescent="0.25">
      <c r="A4196" t="s">
        <v>3194</v>
      </c>
    </row>
    <row r="4198" spans="1:1" x14ac:dyDescent="0.25">
      <c r="A4198" t="s">
        <v>3184</v>
      </c>
    </row>
    <row r="4199" spans="1:1" x14ac:dyDescent="0.25">
      <c r="A4199" t="s">
        <v>3185</v>
      </c>
    </row>
    <row r="4200" spans="1:1" x14ac:dyDescent="0.25">
      <c r="A4200" t="s">
        <v>4529</v>
      </c>
    </row>
    <row r="4201" spans="1:1" x14ac:dyDescent="0.25">
      <c r="A4201" t="s">
        <v>3269</v>
      </c>
    </row>
    <row r="4202" spans="1:1" x14ac:dyDescent="0.25">
      <c r="A4202" t="s">
        <v>3270</v>
      </c>
    </row>
    <row r="4203" spans="1:1" x14ac:dyDescent="0.25">
      <c r="A4203" t="s">
        <v>3214</v>
      </c>
    </row>
    <row r="4204" spans="1:1" x14ac:dyDescent="0.25">
      <c r="A4204" t="s">
        <v>3190</v>
      </c>
    </row>
    <row r="4205" spans="1:1" x14ac:dyDescent="0.25">
      <c r="A4205" t="s">
        <v>3215</v>
      </c>
    </row>
    <row r="4206" spans="1:1" x14ac:dyDescent="0.25">
      <c r="A4206" t="s">
        <v>3271</v>
      </c>
    </row>
    <row r="4207" spans="1:1" x14ac:dyDescent="0.25">
      <c r="A4207" t="s">
        <v>3193</v>
      </c>
    </row>
    <row r="4208" spans="1:1" x14ac:dyDescent="0.25">
      <c r="A4208" t="s">
        <v>3194</v>
      </c>
    </row>
    <row r="4210" spans="1:1" x14ac:dyDescent="0.25">
      <c r="A4210" t="s">
        <v>3392</v>
      </c>
    </row>
    <row r="4211" spans="1:1" x14ac:dyDescent="0.25">
      <c r="A4211" t="s">
        <v>3393</v>
      </c>
    </row>
    <row r="4212" spans="1:1" x14ac:dyDescent="0.25">
      <c r="A4212" t="s">
        <v>4530</v>
      </c>
    </row>
    <row r="4213" spans="1:1" x14ac:dyDescent="0.25">
      <c r="A4213" t="s">
        <v>4531</v>
      </c>
    </row>
    <row r="4214" spans="1:1" x14ac:dyDescent="0.25">
      <c r="A4214" t="s">
        <v>3971</v>
      </c>
    </row>
    <row r="4215" spans="1:1" x14ac:dyDescent="0.25">
      <c r="A4215" t="s">
        <v>3397</v>
      </c>
    </row>
    <row r="4216" spans="1:1" x14ac:dyDescent="0.25">
      <c r="A4216" t="s">
        <v>3398</v>
      </c>
    </row>
    <row r="4217" spans="1:1" x14ac:dyDescent="0.25">
      <c r="A4217" t="s">
        <v>3399</v>
      </c>
    </row>
    <row r="4218" spans="1:1" x14ac:dyDescent="0.25">
      <c r="A4218" t="s">
        <v>4532</v>
      </c>
    </row>
    <row r="4219" spans="1:1" x14ac:dyDescent="0.25">
      <c r="A4219" t="s">
        <v>3401</v>
      </c>
    </row>
    <row r="4220" spans="1:1" x14ac:dyDescent="0.25">
      <c r="A4220" t="s">
        <v>3402</v>
      </c>
    </row>
    <row r="4222" spans="1:1" x14ac:dyDescent="0.25">
      <c r="A4222" t="s">
        <v>3184</v>
      </c>
    </row>
    <row r="4223" spans="1:1" x14ac:dyDescent="0.25">
      <c r="A4223" t="s">
        <v>3185</v>
      </c>
    </row>
    <row r="4224" spans="1:1" x14ac:dyDescent="0.25">
      <c r="A4224" t="s">
        <v>4533</v>
      </c>
    </row>
    <row r="4225" spans="1:1" x14ac:dyDescent="0.25">
      <c r="A4225" t="s">
        <v>3273</v>
      </c>
    </row>
    <row r="4226" spans="1:1" x14ac:dyDescent="0.25">
      <c r="A4226" t="s">
        <v>3224</v>
      </c>
    </row>
    <row r="4227" spans="1:1" x14ac:dyDescent="0.25">
      <c r="A4227" t="s">
        <v>3214</v>
      </c>
    </row>
    <row r="4228" spans="1:1" x14ac:dyDescent="0.25">
      <c r="A4228" t="s">
        <v>3190</v>
      </c>
    </row>
    <row r="4229" spans="1:1" x14ac:dyDescent="0.25">
      <c r="A4229" t="s">
        <v>3274</v>
      </c>
    </row>
    <row r="4230" spans="1:1" x14ac:dyDescent="0.25">
      <c r="A4230" t="s">
        <v>3275</v>
      </c>
    </row>
    <row r="4231" spans="1:1" x14ac:dyDescent="0.25">
      <c r="A4231" t="s">
        <v>3210</v>
      </c>
    </row>
    <row r="4232" spans="1:1" x14ac:dyDescent="0.25">
      <c r="A4232" t="s">
        <v>3194</v>
      </c>
    </row>
    <row r="4234" spans="1:1" x14ac:dyDescent="0.25">
      <c r="A4234" t="s">
        <v>3184</v>
      </c>
    </row>
    <row r="4235" spans="1:1" x14ac:dyDescent="0.25">
      <c r="A4235" t="s">
        <v>3185</v>
      </c>
    </row>
    <row r="4236" spans="1:1" x14ac:dyDescent="0.25">
      <c r="A4236" t="s">
        <v>4534</v>
      </c>
    </row>
    <row r="4237" spans="1:1" x14ac:dyDescent="0.25">
      <c r="A4237" t="s">
        <v>4535</v>
      </c>
    </row>
    <row r="4238" spans="1:1" x14ac:dyDescent="0.25">
      <c r="A4238" t="s">
        <v>3372</v>
      </c>
    </row>
    <row r="4239" spans="1:1" x14ac:dyDescent="0.25">
      <c r="A4239" t="s">
        <v>3214</v>
      </c>
    </row>
    <row r="4240" spans="1:1" x14ac:dyDescent="0.25">
      <c r="A4240" t="s">
        <v>3190</v>
      </c>
    </row>
    <row r="4241" spans="1:1" x14ac:dyDescent="0.25">
      <c r="A4241" t="s">
        <v>4536</v>
      </c>
    </row>
    <row r="4242" spans="1:1" x14ac:dyDescent="0.25">
      <c r="A4242" t="s">
        <v>4537</v>
      </c>
    </row>
    <row r="4243" spans="1:1" x14ac:dyDescent="0.25">
      <c r="A4243" t="s">
        <v>3193</v>
      </c>
    </row>
    <row r="4244" spans="1:1" x14ac:dyDescent="0.25">
      <c r="A4244" t="s">
        <v>3194</v>
      </c>
    </row>
    <row r="4246" spans="1:1" x14ac:dyDescent="0.25">
      <c r="A4246" t="s">
        <v>3392</v>
      </c>
    </row>
    <row r="4247" spans="1:1" x14ac:dyDescent="0.25">
      <c r="A4247" t="s">
        <v>3393</v>
      </c>
    </row>
    <row r="4248" spans="1:1" x14ac:dyDescent="0.25">
      <c r="A4248" t="s">
        <v>4538</v>
      </c>
    </row>
    <row r="4249" spans="1:1" x14ac:dyDescent="0.25">
      <c r="A4249" t="s">
        <v>4539</v>
      </c>
    </row>
    <row r="4250" spans="1:1" x14ac:dyDescent="0.25">
      <c r="A4250" t="s">
        <v>4540</v>
      </c>
    </row>
    <row r="4251" spans="1:1" x14ac:dyDescent="0.25">
      <c r="A4251" t="s">
        <v>3397</v>
      </c>
    </row>
    <row r="4252" spans="1:1" x14ac:dyDescent="0.25">
      <c r="A4252" t="s">
        <v>3398</v>
      </c>
    </row>
    <row r="4253" spans="1:1" x14ac:dyDescent="0.25">
      <c r="A4253" t="s">
        <v>4541</v>
      </c>
    </row>
    <row r="4254" spans="1:1" x14ac:dyDescent="0.25">
      <c r="A4254" t="s">
        <v>4542</v>
      </c>
    </row>
    <row r="4255" spans="1:1" x14ac:dyDescent="0.25">
      <c r="A4255" t="s">
        <v>3401</v>
      </c>
    </row>
    <row r="4256" spans="1:1" x14ac:dyDescent="0.25">
      <c r="A4256" t="s">
        <v>3402</v>
      </c>
    </row>
    <row r="4258" spans="1:1" x14ac:dyDescent="0.25">
      <c r="A4258" t="s">
        <v>3184</v>
      </c>
    </row>
    <row r="4259" spans="1:1" x14ac:dyDescent="0.25">
      <c r="A4259" t="s">
        <v>3185</v>
      </c>
    </row>
    <row r="4260" spans="1:1" x14ac:dyDescent="0.25">
      <c r="A4260" t="s">
        <v>4543</v>
      </c>
    </row>
    <row r="4261" spans="1:1" x14ac:dyDescent="0.25">
      <c r="A4261" t="s">
        <v>4544</v>
      </c>
    </row>
    <row r="4262" spans="1:1" x14ac:dyDescent="0.25">
      <c r="A4262" t="s">
        <v>3278</v>
      </c>
    </row>
    <row r="4263" spans="1:1" x14ac:dyDescent="0.25">
      <c r="A4263" t="s">
        <v>3214</v>
      </c>
    </row>
    <row r="4264" spans="1:1" x14ac:dyDescent="0.25">
      <c r="A4264" t="s">
        <v>3190</v>
      </c>
    </row>
    <row r="4265" spans="1:1" x14ac:dyDescent="0.25">
      <c r="A4265" t="s">
        <v>3266</v>
      </c>
    </row>
    <row r="4266" spans="1:1" x14ac:dyDescent="0.25">
      <c r="A4266" t="s">
        <v>4545</v>
      </c>
    </row>
    <row r="4267" spans="1:1" x14ac:dyDescent="0.25">
      <c r="A4267" t="s">
        <v>3193</v>
      </c>
    </row>
    <row r="4268" spans="1:1" x14ac:dyDescent="0.25">
      <c r="A4268" t="s">
        <v>3194</v>
      </c>
    </row>
    <row r="4270" spans="1:1" x14ac:dyDescent="0.25">
      <c r="A4270" t="s">
        <v>3184</v>
      </c>
    </row>
    <row r="4271" spans="1:1" x14ac:dyDescent="0.25">
      <c r="A4271" t="s">
        <v>3185</v>
      </c>
    </row>
    <row r="4272" spans="1:1" x14ac:dyDescent="0.25">
      <c r="A4272" t="s">
        <v>4546</v>
      </c>
    </row>
    <row r="4273" spans="1:1" x14ac:dyDescent="0.25">
      <c r="A4273" t="s">
        <v>3277</v>
      </c>
    </row>
    <row r="4274" spans="1:1" x14ac:dyDescent="0.25">
      <c r="A4274" t="s">
        <v>3278</v>
      </c>
    </row>
    <row r="4275" spans="1:1" x14ac:dyDescent="0.25">
      <c r="A4275" t="s">
        <v>3214</v>
      </c>
    </row>
    <row r="4276" spans="1:1" x14ac:dyDescent="0.25">
      <c r="A4276" t="s">
        <v>3190</v>
      </c>
    </row>
    <row r="4277" spans="1:1" x14ac:dyDescent="0.25">
      <c r="A4277" t="s">
        <v>3266</v>
      </c>
    </row>
    <row r="4278" spans="1:1" x14ac:dyDescent="0.25">
      <c r="A4278" t="s">
        <v>3279</v>
      </c>
    </row>
    <row r="4279" spans="1:1" x14ac:dyDescent="0.25">
      <c r="A4279" t="s">
        <v>3193</v>
      </c>
    </row>
    <row r="4280" spans="1:1" x14ac:dyDescent="0.25">
      <c r="A4280" t="s">
        <v>3194</v>
      </c>
    </row>
    <row r="4282" spans="1:1" x14ac:dyDescent="0.25">
      <c r="A4282" t="s">
        <v>3184</v>
      </c>
    </row>
    <row r="4283" spans="1:1" x14ac:dyDescent="0.25">
      <c r="A4283" t="s">
        <v>3185</v>
      </c>
    </row>
    <row r="4284" spans="1:1" x14ac:dyDescent="0.25">
      <c r="A4284" t="s">
        <v>4547</v>
      </c>
    </row>
    <row r="4285" spans="1:1" x14ac:dyDescent="0.25">
      <c r="A4285" t="s">
        <v>4548</v>
      </c>
    </row>
    <row r="4286" spans="1:1" x14ac:dyDescent="0.25">
      <c r="A4286" t="s">
        <v>3278</v>
      </c>
    </row>
    <row r="4287" spans="1:1" x14ac:dyDescent="0.25">
      <c r="A4287" t="s">
        <v>3214</v>
      </c>
    </row>
    <row r="4288" spans="1:1" x14ac:dyDescent="0.25">
      <c r="A4288" t="s">
        <v>3190</v>
      </c>
    </row>
    <row r="4289" spans="1:1" x14ac:dyDescent="0.25">
      <c r="A4289" t="s">
        <v>3215</v>
      </c>
    </row>
    <row r="4290" spans="1:1" x14ac:dyDescent="0.25">
      <c r="A4290" t="s">
        <v>4549</v>
      </c>
    </row>
    <row r="4291" spans="1:1" x14ac:dyDescent="0.25">
      <c r="A4291" t="s">
        <v>3193</v>
      </c>
    </row>
    <row r="4292" spans="1:1" x14ac:dyDescent="0.25">
      <c r="A4292" t="s">
        <v>3194</v>
      </c>
    </row>
    <row r="4294" spans="1:1" x14ac:dyDescent="0.25">
      <c r="A4294" t="s">
        <v>3392</v>
      </c>
    </row>
    <row r="4295" spans="1:1" x14ac:dyDescent="0.25">
      <c r="A4295" t="s">
        <v>3393</v>
      </c>
    </row>
    <row r="4296" spans="1:1" x14ac:dyDescent="0.25">
      <c r="A4296" t="s">
        <v>4550</v>
      </c>
    </row>
    <row r="4297" spans="1:1" x14ac:dyDescent="0.25">
      <c r="A4297" t="s">
        <v>4551</v>
      </c>
    </row>
    <row r="4298" spans="1:1" x14ac:dyDescent="0.25">
      <c r="A4298" t="s">
        <v>3906</v>
      </c>
    </row>
    <row r="4299" spans="1:1" x14ac:dyDescent="0.25">
      <c r="A4299" t="s">
        <v>3397</v>
      </c>
    </row>
    <row r="4300" spans="1:1" x14ac:dyDescent="0.25">
      <c r="A4300" t="s">
        <v>3398</v>
      </c>
    </row>
    <row r="4301" spans="1:1" x14ac:dyDescent="0.25">
      <c r="A4301" t="s">
        <v>4552</v>
      </c>
    </row>
    <row r="4302" spans="1:1" x14ac:dyDescent="0.25">
      <c r="A4302" t="s">
        <v>4553</v>
      </c>
    </row>
    <row r="4303" spans="1:1" x14ac:dyDescent="0.25">
      <c r="A4303" t="s">
        <v>3401</v>
      </c>
    </row>
    <row r="4304" spans="1:1" x14ac:dyDescent="0.25">
      <c r="A4304" t="s">
        <v>3402</v>
      </c>
    </row>
    <row r="4306" spans="1:1" x14ac:dyDescent="0.25">
      <c r="A4306" t="s">
        <v>3184</v>
      </c>
    </row>
    <row r="4307" spans="1:1" x14ac:dyDescent="0.25">
      <c r="A4307" t="s">
        <v>3185</v>
      </c>
    </row>
    <row r="4308" spans="1:1" x14ac:dyDescent="0.25">
      <c r="A4308" t="s">
        <v>4554</v>
      </c>
    </row>
    <row r="4309" spans="1:1" x14ac:dyDescent="0.25">
      <c r="A4309" t="s">
        <v>4555</v>
      </c>
    </row>
    <row r="4310" spans="1:1" x14ac:dyDescent="0.25">
      <c r="A4310" t="s">
        <v>3278</v>
      </c>
    </row>
    <row r="4311" spans="1:1" x14ac:dyDescent="0.25">
      <c r="A4311" t="s">
        <v>3214</v>
      </c>
    </row>
    <row r="4312" spans="1:1" x14ac:dyDescent="0.25">
      <c r="A4312" t="s">
        <v>3190</v>
      </c>
    </row>
    <row r="4313" spans="1:1" x14ac:dyDescent="0.25">
      <c r="A4313" t="s">
        <v>3266</v>
      </c>
    </row>
    <row r="4314" spans="1:1" x14ac:dyDescent="0.25">
      <c r="A4314" t="s">
        <v>4556</v>
      </c>
    </row>
    <row r="4315" spans="1:1" x14ac:dyDescent="0.25">
      <c r="A4315" t="s">
        <v>3193</v>
      </c>
    </row>
    <row r="4316" spans="1:1" x14ac:dyDescent="0.25">
      <c r="A4316" t="s">
        <v>3194</v>
      </c>
    </row>
    <row r="4318" spans="1:1" x14ac:dyDescent="0.25">
      <c r="A4318" t="s">
        <v>3392</v>
      </c>
    </row>
    <row r="4319" spans="1:1" x14ac:dyDescent="0.25">
      <c r="A4319" t="s">
        <v>3393</v>
      </c>
    </row>
    <row r="4320" spans="1:1" x14ac:dyDescent="0.25">
      <c r="A4320" t="s">
        <v>4557</v>
      </c>
    </row>
    <row r="4321" spans="1:1" x14ac:dyDescent="0.25">
      <c r="A4321" t="s">
        <v>4558</v>
      </c>
    </row>
    <row r="4322" spans="1:1" x14ac:dyDescent="0.25">
      <c r="A4322" t="s">
        <v>3740</v>
      </c>
    </row>
    <row r="4323" spans="1:1" x14ac:dyDescent="0.25">
      <c r="A4323" t="s">
        <v>3397</v>
      </c>
    </row>
    <row r="4324" spans="1:1" x14ac:dyDescent="0.25">
      <c r="A4324" t="s">
        <v>3398</v>
      </c>
    </row>
    <row r="4325" spans="1:1" x14ac:dyDescent="0.25">
      <c r="A4325" t="s">
        <v>3399</v>
      </c>
    </row>
    <row r="4326" spans="1:1" x14ac:dyDescent="0.25">
      <c r="A4326" t="s">
        <v>4559</v>
      </c>
    </row>
    <row r="4327" spans="1:1" x14ac:dyDescent="0.25">
      <c r="A4327" t="s">
        <v>3401</v>
      </c>
    </row>
    <row r="4328" spans="1:1" x14ac:dyDescent="0.25">
      <c r="A4328" t="s">
        <v>3402</v>
      </c>
    </row>
    <row r="4330" spans="1:1" x14ac:dyDescent="0.25">
      <c r="A4330" t="s">
        <v>3184</v>
      </c>
    </row>
    <row r="4331" spans="1:1" x14ac:dyDescent="0.25">
      <c r="A4331" t="s">
        <v>3185</v>
      </c>
    </row>
    <row r="4332" spans="1:1" x14ac:dyDescent="0.25">
      <c r="A4332" t="s">
        <v>4560</v>
      </c>
    </row>
    <row r="4333" spans="1:1" x14ac:dyDescent="0.25">
      <c r="A4333" t="s">
        <v>4561</v>
      </c>
    </row>
    <row r="4334" spans="1:1" x14ac:dyDescent="0.25">
      <c r="A4334" t="s">
        <v>4562</v>
      </c>
    </row>
    <row r="4335" spans="1:1" x14ac:dyDescent="0.25">
      <c r="A4335" t="s">
        <v>3214</v>
      </c>
    </row>
    <row r="4336" spans="1:1" x14ac:dyDescent="0.25">
      <c r="A4336" t="s">
        <v>3190</v>
      </c>
    </row>
    <row r="4337" spans="1:1" x14ac:dyDescent="0.25">
      <c r="A4337" t="s">
        <v>3266</v>
      </c>
    </row>
    <row r="4338" spans="1:1" x14ac:dyDescent="0.25">
      <c r="A4338" t="s">
        <v>4563</v>
      </c>
    </row>
    <row r="4339" spans="1:1" x14ac:dyDescent="0.25">
      <c r="A4339" t="s">
        <v>3193</v>
      </c>
    </row>
    <row r="4340" spans="1:1" x14ac:dyDescent="0.25">
      <c r="A4340" t="s">
        <v>3194</v>
      </c>
    </row>
    <row r="4342" spans="1:1" x14ac:dyDescent="0.25">
      <c r="A4342" t="s">
        <v>3392</v>
      </c>
    </row>
    <row r="4343" spans="1:1" x14ac:dyDescent="0.25">
      <c r="A4343" t="s">
        <v>3393</v>
      </c>
    </row>
    <row r="4344" spans="1:1" x14ac:dyDescent="0.25">
      <c r="A4344" t="s">
        <v>4564</v>
      </c>
    </row>
    <row r="4345" spans="1:1" x14ac:dyDescent="0.25">
      <c r="A4345" t="s">
        <v>4565</v>
      </c>
    </row>
    <row r="4346" spans="1:1" x14ac:dyDescent="0.25">
      <c r="A4346" t="s">
        <v>3971</v>
      </c>
    </row>
    <row r="4347" spans="1:1" x14ac:dyDescent="0.25">
      <c r="A4347" t="s">
        <v>3397</v>
      </c>
    </row>
    <row r="4348" spans="1:1" x14ac:dyDescent="0.25">
      <c r="A4348" t="s">
        <v>3398</v>
      </c>
    </row>
    <row r="4349" spans="1:1" x14ac:dyDescent="0.25">
      <c r="A4349" t="s">
        <v>3515</v>
      </c>
    </row>
    <row r="4350" spans="1:1" x14ac:dyDescent="0.25">
      <c r="A4350" t="s">
        <v>4566</v>
      </c>
    </row>
    <row r="4351" spans="1:1" x14ac:dyDescent="0.25">
      <c r="A4351" t="s">
        <v>3401</v>
      </c>
    </row>
    <row r="4352" spans="1:1" x14ac:dyDescent="0.25">
      <c r="A4352" t="s">
        <v>3402</v>
      </c>
    </row>
    <row r="4354" spans="1:1" x14ac:dyDescent="0.25">
      <c r="A4354" t="s">
        <v>3392</v>
      </c>
    </row>
    <row r="4355" spans="1:1" x14ac:dyDescent="0.25">
      <c r="A4355" t="s">
        <v>3393</v>
      </c>
    </row>
    <row r="4356" spans="1:1" x14ac:dyDescent="0.25">
      <c r="A4356" t="s">
        <v>4567</v>
      </c>
    </row>
    <row r="4357" spans="1:1" x14ac:dyDescent="0.25">
      <c r="A4357" t="s">
        <v>4568</v>
      </c>
    </row>
    <row r="4358" spans="1:1" x14ac:dyDescent="0.25">
      <c r="A4358" t="s">
        <v>3545</v>
      </c>
    </row>
    <row r="4359" spans="1:1" x14ac:dyDescent="0.25">
      <c r="A4359" t="s">
        <v>3397</v>
      </c>
    </row>
    <row r="4360" spans="1:1" x14ac:dyDescent="0.25">
      <c r="A4360" t="s">
        <v>3398</v>
      </c>
    </row>
    <row r="4361" spans="1:1" x14ac:dyDescent="0.25">
      <c r="A4361" t="s">
        <v>4097</v>
      </c>
    </row>
    <row r="4362" spans="1:1" x14ac:dyDescent="0.25">
      <c r="A4362" t="s">
        <v>4569</v>
      </c>
    </row>
    <row r="4363" spans="1:1" x14ac:dyDescent="0.25">
      <c r="A4363" t="s">
        <v>3401</v>
      </c>
    </row>
    <row r="4364" spans="1:1" x14ac:dyDescent="0.25">
      <c r="A4364" t="s">
        <v>3402</v>
      </c>
    </row>
    <row r="4366" spans="1:1" x14ac:dyDescent="0.25">
      <c r="A4366" t="s">
        <v>3392</v>
      </c>
    </row>
    <row r="4367" spans="1:1" x14ac:dyDescent="0.25">
      <c r="A4367" t="s">
        <v>3393</v>
      </c>
    </row>
    <row r="4368" spans="1:1" x14ac:dyDescent="0.25">
      <c r="A4368" t="s">
        <v>4570</v>
      </c>
    </row>
    <row r="4369" spans="1:1" x14ac:dyDescent="0.25">
      <c r="A4369" t="s">
        <v>4571</v>
      </c>
    </row>
    <row r="4370" spans="1:1" x14ac:dyDescent="0.25">
      <c r="A4370" t="s">
        <v>3545</v>
      </c>
    </row>
    <row r="4371" spans="1:1" x14ac:dyDescent="0.25">
      <c r="A4371" t="s">
        <v>3397</v>
      </c>
    </row>
    <row r="4372" spans="1:1" x14ac:dyDescent="0.25">
      <c r="A4372" t="s">
        <v>3398</v>
      </c>
    </row>
    <row r="4373" spans="1:1" x14ac:dyDescent="0.25">
      <c r="A4373" t="s">
        <v>4097</v>
      </c>
    </row>
    <row r="4374" spans="1:1" x14ac:dyDescent="0.25">
      <c r="A4374" t="s">
        <v>4572</v>
      </c>
    </row>
    <row r="4375" spans="1:1" x14ac:dyDescent="0.25">
      <c r="A4375" t="s">
        <v>3401</v>
      </c>
    </row>
    <row r="4376" spans="1:1" x14ac:dyDescent="0.25">
      <c r="A4376" t="s">
        <v>3402</v>
      </c>
    </row>
    <row r="4378" spans="1:1" x14ac:dyDescent="0.25">
      <c r="A4378" t="s">
        <v>3392</v>
      </c>
    </row>
    <row r="4379" spans="1:1" x14ac:dyDescent="0.25">
      <c r="A4379" t="s">
        <v>3393</v>
      </c>
    </row>
    <row r="4380" spans="1:1" x14ac:dyDescent="0.25">
      <c r="A4380" t="s">
        <v>4573</v>
      </c>
    </row>
    <row r="4381" spans="1:1" x14ac:dyDescent="0.25">
      <c r="A4381" t="s">
        <v>4574</v>
      </c>
    </row>
    <row r="4382" spans="1:1" x14ac:dyDescent="0.25">
      <c r="A4382" t="s">
        <v>3545</v>
      </c>
    </row>
    <row r="4383" spans="1:1" x14ac:dyDescent="0.25">
      <c r="A4383" t="s">
        <v>3397</v>
      </c>
    </row>
    <row r="4384" spans="1:1" x14ac:dyDescent="0.25">
      <c r="A4384" t="s">
        <v>3398</v>
      </c>
    </row>
    <row r="4385" spans="1:1" x14ac:dyDescent="0.25">
      <c r="A4385" t="s">
        <v>4097</v>
      </c>
    </row>
    <row r="4386" spans="1:1" x14ac:dyDescent="0.25">
      <c r="A4386" t="s">
        <v>4575</v>
      </c>
    </row>
    <row r="4387" spans="1:1" x14ac:dyDescent="0.25">
      <c r="A4387" t="s">
        <v>3401</v>
      </c>
    </row>
    <row r="4388" spans="1:1" x14ac:dyDescent="0.25">
      <c r="A4388" t="s">
        <v>3402</v>
      </c>
    </row>
    <row r="4390" spans="1:1" x14ac:dyDescent="0.25">
      <c r="A4390" t="s">
        <v>3184</v>
      </c>
    </row>
    <row r="4391" spans="1:1" x14ac:dyDescent="0.25">
      <c r="A4391" t="s">
        <v>3185</v>
      </c>
    </row>
    <row r="4392" spans="1:1" x14ac:dyDescent="0.25">
      <c r="A4392" t="s">
        <v>4576</v>
      </c>
    </row>
    <row r="4393" spans="1:1" x14ac:dyDescent="0.25">
      <c r="A4393" t="s">
        <v>4577</v>
      </c>
    </row>
    <row r="4394" spans="1:1" x14ac:dyDescent="0.25">
      <c r="A4394" t="s">
        <v>3213</v>
      </c>
    </row>
    <row r="4395" spans="1:1" x14ac:dyDescent="0.25">
      <c r="A4395" t="s">
        <v>3214</v>
      </c>
    </row>
    <row r="4396" spans="1:1" x14ac:dyDescent="0.25">
      <c r="A4396" t="s">
        <v>3190</v>
      </c>
    </row>
    <row r="4397" spans="1:1" x14ac:dyDescent="0.25">
      <c r="A4397" t="s">
        <v>3924</v>
      </c>
    </row>
    <row r="4398" spans="1:1" x14ac:dyDescent="0.25">
      <c r="A4398" t="s">
        <v>4578</v>
      </c>
    </row>
    <row r="4399" spans="1:1" x14ac:dyDescent="0.25">
      <c r="A4399" t="s">
        <v>3193</v>
      </c>
    </row>
    <row r="4400" spans="1:1" x14ac:dyDescent="0.25">
      <c r="A4400" t="s">
        <v>3194</v>
      </c>
    </row>
    <row r="4402" spans="1:1" x14ac:dyDescent="0.25">
      <c r="A4402" t="s">
        <v>3392</v>
      </c>
    </row>
    <row r="4403" spans="1:1" x14ac:dyDescent="0.25">
      <c r="A4403" t="s">
        <v>3393</v>
      </c>
    </row>
    <row r="4404" spans="1:1" x14ac:dyDescent="0.25">
      <c r="A4404" t="s">
        <v>4579</v>
      </c>
    </row>
    <row r="4405" spans="1:1" x14ac:dyDescent="0.25">
      <c r="A4405" t="s">
        <v>4580</v>
      </c>
    </row>
    <row r="4406" spans="1:1" x14ac:dyDescent="0.25">
      <c r="A4406" t="s">
        <v>3545</v>
      </c>
    </row>
    <row r="4407" spans="1:1" x14ac:dyDescent="0.25">
      <c r="A4407" t="s">
        <v>3397</v>
      </c>
    </row>
    <row r="4408" spans="1:1" x14ac:dyDescent="0.25">
      <c r="A4408" t="s">
        <v>3398</v>
      </c>
    </row>
    <row r="4409" spans="1:1" x14ac:dyDescent="0.25">
      <c r="A4409" t="s">
        <v>4097</v>
      </c>
    </row>
    <row r="4410" spans="1:1" x14ac:dyDescent="0.25">
      <c r="A4410" t="s">
        <v>4581</v>
      </c>
    </row>
    <row r="4411" spans="1:1" x14ac:dyDescent="0.25">
      <c r="A4411" t="s">
        <v>3401</v>
      </c>
    </row>
    <row r="4412" spans="1:1" x14ac:dyDescent="0.25">
      <c r="A4412" t="s">
        <v>3402</v>
      </c>
    </row>
    <row r="4414" spans="1:1" x14ac:dyDescent="0.25">
      <c r="A4414" t="s">
        <v>3392</v>
      </c>
    </row>
    <row r="4415" spans="1:1" x14ac:dyDescent="0.25">
      <c r="A4415" t="s">
        <v>3393</v>
      </c>
    </row>
    <row r="4416" spans="1:1" x14ac:dyDescent="0.25">
      <c r="A4416" t="s">
        <v>4582</v>
      </c>
    </row>
    <row r="4417" spans="1:1" x14ac:dyDescent="0.25">
      <c r="A4417" t="s">
        <v>4583</v>
      </c>
    </row>
    <row r="4418" spans="1:1" x14ac:dyDescent="0.25">
      <c r="A4418" t="s">
        <v>3545</v>
      </c>
    </row>
    <row r="4419" spans="1:1" x14ac:dyDescent="0.25">
      <c r="A4419" t="s">
        <v>3397</v>
      </c>
    </row>
    <row r="4420" spans="1:1" x14ac:dyDescent="0.25">
      <c r="A4420" t="s">
        <v>3398</v>
      </c>
    </row>
    <row r="4421" spans="1:1" x14ac:dyDescent="0.25">
      <c r="A4421" t="s">
        <v>4097</v>
      </c>
    </row>
    <row r="4422" spans="1:1" x14ac:dyDescent="0.25">
      <c r="A4422" t="s">
        <v>4584</v>
      </c>
    </row>
    <row r="4423" spans="1:1" x14ac:dyDescent="0.25">
      <c r="A4423" t="s">
        <v>3401</v>
      </c>
    </row>
    <row r="4424" spans="1:1" x14ac:dyDescent="0.25">
      <c r="A4424" t="s">
        <v>3402</v>
      </c>
    </row>
    <row r="4426" spans="1:1" x14ac:dyDescent="0.25">
      <c r="A4426" t="s">
        <v>3392</v>
      </c>
    </row>
    <row r="4427" spans="1:1" x14ac:dyDescent="0.25">
      <c r="A4427" t="s">
        <v>3393</v>
      </c>
    </row>
    <row r="4428" spans="1:1" x14ac:dyDescent="0.25">
      <c r="A4428" t="s">
        <v>4585</v>
      </c>
    </row>
    <row r="4429" spans="1:1" x14ac:dyDescent="0.25">
      <c r="A4429" t="s">
        <v>4586</v>
      </c>
    </row>
    <row r="4430" spans="1:1" x14ac:dyDescent="0.25">
      <c r="A4430" t="s">
        <v>3545</v>
      </c>
    </row>
    <row r="4431" spans="1:1" x14ac:dyDescent="0.25">
      <c r="A4431" t="s">
        <v>3397</v>
      </c>
    </row>
    <row r="4432" spans="1:1" x14ac:dyDescent="0.25">
      <c r="A4432" t="s">
        <v>3398</v>
      </c>
    </row>
    <row r="4433" spans="1:1" x14ac:dyDescent="0.25">
      <c r="A4433" t="s">
        <v>4097</v>
      </c>
    </row>
    <row r="4434" spans="1:1" x14ac:dyDescent="0.25">
      <c r="A4434" t="s">
        <v>4587</v>
      </c>
    </row>
    <row r="4435" spans="1:1" x14ac:dyDescent="0.25">
      <c r="A4435" t="s">
        <v>3401</v>
      </c>
    </row>
    <row r="4436" spans="1:1" x14ac:dyDescent="0.25">
      <c r="A4436" t="s">
        <v>3402</v>
      </c>
    </row>
    <row r="4438" spans="1:1" x14ac:dyDescent="0.25">
      <c r="A4438" t="s">
        <v>3184</v>
      </c>
    </row>
    <row r="4439" spans="1:1" x14ac:dyDescent="0.25">
      <c r="A4439" t="s">
        <v>3185</v>
      </c>
    </row>
    <row r="4440" spans="1:1" x14ac:dyDescent="0.25">
      <c r="A4440" t="s">
        <v>4588</v>
      </c>
    </row>
    <row r="4441" spans="1:1" x14ac:dyDescent="0.25">
      <c r="A4441" t="s">
        <v>4589</v>
      </c>
    </row>
    <row r="4442" spans="1:1" x14ac:dyDescent="0.25">
      <c r="A4442" t="s">
        <v>3213</v>
      </c>
    </row>
    <row r="4443" spans="1:1" x14ac:dyDescent="0.25">
      <c r="A4443" t="s">
        <v>3214</v>
      </c>
    </row>
    <row r="4444" spans="1:1" x14ac:dyDescent="0.25">
      <c r="A4444" t="s">
        <v>3190</v>
      </c>
    </row>
    <row r="4445" spans="1:1" x14ac:dyDescent="0.25">
      <c r="A4445" t="s">
        <v>3924</v>
      </c>
    </row>
    <row r="4446" spans="1:1" x14ac:dyDescent="0.25">
      <c r="A4446" t="s">
        <v>4590</v>
      </c>
    </row>
    <row r="4447" spans="1:1" x14ac:dyDescent="0.25">
      <c r="A4447" t="s">
        <v>3193</v>
      </c>
    </row>
    <row r="4448" spans="1:1" x14ac:dyDescent="0.25">
      <c r="A4448" t="s">
        <v>3194</v>
      </c>
    </row>
    <row r="4450" spans="1:1" x14ac:dyDescent="0.25">
      <c r="A4450" t="s">
        <v>3184</v>
      </c>
    </row>
    <row r="4451" spans="1:1" x14ac:dyDescent="0.25">
      <c r="A4451" t="s">
        <v>3185</v>
      </c>
    </row>
    <row r="4452" spans="1:1" x14ac:dyDescent="0.25">
      <c r="A4452" t="s">
        <v>4591</v>
      </c>
    </row>
    <row r="4453" spans="1:1" x14ac:dyDescent="0.25">
      <c r="A4453" t="s">
        <v>4592</v>
      </c>
    </row>
    <row r="4454" spans="1:1" x14ac:dyDescent="0.25">
      <c r="A4454" t="s">
        <v>3213</v>
      </c>
    </row>
    <row r="4455" spans="1:1" x14ac:dyDescent="0.25">
      <c r="A4455" t="s">
        <v>3214</v>
      </c>
    </row>
    <row r="4456" spans="1:1" x14ac:dyDescent="0.25">
      <c r="A4456" t="s">
        <v>3190</v>
      </c>
    </row>
    <row r="4457" spans="1:1" x14ac:dyDescent="0.25">
      <c r="A4457" t="s">
        <v>3924</v>
      </c>
    </row>
    <row r="4458" spans="1:1" x14ac:dyDescent="0.25">
      <c r="A4458" t="s">
        <v>4593</v>
      </c>
    </row>
    <row r="4459" spans="1:1" x14ac:dyDescent="0.25">
      <c r="A4459" t="s">
        <v>3193</v>
      </c>
    </row>
    <row r="4460" spans="1:1" x14ac:dyDescent="0.25">
      <c r="A4460" t="s">
        <v>3194</v>
      </c>
    </row>
    <row r="4462" spans="1:1" x14ac:dyDescent="0.25">
      <c r="A4462" t="s">
        <v>3392</v>
      </c>
    </row>
    <row r="4463" spans="1:1" x14ac:dyDescent="0.25">
      <c r="A4463" t="s">
        <v>3393</v>
      </c>
    </row>
    <row r="4464" spans="1:1" x14ac:dyDescent="0.25">
      <c r="A4464" t="s">
        <v>4594</v>
      </c>
    </row>
    <row r="4465" spans="1:1" x14ac:dyDescent="0.25">
      <c r="A4465" t="s">
        <v>4595</v>
      </c>
    </row>
    <row r="4466" spans="1:1" x14ac:dyDescent="0.25">
      <c r="A4466" t="s">
        <v>3545</v>
      </c>
    </row>
    <row r="4467" spans="1:1" x14ac:dyDescent="0.25">
      <c r="A4467" t="s">
        <v>3397</v>
      </c>
    </row>
    <row r="4468" spans="1:1" x14ac:dyDescent="0.25">
      <c r="A4468" t="s">
        <v>3398</v>
      </c>
    </row>
    <row r="4469" spans="1:1" x14ac:dyDescent="0.25">
      <c r="A4469" t="s">
        <v>4097</v>
      </c>
    </row>
    <row r="4470" spans="1:1" x14ac:dyDescent="0.25">
      <c r="A4470" t="s">
        <v>4596</v>
      </c>
    </row>
    <row r="4471" spans="1:1" x14ac:dyDescent="0.25">
      <c r="A4471" t="s">
        <v>3401</v>
      </c>
    </row>
    <row r="4472" spans="1:1" x14ac:dyDescent="0.25">
      <c r="A4472" t="s">
        <v>3402</v>
      </c>
    </row>
    <row r="4474" spans="1:1" x14ac:dyDescent="0.25">
      <c r="A4474" t="s">
        <v>3184</v>
      </c>
    </row>
    <row r="4475" spans="1:1" x14ac:dyDescent="0.25">
      <c r="A4475" t="s">
        <v>3185</v>
      </c>
    </row>
    <row r="4476" spans="1:1" x14ac:dyDescent="0.25">
      <c r="A4476" t="s">
        <v>4597</v>
      </c>
    </row>
    <row r="4477" spans="1:1" x14ac:dyDescent="0.25">
      <c r="A4477" t="s">
        <v>4598</v>
      </c>
    </row>
    <row r="4478" spans="1:1" x14ac:dyDescent="0.25">
      <c r="A4478" t="s">
        <v>3213</v>
      </c>
    </row>
    <row r="4479" spans="1:1" x14ac:dyDescent="0.25">
      <c r="A4479" t="s">
        <v>3214</v>
      </c>
    </row>
    <row r="4480" spans="1:1" x14ac:dyDescent="0.25">
      <c r="A4480" t="s">
        <v>3190</v>
      </c>
    </row>
    <row r="4481" spans="1:1" x14ac:dyDescent="0.25">
      <c r="A4481" t="s">
        <v>3924</v>
      </c>
    </row>
    <row r="4482" spans="1:1" x14ac:dyDescent="0.25">
      <c r="A4482" t="s">
        <v>4599</v>
      </c>
    </row>
    <row r="4483" spans="1:1" x14ac:dyDescent="0.25">
      <c r="A4483" t="s">
        <v>3193</v>
      </c>
    </row>
    <row r="4484" spans="1:1" x14ac:dyDescent="0.25">
      <c r="A4484" t="s">
        <v>3194</v>
      </c>
    </row>
    <row r="4486" spans="1:1" x14ac:dyDescent="0.25">
      <c r="A4486" t="s">
        <v>3184</v>
      </c>
    </row>
    <row r="4487" spans="1:1" x14ac:dyDescent="0.25">
      <c r="A4487" t="s">
        <v>3185</v>
      </c>
    </row>
    <row r="4488" spans="1:1" x14ac:dyDescent="0.25">
      <c r="A4488" t="s">
        <v>4600</v>
      </c>
    </row>
    <row r="4489" spans="1:1" x14ac:dyDescent="0.25">
      <c r="A4489" t="s">
        <v>4601</v>
      </c>
    </row>
    <row r="4490" spans="1:1" x14ac:dyDescent="0.25">
      <c r="A4490" t="s">
        <v>3213</v>
      </c>
    </row>
    <row r="4491" spans="1:1" x14ac:dyDescent="0.25">
      <c r="A4491" t="s">
        <v>3214</v>
      </c>
    </row>
    <row r="4492" spans="1:1" x14ac:dyDescent="0.25">
      <c r="A4492" t="s">
        <v>3190</v>
      </c>
    </row>
    <row r="4493" spans="1:1" x14ac:dyDescent="0.25">
      <c r="A4493" t="s">
        <v>3924</v>
      </c>
    </row>
    <row r="4494" spans="1:1" x14ac:dyDescent="0.25">
      <c r="A4494" t="s">
        <v>4602</v>
      </c>
    </row>
    <row r="4495" spans="1:1" x14ac:dyDescent="0.25">
      <c r="A4495" t="s">
        <v>3193</v>
      </c>
    </row>
    <row r="4496" spans="1:1" x14ac:dyDescent="0.25">
      <c r="A4496" t="s">
        <v>3194</v>
      </c>
    </row>
    <row r="4498" spans="1:1" x14ac:dyDescent="0.25">
      <c r="A4498" t="s">
        <v>3392</v>
      </c>
    </row>
    <row r="4499" spans="1:1" x14ac:dyDescent="0.25">
      <c r="A4499" t="s">
        <v>3393</v>
      </c>
    </row>
    <row r="4500" spans="1:1" x14ac:dyDescent="0.25">
      <c r="A4500" t="s">
        <v>4603</v>
      </c>
    </row>
    <row r="4501" spans="1:1" x14ac:dyDescent="0.25">
      <c r="A4501" t="s">
        <v>4604</v>
      </c>
    </row>
    <row r="4502" spans="1:1" x14ac:dyDescent="0.25">
      <c r="A4502" t="s">
        <v>3545</v>
      </c>
    </row>
    <row r="4503" spans="1:1" x14ac:dyDescent="0.25">
      <c r="A4503" t="s">
        <v>3397</v>
      </c>
    </row>
    <row r="4504" spans="1:1" x14ac:dyDescent="0.25">
      <c r="A4504" t="s">
        <v>3398</v>
      </c>
    </row>
    <row r="4505" spans="1:1" x14ac:dyDescent="0.25">
      <c r="A4505" t="s">
        <v>4097</v>
      </c>
    </row>
    <row r="4506" spans="1:1" x14ac:dyDescent="0.25">
      <c r="A4506" t="s">
        <v>4605</v>
      </c>
    </row>
    <row r="4507" spans="1:1" x14ac:dyDescent="0.25">
      <c r="A4507" t="s">
        <v>3401</v>
      </c>
    </row>
    <row r="4508" spans="1:1" x14ac:dyDescent="0.25">
      <c r="A4508" t="s">
        <v>3402</v>
      </c>
    </row>
    <row r="4510" spans="1:1" x14ac:dyDescent="0.25">
      <c r="A4510" t="s">
        <v>3184</v>
      </c>
    </row>
    <row r="4511" spans="1:1" x14ac:dyDescent="0.25">
      <c r="A4511" t="s">
        <v>3185</v>
      </c>
    </row>
    <row r="4512" spans="1:1" x14ac:dyDescent="0.25">
      <c r="A4512" t="s">
        <v>4606</v>
      </c>
    </row>
    <row r="4513" spans="1:1" x14ac:dyDescent="0.25">
      <c r="A4513" t="s">
        <v>4607</v>
      </c>
    </row>
    <row r="4514" spans="1:1" x14ac:dyDescent="0.25">
      <c r="A4514" t="s">
        <v>3213</v>
      </c>
    </row>
    <row r="4515" spans="1:1" x14ac:dyDescent="0.25">
      <c r="A4515" t="s">
        <v>3214</v>
      </c>
    </row>
    <row r="4516" spans="1:1" x14ac:dyDescent="0.25">
      <c r="A4516" t="s">
        <v>3190</v>
      </c>
    </row>
    <row r="4517" spans="1:1" x14ac:dyDescent="0.25">
      <c r="A4517" t="s">
        <v>3924</v>
      </c>
    </row>
    <row r="4518" spans="1:1" x14ac:dyDescent="0.25">
      <c r="A4518" t="s">
        <v>4608</v>
      </c>
    </row>
    <row r="4519" spans="1:1" x14ac:dyDescent="0.25">
      <c r="A4519" t="s">
        <v>3193</v>
      </c>
    </row>
    <row r="4520" spans="1:1" x14ac:dyDescent="0.25">
      <c r="A4520" t="s">
        <v>3194</v>
      </c>
    </row>
    <row r="4522" spans="1:1" x14ac:dyDescent="0.25">
      <c r="A4522" t="s">
        <v>3184</v>
      </c>
    </row>
    <row r="4523" spans="1:1" x14ac:dyDescent="0.25">
      <c r="A4523" t="s">
        <v>3185</v>
      </c>
    </row>
    <row r="4524" spans="1:1" x14ac:dyDescent="0.25">
      <c r="A4524" t="s">
        <v>4609</v>
      </c>
    </row>
    <row r="4525" spans="1:1" x14ac:dyDescent="0.25">
      <c r="A4525" t="s">
        <v>4610</v>
      </c>
    </row>
    <row r="4526" spans="1:1" x14ac:dyDescent="0.25">
      <c r="A4526" t="s">
        <v>3213</v>
      </c>
    </row>
    <row r="4527" spans="1:1" x14ac:dyDescent="0.25">
      <c r="A4527" t="s">
        <v>3214</v>
      </c>
    </row>
    <row r="4528" spans="1:1" x14ac:dyDescent="0.25">
      <c r="A4528" t="s">
        <v>3190</v>
      </c>
    </row>
    <row r="4529" spans="1:1" x14ac:dyDescent="0.25">
      <c r="A4529" t="s">
        <v>3924</v>
      </c>
    </row>
    <row r="4530" spans="1:1" x14ac:dyDescent="0.25">
      <c r="A4530" t="s">
        <v>4611</v>
      </c>
    </row>
    <row r="4531" spans="1:1" x14ac:dyDescent="0.25">
      <c r="A4531" t="s">
        <v>3193</v>
      </c>
    </row>
    <row r="4532" spans="1:1" x14ac:dyDescent="0.25">
      <c r="A4532" t="s">
        <v>3194</v>
      </c>
    </row>
    <row r="4534" spans="1:1" x14ac:dyDescent="0.25">
      <c r="A4534" t="s">
        <v>3184</v>
      </c>
    </row>
    <row r="4535" spans="1:1" x14ac:dyDescent="0.25">
      <c r="A4535" t="s">
        <v>3185</v>
      </c>
    </row>
    <row r="4536" spans="1:1" x14ac:dyDescent="0.25">
      <c r="A4536" t="s">
        <v>4612</v>
      </c>
    </row>
    <row r="4537" spans="1:1" x14ac:dyDescent="0.25">
      <c r="A4537" t="s">
        <v>4613</v>
      </c>
    </row>
    <row r="4538" spans="1:1" x14ac:dyDescent="0.25">
      <c r="A4538" t="s">
        <v>3213</v>
      </c>
    </row>
    <row r="4539" spans="1:1" x14ac:dyDescent="0.25">
      <c r="A4539" t="s">
        <v>3214</v>
      </c>
    </row>
    <row r="4540" spans="1:1" x14ac:dyDescent="0.25">
      <c r="A4540" t="s">
        <v>3190</v>
      </c>
    </row>
    <row r="4541" spans="1:1" x14ac:dyDescent="0.25">
      <c r="A4541" t="s">
        <v>3924</v>
      </c>
    </row>
    <row r="4542" spans="1:1" x14ac:dyDescent="0.25">
      <c r="A4542" t="s">
        <v>4614</v>
      </c>
    </row>
    <row r="4543" spans="1:1" x14ac:dyDescent="0.25">
      <c r="A4543" t="s">
        <v>3193</v>
      </c>
    </row>
    <row r="4544" spans="1:1" x14ac:dyDescent="0.25">
      <c r="A4544" t="s">
        <v>3194</v>
      </c>
    </row>
    <row r="4546" spans="1:1" x14ac:dyDescent="0.25">
      <c r="A4546" t="s">
        <v>3184</v>
      </c>
    </row>
    <row r="4547" spans="1:1" x14ac:dyDescent="0.25">
      <c r="A4547" t="s">
        <v>3185</v>
      </c>
    </row>
    <row r="4548" spans="1:1" x14ac:dyDescent="0.25">
      <c r="A4548" t="s">
        <v>4615</v>
      </c>
    </row>
    <row r="4549" spans="1:1" x14ac:dyDescent="0.25">
      <c r="A4549" t="s">
        <v>4616</v>
      </c>
    </row>
    <row r="4550" spans="1:1" x14ac:dyDescent="0.25">
      <c r="A4550" t="s">
        <v>3213</v>
      </c>
    </row>
    <row r="4551" spans="1:1" x14ac:dyDescent="0.25">
      <c r="A4551" t="s">
        <v>3214</v>
      </c>
    </row>
    <row r="4552" spans="1:1" x14ac:dyDescent="0.25">
      <c r="A4552" t="s">
        <v>3190</v>
      </c>
    </row>
    <row r="4553" spans="1:1" x14ac:dyDescent="0.25">
      <c r="A4553" t="s">
        <v>3924</v>
      </c>
    </row>
    <row r="4554" spans="1:1" x14ac:dyDescent="0.25">
      <c r="A4554" t="s">
        <v>4617</v>
      </c>
    </row>
    <row r="4555" spans="1:1" x14ac:dyDescent="0.25">
      <c r="A4555" t="s">
        <v>3193</v>
      </c>
    </row>
    <row r="4556" spans="1:1" x14ac:dyDescent="0.25">
      <c r="A4556" t="s">
        <v>3194</v>
      </c>
    </row>
    <row r="4558" spans="1:1" x14ac:dyDescent="0.25">
      <c r="A4558" t="s">
        <v>3392</v>
      </c>
    </row>
    <row r="4559" spans="1:1" x14ac:dyDescent="0.25">
      <c r="A4559" t="s">
        <v>3393</v>
      </c>
    </row>
    <row r="4560" spans="1:1" x14ac:dyDescent="0.25">
      <c r="A4560" t="s">
        <v>4618</v>
      </c>
    </row>
    <row r="4561" spans="1:1" x14ac:dyDescent="0.25">
      <c r="A4561" t="s">
        <v>4619</v>
      </c>
    </row>
    <row r="4562" spans="1:1" x14ac:dyDescent="0.25">
      <c r="A4562" t="s">
        <v>3545</v>
      </c>
    </row>
    <row r="4563" spans="1:1" x14ac:dyDescent="0.25">
      <c r="A4563" t="s">
        <v>3397</v>
      </c>
    </row>
    <row r="4564" spans="1:1" x14ac:dyDescent="0.25">
      <c r="A4564" t="s">
        <v>3398</v>
      </c>
    </row>
    <row r="4565" spans="1:1" x14ac:dyDescent="0.25">
      <c r="A4565" t="s">
        <v>4097</v>
      </c>
    </row>
    <row r="4566" spans="1:1" x14ac:dyDescent="0.25">
      <c r="A4566" t="s">
        <v>4620</v>
      </c>
    </row>
    <row r="4567" spans="1:1" x14ac:dyDescent="0.25">
      <c r="A4567" t="s">
        <v>3401</v>
      </c>
    </row>
    <row r="4568" spans="1:1" x14ac:dyDescent="0.25">
      <c r="A4568" t="s">
        <v>3402</v>
      </c>
    </row>
    <row r="4570" spans="1:1" x14ac:dyDescent="0.25">
      <c r="A4570" t="s">
        <v>3392</v>
      </c>
    </row>
    <row r="4571" spans="1:1" x14ac:dyDescent="0.25">
      <c r="A4571" t="s">
        <v>3393</v>
      </c>
    </row>
    <row r="4572" spans="1:1" x14ac:dyDescent="0.25">
      <c r="A4572" t="s">
        <v>4621</v>
      </c>
    </row>
    <row r="4573" spans="1:1" x14ac:dyDescent="0.25">
      <c r="A4573" t="s">
        <v>4622</v>
      </c>
    </row>
    <row r="4574" spans="1:1" x14ac:dyDescent="0.25">
      <c r="A4574" t="s">
        <v>3545</v>
      </c>
    </row>
    <row r="4575" spans="1:1" x14ac:dyDescent="0.25">
      <c r="A4575" t="s">
        <v>3397</v>
      </c>
    </row>
    <row r="4576" spans="1:1" x14ac:dyDescent="0.25">
      <c r="A4576" t="s">
        <v>3398</v>
      </c>
    </row>
    <row r="4577" spans="1:1" x14ac:dyDescent="0.25">
      <c r="A4577" t="s">
        <v>4097</v>
      </c>
    </row>
    <row r="4578" spans="1:1" x14ac:dyDescent="0.25">
      <c r="A4578" t="s">
        <v>4623</v>
      </c>
    </row>
    <row r="4579" spans="1:1" x14ac:dyDescent="0.25">
      <c r="A4579" t="s">
        <v>3401</v>
      </c>
    </row>
    <row r="4580" spans="1:1" x14ac:dyDescent="0.25">
      <c r="A4580" t="s">
        <v>3402</v>
      </c>
    </row>
    <row r="4582" spans="1:1" x14ac:dyDescent="0.25">
      <c r="A4582" t="s">
        <v>3392</v>
      </c>
    </row>
    <row r="4583" spans="1:1" x14ac:dyDescent="0.25">
      <c r="A4583" t="s">
        <v>3393</v>
      </c>
    </row>
    <row r="4584" spans="1:1" x14ac:dyDescent="0.25">
      <c r="A4584" t="s">
        <v>4624</v>
      </c>
    </row>
    <row r="4585" spans="1:1" x14ac:dyDescent="0.25">
      <c r="A4585" t="s">
        <v>4625</v>
      </c>
    </row>
    <row r="4586" spans="1:1" x14ac:dyDescent="0.25">
      <c r="A4586" t="s">
        <v>3545</v>
      </c>
    </row>
    <row r="4587" spans="1:1" x14ac:dyDescent="0.25">
      <c r="A4587" t="s">
        <v>3397</v>
      </c>
    </row>
    <row r="4588" spans="1:1" x14ac:dyDescent="0.25">
      <c r="A4588" t="s">
        <v>3398</v>
      </c>
    </row>
    <row r="4589" spans="1:1" x14ac:dyDescent="0.25">
      <c r="A4589" t="s">
        <v>4097</v>
      </c>
    </row>
    <row r="4590" spans="1:1" x14ac:dyDescent="0.25">
      <c r="A4590" t="s">
        <v>4626</v>
      </c>
    </row>
    <row r="4591" spans="1:1" x14ac:dyDescent="0.25">
      <c r="A4591" t="s">
        <v>3401</v>
      </c>
    </row>
    <row r="4592" spans="1:1" x14ac:dyDescent="0.25">
      <c r="A4592" t="s">
        <v>3402</v>
      </c>
    </row>
    <row r="4594" spans="1:1" x14ac:dyDescent="0.25">
      <c r="A4594" t="s">
        <v>3392</v>
      </c>
    </row>
    <row r="4595" spans="1:1" x14ac:dyDescent="0.25">
      <c r="A4595" t="s">
        <v>3393</v>
      </c>
    </row>
    <row r="4596" spans="1:1" x14ac:dyDescent="0.25">
      <c r="A4596" t="s">
        <v>4627</v>
      </c>
    </row>
    <row r="4597" spans="1:1" x14ac:dyDescent="0.25">
      <c r="A4597" t="s">
        <v>4628</v>
      </c>
    </row>
    <row r="4598" spans="1:1" x14ac:dyDescent="0.25">
      <c r="A4598" t="s">
        <v>4003</v>
      </c>
    </row>
    <row r="4599" spans="1:1" x14ac:dyDescent="0.25">
      <c r="A4599" t="s">
        <v>3397</v>
      </c>
    </row>
    <row r="4600" spans="1:1" x14ac:dyDescent="0.25">
      <c r="A4600" t="s">
        <v>3398</v>
      </c>
    </row>
    <row r="4601" spans="1:1" x14ac:dyDescent="0.25">
      <c r="A4601" t="s">
        <v>3399</v>
      </c>
    </row>
    <row r="4602" spans="1:1" x14ac:dyDescent="0.25">
      <c r="A4602" t="s">
        <v>4629</v>
      </c>
    </row>
    <row r="4603" spans="1:1" x14ac:dyDescent="0.25">
      <c r="A4603" t="s">
        <v>3401</v>
      </c>
    </row>
    <row r="4604" spans="1:1" x14ac:dyDescent="0.25">
      <c r="A4604" t="s">
        <v>3402</v>
      </c>
    </row>
    <row r="4606" spans="1:1" x14ac:dyDescent="0.25">
      <c r="A4606" t="s">
        <v>3392</v>
      </c>
    </row>
    <row r="4607" spans="1:1" x14ac:dyDescent="0.25">
      <c r="A4607" t="s">
        <v>3393</v>
      </c>
    </row>
    <row r="4608" spans="1:1" x14ac:dyDescent="0.25">
      <c r="A4608" t="s">
        <v>4630</v>
      </c>
    </row>
    <row r="4609" spans="1:1" x14ac:dyDescent="0.25">
      <c r="A4609" t="s">
        <v>4631</v>
      </c>
    </row>
    <row r="4610" spans="1:1" x14ac:dyDescent="0.25">
      <c r="A4610" t="s">
        <v>4003</v>
      </c>
    </row>
    <row r="4611" spans="1:1" x14ac:dyDescent="0.25">
      <c r="A4611" t="s">
        <v>3397</v>
      </c>
    </row>
    <row r="4612" spans="1:1" x14ac:dyDescent="0.25">
      <c r="A4612" t="s">
        <v>3398</v>
      </c>
    </row>
    <row r="4613" spans="1:1" x14ac:dyDescent="0.25">
      <c r="A4613" t="s">
        <v>3399</v>
      </c>
    </row>
    <row r="4614" spans="1:1" x14ac:dyDescent="0.25">
      <c r="A4614" t="s">
        <v>4632</v>
      </c>
    </row>
    <row r="4615" spans="1:1" x14ac:dyDescent="0.25">
      <c r="A4615" t="s">
        <v>3401</v>
      </c>
    </row>
    <row r="4616" spans="1:1" x14ac:dyDescent="0.25">
      <c r="A4616" t="s">
        <v>3402</v>
      </c>
    </row>
    <row r="4618" spans="1:1" x14ac:dyDescent="0.25">
      <c r="A4618" t="s">
        <v>3392</v>
      </c>
    </row>
    <row r="4619" spans="1:1" x14ac:dyDescent="0.25">
      <c r="A4619" t="s">
        <v>3393</v>
      </c>
    </row>
    <row r="4620" spans="1:1" x14ac:dyDescent="0.25">
      <c r="A4620" t="s">
        <v>4633</v>
      </c>
    </row>
    <row r="4621" spans="1:1" x14ac:dyDescent="0.25">
      <c r="A4621" t="s">
        <v>4634</v>
      </c>
    </row>
    <row r="4622" spans="1:1" x14ac:dyDescent="0.25">
      <c r="A4622" t="s">
        <v>4003</v>
      </c>
    </row>
    <row r="4623" spans="1:1" x14ac:dyDescent="0.25">
      <c r="A4623" t="s">
        <v>3397</v>
      </c>
    </row>
    <row r="4624" spans="1:1" x14ac:dyDescent="0.25">
      <c r="A4624" t="s">
        <v>3398</v>
      </c>
    </row>
    <row r="4625" spans="1:1" x14ac:dyDescent="0.25">
      <c r="A4625" t="s">
        <v>3399</v>
      </c>
    </row>
    <row r="4626" spans="1:1" x14ac:dyDescent="0.25">
      <c r="A4626" t="s">
        <v>4635</v>
      </c>
    </row>
    <row r="4627" spans="1:1" x14ac:dyDescent="0.25">
      <c r="A4627" t="s">
        <v>3401</v>
      </c>
    </row>
    <row r="4628" spans="1:1" x14ac:dyDescent="0.25">
      <c r="A4628" t="s">
        <v>3402</v>
      </c>
    </row>
    <row r="4630" spans="1:1" x14ac:dyDescent="0.25">
      <c r="A4630" t="s">
        <v>3392</v>
      </c>
    </row>
    <row r="4631" spans="1:1" x14ac:dyDescent="0.25">
      <c r="A4631" t="s">
        <v>3393</v>
      </c>
    </row>
    <row r="4632" spans="1:1" x14ac:dyDescent="0.25">
      <c r="A4632" t="s">
        <v>4636</v>
      </c>
    </row>
    <row r="4633" spans="1:1" x14ac:dyDescent="0.25">
      <c r="A4633" t="s">
        <v>4637</v>
      </c>
    </row>
    <row r="4634" spans="1:1" x14ac:dyDescent="0.25">
      <c r="A4634" t="s">
        <v>3701</v>
      </c>
    </row>
    <row r="4635" spans="1:1" x14ac:dyDescent="0.25">
      <c r="A4635" t="s">
        <v>3397</v>
      </c>
    </row>
    <row r="4636" spans="1:1" x14ac:dyDescent="0.25">
      <c r="A4636" t="s">
        <v>3398</v>
      </c>
    </row>
    <row r="4637" spans="1:1" x14ac:dyDescent="0.25">
      <c r="A4637" t="s">
        <v>4638</v>
      </c>
    </row>
    <row r="4638" spans="1:1" x14ac:dyDescent="0.25">
      <c r="A4638" t="s">
        <v>4639</v>
      </c>
    </row>
    <row r="4639" spans="1:1" x14ac:dyDescent="0.25">
      <c r="A4639" t="s">
        <v>3401</v>
      </c>
    </row>
    <row r="4640" spans="1:1" x14ac:dyDescent="0.25">
      <c r="A4640" t="s">
        <v>3402</v>
      </c>
    </row>
    <row r="4642" spans="1:1" x14ac:dyDescent="0.25">
      <c r="A4642" t="s">
        <v>3392</v>
      </c>
    </row>
    <row r="4643" spans="1:1" x14ac:dyDescent="0.25">
      <c r="A4643" t="s">
        <v>3393</v>
      </c>
    </row>
    <row r="4644" spans="1:1" x14ac:dyDescent="0.25">
      <c r="A4644" t="s">
        <v>4640</v>
      </c>
    </row>
    <row r="4645" spans="1:1" x14ac:dyDescent="0.25">
      <c r="A4645" t="s">
        <v>4641</v>
      </c>
    </row>
    <row r="4646" spans="1:1" x14ac:dyDescent="0.25">
      <c r="A4646" t="s">
        <v>3959</v>
      </c>
    </row>
    <row r="4647" spans="1:1" x14ac:dyDescent="0.25">
      <c r="A4647" t="s">
        <v>3397</v>
      </c>
    </row>
    <row r="4648" spans="1:1" x14ac:dyDescent="0.25">
      <c r="A4648" t="s">
        <v>3398</v>
      </c>
    </row>
    <row r="4649" spans="1:1" x14ac:dyDescent="0.25">
      <c r="A4649" t="s">
        <v>4642</v>
      </c>
    </row>
    <row r="4650" spans="1:1" x14ac:dyDescent="0.25">
      <c r="A4650" t="s">
        <v>4643</v>
      </c>
    </row>
    <row r="4651" spans="1:1" x14ac:dyDescent="0.25">
      <c r="A4651" t="s">
        <v>3401</v>
      </c>
    </row>
    <row r="4652" spans="1:1" x14ac:dyDescent="0.25">
      <c r="A4652" t="s">
        <v>3402</v>
      </c>
    </row>
    <row r="4654" spans="1:1" x14ac:dyDescent="0.25">
      <c r="A4654" t="s">
        <v>3392</v>
      </c>
    </row>
    <row r="4655" spans="1:1" x14ac:dyDescent="0.25">
      <c r="A4655" t="s">
        <v>3393</v>
      </c>
    </row>
    <row r="4656" spans="1:1" x14ac:dyDescent="0.25">
      <c r="A4656" t="s">
        <v>4644</v>
      </c>
    </row>
    <row r="4657" spans="1:1" x14ac:dyDescent="0.25">
      <c r="A4657" t="s">
        <v>4645</v>
      </c>
    </row>
    <row r="4658" spans="1:1" x14ac:dyDescent="0.25">
      <c r="A4658" t="s">
        <v>4646</v>
      </c>
    </row>
    <row r="4659" spans="1:1" x14ac:dyDescent="0.25">
      <c r="A4659" t="s">
        <v>3397</v>
      </c>
    </row>
    <row r="4660" spans="1:1" x14ac:dyDescent="0.25">
      <c r="A4660" t="s">
        <v>3398</v>
      </c>
    </row>
    <row r="4661" spans="1:1" x14ac:dyDescent="0.25">
      <c r="A4661" t="s">
        <v>3399</v>
      </c>
    </row>
    <row r="4662" spans="1:1" x14ac:dyDescent="0.25">
      <c r="A4662" t="s">
        <v>4647</v>
      </c>
    </row>
    <row r="4663" spans="1:1" x14ac:dyDescent="0.25">
      <c r="A4663" t="s">
        <v>3401</v>
      </c>
    </row>
    <row r="4664" spans="1:1" x14ac:dyDescent="0.25">
      <c r="A4664" t="s">
        <v>3402</v>
      </c>
    </row>
    <row r="4666" spans="1:1" x14ac:dyDescent="0.25">
      <c r="A4666" t="s">
        <v>3392</v>
      </c>
    </row>
    <row r="4667" spans="1:1" x14ac:dyDescent="0.25">
      <c r="A4667" t="s">
        <v>3393</v>
      </c>
    </row>
    <row r="4668" spans="1:1" x14ac:dyDescent="0.25">
      <c r="A4668" t="s">
        <v>4648</v>
      </c>
    </row>
    <row r="4669" spans="1:1" x14ac:dyDescent="0.25">
      <c r="A4669" t="s">
        <v>4649</v>
      </c>
    </row>
    <row r="4670" spans="1:1" x14ac:dyDescent="0.25">
      <c r="A4670" t="s">
        <v>4646</v>
      </c>
    </row>
    <row r="4671" spans="1:1" x14ac:dyDescent="0.25">
      <c r="A4671" t="s">
        <v>3397</v>
      </c>
    </row>
    <row r="4672" spans="1:1" x14ac:dyDescent="0.25">
      <c r="A4672" t="s">
        <v>3398</v>
      </c>
    </row>
    <row r="4673" spans="1:1" x14ac:dyDescent="0.25">
      <c r="A4673" t="s">
        <v>3399</v>
      </c>
    </row>
    <row r="4674" spans="1:1" x14ac:dyDescent="0.25">
      <c r="A4674" t="s">
        <v>4650</v>
      </c>
    </row>
    <row r="4675" spans="1:1" x14ac:dyDescent="0.25">
      <c r="A4675" t="s">
        <v>3401</v>
      </c>
    </row>
    <row r="4676" spans="1:1" x14ac:dyDescent="0.25">
      <c r="A4676" t="s">
        <v>3402</v>
      </c>
    </row>
    <row r="4678" spans="1:1" x14ac:dyDescent="0.25">
      <c r="A4678" t="s">
        <v>3392</v>
      </c>
    </row>
    <row r="4679" spans="1:1" x14ac:dyDescent="0.25">
      <c r="A4679" t="s">
        <v>3393</v>
      </c>
    </row>
    <row r="4680" spans="1:1" x14ac:dyDescent="0.25">
      <c r="A4680" t="s">
        <v>4651</v>
      </c>
    </row>
    <row r="4681" spans="1:1" x14ac:dyDescent="0.25">
      <c r="A4681" t="s">
        <v>4628</v>
      </c>
    </row>
    <row r="4682" spans="1:1" x14ac:dyDescent="0.25">
      <c r="A4682" t="s">
        <v>4003</v>
      </c>
    </row>
    <row r="4683" spans="1:1" x14ac:dyDescent="0.25">
      <c r="A4683" t="s">
        <v>3397</v>
      </c>
    </row>
    <row r="4684" spans="1:1" x14ac:dyDescent="0.25">
      <c r="A4684" t="s">
        <v>3398</v>
      </c>
    </row>
    <row r="4685" spans="1:1" x14ac:dyDescent="0.25">
      <c r="A4685" t="s">
        <v>3399</v>
      </c>
    </row>
    <row r="4686" spans="1:1" x14ac:dyDescent="0.25">
      <c r="A4686" t="s">
        <v>4652</v>
      </c>
    </row>
    <row r="4687" spans="1:1" x14ac:dyDescent="0.25">
      <c r="A4687" t="s">
        <v>3401</v>
      </c>
    </row>
    <row r="4688" spans="1:1" x14ac:dyDescent="0.25">
      <c r="A4688" t="s">
        <v>3402</v>
      </c>
    </row>
    <row r="4690" spans="1:1" x14ac:dyDescent="0.25">
      <c r="A4690" t="s">
        <v>3392</v>
      </c>
    </row>
    <row r="4691" spans="1:1" x14ac:dyDescent="0.25">
      <c r="A4691" t="s">
        <v>3393</v>
      </c>
    </row>
    <row r="4692" spans="1:1" x14ac:dyDescent="0.25">
      <c r="A4692" t="s">
        <v>4653</v>
      </c>
    </row>
    <row r="4693" spans="1:1" x14ac:dyDescent="0.25">
      <c r="A4693" t="s">
        <v>4631</v>
      </c>
    </row>
    <row r="4694" spans="1:1" x14ac:dyDescent="0.25">
      <c r="A4694" t="s">
        <v>4003</v>
      </c>
    </row>
    <row r="4695" spans="1:1" x14ac:dyDescent="0.25">
      <c r="A4695" t="s">
        <v>3397</v>
      </c>
    </row>
    <row r="4696" spans="1:1" x14ac:dyDescent="0.25">
      <c r="A4696" t="s">
        <v>3398</v>
      </c>
    </row>
    <row r="4697" spans="1:1" x14ac:dyDescent="0.25">
      <c r="A4697" t="s">
        <v>3399</v>
      </c>
    </row>
    <row r="4698" spans="1:1" x14ac:dyDescent="0.25">
      <c r="A4698" t="s">
        <v>4654</v>
      </c>
    </row>
    <row r="4699" spans="1:1" x14ac:dyDescent="0.25">
      <c r="A4699" t="s">
        <v>3401</v>
      </c>
    </row>
    <row r="4700" spans="1:1" x14ac:dyDescent="0.25">
      <c r="A4700" t="s">
        <v>3402</v>
      </c>
    </row>
    <row r="4702" spans="1:1" x14ac:dyDescent="0.25">
      <c r="A4702" t="s">
        <v>3392</v>
      </c>
    </row>
    <row r="4703" spans="1:1" x14ac:dyDescent="0.25">
      <c r="A4703" t="s">
        <v>3393</v>
      </c>
    </row>
    <row r="4704" spans="1:1" x14ac:dyDescent="0.25">
      <c r="A4704" t="s">
        <v>4655</v>
      </c>
    </row>
    <row r="4705" spans="1:1" x14ac:dyDescent="0.25">
      <c r="A4705" t="s">
        <v>4634</v>
      </c>
    </row>
    <row r="4706" spans="1:1" x14ac:dyDescent="0.25">
      <c r="A4706" t="s">
        <v>4003</v>
      </c>
    </row>
    <row r="4707" spans="1:1" x14ac:dyDescent="0.25">
      <c r="A4707" t="s">
        <v>3397</v>
      </c>
    </row>
    <row r="4708" spans="1:1" x14ac:dyDescent="0.25">
      <c r="A4708" t="s">
        <v>3398</v>
      </c>
    </row>
    <row r="4709" spans="1:1" x14ac:dyDescent="0.25">
      <c r="A4709" t="s">
        <v>3399</v>
      </c>
    </row>
    <row r="4710" spans="1:1" x14ac:dyDescent="0.25">
      <c r="A4710" t="s">
        <v>4656</v>
      </c>
    </row>
    <row r="4711" spans="1:1" x14ac:dyDescent="0.25">
      <c r="A4711" t="s">
        <v>3401</v>
      </c>
    </row>
    <row r="4712" spans="1:1" x14ac:dyDescent="0.25">
      <c r="A4712" t="s">
        <v>3402</v>
      </c>
    </row>
    <row r="4714" spans="1:1" x14ac:dyDescent="0.25">
      <c r="A4714" t="s">
        <v>3392</v>
      </c>
    </row>
    <row r="4715" spans="1:1" x14ac:dyDescent="0.25">
      <c r="A4715" t="s">
        <v>3393</v>
      </c>
    </row>
    <row r="4716" spans="1:1" x14ac:dyDescent="0.25">
      <c r="A4716" t="s">
        <v>4657</v>
      </c>
    </row>
    <row r="4717" spans="1:1" x14ac:dyDescent="0.25">
      <c r="A4717" t="s">
        <v>4637</v>
      </c>
    </row>
    <row r="4718" spans="1:1" x14ac:dyDescent="0.25">
      <c r="A4718" t="s">
        <v>3701</v>
      </c>
    </row>
    <row r="4719" spans="1:1" x14ac:dyDescent="0.25">
      <c r="A4719" t="s">
        <v>3397</v>
      </c>
    </row>
    <row r="4720" spans="1:1" x14ac:dyDescent="0.25">
      <c r="A4720" t="s">
        <v>3398</v>
      </c>
    </row>
    <row r="4721" spans="1:1" x14ac:dyDescent="0.25">
      <c r="A4721" t="s">
        <v>4658</v>
      </c>
    </row>
    <row r="4722" spans="1:1" x14ac:dyDescent="0.25">
      <c r="A4722" t="s">
        <v>4659</v>
      </c>
    </row>
    <row r="4723" spans="1:1" x14ac:dyDescent="0.25">
      <c r="A4723" t="s">
        <v>3401</v>
      </c>
    </row>
    <row r="4724" spans="1:1" x14ac:dyDescent="0.25">
      <c r="A4724" t="s">
        <v>3402</v>
      </c>
    </row>
    <row r="4726" spans="1:1" x14ac:dyDescent="0.25">
      <c r="A4726" t="s">
        <v>3392</v>
      </c>
    </row>
    <row r="4727" spans="1:1" x14ac:dyDescent="0.25">
      <c r="A4727" t="s">
        <v>3393</v>
      </c>
    </row>
    <row r="4728" spans="1:1" x14ac:dyDescent="0.25">
      <c r="A4728" t="s">
        <v>4660</v>
      </c>
    </row>
    <row r="4729" spans="1:1" x14ac:dyDescent="0.25">
      <c r="A4729" t="s">
        <v>4641</v>
      </c>
    </row>
    <row r="4730" spans="1:1" x14ac:dyDescent="0.25">
      <c r="A4730" t="s">
        <v>3959</v>
      </c>
    </row>
    <row r="4731" spans="1:1" x14ac:dyDescent="0.25">
      <c r="A4731" t="s">
        <v>3397</v>
      </c>
    </row>
    <row r="4732" spans="1:1" x14ac:dyDescent="0.25">
      <c r="A4732" t="s">
        <v>3398</v>
      </c>
    </row>
    <row r="4733" spans="1:1" x14ac:dyDescent="0.25">
      <c r="A4733" t="s">
        <v>4642</v>
      </c>
    </row>
    <row r="4734" spans="1:1" x14ac:dyDescent="0.25">
      <c r="A4734" t="s">
        <v>4661</v>
      </c>
    </row>
    <row r="4735" spans="1:1" x14ac:dyDescent="0.25">
      <c r="A4735" t="s">
        <v>3401</v>
      </c>
    </row>
    <row r="4736" spans="1:1" x14ac:dyDescent="0.25">
      <c r="A4736" t="s">
        <v>3402</v>
      </c>
    </row>
    <row r="4738" spans="1:1" x14ac:dyDescent="0.25">
      <c r="A4738" t="s">
        <v>3392</v>
      </c>
    </row>
    <row r="4739" spans="1:1" x14ac:dyDescent="0.25">
      <c r="A4739" t="s">
        <v>3393</v>
      </c>
    </row>
    <row r="4740" spans="1:1" x14ac:dyDescent="0.25">
      <c r="A4740" t="s">
        <v>4662</v>
      </c>
    </row>
    <row r="4741" spans="1:1" x14ac:dyDescent="0.25">
      <c r="A4741" t="s">
        <v>4645</v>
      </c>
    </row>
    <row r="4742" spans="1:1" x14ac:dyDescent="0.25">
      <c r="A4742" t="s">
        <v>4646</v>
      </c>
    </row>
    <row r="4743" spans="1:1" x14ac:dyDescent="0.25">
      <c r="A4743" t="s">
        <v>3397</v>
      </c>
    </row>
    <row r="4744" spans="1:1" x14ac:dyDescent="0.25">
      <c r="A4744" t="s">
        <v>3398</v>
      </c>
    </row>
    <row r="4745" spans="1:1" x14ac:dyDescent="0.25">
      <c r="A4745" t="s">
        <v>3399</v>
      </c>
    </row>
    <row r="4746" spans="1:1" x14ac:dyDescent="0.25">
      <c r="A4746" t="s">
        <v>4663</v>
      </c>
    </row>
    <row r="4747" spans="1:1" x14ac:dyDescent="0.25">
      <c r="A4747" t="s">
        <v>3401</v>
      </c>
    </row>
    <row r="4748" spans="1:1" x14ac:dyDescent="0.25">
      <c r="A4748" t="s">
        <v>3402</v>
      </c>
    </row>
    <row r="4750" spans="1:1" x14ac:dyDescent="0.25">
      <c r="A4750" t="s">
        <v>3392</v>
      </c>
    </row>
    <row r="4751" spans="1:1" x14ac:dyDescent="0.25">
      <c r="A4751" t="s">
        <v>3393</v>
      </c>
    </row>
    <row r="4752" spans="1:1" x14ac:dyDescent="0.25">
      <c r="A4752" t="s">
        <v>4664</v>
      </c>
    </row>
    <row r="4753" spans="1:1" x14ac:dyDescent="0.25">
      <c r="A4753" t="s">
        <v>4649</v>
      </c>
    </row>
    <row r="4754" spans="1:1" x14ac:dyDescent="0.25">
      <c r="A4754" t="s">
        <v>4646</v>
      </c>
    </row>
    <row r="4755" spans="1:1" x14ac:dyDescent="0.25">
      <c r="A4755" t="s">
        <v>3397</v>
      </c>
    </row>
    <row r="4756" spans="1:1" x14ac:dyDescent="0.25">
      <c r="A4756" t="s">
        <v>3398</v>
      </c>
    </row>
    <row r="4757" spans="1:1" x14ac:dyDescent="0.25">
      <c r="A4757" t="s">
        <v>3399</v>
      </c>
    </row>
    <row r="4758" spans="1:1" x14ac:dyDescent="0.25">
      <c r="A4758" t="s">
        <v>4665</v>
      </c>
    </row>
    <row r="4759" spans="1:1" x14ac:dyDescent="0.25">
      <c r="A4759" t="s">
        <v>3401</v>
      </c>
    </row>
    <row r="4760" spans="1:1" x14ac:dyDescent="0.25">
      <c r="A4760" t="s">
        <v>3402</v>
      </c>
    </row>
    <row r="4762" spans="1:1" x14ac:dyDescent="0.25">
      <c r="A4762" t="s">
        <v>3392</v>
      </c>
    </row>
    <row r="4763" spans="1:1" x14ac:dyDescent="0.25">
      <c r="A4763" t="s">
        <v>3393</v>
      </c>
    </row>
    <row r="4764" spans="1:1" x14ac:dyDescent="0.25">
      <c r="A4764" t="s">
        <v>4666</v>
      </c>
    </row>
    <row r="4765" spans="1:1" x14ac:dyDescent="0.25">
      <c r="A4765" t="s">
        <v>4628</v>
      </c>
    </row>
    <row r="4766" spans="1:1" x14ac:dyDescent="0.25">
      <c r="A4766" t="s">
        <v>4003</v>
      </c>
    </row>
    <row r="4767" spans="1:1" x14ac:dyDescent="0.25">
      <c r="A4767" t="s">
        <v>3397</v>
      </c>
    </row>
    <row r="4768" spans="1:1" x14ac:dyDescent="0.25">
      <c r="A4768" t="s">
        <v>3398</v>
      </c>
    </row>
    <row r="4769" spans="1:1" x14ac:dyDescent="0.25">
      <c r="A4769" t="s">
        <v>3399</v>
      </c>
    </row>
    <row r="4770" spans="1:1" x14ac:dyDescent="0.25">
      <c r="A4770" t="s">
        <v>4667</v>
      </c>
    </row>
    <row r="4771" spans="1:1" x14ac:dyDescent="0.25">
      <c r="A4771" t="s">
        <v>3401</v>
      </c>
    </row>
    <row r="4772" spans="1:1" x14ac:dyDescent="0.25">
      <c r="A4772" t="s">
        <v>3402</v>
      </c>
    </row>
    <row r="4774" spans="1:1" x14ac:dyDescent="0.25">
      <c r="A4774" t="s">
        <v>3392</v>
      </c>
    </row>
    <row r="4775" spans="1:1" x14ac:dyDescent="0.25">
      <c r="A4775" t="s">
        <v>3393</v>
      </c>
    </row>
    <row r="4776" spans="1:1" x14ac:dyDescent="0.25">
      <c r="A4776" t="s">
        <v>4668</v>
      </c>
    </row>
    <row r="4777" spans="1:1" x14ac:dyDescent="0.25">
      <c r="A4777" t="s">
        <v>4631</v>
      </c>
    </row>
    <row r="4778" spans="1:1" x14ac:dyDescent="0.25">
      <c r="A4778" t="s">
        <v>4003</v>
      </c>
    </row>
    <row r="4779" spans="1:1" x14ac:dyDescent="0.25">
      <c r="A4779" t="s">
        <v>3397</v>
      </c>
    </row>
    <row r="4780" spans="1:1" x14ac:dyDescent="0.25">
      <c r="A4780" t="s">
        <v>3398</v>
      </c>
    </row>
    <row r="4781" spans="1:1" x14ac:dyDescent="0.25">
      <c r="A4781" t="s">
        <v>3399</v>
      </c>
    </row>
    <row r="4782" spans="1:1" x14ac:dyDescent="0.25">
      <c r="A4782" t="s">
        <v>4669</v>
      </c>
    </row>
    <row r="4783" spans="1:1" x14ac:dyDescent="0.25">
      <c r="A4783" t="s">
        <v>3401</v>
      </c>
    </row>
    <row r="4784" spans="1:1" x14ac:dyDescent="0.25">
      <c r="A4784" t="s">
        <v>3402</v>
      </c>
    </row>
    <row r="4786" spans="1:1" x14ac:dyDescent="0.25">
      <c r="A4786" t="s">
        <v>3392</v>
      </c>
    </row>
    <row r="4787" spans="1:1" x14ac:dyDescent="0.25">
      <c r="A4787" t="s">
        <v>3393</v>
      </c>
    </row>
    <row r="4788" spans="1:1" x14ac:dyDescent="0.25">
      <c r="A4788" t="s">
        <v>4670</v>
      </c>
    </row>
    <row r="4789" spans="1:1" x14ac:dyDescent="0.25">
      <c r="A4789" t="s">
        <v>4634</v>
      </c>
    </row>
    <row r="4790" spans="1:1" x14ac:dyDescent="0.25">
      <c r="A4790" t="s">
        <v>4003</v>
      </c>
    </row>
    <row r="4791" spans="1:1" x14ac:dyDescent="0.25">
      <c r="A4791" t="s">
        <v>3397</v>
      </c>
    </row>
    <row r="4792" spans="1:1" x14ac:dyDescent="0.25">
      <c r="A4792" t="s">
        <v>3398</v>
      </c>
    </row>
    <row r="4793" spans="1:1" x14ac:dyDescent="0.25">
      <c r="A4793" t="s">
        <v>3399</v>
      </c>
    </row>
    <row r="4794" spans="1:1" x14ac:dyDescent="0.25">
      <c r="A4794" t="s">
        <v>4671</v>
      </c>
    </row>
    <row r="4795" spans="1:1" x14ac:dyDescent="0.25">
      <c r="A4795" t="s">
        <v>3401</v>
      </c>
    </row>
    <row r="4796" spans="1:1" x14ac:dyDescent="0.25">
      <c r="A4796" t="s">
        <v>3402</v>
      </c>
    </row>
    <row r="4798" spans="1:1" x14ac:dyDescent="0.25">
      <c r="A4798" t="s">
        <v>3392</v>
      </c>
    </row>
    <row r="4799" spans="1:1" x14ac:dyDescent="0.25">
      <c r="A4799" t="s">
        <v>3393</v>
      </c>
    </row>
    <row r="4800" spans="1:1" x14ac:dyDescent="0.25">
      <c r="A4800" t="s">
        <v>4672</v>
      </c>
    </row>
    <row r="4801" spans="1:1" x14ac:dyDescent="0.25">
      <c r="A4801" t="s">
        <v>4673</v>
      </c>
    </row>
    <row r="4802" spans="1:1" x14ac:dyDescent="0.25">
      <c r="A4802" t="s">
        <v>4003</v>
      </c>
    </row>
    <row r="4803" spans="1:1" x14ac:dyDescent="0.25">
      <c r="A4803" t="s">
        <v>3397</v>
      </c>
    </row>
    <row r="4804" spans="1:1" x14ac:dyDescent="0.25">
      <c r="A4804" t="s">
        <v>3398</v>
      </c>
    </row>
    <row r="4805" spans="1:1" x14ac:dyDescent="0.25">
      <c r="A4805" t="s">
        <v>3563</v>
      </c>
    </row>
    <row r="4806" spans="1:1" x14ac:dyDescent="0.25">
      <c r="A4806" t="s">
        <v>4674</v>
      </c>
    </row>
    <row r="4807" spans="1:1" x14ac:dyDescent="0.25">
      <c r="A4807" t="s">
        <v>3401</v>
      </c>
    </row>
    <row r="4808" spans="1:1" x14ac:dyDescent="0.25">
      <c r="A4808" t="s">
        <v>3402</v>
      </c>
    </row>
    <row r="4810" spans="1:1" x14ac:dyDescent="0.25">
      <c r="A4810" t="s">
        <v>3392</v>
      </c>
    </row>
    <row r="4811" spans="1:1" x14ac:dyDescent="0.25">
      <c r="A4811" t="s">
        <v>3393</v>
      </c>
    </row>
    <row r="4812" spans="1:1" x14ac:dyDescent="0.25">
      <c r="A4812" t="s">
        <v>4675</v>
      </c>
    </row>
    <row r="4813" spans="1:1" x14ac:dyDescent="0.25">
      <c r="A4813" t="s">
        <v>4676</v>
      </c>
    </row>
    <row r="4814" spans="1:1" x14ac:dyDescent="0.25">
      <c r="A4814" t="s">
        <v>4003</v>
      </c>
    </row>
    <row r="4815" spans="1:1" x14ac:dyDescent="0.25">
      <c r="A4815" t="s">
        <v>3397</v>
      </c>
    </row>
    <row r="4816" spans="1:1" x14ac:dyDescent="0.25">
      <c r="A4816" t="s">
        <v>3398</v>
      </c>
    </row>
    <row r="4817" spans="1:1" x14ac:dyDescent="0.25">
      <c r="A4817" t="s">
        <v>3563</v>
      </c>
    </row>
    <row r="4818" spans="1:1" x14ac:dyDescent="0.25">
      <c r="A4818" t="s">
        <v>4677</v>
      </c>
    </row>
    <row r="4819" spans="1:1" x14ac:dyDescent="0.25">
      <c r="A4819" t="s">
        <v>3401</v>
      </c>
    </row>
    <row r="4820" spans="1:1" x14ac:dyDescent="0.25">
      <c r="A4820" t="s">
        <v>3402</v>
      </c>
    </row>
    <row r="4822" spans="1:1" x14ac:dyDescent="0.25">
      <c r="A4822" t="s">
        <v>3392</v>
      </c>
    </row>
    <row r="4823" spans="1:1" x14ac:dyDescent="0.25">
      <c r="A4823" t="s">
        <v>3393</v>
      </c>
    </row>
    <row r="4824" spans="1:1" x14ac:dyDescent="0.25">
      <c r="A4824" t="s">
        <v>4678</v>
      </c>
    </row>
    <row r="4825" spans="1:1" x14ac:dyDescent="0.25">
      <c r="A4825" t="s">
        <v>4637</v>
      </c>
    </row>
    <row r="4826" spans="1:1" x14ac:dyDescent="0.25">
      <c r="A4826" t="s">
        <v>3701</v>
      </c>
    </row>
    <row r="4827" spans="1:1" x14ac:dyDescent="0.25">
      <c r="A4827" t="s">
        <v>3397</v>
      </c>
    </row>
    <row r="4828" spans="1:1" x14ac:dyDescent="0.25">
      <c r="A4828" t="s">
        <v>3398</v>
      </c>
    </row>
    <row r="4829" spans="1:1" x14ac:dyDescent="0.25">
      <c r="A4829" t="s">
        <v>4679</v>
      </c>
    </row>
    <row r="4830" spans="1:1" x14ac:dyDescent="0.25">
      <c r="A4830" t="s">
        <v>4680</v>
      </c>
    </row>
    <row r="4831" spans="1:1" x14ac:dyDescent="0.25">
      <c r="A4831" t="s">
        <v>3401</v>
      </c>
    </row>
    <row r="4832" spans="1:1" x14ac:dyDescent="0.25">
      <c r="A4832" t="s">
        <v>3402</v>
      </c>
    </row>
    <row r="4834" spans="1:1" x14ac:dyDescent="0.25">
      <c r="A4834" t="s">
        <v>3392</v>
      </c>
    </row>
    <row r="4835" spans="1:1" x14ac:dyDescent="0.25">
      <c r="A4835" t="s">
        <v>3393</v>
      </c>
    </row>
    <row r="4836" spans="1:1" x14ac:dyDescent="0.25">
      <c r="A4836" t="s">
        <v>4681</v>
      </c>
    </row>
    <row r="4837" spans="1:1" x14ac:dyDescent="0.25">
      <c r="A4837" t="s">
        <v>4641</v>
      </c>
    </row>
    <row r="4838" spans="1:1" x14ac:dyDescent="0.25">
      <c r="A4838" t="s">
        <v>3959</v>
      </c>
    </row>
    <row r="4839" spans="1:1" x14ac:dyDescent="0.25">
      <c r="A4839" t="s">
        <v>3397</v>
      </c>
    </row>
    <row r="4840" spans="1:1" x14ac:dyDescent="0.25">
      <c r="A4840" t="s">
        <v>3398</v>
      </c>
    </row>
    <row r="4841" spans="1:1" x14ac:dyDescent="0.25">
      <c r="A4841" t="s">
        <v>4642</v>
      </c>
    </row>
    <row r="4842" spans="1:1" x14ac:dyDescent="0.25">
      <c r="A4842" t="s">
        <v>4682</v>
      </c>
    </row>
    <row r="4843" spans="1:1" x14ac:dyDescent="0.25">
      <c r="A4843" t="s">
        <v>3401</v>
      </c>
    </row>
    <row r="4844" spans="1:1" x14ac:dyDescent="0.25">
      <c r="A4844" t="s">
        <v>3402</v>
      </c>
    </row>
    <row r="4846" spans="1:1" x14ac:dyDescent="0.25">
      <c r="A4846" t="s">
        <v>3392</v>
      </c>
    </row>
    <row r="4847" spans="1:1" x14ac:dyDescent="0.25">
      <c r="A4847" t="s">
        <v>3393</v>
      </c>
    </row>
    <row r="4848" spans="1:1" x14ac:dyDescent="0.25">
      <c r="A4848" t="s">
        <v>4683</v>
      </c>
    </row>
    <row r="4849" spans="1:1" x14ac:dyDescent="0.25">
      <c r="A4849" t="s">
        <v>4645</v>
      </c>
    </row>
    <row r="4850" spans="1:1" x14ac:dyDescent="0.25">
      <c r="A4850" t="s">
        <v>4646</v>
      </c>
    </row>
    <row r="4851" spans="1:1" x14ac:dyDescent="0.25">
      <c r="A4851" t="s">
        <v>3397</v>
      </c>
    </row>
    <row r="4852" spans="1:1" x14ac:dyDescent="0.25">
      <c r="A4852" t="s">
        <v>3398</v>
      </c>
    </row>
    <row r="4853" spans="1:1" x14ac:dyDescent="0.25">
      <c r="A4853" t="s">
        <v>3399</v>
      </c>
    </row>
    <row r="4854" spans="1:1" x14ac:dyDescent="0.25">
      <c r="A4854" t="s">
        <v>4684</v>
      </c>
    </row>
    <row r="4855" spans="1:1" x14ac:dyDescent="0.25">
      <c r="A4855" t="s">
        <v>3401</v>
      </c>
    </row>
    <row r="4856" spans="1:1" x14ac:dyDescent="0.25">
      <c r="A4856" t="s">
        <v>3402</v>
      </c>
    </row>
    <row r="4858" spans="1:1" x14ac:dyDescent="0.25">
      <c r="A4858" t="s">
        <v>3392</v>
      </c>
    </row>
    <row r="4859" spans="1:1" x14ac:dyDescent="0.25">
      <c r="A4859" t="s">
        <v>3393</v>
      </c>
    </row>
    <row r="4860" spans="1:1" x14ac:dyDescent="0.25">
      <c r="A4860" t="s">
        <v>4685</v>
      </c>
    </row>
    <row r="4861" spans="1:1" x14ac:dyDescent="0.25">
      <c r="A4861" t="s">
        <v>4649</v>
      </c>
    </row>
    <row r="4862" spans="1:1" x14ac:dyDescent="0.25">
      <c r="A4862" t="s">
        <v>4646</v>
      </c>
    </row>
    <row r="4863" spans="1:1" x14ac:dyDescent="0.25">
      <c r="A4863" t="s">
        <v>3397</v>
      </c>
    </row>
    <row r="4864" spans="1:1" x14ac:dyDescent="0.25">
      <c r="A4864" t="s">
        <v>3398</v>
      </c>
    </row>
    <row r="4865" spans="1:1" x14ac:dyDescent="0.25">
      <c r="A4865" t="s">
        <v>3399</v>
      </c>
    </row>
    <row r="4866" spans="1:1" x14ac:dyDescent="0.25">
      <c r="A4866" t="s">
        <v>4686</v>
      </c>
    </row>
    <row r="4867" spans="1:1" x14ac:dyDescent="0.25">
      <c r="A4867" t="s">
        <v>3401</v>
      </c>
    </row>
    <row r="4868" spans="1:1" x14ac:dyDescent="0.25">
      <c r="A4868" t="s">
        <v>3402</v>
      </c>
    </row>
    <row r="4870" spans="1:1" x14ac:dyDescent="0.25">
      <c r="A4870" t="s">
        <v>3184</v>
      </c>
    </row>
    <row r="4871" spans="1:1" x14ac:dyDescent="0.25">
      <c r="A4871" t="s">
        <v>3185</v>
      </c>
    </row>
    <row r="4872" spans="1:1" x14ac:dyDescent="0.25">
      <c r="A4872" t="s">
        <v>4687</v>
      </c>
    </row>
    <row r="4873" spans="1:1" x14ac:dyDescent="0.25">
      <c r="A4873" t="s">
        <v>3281</v>
      </c>
    </row>
    <row r="4874" spans="1:1" x14ac:dyDescent="0.25">
      <c r="A4874" t="s">
        <v>3282</v>
      </c>
    </row>
    <row r="4875" spans="1:1" x14ac:dyDescent="0.25">
      <c r="A4875" t="s">
        <v>3207</v>
      </c>
    </row>
    <row r="4876" spans="1:1" x14ac:dyDescent="0.25">
      <c r="A4876" t="s">
        <v>3190</v>
      </c>
    </row>
    <row r="4877" spans="1:1" x14ac:dyDescent="0.25">
      <c r="A4877" t="s">
        <v>3283</v>
      </c>
    </row>
    <row r="4878" spans="1:1" x14ac:dyDescent="0.25">
      <c r="A4878" t="s">
        <v>3284</v>
      </c>
    </row>
    <row r="4879" spans="1:1" x14ac:dyDescent="0.25">
      <c r="A4879" t="s">
        <v>3193</v>
      </c>
    </row>
    <row r="4880" spans="1:1" x14ac:dyDescent="0.25">
      <c r="A4880" t="s">
        <v>3194</v>
      </c>
    </row>
    <row r="4882" spans="1:1" x14ac:dyDescent="0.25">
      <c r="A4882" t="s">
        <v>3184</v>
      </c>
    </row>
    <row r="4883" spans="1:1" x14ac:dyDescent="0.25">
      <c r="A4883" t="s">
        <v>3185</v>
      </c>
    </row>
    <row r="4884" spans="1:1" x14ac:dyDescent="0.25">
      <c r="A4884" t="s">
        <v>4688</v>
      </c>
    </row>
    <row r="4885" spans="1:1" x14ac:dyDescent="0.25">
      <c r="A4885" t="s">
        <v>3286</v>
      </c>
    </row>
    <row r="4886" spans="1:1" x14ac:dyDescent="0.25">
      <c r="A4886" t="s">
        <v>3282</v>
      </c>
    </row>
    <row r="4887" spans="1:1" x14ac:dyDescent="0.25">
      <c r="A4887" t="s">
        <v>3207</v>
      </c>
    </row>
    <row r="4888" spans="1:1" x14ac:dyDescent="0.25">
      <c r="A4888" t="s">
        <v>3190</v>
      </c>
    </row>
    <row r="4889" spans="1:1" x14ac:dyDescent="0.25">
      <c r="A4889" t="s">
        <v>3283</v>
      </c>
    </row>
    <row r="4890" spans="1:1" x14ac:dyDescent="0.25">
      <c r="A4890" t="s">
        <v>3287</v>
      </c>
    </row>
    <row r="4891" spans="1:1" x14ac:dyDescent="0.25">
      <c r="A4891" t="s">
        <v>3193</v>
      </c>
    </row>
    <row r="4892" spans="1:1" x14ac:dyDescent="0.25">
      <c r="A4892" t="s">
        <v>3194</v>
      </c>
    </row>
    <row r="4894" spans="1:1" x14ac:dyDescent="0.25">
      <c r="A4894" t="s">
        <v>3184</v>
      </c>
    </row>
    <row r="4895" spans="1:1" x14ac:dyDescent="0.25">
      <c r="A4895" t="s">
        <v>3185</v>
      </c>
    </row>
    <row r="4896" spans="1:1" x14ac:dyDescent="0.25">
      <c r="A4896" t="s">
        <v>4689</v>
      </c>
    </row>
    <row r="4897" spans="1:1" x14ac:dyDescent="0.25">
      <c r="A4897" t="s">
        <v>3289</v>
      </c>
    </row>
    <row r="4898" spans="1:1" x14ac:dyDescent="0.25">
      <c r="A4898" t="s">
        <v>3282</v>
      </c>
    </row>
    <row r="4899" spans="1:1" x14ac:dyDescent="0.25">
      <c r="A4899" t="s">
        <v>3207</v>
      </c>
    </row>
    <row r="4900" spans="1:1" x14ac:dyDescent="0.25">
      <c r="A4900" t="s">
        <v>3190</v>
      </c>
    </row>
    <row r="4901" spans="1:1" x14ac:dyDescent="0.25">
      <c r="A4901" t="s">
        <v>3283</v>
      </c>
    </row>
    <row r="4902" spans="1:1" x14ac:dyDescent="0.25">
      <c r="A4902" t="s">
        <v>3290</v>
      </c>
    </row>
    <row r="4903" spans="1:1" x14ac:dyDescent="0.25">
      <c r="A4903" t="s">
        <v>3193</v>
      </c>
    </row>
    <row r="4904" spans="1:1" x14ac:dyDescent="0.25">
      <c r="A4904" t="s">
        <v>3194</v>
      </c>
    </row>
    <row r="4906" spans="1:1" x14ac:dyDescent="0.25">
      <c r="A4906" t="s">
        <v>3184</v>
      </c>
    </row>
    <row r="4907" spans="1:1" x14ac:dyDescent="0.25">
      <c r="A4907" t="s">
        <v>3185</v>
      </c>
    </row>
    <row r="4908" spans="1:1" x14ac:dyDescent="0.25">
      <c r="A4908" t="s">
        <v>4690</v>
      </c>
    </row>
    <row r="4909" spans="1:1" x14ac:dyDescent="0.25">
      <c r="A4909" t="s">
        <v>3292</v>
      </c>
    </row>
    <row r="4910" spans="1:1" x14ac:dyDescent="0.25">
      <c r="A4910" t="s">
        <v>3282</v>
      </c>
    </row>
    <row r="4911" spans="1:1" x14ac:dyDescent="0.25">
      <c r="A4911" t="s">
        <v>3207</v>
      </c>
    </row>
    <row r="4912" spans="1:1" x14ac:dyDescent="0.25">
      <c r="A4912" t="s">
        <v>3190</v>
      </c>
    </row>
    <row r="4913" spans="1:1" x14ac:dyDescent="0.25">
      <c r="A4913" t="s">
        <v>3283</v>
      </c>
    </row>
    <row r="4914" spans="1:1" x14ac:dyDescent="0.25">
      <c r="A4914" t="s">
        <v>3293</v>
      </c>
    </row>
    <row r="4915" spans="1:1" x14ac:dyDescent="0.25">
      <c r="A4915" t="s">
        <v>3193</v>
      </c>
    </row>
    <row r="4916" spans="1:1" x14ac:dyDescent="0.25">
      <c r="A4916" t="s">
        <v>3194</v>
      </c>
    </row>
    <row r="4918" spans="1:1" x14ac:dyDescent="0.25">
      <c r="A4918" t="s">
        <v>3184</v>
      </c>
    </row>
    <row r="4919" spans="1:1" x14ac:dyDescent="0.25">
      <c r="A4919" t="s">
        <v>3185</v>
      </c>
    </row>
    <row r="4920" spans="1:1" x14ac:dyDescent="0.25">
      <c r="A4920" t="s">
        <v>4691</v>
      </c>
    </row>
    <row r="4921" spans="1:1" x14ac:dyDescent="0.25">
      <c r="A4921" t="s">
        <v>3295</v>
      </c>
    </row>
    <row r="4922" spans="1:1" x14ac:dyDescent="0.25">
      <c r="A4922" t="s">
        <v>3282</v>
      </c>
    </row>
    <row r="4923" spans="1:1" x14ac:dyDescent="0.25">
      <c r="A4923" t="s">
        <v>3207</v>
      </c>
    </row>
    <row r="4924" spans="1:1" x14ac:dyDescent="0.25">
      <c r="A4924" t="s">
        <v>3190</v>
      </c>
    </row>
    <row r="4925" spans="1:1" x14ac:dyDescent="0.25">
      <c r="A4925" t="s">
        <v>3283</v>
      </c>
    </row>
    <row r="4926" spans="1:1" x14ac:dyDescent="0.25">
      <c r="A4926" t="s">
        <v>3296</v>
      </c>
    </row>
    <row r="4927" spans="1:1" x14ac:dyDescent="0.25">
      <c r="A4927" t="s">
        <v>3193</v>
      </c>
    </row>
    <row r="4928" spans="1:1" x14ac:dyDescent="0.25">
      <c r="A4928" t="s">
        <v>3194</v>
      </c>
    </row>
    <row r="4930" spans="1:1" x14ac:dyDescent="0.25">
      <c r="A4930" t="s">
        <v>3184</v>
      </c>
    </row>
    <row r="4931" spans="1:1" x14ac:dyDescent="0.25">
      <c r="A4931" t="s">
        <v>3185</v>
      </c>
    </row>
    <row r="4932" spans="1:1" x14ac:dyDescent="0.25">
      <c r="A4932" t="s">
        <v>4692</v>
      </c>
    </row>
    <row r="4933" spans="1:1" x14ac:dyDescent="0.25">
      <c r="A4933" t="s">
        <v>3298</v>
      </c>
    </row>
    <row r="4934" spans="1:1" x14ac:dyDescent="0.25">
      <c r="A4934" t="s">
        <v>3282</v>
      </c>
    </row>
    <row r="4935" spans="1:1" x14ac:dyDescent="0.25">
      <c r="A4935" t="s">
        <v>3207</v>
      </c>
    </row>
    <row r="4936" spans="1:1" x14ac:dyDescent="0.25">
      <c r="A4936" t="s">
        <v>3190</v>
      </c>
    </row>
    <row r="4937" spans="1:1" x14ac:dyDescent="0.25">
      <c r="A4937" t="s">
        <v>3283</v>
      </c>
    </row>
    <row r="4938" spans="1:1" x14ac:dyDescent="0.25">
      <c r="A4938" t="s">
        <v>3299</v>
      </c>
    </row>
    <row r="4939" spans="1:1" x14ac:dyDescent="0.25">
      <c r="A4939" t="s">
        <v>3193</v>
      </c>
    </row>
    <row r="4940" spans="1:1" x14ac:dyDescent="0.25">
      <c r="A4940" t="s">
        <v>3194</v>
      </c>
    </row>
    <row r="4942" spans="1:1" x14ac:dyDescent="0.25">
      <c r="A4942" t="s">
        <v>3184</v>
      </c>
    </row>
    <row r="4943" spans="1:1" x14ac:dyDescent="0.25">
      <c r="A4943" t="s">
        <v>3230</v>
      </c>
    </row>
    <row r="4944" spans="1:1" x14ac:dyDescent="0.25">
      <c r="A4944" t="s">
        <v>4693</v>
      </c>
    </row>
    <row r="4945" spans="1:1" x14ac:dyDescent="0.25">
      <c r="A4945" t="s">
        <v>4239</v>
      </c>
    </row>
    <row r="4946" spans="1:1" x14ac:dyDescent="0.25">
      <c r="A4946" t="s">
        <v>3233</v>
      </c>
    </row>
    <row r="4947" spans="1:1" x14ac:dyDescent="0.25">
      <c r="A4947" t="s">
        <v>3207</v>
      </c>
    </row>
    <row r="4948" spans="1:1" x14ac:dyDescent="0.25">
      <c r="A4948" t="s">
        <v>3234</v>
      </c>
    </row>
    <row r="4949" spans="1:1" x14ac:dyDescent="0.25">
      <c r="A4949" t="s">
        <v>4258</v>
      </c>
    </row>
    <row r="4950" spans="1:1" x14ac:dyDescent="0.25">
      <c r="A4950" t="s">
        <v>4241</v>
      </c>
    </row>
    <row r="4951" spans="1:1" x14ac:dyDescent="0.25">
      <c r="A4951" t="s">
        <v>3194</v>
      </c>
    </row>
    <row r="4953" spans="1:1" x14ac:dyDescent="0.25">
      <c r="A4953" t="s">
        <v>3184</v>
      </c>
    </row>
    <row r="4954" spans="1:1" x14ac:dyDescent="0.25">
      <c r="A4954" t="s">
        <v>3185</v>
      </c>
    </row>
    <row r="4955" spans="1:1" x14ac:dyDescent="0.25">
      <c r="A4955" t="s">
        <v>4694</v>
      </c>
    </row>
    <row r="4956" spans="1:1" x14ac:dyDescent="0.25">
      <c r="A4956" t="s">
        <v>3301</v>
      </c>
    </row>
    <row r="4957" spans="1:1" x14ac:dyDescent="0.25">
      <c r="A4957" t="s">
        <v>3302</v>
      </c>
    </row>
    <row r="4958" spans="1:1" x14ac:dyDescent="0.25">
      <c r="A4958" t="s">
        <v>3207</v>
      </c>
    </row>
    <row r="4959" spans="1:1" x14ac:dyDescent="0.25">
      <c r="A4959" t="s">
        <v>3190</v>
      </c>
    </row>
    <row r="4960" spans="1:1" x14ac:dyDescent="0.25">
      <c r="A4960" t="s">
        <v>3303</v>
      </c>
    </row>
    <row r="4961" spans="1:1" x14ac:dyDescent="0.25">
      <c r="A4961" t="s">
        <v>3304</v>
      </c>
    </row>
    <row r="4962" spans="1:1" x14ac:dyDescent="0.25">
      <c r="A4962" t="s">
        <v>3210</v>
      </c>
    </row>
    <row r="4963" spans="1:1" x14ac:dyDescent="0.25">
      <c r="A4963" t="s">
        <v>3194</v>
      </c>
    </row>
    <row r="4965" spans="1:1" x14ac:dyDescent="0.25">
      <c r="A4965" t="s">
        <v>3184</v>
      </c>
    </row>
    <row r="4966" spans="1:1" x14ac:dyDescent="0.25">
      <c r="A4966" t="s">
        <v>3185</v>
      </c>
    </row>
    <row r="4967" spans="1:1" x14ac:dyDescent="0.25">
      <c r="A4967" t="s">
        <v>4695</v>
      </c>
    </row>
    <row r="4968" spans="1:1" x14ac:dyDescent="0.25">
      <c r="A4968" t="s">
        <v>3306</v>
      </c>
    </row>
    <row r="4969" spans="1:1" x14ac:dyDescent="0.25">
      <c r="A4969" t="s">
        <v>3307</v>
      </c>
    </row>
    <row r="4970" spans="1:1" x14ac:dyDescent="0.25">
      <c r="A4970" t="s">
        <v>3207</v>
      </c>
    </row>
    <row r="4971" spans="1:1" x14ac:dyDescent="0.25">
      <c r="A4971" t="s">
        <v>3190</v>
      </c>
    </row>
    <row r="4972" spans="1:1" x14ac:dyDescent="0.25">
      <c r="A4972" t="s">
        <v>3283</v>
      </c>
    </row>
    <row r="4973" spans="1:1" x14ac:dyDescent="0.25">
      <c r="A4973" t="s">
        <v>3308</v>
      </c>
    </row>
    <row r="4974" spans="1:1" x14ac:dyDescent="0.25">
      <c r="A4974" t="s">
        <v>3193</v>
      </c>
    </row>
    <row r="4975" spans="1:1" x14ac:dyDescent="0.25">
      <c r="A4975" t="s">
        <v>3194</v>
      </c>
    </row>
    <row r="4977" spans="1:1" x14ac:dyDescent="0.25">
      <c r="A4977" t="s">
        <v>3184</v>
      </c>
    </row>
    <row r="4978" spans="1:1" x14ac:dyDescent="0.25">
      <c r="A4978" t="s">
        <v>3185</v>
      </c>
    </row>
    <row r="4979" spans="1:1" x14ac:dyDescent="0.25">
      <c r="A4979" t="s">
        <v>4696</v>
      </c>
    </row>
    <row r="4980" spans="1:1" x14ac:dyDescent="0.25">
      <c r="A4980" t="s">
        <v>3310</v>
      </c>
    </row>
    <row r="4981" spans="1:1" x14ac:dyDescent="0.25">
      <c r="A4981" t="s">
        <v>3307</v>
      </c>
    </row>
    <row r="4982" spans="1:1" x14ac:dyDescent="0.25">
      <c r="A4982" t="s">
        <v>3207</v>
      </c>
    </row>
    <row r="4983" spans="1:1" x14ac:dyDescent="0.25">
      <c r="A4983" t="s">
        <v>3190</v>
      </c>
    </row>
    <row r="4984" spans="1:1" x14ac:dyDescent="0.25">
      <c r="A4984" t="s">
        <v>3243</v>
      </c>
    </row>
    <row r="4985" spans="1:1" x14ac:dyDescent="0.25">
      <c r="A4985" t="s">
        <v>3311</v>
      </c>
    </row>
    <row r="4986" spans="1:1" x14ac:dyDescent="0.25">
      <c r="A4986" t="s">
        <v>3210</v>
      </c>
    </row>
    <row r="4987" spans="1:1" x14ac:dyDescent="0.25">
      <c r="A4987" t="s">
        <v>3194</v>
      </c>
    </row>
    <row r="4989" spans="1:1" x14ac:dyDescent="0.25">
      <c r="A4989" t="s">
        <v>3184</v>
      </c>
    </row>
    <row r="4990" spans="1:1" x14ac:dyDescent="0.25">
      <c r="A4990" t="s">
        <v>3185</v>
      </c>
    </row>
    <row r="4991" spans="1:1" x14ac:dyDescent="0.25">
      <c r="A4991" t="s">
        <v>4697</v>
      </c>
    </row>
    <row r="4992" spans="1:1" x14ac:dyDescent="0.25">
      <c r="A4992" t="s">
        <v>4698</v>
      </c>
    </row>
    <row r="4993" spans="1:1" x14ac:dyDescent="0.25">
      <c r="A4993" t="s">
        <v>3307</v>
      </c>
    </row>
    <row r="4994" spans="1:1" x14ac:dyDescent="0.25">
      <c r="A4994" t="s">
        <v>3207</v>
      </c>
    </row>
    <row r="4995" spans="1:1" x14ac:dyDescent="0.25">
      <c r="A4995" t="s">
        <v>3190</v>
      </c>
    </row>
    <row r="4996" spans="1:1" x14ac:dyDescent="0.25">
      <c r="A4996" t="s">
        <v>3774</v>
      </c>
    </row>
    <row r="4997" spans="1:1" x14ac:dyDescent="0.25">
      <c r="A4997" t="s">
        <v>4699</v>
      </c>
    </row>
    <row r="4998" spans="1:1" x14ac:dyDescent="0.25">
      <c r="A4998" t="s">
        <v>3210</v>
      </c>
    </row>
    <row r="4999" spans="1:1" x14ac:dyDescent="0.25">
      <c r="A4999" t="s">
        <v>3194</v>
      </c>
    </row>
    <row r="5001" spans="1:1" x14ac:dyDescent="0.25">
      <c r="A5001" t="s">
        <v>3184</v>
      </c>
    </row>
    <row r="5002" spans="1:1" x14ac:dyDescent="0.25">
      <c r="A5002" t="s">
        <v>3185</v>
      </c>
    </row>
    <row r="5003" spans="1:1" x14ac:dyDescent="0.25">
      <c r="A5003" t="s">
        <v>4700</v>
      </c>
    </row>
    <row r="5004" spans="1:1" x14ac:dyDescent="0.25">
      <c r="A5004" t="s">
        <v>3313</v>
      </c>
    </row>
    <row r="5005" spans="1:1" x14ac:dyDescent="0.25">
      <c r="A5005" t="s">
        <v>3282</v>
      </c>
    </row>
    <row r="5006" spans="1:1" x14ac:dyDescent="0.25">
      <c r="A5006" t="s">
        <v>3207</v>
      </c>
    </row>
    <row r="5007" spans="1:1" x14ac:dyDescent="0.25">
      <c r="A5007" t="s">
        <v>3190</v>
      </c>
    </row>
    <row r="5008" spans="1:1" x14ac:dyDescent="0.25">
      <c r="A5008" t="s">
        <v>3283</v>
      </c>
    </row>
    <row r="5009" spans="1:1" x14ac:dyDescent="0.25">
      <c r="A5009" t="s">
        <v>3314</v>
      </c>
    </row>
    <row r="5010" spans="1:1" x14ac:dyDescent="0.25">
      <c r="A5010" t="s">
        <v>3193</v>
      </c>
    </row>
    <row r="5011" spans="1:1" x14ac:dyDescent="0.25">
      <c r="A5011" t="s">
        <v>3194</v>
      </c>
    </row>
    <row r="5013" spans="1:1" x14ac:dyDescent="0.25">
      <c r="A5013" t="s">
        <v>3184</v>
      </c>
    </row>
    <row r="5014" spans="1:1" x14ac:dyDescent="0.25">
      <c r="A5014" t="s">
        <v>3185</v>
      </c>
    </row>
    <row r="5015" spans="1:1" x14ac:dyDescent="0.25">
      <c r="A5015" t="s">
        <v>4701</v>
      </c>
    </row>
    <row r="5016" spans="1:1" x14ac:dyDescent="0.25">
      <c r="A5016" t="s">
        <v>3316</v>
      </c>
    </row>
    <row r="5017" spans="1:1" x14ac:dyDescent="0.25">
      <c r="A5017" t="s">
        <v>3282</v>
      </c>
    </row>
    <row r="5018" spans="1:1" x14ac:dyDescent="0.25">
      <c r="A5018" t="s">
        <v>3207</v>
      </c>
    </row>
    <row r="5019" spans="1:1" x14ac:dyDescent="0.25">
      <c r="A5019" t="s">
        <v>3190</v>
      </c>
    </row>
    <row r="5020" spans="1:1" x14ac:dyDescent="0.25">
      <c r="A5020" t="s">
        <v>3283</v>
      </c>
    </row>
    <row r="5021" spans="1:1" x14ac:dyDescent="0.25">
      <c r="A5021" t="s">
        <v>3317</v>
      </c>
    </row>
    <row r="5022" spans="1:1" x14ac:dyDescent="0.25">
      <c r="A5022" t="s">
        <v>3193</v>
      </c>
    </row>
    <row r="5023" spans="1:1" x14ac:dyDescent="0.25">
      <c r="A5023" t="s">
        <v>3194</v>
      </c>
    </row>
    <row r="5025" spans="1:1" x14ac:dyDescent="0.25">
      <c r="A5025" t="s">
        <v>3184</v>
      </c>
    </row>
    <row r="5026" spans="1:1" x14ac:dyDescent="0.25">
      <c r="A5026" t="s">
        <v>3185</v>
      </c>
    </row>
    <row r="5027" spans="1:1" x14ac:dyDescent="0.25">
      <c r="A5027" t="s">
        <v>4702</v>
      </c>
    </row>
    <row r="5028" spans="1:1" x14ac:dyDescent="0.25">
      <c r="A5028" t="s">
        <v>3319</v>
      </c>
    </row>
    <row r="5029" spans="1:1" x14ac:dyDescent="0.25">
      <c r="A5029" t="s">
        <v>3282</v>
      </c>
    </row>
    <row r="5030" spans="1:1" x14ac:dyDescent="0.25">
      <c r="A5030" t="s">
        <v>3207</v>
      </c>
    </row>
    <row r="5031" spans="1:1" x14ac:dyDescent="0.25">
      <c r="A5031" t="s">
        <v>3190</v>
      </c>
    </row>
    <row r="5032" spans="1:1" x14ac:dyDescent="0.25">
      <c r="A5032" t="s">
        <v>3283</v>
      </c>
    </row>
    <row r="5033" spans="1:1" x14ac:dyDescent="0.25">
      <c r="A5033" t="s">
        <v>3320</v>
      </c>
    </row>
    <row r="5034" spans="1:1" x14ac:dyDescent="0.25">
      <c r="A5034" t="s">
        <v>3193</v>
      </c>
    </row>
    <row r="5035" spans="1:1" x14ac:dyDescent="0.25">
      <c r="A5035" t="s">
        <v>3194</v>
      </c>
    </row>
    <row r="5037" spans="1:1" x14ac:dyDescent="0.25">
      <c r="A5037" t="s">
        <v>3184</v>
      </c>
    </row>
    <row r="5038" spans="1:1" x14ac:dyDescent="0.25">
      <c r="A5038" t="s">
        <v>3185</v>
      </c>
    </row>
    <row r="5039" spans="1:1" x14ac:dyDescent="0.25">
      <c r="A5039" t="s">
        <v>4703</v>
      </c>
    </row>
    <row r="5040" spans="1:1" x14ac:dyDescent="0.25">
      <c r="A5040" t="s">
        <v>3322</v>
      </c>
    </row>
    <row r="5041" spans="1:1" x14ac:dyDescent="0.25">
      <c r="A5041" t="s">
        <v>3282</v>
      </c>
    </row>
    <row r="5042" spans="1:1" x14ac:dyDescent="0.25">
      <c r="A5042" t="s">
        <v>3207</v>
      </c>
    </row>
    <row r="5043" spans="1:1" x14ac:dyDescent="0.25">
      <c r="A5043" t="s">
        <v>3190</v>
      </c>
    </row>
    <row r="5044" spans="1:1" x14ac:dyDescent="0.25">
      <c r="A5044" t="s">
        <v>3283</v>
      </c>
    </row>
    <row r="5045" spans="1:1" x14ac:dyDescent="0.25">
      <c r="A5045" t="s">
        <v>3323</v>
      </c>
    </row>
    <row r="5046" spans="1:1" x14ac:dyDescent="0.25">
      <c r="A5046" t="s">
        <v>3193</v>
      </c>
    </row>
    <row r="5047" spans="1:1" x14ac:dyDescent="0.25">
      <c r="A5047" t="s">
        <v>3194</v>
      </c>
    </row>
    <row r="5049" spans="1:1" x14ac:dyDescent="0.25">
      <c r="A5049" t="s">
        <v>3184</v>
      </c>
    </row>
    <row r="5050" spans="1:1" x14ac:dyDescent="0.25">
      <c r="A5050" t="s">
        <v>3185</v>
      </c>
    </row>
    <row r="5051" spans="1:1" x14ac:dyDescent="0.25">
      <c r="A5051" t="s">
        <v>4704</v>
      </c>
    </row>
    <row r="5052" spans="1:1" x14ac:dyDescent="0.25">
      <c r="A5052" t="s">
        <v>3325</v>
      </c>
    </row>
    <row r="5053" spans="1:1" x14ac:dyDescent="0.25">
      <c r="A5053" t="s">
        <v>3282</v>
      </c>
    </row>
    <row r="5054" spans="1:1" x14ac:dyDescent="0.25">
      <c r="A5054" t="s">
        <v>3207</v>
      </c>
    </row>
    <row r="5055" spans="1:1" x14ac:dyDescent="0.25">
      <c r="A5055" t="s">
        <v>3190</v>
      </c>
    </row>
    <row r="5056" spans="1:1" x14ac:dyDescent="0.25">
      <c r="A5056" t="s">
        <v>3283</v>
      </c>
    </row>
    <row r="5057" spans="1:1" x14ac:dyDescent="0.25">
      <c r="A5057" t="s">
        <v>3326</v>
      </c>
    </row>
    <row r="5058" spans="1:1" x14ac:dyDescent="0.25">
      <c r="A5058" t="s">
        <v>3193</v>
      </c>
    </row>
    <row r="5059" spans="1:1" x14ac:dyDescent="0.25">
      <c r="A5059" t="s">
        <v>3194</v>
      </c>
    </row>
    <row r="5061" spans="1:1" x14ac:dyDescent="0.25">
      <c r="A5061" t="s">
        <v>3184</v>
      </c>
    </row>
    <row r="5062" spans="1:1" x14ac:dyDescent="0.25">
      <c r="A5062" t="s">
        <v>3185</v>
      </c>
    </row>
    <row r="5063" spans="1:1" x14ac:dyDescent="0.25">
      <c r="A5063" t="s">
        <v>4705</v>
      </c>
    </row>
    <row r="5064" spans="1:1" x14ac:dyDescent="0.25">
      <c r="A5064" t="s">
        <v>3328</v>
      </c>
    </row>
    <row r="5065" spans="1:1" x14ac:dyDescent="0.25">
      <c r="A5065" t="s">
        <v>3282</v>
      </c>
    </row>
    <row r="5066" spans="1:1" x14ac:dyDescent="0.25">
      <c r="A5066" t="s">
        <v>3207</v>
      </c>
    </row>
    <row r="5067" spans="1:1" x14ac:dyDescent="0.25">
      <c r="A5067" t="s">
        <v>3190</v>
      </c>
    </row>
    <row r="5068" spans="1:1" x14ac:dyDescent="0.25">
      <c r="A5068" t="s">
        <v>3283</v>
      </c>
    </row>
    <row r="5069" spans="1:1" x14ac:dyDescent="0.25">
      <c r="A5069" t="s">
        <v>3329</v>
      </c>
    </row>
    <row r="5070" spans="1:1" x14ac:dyDescent="0.25">
      <c r="A5070" t="s">
        <v>3193</v>
      </c>
    </row>
    <row r="5071" spans="1:1" x14ac:dyDescent="0.25">
      <c r="A5071" t="s">
        <v>3194</v>
      </c>
    </row>
    <row r="5073" spans="1:1" x14ac:dyDescent="0.25">
      <c r="A5073" t="s">
        <v>3184</v>
      </c>
    </row>
    <row r="5074" spans="1:1" x14ac:dyDescent="0.25">
      <c r="A5074" t="s">
        <v>3185</v>
      </c>
    </row>
    <row r="5075" spans="1:1" x14ac:dyDescent="0.25">
      <c r="A5075" t="s">
        <v>4706</v>
      </c>
    </row>
    <row r="5076" spans="1:1" x14ac:dyDescent="0.25">
      <c r="A5076" t="s">
        <v>3331</v>
      </c>
    </row>
    <row r="5077" spans="1:1" x14ac:dyDescent="0.25">
      <c r="A5077" t="s">
        <v>3282</v>
      </c>
    </row>
    <row r="5078" spans="1:1" x14ac:dyDescent="0.25">
      <c r="A5078" t="s">
        <v>3207</v>
      </c>
    </row>
    <row r="5079" spans="1:1" x14ac:dyDescent="0.25">
      <c r="A5079" t="s">
        <v>3190</v>
      </c>
    </row>
    <row r="5080" spans="1:1" x14ac:dyDescent="0.25">
      <c r="A5080" t="s">
        <v>3332</v>
      </c>
    </row>
    <row r="5081" spans="1:1" x14ac:dyDescent="0.25">
      <c r="A5081" t="s">
        <v>3333</v>
      </c>
    </row>
    <row r="5082" spans="1:1" x14ac:dyDescent="0.25">
      <c r="A5082" t="s">
        <v>3193</v>
      </c>
    </row>
    <row r="5083" spans="1:1" x14ac:dyDescent="0.25">
      <c r="A5083" t="s">
        <v>3194</v>
      </c>
    </row>
    <row r="5085" spans="1:1" x14ac:dyDescent="0.25">
      <c r="A5085" t="s">
        <v>3184</v>
      </c>
    </row>
    <row r="5086" spans="1:1" x14ac:dyDescent="0.25">
      <c r="A5086" t="s">
        <v>3185</v>
      </c>
    </row>
    <row r="5087" spans="1:1" x14ac:dyDescent="0.25">
      <c r="A5087" t="s">
        <v>4707</v>
      </c>
    </row>
    <row r="5088" spans="1:1" x14ac:dyDescent="0.25">
      <c r="A5088" t="s">
        <v>3335</v>
      </c>
    </row>
    <row r="5089" spans="1:1" x14ac:dyDescent="0.25">
      <c r="A5089" t="s">
        <v>3282</v>
      </c>
    </row>
    <row r="5090" spans="1:1" x14ac:dyDescent="0.25">
      <c r="A5090" t="s">
        <v>3207</v>
      </c>
    </row>
    <row r="5091" spans="1:1" x14ac:dyDescent="0.25">
      <c r="A5091" t="s">
        <v>3190</v>
      </c>
    </row>
    <row r="5092" spans="1:1" x14ac:dyDescent="0.25">
      <c r="A5092" t="s">
        <v>3332</v>
      </c>
    </row>
    <row r="5093" spans="1:1" x14ac:dyDescent="0.25">
      <c r="A5093" t="s">
        <v>3336</v>
      </c>
    </row>
    <row r="5094" spans="1:1" x14ac:dyDescent="0.25">
      <c r="A5094" t="s">
        <v>3193</v>
      </c>
    </row>
    <row r="5095" spans="1:1" x14ac:dyDescent="0.25">
      <c r="A5095" t="s">
        <v>3194</v>
      </c>
    </row>
    <row r="5097" spans="1:1" x14ac:dyDescent="0.25">
      <c r="A5097" t="s">
        <v>3184</v>
      </c>
    </row>
    <row r="5098" spans="1:1" x14ac:dyDescent="0.25">
      <c r="A5098" t="s">
        <v>3185</v>
      </c>
    </row>
    <row r="5099" spans="1:1" x14ac:dyDescent="0.25">
      <c r="A5099" t="s">
        <v>4708</v>
      </c>
    </row>
    <row r="5100" spans="1:1" x14ac:dyDescent="0.25">
      <c r="A5100" t="s">
        <v>3338</v>
      </c>
    </row>
    <row r="5101" spans="1:1" x14ac:dyDescent="0.25">
      <c r="A5101" t="s">
        <v>3282</v>
      </c>
    </row>
    <row r="5102" spans="1:1" x14ac:dyDescent="0.25">
      <c r="A5102" t="s">
        <v>3207</v>
      </c>
    </row>
    <row r="5103" spans="1:1" x14ac:dyDescent="0.25">
      <c r="A5103" t="s">
        <v>3190</v>
      </c>
    </row>
    <row r="5104" spans="1:1" x14ac:dyDescent="0.25">
      <c r="A5104" t="s">
        <v>3332</v>
      </c>
    </row>
    <row r="5105" spans="1:1" x14ac:dyDescent="0.25">
      <c r="A5105" t="s">
        <v>3339</v>
      </c>
    </row>
    <row r="5106" spans="1:1" x14ac:dyDescent="0.25">
      <c r="A5106" t="s">
        <v>3193</v>
      </c>
    </row>
    <row r="5107" spans="1:1" x14ac:dyDescent="0.25">
      <c r="A5107" t="s">
        <v>3194</v>
      </c>
    </row>
    <row r="5109" spans="1:1" x14ac:dyDescent="0.25">
      <c r="A5109" t="s">
        <v>3184</v>
      </c>
    </row>
    <row r="5110" spans="1:1" x14ac:dyDescent="0.25">
      <c r="A5110" t="s">
        <v>3185</v>
      </c>
    </row>
    <row r="5111" spans="1:1" x14ac:dyDescent="0.25">
      <c r="A5111" t="s">
        <v>4709</v>
      </c>
    </row>
    <row r="5112" spans="1:1" x14ac:dyDescent="0.25">
      <c r="A5112" t="s">
        <v>3341</v>
      </c>
    </row>
    <row r="5113" spans="1:1" x14ac:dyDescent="0.25">
      <c r="A5113" t="s">
        <v>3307</v>
      </c>
    </row>
    <row r="5114" spans="1:1" x14ac:dyDescent="0.25">
      <c r="A5114" t="s">
        <v>3207</v>
      </c>
    </row>
    <row r="5115" spans="1:1" x14ac:dyDescent="0.25">
      <c r="A5115" t="s">
        <v>3190</v>
      </c>
    </row>
    <row r="5116" spans="1:1" x14ac:dyDescent="0.25">
      <c r="A5116" t="s">
        <v>3342</v>
      </c>
    </row>
    <row r="5117" spans="1:1" x14ac:dyDescent="0.25">
      <c r="A5117" t="s">
        <v>3343</v>
      </c>
    </row>
    <row r="5118" spans="1:1" x14ac:dyDescent="0.25">
      <c r="A5118" t="s">
        <v>3193</v>
      </c>
    </row>
    <row r="5119" spans="1:1" x14ac:dyDescent="0.25">
      <c r="A5119" t="s">
        <v>3194</v>
      </c>
    </row>
    <row r="5121" spans="1:1" x14ac:dyDescent="0.25">
      <c r="A5121" t="s">
        <v>3184</v>
      </c>
    </row>
    <row r="5122" spans="1:1" x14ac:dyDescent="0.25">
      <c r="A5122" t="s">
        <v>3185</v>
      </c>
    </row>
    <row r="5123" spans="1:1" x14ac:dyDescent="0.25">
      <c r="A5123" t="s">
        <v>4710</v>
      </c>
    </row>
    <row r="5124" spans="1:1" x14ac:dyDescent="0.25">
      <c r="A5124" t="s">
        <v>3345</v>
      </c>
    </row>
    <row r="5125" spans="1:1" x14ac:dyDescent="0.25">
      <c r="A5125" t="s">
        <v>3307</v>
      </c>
    </row>
    <row r="5126" spans="1:1" x14ac:dyDescent="0.25">
      <c r="A5126" t="s">
        <v>3207</v>
      </c>
    </row>
    <row r="5127" spans="1:1" x14ac:dyDescent="0.25">
      <c r="A5127" t="s">
        <v>3190</v>
      </c>
    </row>
    <row r="5128" spans="1:1" x14ac:dyDescent="0.25">
      <c r="A5128" t="s">
        <v>3243</v>
      </c>
    </row>
    <row r="5129" spans="1:1" x14ac:dyDescent="0.25">
      <c r="A5129" t="s">
        <v>3311</v>
      </c>
    </row>
    <row r="5130" spans="1:1" x14ac:dyDescent="0.25">
      <c r="A5130" t="s">
        <v>3210</v>
      </c>
    </row>
    <row r="5131" spans="1:1" x14ac:dyDescent="0.25">
      <c r="A5131" t="s">
        <v>3194</v>
      </c>
    </row>
    <row r="5133" spans="1:1" x14ac:dyDescent="0.25">
      <c r="A5133" t="s">
        <v>3184</v>
      </c>
    </row>
    <row r="5134" spans="1:1" x14ac:dyDescent="0.25">
      <c r="A5134" t="s">
        <v>3185</v>
      </c>
    </row>
    <row r="5135" spans="1:1" x14ac:dyDescent="0.25">
      <c r="A5135" t="s">
        <v>4711</v>
      </c>
    </row>
    <row r="5136" spans="1:1" x14ac:dyDescent="0.25">
      <c r="A5136" t="s">
        <v>4712</v>
      </c>
    </row>
    <row r="5137" spans="1:1" x14ac:dyDescent="0.25">
      <c r="A5137" t="s">
        <v>3307</v>
      </c>
    </row>
    <row r="5138" spans="1:1" x14ac:dyDescent="0.25">
      <c r="A5138" t="s">
        <v>3207</v>
      </c>
    </row>
    <row r="5139" spans="1:1" x14ac:dyDescent="0.25">
      <c r="A5139" t="s">
        <v>3190</v>
      </c>
    </row>
    <row r="5140" spans="1:1" x14ac:dyDescent="0.25">
      <c r="A5140" t="s">
        <v>3208</v>
      </c>
    </row>
    <row r="5141" spans="1:1" x14ac:dyDescent="0.25">
      <c r="A5141" t="s">
        <v>4018</v>
      </c>
    </row>
    <row r="5142" spans="1:1" x14ac:dyDescent="0.25">
      <c r="A5142" t="s">
        <v>3210</v>
      </c>
    </row>
    <row r="5143" spans="1:1" x14ac:dyDescent="0.25">
      <c r="A5143" t="s">
        <v>3194</v>
      </c>
    </row>
    <row r="5145" spans="1:1" x14ac:dyDescent="0.25">
      <c r="A5145" t="s">
        <v>4713</v>
      </c>
    </row>
    <row r="5147" spans="1:1" x14ac:dyDescent="0.25">
      <c r="A5147" t="s">
        <v>4714</v>
      </c>
    </row>
    <row r="5149" spans="1:1" x14ac:dyDescent="0.25">
      <c r="A5149" t="s">
        <v>4715</v>
      </c>
    </row>
    <row r="5150" spans="1:1" x14ac:dyDescent="0.25">
      <c r="A5150" t="s">
        <v>4716</v>
      </c>
    </row>
    <row r="5151" spans="1:1" x14ac:dyDescent="0.25">
      <c r="A5151" t="s">
        <v>4717</v>
      </c>
    </row>
    <row r="5152" spans="1:1" x14ac:dyDescent="0.25">
      <c r="A5152" t="s">
        <v>3368</v>
      </c>
    </row>
    <row r="5153" spans="1:1" x14ac:dyDescent="0.25">
      <c r="A5153" t="s">
        <v>3369</v>
      </c>
    </row>
    <row r="5155" spans="1:1" x14ac:dyDescent="0.25">
      <c r="A5155" t="s">
        <v>4718</v>
      </c>
    </row>
    <row r="5157" spans="1:1" x14ac:dyDescent="0.25">
      <c r="A5157" t="s">
        <v>4719</v>
      </c>
    </row>
    <row r="5159" spans="1:1" x14ac:dyDescent="0.25">
      <c r="A5159" t="s">
        <v>4720</v>
      </c>
    </row>
    <row r="5161" spans="1:1" x14ac:dyDescent="0.25">
      <c r="A5161" t="s">
        <v>4721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6A28-8BA3-49DE-AB20-3E3C497917D0}">
  <dimension ref="A2:A5488"/>
  <sheetViews>
    <sheetView workbookViewId="0">
      <selection activeCell="A15" sqref="A15"/>
    </sheetView>
  </sheetViews>
  <sheetFormatPr defaultRowHeight="15" x14ac:dyDescent="0.25"/>
  <cols>
    <col min="1" max="1" width="255.7109375" bestFit="1" customWidth="1"/>
  </cols>
  <sheetData>
    <row r="2" spans="1:1" x14ac:dyDescent="0.25">
      <c r="A2" t="s">
        <v>1733</v>
      </c>
    </row>
    <row r="3" spans="1:1" x14ac:dyDescent="0.25">
      <c r="A3" t="s">
        <v>1734</v>
      </c>
    </row>
    <row r="5" spans="1:1" x14ac:dyDescent="0.25">
      <c r="A5" t="s">
        <v>1735</v>
      </c>
    </row>
    <row r="6" spans="1:1" x14ac:dyDescent="0.25">
      <c r="A6" t="s">
        <v>1736</v>
      </c>
    </row>
    <row r="7" spans="1:1" x14ac:dyDescent="0.25">
      <c r="A7" t="s">
        <v>1737</v>
      </c>
    </row>
    <row r="8" spans="1:1" x14ac:dyDescent="0.25">
      <c r="A8" t="s">
        <v>1738</v>
      </c>
    </row>
    <row r="9" spans="1:1" x14ac:dyDescent="0.25">
      <c r="A9" t="s">
        <v>1739</v>
      </c>
    </row>
    <row r="10" spans="1:1" x14ac:dyDescent="0.25">
      <c r="A10" t="s">
        <v>1740</v>
      </c>
    </row>
    <row r="11" spans="1:1" x14ac:dyDescent="0.25">
      <c r="A11" t="s">
        <v>1741</v>
      </c>
    </row>
    <row r="12" spans="1:1" x14ac:dyDescent="0.25">
      <c r="A12" t="s">
        <v>1742</v>
      </c>
    </row>
    <row r="13" spans="1:1" x14ac:dyDescent="0.25">
      <c r="A13" t="s">
        <v>1743</v>
      </c>
    </row>
    <row r="14" spans="1:1" x14ac:dyDescent="0.25">
      <c r="A14" t="s">
        <v>1744</v>
      </c>
    </row>
    <row r="16" spans="1:1" x14ac:dyDescent="0.25">
      <c r="A16" t="s">
        <v>1737</v>
      </c>
    </row>
    <row r="17" spans="1:1" x14ac:dyDescent="0.25">
      <c r="A17" t="s">
        <v>1738</v>
      </c>
    </row>
    <row r="18" spans="1:1" x14ac:dyDescent="0.25">
      <c r="A18" t="s">
        <v>1745</v>
      </c>
    </row>
    <row r="19" spans="1:1" x14ac:dyDescent="0.25">
      <c r="A19" t="s">
        <v>1741</v>
      </c>
    </row>
    <row r="20" spans="1:1" x14ac:dyDescent="0.25">
      <c r="A20" t="s">
        <v>1746</v>
      </c>
    </row>
    <row r="21" spans="1:1" x14ac:dyDescent="0.25">
      <c r="A21" t="s">
        <v>1747</v>
      </c>
    </row>
    <row r="22" spans="1:1" x14ac:dyDescent="0.25">
      <c r="A22" t="s">
        <v>1744</v>
      </c>
    </row>
    <row r="23" spans="1:1" x14ac:dyDescent="0.25">
      <c r="A23" t="s">
        <v>1748</v>
      </c>
    </row>
    <row r="25" spans="1:1" x14ac:dyDescent="0.25">
      <c r="A25" t="s">
        <v>1749</v>
      </c>
    </row>
    <row r="27" spans="1:1" x14ac:dyDescent="0.25">
      <c r="A27" t="s">
        <v>1737</v>
      </c>
    </row>
    <row r="28" spans="1:1" x14ac:dyDescent="0.25">
      <c r="A28" t="s">
        <v>1738</v>
      </c>
    </row>
    <row r="29" spans="1:1" x14ac:dyDescent="0.25">
      <c r="A29" t="s">
        <v>1750</v>
      </c>
    </row>
    <row r="30" spans="1:1" x14ac:dyDescent="0.25">
      <c r="A30" t="s">
        <v>1751</v>
      </c>
    </row>
    <row r="31" spans="1:1" x14ac:dyDescent="0.25">
      <c r="A31" t="s">
        <v>1752</v>
      </c>
    </row>
    <row r="32" spans="1:1" x14ac:dyDescent="0.25">
      <c r="A32" t="s">
        <v>1753</v>
      </c>
    </row>
    <row r="33" spans="1:1" x14ac:dyDescent="0.25">
      <c r="A33" t="s">
        <v>1741</v>
      </c>
    </row>
    <row r="34" spans="1:1" x14ac:dyDescent="0.25">
      <c r="A34" t="s">
        <v>1754</v>
      </c>
    </row>
    <row r="35" spans="1:1" x14ac:dyDescent="0.25">
      <c r="A35" t="s">
        <v>1755</v>
      </c>
    </row>
    <row r="36" spans="1:1" x14ac:dyDescent="0.25">
      <c r="A36" t="s">
        <v>1744</v>
      </c>
    </row>
    <row r="38" spans="1:1" x14ac:dyDescent="0.25">
      <c r="A38" t="s">
        <v>1737</v>
      </c>
    </row>
    <row r="39" spans="1:1" x14ac:dyDescent="0.25">
      <c r="A39" t="s">
        <v>1738</v>
      </c>
    </row>
    <row r="40" spans="1:1" x14ac:dyDescent="0.25">
      <c r="A40" t="s">
        <v>1756</v>
      </c>
    </row>
    <row r="41" spans="1:1" x14ac:dyDescent="0.25">
      <c r="A41" t="s">
        <v>1757</v>
      </c>
    </row>
    <row r="42" spans="1:1" x14ac:dyDescent="0.25">
      <c r="A42" t="s">
        <v>1752</v>
      </c>
    </row>
    <row r="43" spans="1:1" x14ac:dyDescent="0.25">
      <c r="A43" t="s">
        <v>1753</v>
      </c>
    </row>
    <row r="44" spans="1:1" x14ac:dyDescent="0.25">
      <c r="A44" t="s">
        <v>1741</v>
      </c>
    </row>
    <row r="45" spans="1:1" x14ac:dyDescent="0.25">
      <c r="A45" t="s">
        <v>1758</v>
      </c>
    </row>
    <row r="46" spans="1:1" x14ac:dyDescent="0.25">
      <c r="A46" t="s">
        <v>1759</v>
      </c>
    </row>
    <row r="47" spans="1:1" x14ac:dyDescent="0.25">
      <c r="A47" t="s">
        <v>1744</v>
      </c>
    </row>
    <row r="49" spans="1:1" x14ac:dyDescent="0.25">
      <c r="A49" t="s">
        <v>1737</v>
      </c>
    </row>
    <row r="50" spans="1:1" x14ac:dyDescent="0.25">
      <c r="A50" t="s">
        <v>1738</v>
      </c>
    </row>
    <row r="51" spans="1:1" x14ac:dyDescent="0.25">
      <c r="A51" t="s">
        <v>1760</v>
      </c>
    </row>
    <row r="52" spans="1:1" x14ac:dyDescent="0.25">
      <c r="A52" t="s">
        <v>1761</v>
      </c>
    </row>
    <row r="53" spans="1:1" x14ac:dyDescent="0.25">
      <c r="A53" t="s">
        <v>1752</v>
      </c>
    </row>
    <row r="54" spans="1:1" x14ac:dyDescent="0.25">
      <c r="A54" t="s">
        <v>1753</v>
      </c>
    </row>
    <row r="55" spans="1:1" x14ac:dyDescent="0.25">
      <c r="A55" t="s">
        <v>1741</v>
      </c>
    </row>
    <row r="56" spans="1:1" x14ac:dyDescent="0.25">
      <c r="A56" t="s">
        <v>1762</v>
      </c>
    </row>
    <row r="57" spans="1:1" x14ac:dyDescent="0.25">
      <c r="A57" t="s">
        <v>1763</v>
      </c>
    </row>
    <row r="58" spans="1:1" x14ac:dyDescent="0.25">
      <c r="A58" t="s">
        <v>1744</v>
      </c>
    </row>
    <row r="60" spans="1:1" x14ac:dyDescent="0.25">
      <c r="A60" t="s">
        <v>1737</v>
      </c>
    </row>
    <row r="61" spans="1:1" x14ac:dyDescent="0.25">
      <c r="A61" t="s">
        <v>1738</v>
      </c>
    </row>
    <row r="62" spans="1:1" x14ac:dyDescent="0.25">
      <c r="A62" t="s">
        <v>1764</v>
      </c>
    </row>
    <row r="63" spans="1:1" x14ac:dyDescent="0.25">
      <c r="A63" t="s">
        <v>1765</v>
      </c>
    </row>
    <row r="64" spans="1:1" x14ac:dyDescent="0.25">
      <c r="A64" t="s">
        <v>1752</v>
      </c>
    </row>
    <row r="65" spans="1:1" x14ac:dyDescent="0.25">
      <c r="A65" t="s">
        <v>1753</v>
      </c>
    </row>
    <row r="66" spans="1:1" x14ac:dyDescent="0.25">
      <c r="A66" t="s">
        <v>1740</v>
      </c>
    </row>
    <row r="67" spans="1:1" x14ac:dyDescent="0.25">
      <c r="A67" t="s">
        <v>1741</v>
      </c>
    </row>
    <row r="68" spans="1:1" x14ac:dyDescent="0.25">
      <c r="A68" t="s">
        <v>1766</v>
      </c>
    </row>
    <row r="69" spans="1:1" x14ac:dyDescent="0.25">
      <c r="A69" t="s">
        <v>1767</v>
      </c>
    </row>
    <row r="70" spans="1:1" x14ac:dyDescent="0.25">
      <c r="A70" t="s">
        <v>1744</v>
      </c>
    </row>
    <row r="72" spans="1:1" x14ac:dyDescent="0.25">
      <c r="A72" t="s">
        <v>1737</v>
      </c>
    </row>
    <row r="73" spans="1:1" x14ac:dyDescent="0.25">
      <c r="A73" t="s">
        <v>1738</v>
      </c>
    </row>
    <row r="74" spans="1:1" x14ac:dyDescent="0.25">
      <c r="A74" t="s">
        <v>1768</v>
      </c>
    </row>
    <row r="75" spans="1:1" x14ac:dyDescent="0.25">
      <c r="A75" t="s">
        <v>1769</v>
      </c>
    </row>
    <row r="76" spans="1:1" x14ac:dyDescent="0.25">
      <c r="A76" t="s">
        <v>1752</v>
      </c>
    </row>
    <row r="77" spans="1:1" x14ac:dyDescent="0.25">
      <c r="A77" t="s">
        <v>1753</v>
      </c>
    </row>
    <row r="78" spans="1:1" x14ac:dyDescent="0.25">
      <c r="A78" t="s">
        <v>1741</v>
      </c>
    </row>
    <row r="79" spans="1:1" x14ac:dyDescent="0.25">
      <c r="A79" t="s">
        <v>1770</v>
      </c>
    </row>
    <row r="80" spans="1:1" x14ac:dyDescent="0.25">
      <c r="A80" t="s">
        <v>1771</v>
      </c>
    </row>
    <row r="81" spans="1:1" x14ac:dyDescent="0.25">
      <c r="A81" t="s">
        <v>1744</v>
      </c>
    </row>
    <row r="83" spans="1:1" x14ac:dyDescent="0.25">
      <c r="A83" t="s">
        <v>4722</v>
      </c>
    </row>
    <row r="84" spans="1:1" x14ac:dyDescent="0.25">
      <c r="A84" t="s">
        <v>4723</v>
      </c>
    </row>
    <row r="85" spans="1:1" x14ac:dyDescent="0.25">
      <c r="A85" t="s">
        <v>4724</v>
      </c>
    </row>
    <row r="86" spans="1:1" x14ac:dyDescent="0.25">
      <c r="A86" t="s">
        <v>4725</v>
      </c>
    </row>
    <row r="87" spans="1:1" x14ac:dyDescent="0.25">
      <c r="A87" t="s">
        <v>4726</v>
      </c>
    </row>
    <row r="88" spans="1:1" x14ac:dyDescent="0.25">
      <c r="A88" t="s">
        <v>4727</v>
      </c>
    </row>
    <row r="89" spans="1:1" x14ac:dyDescent="0.25">
      <c r="A89" t="s">
        <v>4728</v>
      </c>
    </row>
    <row r="90" spans="1:1" x14ac:dyDescent="0.25">
      <c r="A90" t="s">
        <v>4729</v>
      </c>
    </row>
    <row r="91" spans="1:1" x14ac:dyDescent="0.25">
      <c r="A91" t="s">
        <v>4730</v>
      </c>
    </row>
    <row r="92" spans="1:1" x14ac:dyDescent="0.25">
      <c r="A92" t="s">
        <v>4731</v>
      </c>
    </row>
    <row r="94" spans="1:1" x14ac:dyDescent="0.25">
      <c r="A94" t="s">
        <v>1737</v>
      </c>
    </row>
    <row r="95" spans="1:1" x14ac:dyDescent="0.25">
      <c r="A95" t="s">
        <v>1738</v>
      </c>
    </row>
    <row r="96" spans="1:1" x14ac:dyDescent="0.25">
      <c r="A96" t="s">
        <v>1775</v>
      </c>
    </row>
    <row r="97" spans="1:1" x14ac:dyDescent="0.25">
      <c r="A97" t="s">
        <v>1776</v>
      </c>
    </row>
    <row r="98" spans="1:1" x14ac:dyDescent="0.25">
      <c r="A98" t="s">
        <v>1777</v>
      </c>
    </row>
    <row r="99" spans="1:1" x14ac:dyDescent="0.25">
      <c r="A99" t="s">
        <v>1753</v>
      </c>
    </row>
    <row r="100" spans="1:1" x14ac:dyDescent="0.25">
      <c r="A100" t="s">
        <v>1741</v>
      </c>
    </row>
    <row r="101" spans="1:1" x14ac:dyDescent="0.25">
      <c r="A101" t="s">
        <v>1778</v>
      </c>
    </row>
    <row r="102" spans="1:1" x14ac:dyDescent="0.25">
      <c r="A102" t="s">
        <v>1779</v>
      </c>
    </row>
    <row r="103" spans="1:1" x14ac:dyDescent="0.25">
      <c r="A103" t="s">
        <v>1744</v>
      </c>
    </row>
    <row r="105" spans="1:1" x14ac:dyDescent="0.25">
      <c r="A105" t="s">
        <v>1737</v>
      </c>
    </row>
    <row r="106" spans="1:1" x14ac:dyDescent="0.25">
      <c r="A106" t="s">
        <v>1738</v>
      </c>
    </row>
    <row r="107" spans="1:1" x14ac:dyDescent="0.25">
      <c r="A107" t="s">
        <v>1780</v>
      </c>
    </row>
    <row r="108" spans="1:1" x14ac:dyDescent="0.25">
      <c r="A108" t="s">
        <v>1781</v>
      </c>
    </row>
    <row r="109" spans="1:1" x14ac:dyDescent="0.25">
      <c r="A109" t="s">
        <v>1782</v>
      </c>
    </row>
    <row r="110" spans="1:1" x14ac:dyDescent="0.25">
      <c r="A110" t="s">
        <v>1753</v>
      </c>
    </row>
    <row r="111" spans="1:1" x14ac:dyDescent="0.25">
      <c r="A111" t="s">
        <v>1740</v>
      </c>
    </row>
    <row r="112" spans="1:1" x14ac:dyDescent="0.25">
      <c r="A112" t="s">
        <v>1741</v>
      </c>
    </row>
    <row r="113" spans="1:1" x14ac:dyDescent="0.25">
      <c r="A113" t="s">
        <v>1783</v>
      </c>
    </row>
    <row r="114" spans="1:1" x14ac:dyDescent="0.25">
      <c r="A114" t="s">
        <v>1784</v>
      </c>
    </row>
    <row r="115" spans="1:1" x14ac:dyDescent="0.25">
      <c r="A115" t="s">
        <v>1744</v>
      </c>
    </row>
    <row r="117" spans="1:1" x14ac:dyDescent="0.25">
      <c r="A117" t="s">
        <v>1737</v>
      </c>
    </row>
    <row r="118" spans="1:1" x14ac:dyDescent="0.25">
      <c r="A118" t="s">
        <v>1738</v>
      </c>
    </row>
    <row r="119" spans="1:1" x14ac:dyDescent="0.25">
      <c r="A119" t="s">
        <v>1785</v>
      </c>
    </row>
    <row r="120" spans="1:1" x14ac:dyDescent="0.25">
      <c r="A120" t="s">
        <v>1786</v>
      </c>
    </row>
    <row r="121" spans="1:1" x14ac:dyDescent="0.25">
      <c r="A121" t="s">
        <v>1782</v>
      </c>
    </row>
    <row r="122" spans="1:1" x14ac:dyDescent="0.25">
      <c r="A122" t="s">
        <v>1753</v>
      </c>
    </row>
    <row r="123" spans="1:1" x14ac:dyDescent="0.25">
      <c r="A123" t="s">
        <v>1740</v>
      </c>
    </row>
    <row r="124" spans="1:1" x14ac:dyDescent="0.25">
      <c r="A124" t="s">
        <v>1741</v>
      </c>
    </row>
    <row r="125" spans="1:1" x14ac:dyDescent="0.25">
      <c r="A125" t="s">
        <v>1787</v>
      </c>
    </row>
    <row r="126" spans="1:1" x14ac:dyDescent="0.25">
      <c r="A126" t="s">
        <v>1788</v>
      </c>
    </row>
    <row r="127" spans="1:1" x14ac:dyDescent="0.25">
      <c r="A127" t="s">
        <v>1744</v>
      </c>
    </row>
    <row r="129" spans="1:1" x14ac:dyDescent="0.25">
      <c r="A129" t="s">
        <v>1737</v>
      </c>
    </row>
    <row r="130" spans="1:1" x14ac:dyDescent="0.25">
      <c r="A130" t="s">
        <v>1738</v>
      </c>
    </row>
    <row r="131" spans="1:1" x14ac:dyDescent="0.25">
      <c r="A131" t="s">
        <v>1789</v>
      </c>
    </row>
    <row r="132" spans="1:1" x14ac:dyDescent="0.25">
      <c r="A132" t="s">
        <v>1790</v>
      </c>
    </row>
    <row r="133" spans="1:1" x14ac:dyDescent="0.25">
      <c r="A133" t="s">
        <v>1782</v>
      </c>
    </row>
    <row r="134" spans="1:1" x14ac:dyDescent="0.25">
      <c r="A134" t="s">
        <v>1753</v>
      </c>
    </row>
    <row r="135" spans="1:1" x14ac:dyDescent="0.25">
      <c r="A135" t="s">
        <v>1741</v>
      </c>
    </row>
    <row r="136" spans="1:1" x14ac:dyDescent="0.25">
      <c r="A136" t="s">
        <v>1770</v>
      </c>
    </row>
    <row r="137" spans="1:1" x14ac:dyDescent="0.25">
      <c r="A137" t="s">
        <v>1791</v>
      </c>
    </row>
    <row r="138" spans="1:1" x14ac:dyDescent="0.25">
      <c r="A138" t="s">
        <v>1744</v>
      </c>
    </row>
    <row r="140" spans="1:1" x14ac:dyDescent="0.25">
      <c r="A140" t="s">
        <v>1737</v>
      </c>
    </row>
    <row r="141" spans="1:1" x14ac:dyDescent="0.25">
      <c r="A141" t="s">
        <v>1738</v>
      </c>
    </row>
    <row r="142" spans="1:1" x14ac:dyDescent="0.25">
      <c r="A142" t="s">
        <v>1792</v>
      </c>
    </row>
    <row r="143" spans="1:1" x14ac:dyDescent="0.25">
      <c r="A143" t="s">
        <v>1793</v>
      </c>
    </row>
    <row r="144" spans="1:1" x14ac:dyDescent="0.25">
      <c r="A144" t="s">
        <v>1782</v>
      </c>
    </row>
    <row r="145" spans="1:1" x14ac:dyDescent="0.25">
      <c r="A145" t="s">
        <v>1753</v>
      </c>
    </row>
    <row r="146" spans="1:1" x14ac:dyDescent="0.25">
      <c r="A146" t="s">
        <v>1740</v>
      </c>
    </row>
    <row r="147" spans="1:1" x14ac:dyDescent="0.25">
      <c r="A147" t="s">
        <v>1741</v>
      </c>
    </row>
    <row r="148" spans="1:1" x14ac:dyDescent="0.25">
      <c r="A148" t="s">
        <v>1783</v>
      </c>
    </row>
    <row r="149" spans="1:1" x14ac:dyDescent="0.25">
      <c r="A149" t="s">
        <v>1794</v>
      </c>
    </row>
    <row r="150" spans="1:1" x14ac:dyDescent="0.25">
      <c r="A150" t="s">
        <v>1744</v>
      </c>
    </row>
    <row r="152" spans="1:1" x14ac:dyDescent="0.25">
      <c r="A152" t="s">
        <v>4722</v>
      </c>
    </row>
    <row r="153" spans="1:1" x14ac:dyDescent="0.25">
      <c r="A153" t="s">
        <v>4723</v>
      </c>
    </row>
    <row r="154" spans="1:1" x14ac:dyDescent="0.25">
      <c r="A154" t="s">
        <v>4732</v>
      </c>
    </row>
    <row r="155" spans="1:1" x14ac:dyDescent="0.25">
      <c r="A155" t="s">
        <v>4733</v>
      </c>
    </row>
    <row r="156" spans="1:1" x14ac:dyDescent="0.25">
      <c r="A156" t="s">
        <v>4734</v>
      </c>
    </row>
    <row r="157" spans="1:1" x14ac:dyDescent="0.25">
      <c r="A157" t="s">
        <v>4727</v>
      </c>
    </row>
    <row r="158" spans="1:1" x14ac:dyDescent="0.25">
      <c r="A158" t="s">
        <v>4728</v>
      </c>
    </row>
    <row r="159" spans="1:1" x14ac:dyDescent="0.25">
      <c r="A159" t="s">
        <v>4735</v>
      </c>
    </row>
    <row r="160" spans="1:1" x14ac:dyDescent="0.25">
      <c r="A160" t="s">
        <v>4736</v>
      </c>
    </row>
    <row r="161" spans="1:1" x14ac:dyDescent="0.25">
      <c r="A161" t="s">
        <v>4731</v>
      </c>
    </row>
    <row r="163" spans="1:1" x14ac:dyDescent="0.25">
      <c r="A163" t="s">
        <v>4722</v>
      </c>
    </row>
    <row r="164" spans="1:1" x14ac:dyDescent="0.25">
      <c r="A164" t="s">
        <v>4723</v>
      </c>
    </row>
    <row r="165" spans="1:1" x14ac:dyDescent="0.25">
      <c r="A165" t="s">
        <v>4737</v>
      </c>
    </row>
    <row r="166" spans="1:1" x14ac:dyDescent="0.25">
      <c r="A166" t="s">
        <v>4738</v>
      </c>
    </row>
    <row r="167" spans="1:1" x14ac:dyDescent="0.25">
      <c r="A167" t="s">
        <v>4734</v>
      </c>
    </row>
    <row r="168" spans="1:1" x14ac:dyDescent="0.25">
      <c r="A168" t="s">
        <v>4727</v>
      </c>
    </row>
    <row r="169" spans="1:1" x14ac:dyDescent="0.25">
      <c r="A169" t="s">
        <v>4728</v>
      </c>
    </row>
    <row r="170" spans="1:1" x14ac:dyDescent="0.25">
      <c r="A170" t="s">
        <v>4735</v>
      </c>
    </row>
    <row r="171" spans="1:1" x14ac:dyDescent="0.25">
      <c r="A171" t="s">
        <v>4739</v>
      </c>
    </row>
    <row r="172" spans="1:1" x14ac:dyDescent="0.25">
      <c r="A172" t="s">
        <v>4731</v>
      </c>
    </row>
    <row r="174" spans="1:1" x14ac:dyDescent="0.25">
      <c r="A174" t="s">
        <v>4722</v>
      </c>
    </row>
    <row r="175" spans="1:1" x14ac:dyDescent="0.25">
      <c r="A175" t="s">
        <v>4723</v>
      </c>
    </row>
    <row r="176" spans="1:1" x14ac:dyDescent="0.25">
      <c r="A176" t="s">
        <v>4740</v>
      </c>
    </row>
    <row r="177" spans="1:1" x14ac:dyDescent="0.25">
      <c r="A177" t="s">
        <v>4741</v>
      </c>
    </row>
    <row r="178" spans="1:1" x14ac:dyDescent="0.25">
      <c r="A178" t="s">
        <v>4734</v>
      </c>
    </row>
    <row r="179" spans="1:1" x14ac:dyDescent="0.25">
      <c r="A179" t="s">
        <v>4727</v>
      </c>
    </row>
    <row r="180" spans="1:1" x14ac:dyDescent="0.25">
      <c r="A180" t="s">
        <v>4742</v>
      </c>
    </row>
    <row r="181" spans="1:1" x14ac:dyDescent="0.25">
      <c r="A181" t="s">
        <v>4728</v>
      </c>
    </row>
    <row r="182" spans="1:1" x14ac:dyDescent="0.25">
      <c r="A182" t="s">
        <v>4743</v>
      </c>
    </row>
    <row r="183" spans="1:1" x14ac:dyDescent="0.25">
      <c r="A183" t="s">
        <v>4744</v>
      </c>
    </row>
    <row r="184" spans="1:1" x14ac:dyDescent="0.25">
      <c r="A184" t="s">
        <v>4731</v>
      </c>
    </row>
    <row r="186" spans="1:1" x14ac:dyDescent="0.25">
      <c r="A186" t="s">
        <v>4722</v>
      </c>
    </row>
    <row r="187" spans="1:1" x14ac:dyDescent="0.25">
      <c r="A187" t="s">
        <v>4723</v>
      </c>
    </row>
    <row r="188" spans="1:1" x14ac:dyDescent="0.25">
      <c r="A188" t="s">
        <v>4745</v>
      </c>
    </row>
    <row r="189" spans="1:1" x14ac:dyDescent="0.25">
      <c r="A189" t="s">
        <v>4746</v>
      </c>
    </row>
    <row r="190" spans="1:1" x14ac:dyDescent="0.25">
      <c r="A190" t="s">
        <v>4734</v>
      </c>
    </row>
    <row r="191" spans="1:1" x14ac:dyDescent="0.25">
      <c r="A191" t="s">
        <v>4727</v>
      </c>
    </row>
    <row r="192" spans="1:1" x14ac:dyDescent="0.25">
      <c r="A192" t="s">
        <v>4728</v>
      </c>
    </row>
    <row r="193" spans="1:1" x14ac:dyDescent="0.25">
      <c r="A193" t="s">
        <v>4735</v>
      </c>
    </row>
    <row r="194" spans="1:1" x14ac:dyDescent="0.25">
      <c r="A194" t="s">
        <v>4747</v>
      </c>
    </row>
    <row r="195" spans="1:1" x14ac:dyDescent="0.25">
      <c r="A195" t="s">
        <v>4731</v>
      </c>
    </row>
    <row r="197" spans="1:1" x14ac:dyDescent="0.25">
      <c r="A197" t="s">
        <v>4722</v>
      </c>
    </row>
    <row r="198" spans="1:1" x14ac:dyDescent="0.25">
      <c r="A198" t="s">
        <v>4723</v>
      </c>
    </row>
    <row r="199" spans="1:1" x14ac:dyDescent="0.25">
      <c r="A199" t="s">
        <v>4748</v>
      </c>
    </row>
    <row r="200" spans="1:1" x14ac:dyDescent="0.25">
      <c r="A200" t="s">
        <v>4749</v>
      </c>
    </row>
    <row r="201" spans="1:1" x14ac:dyDescent="0.25">
      <c r="A201" t="s">
        <v>4734</v>
      </c>
    </row>
    <row r="202" spans="1:1" x14ac:dyDescent="0.25">
      <c r="A202" t="s">
        <v>4727</v>
      </c>
    </row>
    <row r="203" spans="1:1" x14ac:dyDescent="0.25">
      <c r="A203" t="s">
        <v>4742</v>
      </c>
    </row>
    <row r="204" spans="1:1" x14ac:dyDescent="0.25">
      <c r="A204" t="s">
        <v>4728</v>
      </c>
    </row>
    <row r="205" spans="1:1" x14ac:dyDescent="0.25">
      <c r="A205" t="s">
        <v>4743</v>
      </c>
    </row>
    <row r="206" spans="1:1" x14ac:dyDescent="0.25">
      <c r="A206" t="s">
        <v>4750</v>
      </c>
    </row>
    <row r="207" spans="1:1" x14ac:dyDescent="0.25">
      <c r="A207" t="s">
        <v>4731</v>
      </c>
    </row>
    <row r="209" spans="1:1" x14ac:dyDescent="0.25">
      <c r="A209" t="s">
        <v>4722</v>
      </c>
    </row>
    <row r="210" spans="1:1" x14ac:dyDescent="0.25">
      <c r="A210" t="s">
        <v>4723</v>
      </c>
    </row>
    <row r="211" spans="1:1" x14ac:dyDescent="0.25">
      <c r="A211" t="s">
        <v>4751</v>
      </c>
    </row>
    <row r="212" spans="1:1" x14ac:dyDescent="0.25">
      <c r="A212" t="s">
        <v>4752</v>
      </c>
    </row>
    <row r="213" spans="1:1" x14ac:dyDescent="0.25">
      <c r="A213" t="s">
        <v>4734</v>
      </c>
    </row>
    <row r="214" spans="1:1" x14ac:dyDescent="0.25">
      <c r="A214" t="s">
        <v>4727</v>
      </c>
    </row>
    <row r="215" spans="1:1" x14ac:dyDescent="0.25">
      <c r="A215" t="s">
        <v>4742</v>
      </c>
    </row>
    <row r="216" spans="1:1" x14ac:dyDescent="0.25">
      <c r="A216" t="s">
        <v>4728</v>
      </c>
    </row>
    <row r="217" spans="1:1" x14ac:dyDescent="0.25">
      <c r="A217" t="s">
        <v>4743</v>
      </c>
    </row>
    <row r="218" spans="1:1" x14ac:dyDescent="0.25">
      <c r="A218" t="s">
        <v>4753</v>
      </c>
    </row>
    <row r="219" spans="1:1" x14ac:dyDescent="0.25">
      <c r="A219" t="s">
        <v>4731</v>
      </c>
    </row>
    <row r="221" spans="1:1" x14ac:dyDescent="0.25">
      <c r="A221" t="s">
        <v>1737</v>
      </c>
    </row>
    <row r="222" spans="1:1" x14ac:dyDescent="0.25">
      <c r="A222" t="s">
        <v>1738</v>
      </c>
    </row>
    <row r="223" spans="1:1" x14ac:dyDescent="0.25">
      <c r="A223" t="s">
        <v>1816</v>
      </c>
    </row>
    <row r="224" spans="1:1" x14ac:dyDescent="0.25">
      <c r="A224" t="s">
        <v>1817</v>
      </c>
    </row>
    <row r="225" spans="1:1" x14ac:dyDescent="0.25">
      <c r="A225" t="s">
        <v>1797</v>
      </c>
    </row>
    <row r="226" spans="1:1" x14ac:dyDescent="0.25">
      <c r="A226" t="s">
        <v>1753</v>
      </c>
    </row>
    <row r="227" spans="1:1" x14ac:dyDescent="0.25">
      <c r="A227" t="s">
        <v>1740</v>
      </c>
    </row>
    <row r="228" spans="1:1" x14ac:dyDescent="0.25">
      <c r="A228" t="s">
        <v>1741</v>
      </c>
    </row>
    <row r="229" spans="1:1" x14ac:dyDescent="0.25">
      <c r="A229" t="s">
        <v>1818</v>
      </c>
    </row>
    <row r="230" spans="1:1" x14ac:dyDescent="0.25">
      <c r="A230" t="s">
        <v>1819</v>
      </c>
    </row>
    <row r="231" spans="1:1" x14ac:dyDescent="0.25">
      <c r="A231" t="s">
        <v>1744</v>
      </c>
    </row>
    <row r="233" spans="1:1" x14ac:dyDescent="0.25">
      <c r="A233" t="s">
        <v>4722</v>
      </c>
    </row>
    <row r="234" spans="1:1" x14ac:dyDescent="0.25">
      <c r="A234" t="s">
        <v>4723</v>
      </c>
    </row>
    <row r="235" spans="1:1" x14ac:dyDescent="0.25">
      <c r="A235" t="s">
        <v>4754</v>
      </c>
    </row>
    <row r="236" spans="1:1" x14ac:dyDescent="0.25">
      <c r="A236" t="s">
        <v>4755</v>
      </c>
    </row>
    <row r="237" spans="1:1" x14ac:dyDescent="0.25">
      <c r="A237" t="s">
        <v>4734</v>
      </c>
    </row>
    <row r="238" spans="1:1" x14ac:dyDescent="0.25">
      <c r="A238" t="s">
        <v>4727</v>
      </c>
    </row>
    <row r="239" spans="1:1" x14ac:dyDescent="0.25">
      <c r="A239" t="s">
        <v>4742</v>
      </c>
    </row>
    <row r="240" spans="1:1" x14ac:dyDescent="0.25">
      <c r="A240" t="s">
        <v>4728</v>
      </c>
    </row>
    <row r="241" spans="1:1" x14ac:dyDescent="0.25">
      <c r="A241" t="s">
        <v>4743</v>
      </c>
    </row>
    <row r="242" spans="1:1" x14ac:dyDescent="0.25">
      <c r="A242" t="s">
        <v>4756</v>
      </c>
    </row>
    <row r="243" spans="1:1" x14ac:dyDescent="0.25">
      <c r="A243" t="s">
        <v>4731</v>
      </c>
    </row>
    <row r="245" spans="1:1" x14ac:dyDescent="0.25">
      <c r="A245" t="s">
        <v>1737</v>
      </c>
    </row>
    <row r="246" spans="1:1" x14ac:dyDescent="0.25">
      <c r="A246" t="s">
        <v>1738</v>
      </c>
    </row>
    <row r="247" spans="1:1" x14ac:dyDescent="0.25">
      <c r="A247" t="s">
        <v>1823</v>
      </c>
    </row>
    <row r="248" spans="1:1" x14ac:dyDescent="0.25">
      <c r="A248" t="s">
        <v>1824</v>
      </c>
    </row>
    <row r="249" spans="1:1" x14ac:dyDescent="0.25">
      <c r="A249" t="s">
        <v>1797</v>
      </c>
    </row>
    <row r="250" spans="1:1" x14ac:dyDescent="0.25">
      <c r="A250" t="s">
        <v>1753</v>
      </c>
    </row>
    <row r="251" spans="1:1" x14ac:dyDescent="0.25">
      <c r="A251" t="s">
        <v>1740</v>
      </c>
    </row>
    <row r="252" spans="1:1" x14ac:dyDescent="0.25">
      <c r="A252" t="s">
        <v>1741</v>
      </c>
    </row>
    <row r="253" spans="1:1" x14ac:dyDescent="0.25">
      <c r="A253" t="s">
        <v>1805</v>
      </c>
    </row>
    <row r="254" spans="1:1" x14ac:dyDescent="0.25">
      <c r="A254" t="s">
        <v>1825</v>
      </c>
    </row>
    <row r="255" spans="1:1" x14ac:dyDescent="0.25">
      <c r="A255" t="s">
        <v>1744</v>
      </c>
    </row>
    <row r="257" spans="1:1" x14ac:dyDescent="0.25">
      <c r="A257" t="s">
        <v>1737</v>
      </c>
    </row>
    <row r="258" spans="1:1" x14ac:dyDescent="0.25">
      <c r="A258" t="s">
        <v>1738</v>
      </c>
    </row>
    <row r="259" spans="1:1" x14ac:dyDescent="0.25">
      <c r="A259" t="s">
        <v>1826</v>
      </c>
    </row>
    <row r="260" spans="1:1" x14ac:dyDescent="0.25">
      <c r="A260" t="s">
        <v>1827</v>
      </c>
    </row>
    <row r="261" spans="1:1" x14ac:dyDescent="0.25">
      <c r="A261" t="s">
        <v>1797</v>
      </c>
    </row>
    <row r="262" spans="1:1" x14ac:dyDescent="0.25">
      <c r="A262" t="s">
        <v>1753</v>
      </c>
    </row>
    <row r="263" spans="1:1" x14ac:dyDescent="0.25">
      <c r="A263" t="s">
        <v>1741</v>
      </c>
    </row>
    <row r="264" spans="1:1" x14ac:dyDescent="0.25">
      <c r="A264" t="s">
        <v>1798</v>
      </c>
    </row>
    <row r="265" spans="1:1" x14ac:dyDescent="0.25">
      <c r="A265" t="s">
        <v>1828</v>
      </c>
    </row>
    <row r="266" spans="1:1" x14ac:dyDescent="0.25">
      <c r="A266" t="s">
        <v>1744</v>
      </c>
    </row>
    <row r="268" spans="1:1" x14ac:dyDescent="0.25">
      <c r="A268" t="s">
        <v>1737</v>
      </c>
    </row>
    <row r="269" spans="1:1" x14ac:dyDescent="0.25">
      <c r="A269" t="s">
        <v>1738</v>
      </c>
    </row>
    <row r="270" spans="1:1" x14ac:dyDescent="0.25">
      <c r="A270" t="s">
        <v>1829</v>
      </c>
    </row>
    <row r="271" spans="1:1" x14ac:dyDescent="0.25">
      <c r="A271" t="s">
        <v>1830</v>
      </c>
    </row>
    <row r="272" spans="1:1" x14ac:dyDescent="0.25">
      <c r="A272" t="s">
        <v>1797</v>
      </c>
    </row>
    <row r="273" spans="1:1" x14ac:dyDescent="0.25">
      <c r="A273" t="s">
        <v>1753</v>
      </c>
    </row>
    <row r="274" spans="1:1" x14ac:dyDescent="0.25">
      <c r="A274" t="s">
        <v>1741</v>
      </c>
    </row>
    <row r="275" spans="1:1" x14ac:dyDescent="0.25">
      <c r="A275" t="s">
        <v>1798</v>
      </c>
    </row>
    <row r="276" spans="1:1" x14ac:dyDescent="0.25">
      <c r="A276" t="s">
        <v>1831</v>
      </c>
    </row>
    <row r="277" spans="1:1" x14ac:dyDescent="0.25">
      <c r="A277" t="s">
        <v>1744</v>
      </c>
    </row>
    <row r="279" spans="1:1" x14ac:dyDescent="0.25">
      <c r="A279" t="s">
        <v>1737</v>
      </c>
    </row>
    <row r="280" spans="1:1" x14ac:dyDescent="0.25">
      <c r="A280" t="s">
        <v>1738</v>
      </c>
    </row>
    <row r="281" spans="1:1" x14ac:dyDescent="0.25">
      <c r="A281" t="s">
        <v>1832</v>
      </c>
    </row>
    <row r="282" spans="1:1" x14ac:dyDescent="0.25">
      <c r="A282" t="s">
        <v>1833</v>
      </c>
    </row>
    <row r="283" spans="1:1" x14ac:dyDescent="0.25">
      <c r="A283" t="s">
        <v>1797</v>
      </c>
    </row>
    <row r="284" spans="1:1" x14ac:dyDescent="0.25">
      <c r="A284" t="s">
        <v>1753</v>
      </c>
    </row>
    <row r="285" spans="1:1" x14ac:dyDescent="0.25">
      <c r="A285" t="s">
        <v>1740</v>
      </c>
    </row>
    <row r="286" spans="1:1" x14ac:dyDescent="0.25">
      <c r="A286" t="s">
        <v>1741</v>
      </c>
    </row>
    <row r="287" spans="1:1" x14ac:dyDescent="0.25">
      <c r="A287" t="s">
        <v>1805</v>
      </c>
    </row>
    <row r="288" spans="1:1" x14ac:dyDescent="0.25">
      <c r="A288" t="s">
        <v>1834</v>
      </c>
    </row>
    <row r="289" spans="1:1" x14ac:dyDescent="0.25">
      <c r="A289" t="s">
        <v>1744</v>
      </c>
    </row>
    <row r="291" spans="1:1" x14ac:dyDescent="0.25">
      <c r="A291" t="s">
        <v>4722</v>
      </c>
    </row>
    <row r="292" spans="1:1" x14ac:dyDescent="0.25">
      <c r="A292" t="s">
        <v>4723</v>
      </c>
    </row>
    <row r="293" spans="1:1" x14ac:dyDescent="0.25">
      <c r="A293" t="s">
        <v>4757</v>
      </c>
    </row>
    <row r="294" spans="1:1" x14ac:dyDescent="0.25">
      <c r="A294" t="s">
        <v>4758</v>
      </c>
    </row>
    <row r="295" spans="1:1" x14ac:dyDescent="0.25">
      <c r="A295" t="s">
        <v>4734</v>
      </c>
    </row>
    <row r="296" spans="1:1" x14ac:dyDescent="0.25">
      <c r="A296" t="s">
        <v>4727</v>
      </c>
    </row>
    <row r="297" spans="1:1" x14ac:dyDescent="0.25">
      <c r="A297" t="s">
        <v>4742</v>
      </c>
    </row>
    <row r="298" spans="1:1" x14ac:dyDescent="0.25">
      <c r="A298" t="s">
        <v>4728</v>
      </c>
    </row>
    <row r="299" spans="1:1" x14ac:dyDescent="0.25">
      <c r="A299" t="s">
        <v>4759</v>
      </c>
    </row>
    <row r="300" spans="1:1" x14ac:dyDescent="0.25">
      <c r="A300" t="s">
        <v>4760</v>
      </c>
    </row>
    <row r="301" spans="1:1" x14ac:dyDescent="0.25">
      <c r="A301" t="s">
        <v>4731</v>
      </c>
    </row>
    <row r="303" spans="1:1" x14ac:dyDescent="0.25">
      <c r="A303" t="s">
        <v>4722</v>
      </c>
    </row>
    <row r="304" spans="1:1" x14ac:dyDescent="0.25">
      <c r="A304" t="s">
        <v>4723</v>
      </c>
    </row>
    <row r="305" spans="1:1" x14ac:dyDescent="0.25">
      <c r="A305" t="s">
        <v>4761</v>
      </c>
    </row>
    <row r="306" spans="1:1" x14ac:dyDescent="0.25">
      <c r="A306" t="s">
        <v>4762</v>
      </c>
    </row>
    <row r="307" spans="1:1" x14ac:dyDescent="0.25">
      <c r="A307" t="s">
        <v>4734</v>
      </c>
    </row>
    <row r="308" spans="1:1" x14ac:dyDescent="0.25">
      <c r="A308" t="s">
        <v>4727</v>
      </c>
    </row>
    <row r="309" spans="1:1" x14ac:dyDescent="0.25">
      <c r="A309" t="s">
        <v>4728</v>
      </c>
    </row>
    <row r="310" spans="1:1" x14ac:dyDescent="0.25">
      <c r="A310" t="s">
        <v>4735</v>
      </c>
    </row>
    <row r="311" spans="1:1" x14ac:dyDescent="0.25">
      <c r="A311" t="s">
        <v>4763</v>
      </c>
    </row>
    <row r="312" spans="1:1" x14ac:dyDescent="0.25">
      <c r="A312" t="s">
        <v>4731</v>
      </c>
    </row>
    <row r="314" spans="1:1" x14ac:dyDescent="0.25">
      <c r="A314" t="s">
        <v>4722</v>
      </c>
    </row>
    <row r="315" spans="1:1" x14ac:dyDescent="0.25">
      <c r="A315" t="s">
        <v>4723</v>
      </c>
    </row>
    <row r="316" spans="1:1" x14ac:dyDescent="0.25">
      <c r="A316" t="s">
        <v>4764</v>
      </c>
    </row>
    <row r="317" spans="1:1" x14ac:dyDescent="0.25">
      <c r="A317" t="s">
        <v>4765</v>
      </c>
    </row>
    <row r="318" spans="1:1" x14ac:dyDescent="0.25">
      <c r="A318" t="s">
        <v>4734</v>
      </c>
    </row>
    <row r="319" spans="1:1" x14ac:dyDescent="0.25">
      <c r="A319" t="s">
        <v>4727</v>
      </c>
    </row>
    <row r="320" spans="1:1" x14ac:dyDescent="0.25">
      <c r="A320" t="s">
        <v>4728</v>
      </c>
    </row>
    <row r="321" spans="1:1" x14ac:dyDescent="0.25">
      <c r="A321" t="s">
        <v>4735</v>
      </c>
    </row>
    <row r="322" spans="1:1" x14ac:dyDescent="0.25">
      <c r="A322" t="s">
        <v>4766</v>
      </c>
    </row>
    <row r="323" spans="1:1" x14ac:dyDescent="0.25">
      <c r="A323" t="s">
        <v>4731</v>
      </c>
    </row>
    <row r="325" spans="1:1" x14ac:dyDescent="0.25">
      <c r="A325" t="s">
        <v>4722</v>
      </c>
    </row>
    <row r="326" spans="1:1" x14ac:dyDescent="0.25">
      <c r="A326" t="s">
        <v>4723</v>
      </c>
    </row>
    <row r="327" spans="1:1" x14ac:dyDescent="0.25">
      <c r="A327" t="s">
        <v>4767</v>
      </c>
    </row>
    <row r="328" spans="1:1" x14ac:dyDescent="0.25">
      <c r="A328" t="s">
        <v>4768</v>
      </c>
    </row>
    <row r="329" spans="1:1" x14ac:dyDescent="0.25">
      <c r="A329" t="s">
        <v>4734</v>
      </c>
    </row>
    <row r="330" spans="1:1" x14ac:dyDescent="0.25">
      <c r="A330" t="s">
        <v>4727</v>
      </c>
    </row>
    <row r="331" spans="1:1" x14ac:dyDescent="0.25">
      <c r="A331" t="s">
        <v>4728</v>
      </c>
    </row>
    <row r="332" spans="1:1" x14ac:dyDescent="0.25">
      <c r="A332" t="s">
        <v>4735</v>
      </c>
    </row>
    <row r="333" spans="1:1" x14ac:dyDescent="0.25">
      <c r="A333" t="s">
        <v>4769</v>
      </c>
    </row>
    <row r="334" spans="1:1" x14ac:dyDescent="0.25">
      <c r="A334" t="s">
        <v>4731</v>
      </c>
    </row>
    <row r="336" spans="1:1" x14ac:dyDescent="0.25">
      <c r="A336" t="s">
        <v>1737</v>
      </c>
    </row>
    <row r="337" spans="1:1" x14ac:dyDescent="0.25">
      <c r="A337" t="s">
        <v>1738</v>
      </c>
    </row>
    <row r="338" spans="1:1" x14ac:dyDescent="0.25">
      <c r="A338" t="s">
        <v>1847</v>
      </c>
    </row>
    <row r="339" spans="1:1" x14ac:dyDescent="0.25">
      <c r="A339" t="s">
        <v>1848</v>
      </c>
    </row>
    <row r="340" spans="1:1" x14ac:dyDescent="0.25">
      <c r="A340" t="s">
        <v>1797</v>
      </c>
    </row>
    <row r="341" spans="1:1" x14ac:dyDescent="0.25">
      <c r="A341" t="s">
        <v>1753</v>
      </c>
    </row>
    <row r="342" spans="1:1" x14ac:dyDescent="0.25">
      <c r="A342" t="s">
        <v>1740</v>
      </c>
    </row>
    <row r="343" spans="1:1" x14ac:dyDescent="0.25">
      <c r="A343" t="s">
        <v>1741</v>
      </c>
    </row>
    <row r="344" spans="1:1" x14ac:dyDescent="0.25">
      <c r="A344" t="s">
        <v>1805</v>
      </c>
    </row>
    <row r="345" spans="1:1" x14ac:dyDescent="0.25">
      <c r="A345" t="s">
        <v>1849</v>
      </c>
    </row>
    <row r="346" spans="1:1" x14ac:dyDescent="0.25">
      <c r="A346" t="s">
        <v>1744</v>
      </c>
    </row>
    <row r="348" spans="1:1" x14ac:dyDescent="0.25">
      <c r="A348" t="s">
        <v>1737</v>
      </c>
    </row>
    <row r="349" spans="1:1" x14ac:dyDescent="0.25">
      <c r="A349" t="s">
        <v>1738</v>
      </c>
    </row>
    <row r="350" spans="1:1" x14ac:dyDescent="0.25">
      <c r="A350" t="s">
        <v>1850</v>
      </c>
    </row>
    <row r="351" spans="1:1" x14ac:dyDescent="0.25">
      <c r="A351" t="s">
        <v>1851</v>
      </c>
    </row>
    <row r="352" spans="1:1" x14ac:dyDescent="0.25">
      <c r="A352" t="s">
        <v>1797</v>
      </c>
    </row>
    <row r="353" spans="1:1" x14ac:dyDescent="0.25">
      <c r="A353" t="s">
        <v>1753</v>
      </c>
    </row>
    <row r="354" spans="1:1" x14ac:dyDescent="0.25">
      <c r="A354" t="s">
        <v>1740</v>
      </c>
    </row>
    <row r="355" spans="1:1" x14ac:dyDescent="0.25">
      <c r="A355" t="s">
        <v>1741</v>
      </c>
    </row>
    <row r="356" spans="1:1" x14ac:dyDescent="0.25">
      <c r="A356" t="s">
        <v>1805</v>
      </c>
    </row>
    <row r="357" spans="1:1" x14ac:dyDescent="0.25">
      <c r="A357" t="s">
        <v>1852</v>
      </c>
    </row>
    <row r="358" spans="1:1" x14ac:dyDescent="0.25">
      <c r="A358" t="s">
        <v>1744</v>
      </c>
    </row>
    <row r="360" spans="1:1" x14ac:dyDescent="0.25">
      <c r="A360" t="s">
        <v>4722</v>
      </c>
    </row>
    <row r="361" spans="1:1" x14ac:dyDescent="0.25">
      <c r="A361" t="s">
        <v>4723</v>
      </c>
    </row>
    <row r="362" spans="1:1" x14ac:dyDescent="0.25">
      <c r="A362" t="s">
        <v>4770</v>
      </c>
    </row>
    <row r="363" spans="1:1" x14ac:dyDescent="0.25">
      <c r="A363" t="s">
        <v>4771</v>
      </c>
    </row>
    <row r="364" spans="1:1" x14ac:dyDescent="0.25">
      <c r="A364" t="s">
        <v>4734</v>
      </c>
    </row>
    <row r="365" spans="1:1" x14ac:dyDescent="0.25">
      <c r="A365" t="s">
        <v>4727</v>
      </c>
    </row>
    <row r="366" spans="1:1" x14ac:dyDescent="0.25">
      <c r="A366" t="s">
        <v>4742</v>
      </c>
    </row>
    <row r="367" spans="1:1" x14ac:dyDescent="0.25">
      <c r="A367" t="s">
        <v>4728</v>
      </c>
    </row>
    <row r="368" spans="1:1" x14ac:dyDescent="0.25">
      <c r="A368" t="s">
        <v>4743</v>
      </c>
    </row>
    <row r="369" spans="1:1" x14ac:dyDescent="0.25">
      <c r="A369" t="s">
        <v>4772</v>
      </c>
    </row>
    <row r="370" spans="1:1" x14ac:dyDescent="0.25">
      <c r="A370" t="s">
        <v>4731</v>
      </c>
    </row>
    <row r="372" spans="1:1" x14ac:dyDescent="0.25">
      <c r="A372" t="s">
        <v>4722</v>
      </c>
    </row>
    <row r="373" spans="1:1" x14ac:dyDescent="0.25">
      <c r="A373" t="s">
        <v>4723</v>
      </c>
    </row>
    <row r="374" spans="1:1" x14ac:dyDescent="0.25">
      <c r="A374" t="s">
        <v>4773</v>
      </c>
    </row>
    <row r="375" spans="1:1" x14ac:dyDescent="0.25">
      <c r="A375" t="s">
        <v>4774</v>
      </c>
    </row>
    <row r="376" spans="1:1" x14ac:dyDescent="0.25">
      <c r="A376" t="s">
        <v>4734</v>
      </c>
    </row>
    <row r="377" spans="1:1" x14ac:dyDescent="0.25">
      <c r="A377" t="s">
        <v>4727</v>
      </c>
    </row>
    <row r="378" spans="1:1" x14ac:dyDescent="0.25">
      <c r="A378" t="s">
        <v>4728</v>
      </c>
    </row>
    <row r="379" spans="1:1" x14ac:dyDescent="0.25">
      <c r="A379" t="s">
        <v>4735</v>
      </c>
    </row>
    <row r="380" spans="1:1" x14ac:dyDescent="0.25">
      <c r="A380" t="s">
        <v>4775</v>
      </c>
    </row>
    <row r="381" spans="1:1" x14ac:dyDescent="0.25">
      <c r="A381" t="s">
        <v>4731</v>
      </c>
    </row>
    <row r="383" spans="1:1" x14ac:dyDescent="0.25">
      <c r="A383" t="s">
        <v>4722</v>
      </c>
    </row>
    <row r="384" spans="1:1" x14ac:dyDescent="0.25">
      <c r="A384" t="s">
        <v>4723</v>
      </c>
    </row>
    <row r="385" spans="1:1" x14ac:dyDescent="0.25">
      <c r="A385" t="s">
        <v>4776</v>
      </c>
    </row>
    <row r="386" spans="1:1" x14ac:dyDescent="0.25">
      <c r="A386" t="s">
        <v>4777</v>
      </c>
    </row>
    <row r="387" spans="1:1" x14ac:dyDescent="0.25">
      <c r="A387" t="s">
        <v>4734</v>
      </c>
    </row>
    <row r="388" spans="1:1" x14ac:dyDescent="0.25">
      <c r="A388" t="s">
        <v>4727</v>
      </c>
    </row>
    <row r="389" spans="1:1" x14ac:dyDescent="0.25">
      <c r="A389" t="s">
        <v>4742</v>
      </c>
    </row>
    <row r="390" spans="1:1" x14ac:dyDescent="0.25">
      <c r="A390" t="s">
        <v>4728</v>
      </c>
    </row>
    <row r="391" spans="1:1" x14ac:dyDescent="0.25">
      <c r="A391" t="s">
        <v>4759</v>
      </c>
    </row>
    <row r="392" spans="1:1" x14ac:dyDescent="0.25">
      <c r="A392" t="s">
        <v>4778</v>
      </c>
    </row>
    <row r="393" spans="1:1" x14ac:dyDescent="0.25">
      <c r="A393" t="s">
        <v>4731</v>
      </c>
    </row>
    <row r="395" spans="1:1" x14ac:dyDescent="0.25">
      <c r="A395" t="s">
        <v>4722</v>
      </c>
    </row>
    <row r="396" spans="1:1" x14ac:dyDescent="0.25">
      <c r="A396" t="s">
        <v>4723</v>
      </c>
    </row>
    <row r="397" spans="1:1" x14ac:dyDescent="0.25">
      <c r="A397" t="s">
        <v>4779</v>
      </c>
    </row>
    <row r="398" spans="1:1" x14ac:dyDescent="0.25">
      <c r="A398" t="s">
        <v>4780</v>
      </c>
    </row>
    <row r="399" spans="1:1" x14ac:dyDescent="0.25">
      <c r="A399" t="s">
        <v>4734</v>
      </c>
    </row>
    <row r="400" spans="1:1" x14ac:dyDescent="0.25">
      <c r="A400" t="s">
        <v>4727</v>
      </c>
    </row>
    <row r="401" spans="1:1" x14ac:dyDescent="0.25">
      <c r="A401" t="s">
        <v>4742</v>
      </c>
    </row>
    <row r="402" spans="1:1" x14ac:dyDescent="0.25">
      <c r="A402" t="s">
        <v>4728</v>
      </c>
    </row>
    <row r="403" spans="1:1" x14ac:dyDescent="0.25">
      <c r="A403" t="s">
        <v>4743</v>
      </c>
    </row>
    <row r="404" spans="1:1" x14ac:dyDescent="0.25">
      <c r="A404" t="s">
        <v>4781</v>
      </c>
    </row>
    <row r="405" spans="1:1" x14ac:dyDescent="0.25">
      <c r="A405" t="s">
        <v>4731</v>
      </c>
    </row>
    <row r="407" spans="1:1" x14ac:dyDescent="0.25">
      <c r="A407" t="s">
        <v>4722</v>
      </c>
    </row>
    <row r="408" spans="1:1" x14ac:dyDescent="0.25">
      <c r="A408" t="s">
        <v>4723</v>
      </c>
    </row>
    <row r="409" spans="1:1" x14ac:dyDescent="0.25">
      <c r="A409" t="s">
        <v>4782</v>
      </c>
    </row>
    <row r="410" spans="1:1" x14ac:dyDescent="0.25">
      <c r="A410" t="s">
        <v>4783</v>
      </c>
    </row>
    <row r="411" spans="1:1" x14ac:dyDescent="0.25">
      <c r="A411" t="s">
        <v>4734</v>
      </c>
    </row>
    <row r="412" spans="1:1" x14ac:dyDescent="0.25">
      <c r="A412" t="s">
        <v>4727</v>
      </c>
    </row>
    <row r="413" spans="1:1" x14ac:dyDescent="0.25">
      <c r="A413" t="s">
        <v>4728</v>
      </c>
    </row>
    <row r="414" spans="1:1" x14ac:dyDescent="0.25">
      <c r="A414" t="s">
        <v>4735</v>
      </c>
    </row>
    <row r="415" spans="1:1" x14ac:dyDescent="0.25">
      <c r="A415" t="s">
        <v>4784</v>
      </c>
    </row>
    <row r="416" spans="1:1" x14ac:dyDescent="0.25">
      <c r="A416" t="s">
        <v>4731</v>
      </c>
    </row>
    <row r="418" spans="1:1" x14ac:dyDescent="0.25">
      <c r="A418" t="s">
        <v>1737</v>
      </c>
    </row>
    <row r="419" spans="1:1" x14ac:dyDescent="0.25">
      <c r="A419" t="s">
        <v>1738</v>
      </c>
    </row>
    <row r="420" spans="1:1" x14ac:dyDescent="0.25">
      <c r="A420" t="s">
        <v>1868</v>
      </c>
    </row>
    <row r="421" spans="1:1" x14ac:dyDescent="0.25">
      <c r="A421" t="s">
        <v>1869</v>
      </c>
    </row>
    <row r="422" spans="1:1" x14ac:dyDescent="0.25">
      <c r="A422" t="s">
        <v>1797</v>
      </c>
    </row>
    <row r="423" spans="1:1" x14ac:dyDescent="0.25">
      <c r="A423" t="s">
        <v>1753</v>
      </c>
    </row>
    <row r="424" spans="1:1" x14ac:dyDescent="0.25">
      <c r="A424" t="s">
        <v>1741</v>
      </c>
    </row>
    <row r="425" spans="1:1" x14ac:dyDescent="0.25">
      <c r="A425" t="s">
        <v>1798</v>
      </c>
    </row>
    <row r="426" spans="1:1" x14ac:dyDescent="0.25">
      <c r="A426" t="s">
        <v>1870</v>
      </c>
    </row>
    <row r="427" spans="1:1" x14ac:dyDescent="0.25">
      <c r="A427" t="s">
        <v>1744</v>
      </c>
    </row>
    <row r="429" spans="1:1" x14ac:dyDescent="0.25">
      <c r="A429" t="s">
        <v>1737</v>
      </c>
    </row>
    <row r="430" spans="1:1" x14ac:dyDescent="0.25">
      <c r="A430" t="s">
        <v>1738</v>
      </c>
    </row>
    <row r="431" spans="1:1" x14ac:dyDescent="0.25">
      <c r="A431" t="s">
        <v>1871</v>
      </c>
    </row>
    <row r="432" spans="1:1" x14ac:dyDescent="0.25">
      <c r="A432" t="s">
        <v>1872</v>
      </c>
    </row>
    <row r="433" spans="1:1" x14ac:dyDescent="0.25">
      <c r="A433" t="s">
        <v>1797</v>
      </c>
    </row>
    <row r="434" spans="1:1" x14ac:dyDescent="0.25">
      <c r="A434" t="s">
        <v>1753</v>
      </c>
    </row>
    <row r="435" spans="1:1" x14ac:dyDescent="0.25">
      <c r="A435" t="s">
        <v>1740</v>
      </c>
    </row>
    <row r="436" spans="1:1" x14ac:dyDescent="0.25">
      <c r="A436" t="s">
        <v>1741</v>
      </c>
    </row>
    <row r="437" spans="1:1" x14ac:dyDescent="0.25">
      <c r="A437" t="s">
        <v>1805</v>
      </c>
    </row>
    <row r="438" spans="1:1" x14ac:dyDescent="0.25">
      <c r="A438" t="s">
        <v>1873</v>
      </c>
    </row>
    <row r="439" spans="1:1" x14ac:dyDescent="0.25">
      <c r="A439" t="s">
        <v>1744</v>
      </c>
    </row>
    <row r="441" spans="1:1" x14ac:dyDescent="0.25">
      <c r="A441" t="s">
        <v>1737</v>
      </c>
    </row>
    <row r="442" spans="1:1" x14ac:dyDescent="0.25">
      <c r="A442" t="s">
        <v>1738</v>
      </c>
    </row>
    <row r="443" spans="1:1" x14ac:dyDescent="0.25">
      <c r="A443" t="s">
        <v>1874</v>
      </c>
    </row>
    <row r="444" spans="1:1" x14ac:dyDescent="0.25">
      <c r="A444" t="s">
        <v>1875</v>
      </c>
    </row>
    <row r="445" spans="1:1" x14ac:dyDescent="0.25">
      <c r="A445" t="s">
        <v>1797</v>
      </c>
    </row>
    <row r="446" spans="1:1" x14ac:dyDescent="0.25">
      <c r="A446" t="s">
        <v>1753</v>
      </c>
    </row>
    <row r="447" spans="1:1" x14ac:dyDescent="0.25">
      <c r="A447" t="s">
        <v>1740</v>
      </c>
    </row>
    <row r="448" spans="1:1" x14ac:dyDescent="0.25">
      <c r="A448" t="s">
        <v>1741</v>
      </c>
    </row>
    <row r="449" spans="1:1" x14ac:dyDescent="0.25">
      <c r="A449" t="s">
        <v>1805</v>
      </c>
    </row>
    <row r="450" spans="1:1" x14ac:dyDescent="0.25">
      <c r="A450" t="s">
        <v>1876</v>
      </c>
    </row>
    <row r="451" spans="1:1" x14ac:dyDescent="0.25">
      <c r="A451" t="s">
        <v>1744</v>
      </c>
    </row>
    <row r="453" spans="1:1" x14ac:dyDescent="0.25">
      <c r="A453" t="s">
        <v>1737</v>
      </c>
    </row>
    <row r="454" spans="1:1" x14ac:dyDescent="0.25">
      <c r="A454" t="s">
        <v>1738</v>
      </c>
    </row>
    <row r="455" spans="1:1" x14ac:dyDescent="0.25">
      <c r="A455" t="s">
        <v>1877</v>
      </c>
    </row>
    <row r="456" spans="1:1" x14ac:dyDescent="0.25">
      <c r="A456" t="s">
        <v>1878</v>
      </c>
    </row>
    <row r="457" spans="1:1" x14ac:dyDescent="0.25">
      <c r="A457" t="s">
        <v>1797</v>
      </c>
    </row>
    <row r="458" spans="1:1" x14ac:dyDescent="0.25">
      <c r="A458" t="s">
        <v>1753</v>
      </c>
    </row>
    <row r="459" spans="1:1" x14ac:dyDescent="0.25">
      <c r="A459" t="s">
        <v>1741</v>
      </c>
    </row>
    <row r="460" spans="1:1" x14ac:dyDescent="0.25">
      <c r="A460" t="s">
        <v>1798</v>
      </c>
    </row>
    <row r="461" spans="1:1" x14ac:dyDescent="0.25">
      <c r="A461" t="s">
        <v>1879</v>
      </c>
    </row>
    <row r="462" spans="1:1" x14ac:dyDescent="0.25">
      <c r="A462" t="s">
        <v>1744</v>
      </c>
    </row>
    <row r="464" spans="1:1" x14ac:dyDescent="0.25">
      <c r="A464" t="s">
        <v>4722</v>
      </c>
    </row>
    <row r="465" spans="1:1" x14ac:dyDescent="0.25">
      <c r="A465" t="s">
        <v>4723</v>
      </c>
    </row>
    <row r="466" spans="1:1" x14ac:dyDescent="0.25">
      <c r="A466" t="s">
        <v>4785</v>
      </c>
    </row>
    <row r="467" spans="1:1" x14ac:dyDescent="0.25">
      <c r="A467" t="s">
        <v>4786</v>
      </c>
    </row>
    <row r="468" spans="1:1" x14ac:dyDescent="0.25">
      <c r="A468" t="s">
        <v>4787</v>
      </c>
    </row>
    <row r="469" spans="1:1" x14ac:dyDescent="0.25">
      <c r="A469" t="s">
        <v>4727</v>
      </c>
    </row>
    <row r="470" spans="1:1" x14ac:dyDescent="0.25">
      <c r="A470" t="s">
        <v>4728</v>
      </c>
    </row>
    <row r="471" spans="1:1" x14ac:dyDescent="0.25">
      <c r="A471" t="s">
        <v>4788</v>
      </c>
    </row>
    <row r="472" spans="1:1" x14ac:dyDescent="0.25">
      <c r="A472" t="s">
        <v>4789</v>
      </c>
    </row>
    <row r="473" spans="1:1" x14ac:dyDescent="0.25">
      <c r="A473" t="s">
        <v>4731</v>
      </c>
    </row>
    <row r="475" spans="1:1" x14ac:dyDescent="0.25">
      <c r="A475" t="s">
        <v>4722</v>
      </c>
    </row>
    <row r="476" spans="1:1" x14ac:dyDescent="0.25">
      <c r="A476" t="s">
        <v>4723</v>
      </c>
    </row>
    <row r="477" spans="1:1" x14ac:dyDescent="0.25">
      <c r="A477" t="s">
        <v>4790</v>
      </c>
    </row>
    <row r="478" spans="1:1" x14ac:dyDescent="0.25">
      <c r="A478" t="s">
        <v>4791</v>
      </c>
    </row>
    <row r="479" spans="1:1" x14ac:dyDescent="0.25">
      <c r="A479" t="s">
        <v>4787</v>
      </c>
    </row>
    <row r="480" spans="1:1" x14ac:dyDescent="0.25">
      <c r="A480" t="s">
        <v>4727</v>
      </c>
    </row>
    <row r="481" spans="1:1" x14ac:dyDescent="0.25">
      <c r="A481" t="s">
        <v>4728</v>
      </c>
    </row>
    <row r="482" spans="1:1" x14ac:dyDescent="0.25">
      <c r="A482" t="s">
        <v>4792</v>
      </c>
    </row>
    <row r="483" spans="1:1" x14ac:dyDescent="0.25">
      <c r="A483" t="s">
        <v>4793</v>
      </c>
    </row>
    <row r="484" spans="1:1" x14ac:dyDescent="0.25">
      <c r="A484" t="s">
        <v>4731</v>
      </c>
    </row>
    <row r="486" spans="1:1" x14ac:dyDescent="0.25">
      <c r="A486" t="s">
        <v>4722</v>
      </c>
    </row>
    <row r="487" spans="1:1" x14ac:dyDescent="0.25">
      <c r="A487" t="s">
        <v>4723</v>
      </c>
    </row>
    <row r="488" spans="1:1" x14ac:dyDescent="0.25">
      <c r="A488" t="s">
        <v>4794</v>
      </c>
    </row>
    <row r="489" spans="1:1" x14ac:dyDescent="0.25">
      <c r="A489" t="s">
        <v>4795</v>
      </c>
    </row>
    <row r="490" spans="1:1" x14ac:dyDescent="0.25">
      <c r="A490" t="s">
        <v>4726</v>
      </c>
    </row>
    <row r="491" spans="1:1" x14ac:dyDescent="0.25">
      <c r="A491" t="s">
        <v>4727</v>
      </c>
    </row>
    <row r="492" spans="1:1" x14ac:dyDescent="0.25">
      <c r="A492" t="s">
        <v>4728</v>
      </c>
    </row>
    <row r="493" spans="1:1" x14ac:dyDescent="0.25">
      <c r="A493" t="s">
        <v>4792</v>
      </c>
    </row>
    <row r="494" spans="1:1" x14ac:dyDescent="0.25">
      <c r="A494" t="s">
        <v>4796</v>
      </c>
    </row>
    <row r="495" spans="1:1" x14ac:dyDescent="0.25">
      <c r="A495" t="s">
        <v>4731</v>
      </c>
    </row>
    <row r="497" spans="1:1" x14ac:dyDescent="0.25">
      <c r="A497" t="s">
        <v>4722</v>
      </c>
    </row>
    <row r="498" spans="1:1" x14ac:dyDescent="0.25">
      <c r="A498" t="s">
        <v>4723</v>
      </c>
    </row>
    <row r="499" spans="1:1" x14ac:dyDescent="0.25">
      <c r="A499" t="s">
        <v>4797</v>
      </c>
    </row>
    <row r="500" spans="1:1" x14ac:dyDescent="0.25">
      <c r="A500" t="s">
        <v>4798</v>
      </c>
    </row>
    <row r="501" spans="1:1" x14ac:dyDescent="0.25">
      <c r="A501" t="s">
        <v>4799</v>
      </c>
    </row>
    <row r="502" spans="1:1" x14ac:dyDescent="0.25">
      <c r="A502" t="s">
        <v>4727</v>
      </c>
    </row>
    <row r="503" spans="1:1" x14ac:dyDescent="0.25">
      <c r="A503" t="s">
        <v>4728</v>
      </c>
    </row>
    <row r="504" spans="1:1" x14ac:dyDescent="0.25">
      <c r="A504" t="s">
        <v>4729</v>
      </c>
    </row>
    <row r="505" spans="1:1" x14ac:dyDescent="0.25">
      <c r="A505" t="s">
        <v>4800</v>
      </c>
    </row>
    <row r="506" spans="1:1" x14ac:dyDescent="0.25">
      <c r="A506" t="s">
        <v>4731</v>
      </c>
    </row>
    <row r="508" spans="1:1" x14ac:dyDescent="0.25">
      <c r="A508" t="s">
        <v>4722</v>
      </c>
    </row>
    <row r="509" spans="1:1" x14ac:dyDescent="0.25">
      <c r="A509" t="s">
        <v>4723</v>
      </c>
    </row>
    <row r="510" spans="1:1" x14ac:dyDescent="0.25">
      <c r="A510" t="s">
        <v>4801</v>
      </c>
    </row>
    <row r="511" spans="1:1" x14ac:dyDescent="0.25">
      <c r="A511" t="s">
        <v>4802</v>
      </c>
    </row>
    <row r="512" spans="1:1" x14ac:dyDescent="0.25">
      <c r="A512" t="s">
        <v>4799</v>
      </c>
    </row>
    <row r="513" spans="1:1" x14ac:dyDescent="0.25">
      <c r="A513" t="s">
        <v>4727</v>
      </c>
    </row>
    <row r="514" spans="1:1" x14ac:dyDescent="0.25">
      <c r="A514" t="s">
        <v>4728</v>
      </c>
    </row>
    <row r="515" spans="1:1" x14ac:dyDescent="0.25">
      <c r="A515" t="s">
        <v>4729</v>
      </c>
    </row>
    <row r="516" spans="1:1" x14ac:dyDescent="0.25">
      <c r="A516" t="s">
        <v>4803</v>
      </c>
    </row>
    <row r="517" spans="1:1" x14ac:dyDescent="0.25">
      <c r="A517" t="s">
        <v>4731</v>
      </c>
    </row>
    <row r="519" spans="1:1" x14ac:dyDescent="0.25">
      <c r="A519" t="s">
        <v>4722</v>
      </c>
    </row>
    <row r="520" spans="1:1" x14ac:dyDescent="0.25">
      <c r="A520" t="s">
        <v>4723</v>
      </c>
    </row>
    <row r="521" spans="1:1" x14ac:dyDescent="0.25">
      <c r="A521" t="s">
        <v>4804</v>
      </c>
    </row>
    <row r="522" spans="1:1" x14ac:dyDescent="0.25">
      <c r="A522" t="s">
        <v>4805</v>
      </c>
    </row>
    <row r="523" spans="1:1" x14ac:dyDescent="0.25">
      <c r="A523" t="s">
        <v>4806</v>
      </c>
    </row>
    <row r="524" spans="1:1" x14ac:dyDescent="0.25">
      <c r="A524" t="s">
        <v>4727</v>
      </c>
    </row>
    <row r="525" spans="1:1" x14ac:dyDescent="0.25">
      <c r="A525" t="s">
        <v>4728</v>
      </c>
    </row>
    <row r="526" spans="1:1" x14ac:dyDescent="0.25">
      <c r="A526" t="s">
        <v>4729</v>
      </c>
    </row>
    <row r="527" spans="1:1" x14ac:dyDescent="0.25">
      <c r="A527" t="s">
        <v>4807</v>
      </c>
    </row>
    <row r="528" spans="1:1" x14ac:dyDescent="0.25">
      <c r="A528" t="s">
        <v>4731</v>
      </c>
    </row>
    <row r="530" spans="1:1" x14ac:dyDescent="0.25">
      <c r="A530" t="s">
        <v>4722</v>
      </c>
    </row>
    <row r="531" spans="1:1" x14ac:dyDescent="0.25">
      <c r="A531" t="s">
        <v>4723</v>
      </c>
    </row>
    <row r="532" spans="1:1" x14ac:dyDescent="0.25">
      <c r="A532" t="s">
        <v>4808</v>
      </c>
    </row>
    <row r="533" spans="1:1" x14ac:dyDescent="0.25">
      <c r="A533" t="s">
        <v>4805</v>
      </c>
    </row>
    <row r="534" spans="1:1" x14ac:dyDescent="0.25">
      <c r="A534" t="s">
        <v>4806</v>
      </c>
    </row>
    <row r="535" spans="1:1" x14ac:dyDescent="0.25">
      <c r="A535" t="s">
        <v>4727</v>
      </c>
    </row>
    <row r="536" spans="1:1" x14ac:dyDescent="0.25">
      <c r="A536" t="s">
        <v>4728</v>
      </c>
    </row>
    <row r="537" spans="1:1" x14ac:dyDescent="0.25">
      <c r="A537" t="s">
        <v>4729</v>
      </c>
    </row>
    <row r="538" spans="1:1" x14ac:dyDescent="0.25">
      <c r="A538" t="s">
        <v>4809</v>
      </c>
    </row>
    <row r="539" spans="1:1" x14ac:dyDescent="0.25">
      <c r="A539" t="s">
        <v>4731</v>
      </c>
    </row>
    <row r="541" spans="1:1" x14ac:dyDescent="0.25">
      <c r="A541" t="s">
        <v>4722</v>
      </c>
    </row>
    <row r="542" spans="1:1" x14ac:dyDescent="0.25">
      <c r="A542" t="s">
        <v>4723</v>
      </c>
    </row>
    <row r="543" spans="1:1" x14ac:dyDescent="0.25">
      <c r="A543" t="s">
        <v>4810</v>
      </c>
    </row>
    <row r="544" spans="1:1" x14ac:dyDescent="0.25">
      <c r="A544" t="s">
        <v>4805</v>
      </c>
    </row>
    <row r="545" spans="1:1" x14ac:dyDescent="0.25">
      <c r="A545" t="s">
        <v>4806</v>
      </c>
    </row>
    <row r="546" spans="1:1" x14ac:dyDescent="0.25">
      <c r="A546" t="s">
        <v>4727</v>
      </c>
    </row>
    <row r="547" spans="1:1" x14ac:dyDescent="0.25">
      <c r="A547" t="s">
        <v>4728</v>
      </c>
    </row>
    <row r="548" spans="1:1" x14ac:dyDescent="0.25">
      <c r="A548" t="s">
        <v>4811</v>
      </c>
    </row>
    <row r="549" spans="1:1" x14ac:dyDescent="0.25">
      <c r="A549" t="s">
        <v>4812</v>
      </c>
    </row>
    <row r="550" spans="1:1" x14ac:dyDescent="0.25">
      <c r="A550" t="s">
        <v>4731</v>
      </c>
    </row>
    <row r="552" spans="1:1" x14ac:dyDescent="0.25">
      <c r="A552" t="s">
        <v>4722</v>
      </c>
    </row>
    <row r="553" spans="1:1" x14ac:dyDescent="0.25">
      <c r="A553" t="s">
        <v>4723</v>
      </c>
    </row>
    <row r="554" spans="1:1" x14ac:dyDescent="0.25">
      <c r="A554" t="s">
        <v>4813</v>
      </c>
    </row>
    <row r="555" spans="1:1" x14ac:dyDescent="0.25">
      <c r="A555" t="s">
        <v>4805</v>
      </c>
    </row>
    <row r="556" spans="1:1" x14ac:dyDescent="0.25">
      <c r="A556" t="s">
        <v>4806</v>
      </c>
    </row>
    <row r="557" spans="1:1" x14ac:dyDescent="0.25">
      <c r="A557" t="s">
        <v>4727</v>
      </c>
    </row>
    <row r="558" spans="1:1" x14ac:dyDescent="0.25">
      <c r="A558" t="s">
        <v>4728</v>
      </c>
    </row>
    <row r="559" spans="1:1" x14ac:dyDescent="0.25">
      <c r="A559" t="s">
        <v>4811</v>
      </c>
    </row>
    <row r="560" spans="1:1" x14ac:dyDescent="0.25">
      <c r="A560" t="s">
        <v>4814</v>
      </c>
    </row>
    <row r="561" spans="1:1" x14ac:dyDescent="0.25">
      <c r="A561" t="s">
        <v>4731</v>
      </c>
    </row>
    <row r="563" spans="1:1" x14ac:dyDescent="0.25">
      <c r="A563" t="s">
        <v>4722</v>
      </c>
    </row>
    <row r="564" spans="1:1" x14ac:dyDescent="0.25">
      <c r="A564" t="s">
        <v>4723</v>
      </c>
    </row>
    <row r="565" spans="1:1" x14ac:dyDescent="0.25">
      <c r="A565" t="s">
        <v>4815</v>
      </c>
    </row>
    <row r="566" spans="1:1" x14ac:dyDescent="0.25">
      <c r="A566" t="s">
        <v>4805</v>
      </c>
    </row>
    <row r="567" spans="1:1" x14ac:dyDescent="0.25">
      <c r="A567" t="s">
        <v>4806</v>
      </c>
    </row>
    <row r="568" spans="1:1" x14ac:dyDescent="0.25">
      <c r="A568" t="s">
        <v>4727</v>
      </c>
    </row>
    <row r="569" spans="1:1" x14ac:dyDescent="0.25">
      <c r="A569" t="s">
        <v>4728</v>
      </c>
    </row>
    <row r="570" spans="1:1" x14ac:dyDescent="0.25">
      <c r="A570" t="s">
        <v>4729</v>
      </c>
    </row>
    <row r="571" spans="1:1" x14ac:dyDescent="0.25">
      <c r="A571" t="s">
        <v>4816</v>
      </c>
    </row>
    <row r="572" spans="1:1" x14ac:dyDescent="0.25">
      <c r="A572" t="s">
        <v>4731</v>
      </c>
    </row>
    <row r="574" spans="1:1" x14ac:dyDescent="0.25">
      <c r="A574" t="s">
        <v>4722</v>
      </c>
    </row>
    <row r="575" spans="1:1" x14ac:dyDescent="0.25">
      <c r="A575" t="s">
        <v>4723</v>
      </c>
    </row>
    <row r="576" spans="1:1" x14ac:dyDescent="0.25">
      <c r="A576" t="s">
        <v>4817</v>
      </c>
    </row>
    <row r="577" spans="1:1" x14ac:dyDescent="0.25">
      <c r="A577" t="s">
        <v>4805</v>
      </c>
    </row>
    <row r="578" spans="1:1" x14ac:dyDescent="0.25">
      <c r="A578" t="s">
        <v>4806</v>
      </c>
    </row>
    <row r="579" spans="1:1" x14ac:dyDescent="0.25">
      <c r="A579" t="s">
        <v>4727</v>
      </c>
    </row>
    <row r="580" spans="1:1" x14ac:dyDescent="0.25">
      <c r="A580" t="s">
        <v>4728</v>
      </c>
    </row>
    <row r="581" spans="1:1" x14ac:dyDescent="0.25">
      <c r="A581" t="s">
        <v>4792</v>
      </c>
    </row>
    <row r="582" spans="1:1" x14ac:dyDescent="0.25">
      <c r="A582" t="s">
        <v>4818</v>
      </c>
    </row>
    <row r="583" spans="1:1" x14ac:dyDescent="0.25">
      <c r="A583" t="s">
        <v>4731</v>
      </c>
    </row>
    <row r="585" spans="1:1" x14ac:dyDescent="0.25">
      <c r="A585" t="s">
        <v>4722</v>
      </c>
    </row>
    <row r="586" spans="1:1" x14ac:dyDescent="0.25">
      <c r="A586" t="s">
        <v>4723</v>
      </c>
    </row>
    <row r="587" spans="1:1" x14ac:dyDescent="0.25">
      <c r="A587" t="s">
        <v>4819</v>
      </c>
    </row>
    <row r="588" spans="1:1" x14ac:dyDescent="0.25">
      <c r="A588" t="s">
        <v>4805</v>
      </c>
    </row>
    <row r="589" spans="1:1" x14ac:dyDescent="0.25">
      <c r="A589" t="s">
        <v>4806</v>
      </c>
    </row>
    <row r="590" spans="1:1" x14ac:dyDescent="0.25">
      <c r="A590" t="s">
        <v>4727</v>
      </c>
    </row>
    <row r="591" spans="1:1" x14ac:dyDescent="0.25">
      <c r="A591" t="s">
        <v>4728</v>
      </c>
    </row>
    <row r="592" spans="1:1" x14ac:dyDescent="0.25">
      <c r="A592" t="s">
        <v>4729</v>
      </c>
    </row>
    <row r="593" spans="1:1" x14ac:dyDescent="0.25">
      <c r="A593" t="s">
        <v>4820</v>
      </c>
    </row>
    <row r="594" spans="1:1" x14ac:dyDescent="0.25">
      <c r="A594" t="s">
        <v>4731</v>
      </c>
    </row>
    <row r="596" spans="1:1" x14ac:dyDescent="0.25">
      <c r="A596" t="s">
        <v>4722</v>
      </c>
    </row>
    <row r="597" spans="1:1" x14ac:dyDescent="0.25">
      <c r="A597" t="s">
        <v>4723</v>
      </c>
    </row>
    <row r="598" spans="1:1" x14ac:dyDescent="0.25">
      <c r="A598" t="s">
        <v>4821</v>
      </c>
    </row>
    <row r="599" spans="1:1" x14ac:dyDescent="0.25">
      <c r="A599" t="s">
        <v>4805</v>
      </c>
    </row>
    <row r="600" spans="1:1" x14ac:dyDescent="0.25">
      <c r="A600" t="s">
        <v>4806</v>
      </c>
    </row>
    <row r="601" spans="1:1" x14ac:dyDescent="0.25">
      <c r="A601" t="s">
        <v>4727</v>
      </c>
    </row>
    <row r="602" spans="1:1" x14ac:dyDescent="0.25">
      <c r="A602" t="s">
        <v>4728</v>
      </c>
    </row>
    <row r="603" spans="1:1" x14ac:dyDescent="0.25">
      <c r="A603" t="s">
        <v>4792</v>
      </c>
    </row>
    <row r="604" spans="1:1" x14ac:dyDescent="0.25">
      <c r="A604" t="s">
        <v>4822</v>
      </c>
    </row>
    <row r="605" spans="1:1" x14ac:dyDescent="0.25">
      <c r="A605" t="s">
        <v>4731</v>
      </c>
    </row>
    <row r="607" spans="1:1" x14ac:dyDescent="0.25">
      <c r="A607" t="s">
        <v>4722</v>
      </c>
    </row>
    <row r="608" spans="1:1" x14ac:dyDescent="0.25">
      <c r="A608" t="s">
        <v>4723</v>
      </c>
    </row>
    <row r="609" spans="1:1" x14ac:dyDescent="0.25">
      <c r="A609" t="s">
        <v>4823</v>
      </c>
    </row>
    <row r="610" spans="1:1" x14ac:dyDescent="0.25">
      <c r="A610" t="s">
        <v>4824</v>
      </c>
    </row>
    <row r="611" spans="1:1" x14ac:dyDescent="0.25">
      <c r="A611" t="s">
        <v>4726</v>
      </c>
    </row>
    <row r="612" spans="1:1" x14ac:dyDescent="0.25">
      <c r="A612" t="s">
        <v>4727</v>
      </c>
    </row>
    <row r="613" spans="1:1" x14ac:dyDescent="0.25">
      <c r="A613" t="s">
        <v>4728</v>
      </c>
    </row>
    <row r="614" spans="1:1" x14ac:dyDescent="0.25">
      <c r="A614" t="s">
        <v>4729</v>
      </c>
    </row>
    <row r="615" spans="1:1" x14ac:dyDescent="0.25">
      <c r="A615" t="s">
        <v>4825</v>
      </c>
    </row>
    <row r="616" spans="1:1" x14ac:dyDescent="0.25">
      <c r="A616" t="s">
        <v>4731</v>
      </c>
    </row>
    <row r="618" spans="1:1" x14ac:dyDescent="0.25">
      <c r="A618" t="s">
        <v>4722</v>
      </c>
    </row>
    <row r="619" spans="1:1" x14ac:dyDescent="0.25">
      <c r="A619" t="s">
        <v>4723</v>
      </c>
    </row>
    <row r="620" spans="1:1" x14ac:dyDescent="0.25">
      <c r="A620" t="s">
        <v>4826</v>
      </c>
    </row>
    <row r="621" spans="1:1" x14ac:dyDescent="0.25">
      <c r="A621" t="s">
        <v>4827</v>
      </c>
    </row>
    <row r="622" spans="1:1" x14ac:dyDescent="0.25">
      <c r="A622" t="s">
        <v>4806</v>
      </c>
    </row>
    <row r="623" spans="1:1" x14ac:dyDescent="0.25">
      <c r="A623" t="s">
        <v>4727</v>
      </c>
    </row>
    <row r="624" spans="1:1" x14ac:dyDescent="0.25">
      <c r="A624" t="s">
        <v>4728</v>
      </c>
    </row>
    <row r="625" spans="1:1" x14ac:dyDescent="0.25">
      <c r="A625" t="s">
        <v>4729</v>
      </c>
    </row>
    <row r="626" spans="1:1" x14ac:dyDescent="0.25">
      <c r="A626" t="s">
        <v>4828</v>
      </c>
    </row>
    <row r="627" spans="1:1" x14ac:dyDescent="0.25">
      <c r="A627" t="s">
        <v>4731</v>
      </c>
    </row>
    <row r="629" spans="1:1" x14ac:dyDescent="0.25">
      <c r="A629" t="s">
        <v>4722</v>
      </c>
    </row>
    <row r="630" spans="1:1" x14ac:dyDescent="0.25">
      <c r="A630" t="s">
        <v>4723</v>
      </c>
    </row>
    <row r="631" spans="1:1" x14ac:dyDescent="0.25">
      <c r="A631" t="s">
        <v>4829</v>
      </c>
    </row>
    <row r="632" spans="1:1" x14ac:dyDescent="0.25">
      <c r="A632" t="s">
        <v>4830</v>
      </c>
    </row>
    <row r="633" spans="1:1" x14ac:dyDescent="0.25">
      <c r="A633" t="s">
        <v>4787</v>
      </c>
    </row>
    <row r="634" spans="1:1" x14ac:dyDescent="0.25">
      <c r="A634" t="s">
        <v>4727</v>
      </c>
    </row>
    <row r="635" spans="1:1" x14ac:dyDescent="0.25">
      <c r="A635" t="s">
        <v>4728</v>
      </c>
    </row>
    <row r="636" spans="1:1" x14ac:dyDescent="0.25">
      <c r="A636" t="s">
        <v>4792</v>
      </c>
    </row>
    <row r="637" spans="1:1" x14ac:dyDescent="0.25">
      <c r="A637" t="s">
        <v>4831</v>
      </c>
    </row>
    <row r="638" spans="1:1" x14ac:dyDescent="0.25">
      <c r="A638" t="s">
        <v>4731</v>
      </c>
    </row>
    <row r="640" spans="1:1" x14ac:dyDescent="0.25">
      <c r="A640" t="s">
        <v>4722</v>
      </c>
    </row>
    <row r="641" spans="1:1" x14ac:dyDescent="0.25">
      <c r="A641" t="s">
        <v>4723</v>
      </c>
    </row>
    <row r="642" spans="1:1" x14ac:dyDescent="0.25">
      <c r="A642" t="s">
        <v>4832</v>
      </c>
    </row>
    <row r="643" spans="1:1" x14ac:dyDescent="0.25">
      <c r="A643" t="s">
        <v>4833</v>
      </c>
    </row>
    <row r="644" spans="1:1" x14ac:dyDescent="0.25">
      <c r="A644" t="s">
        <v>4834</v>
      </c>
    </row>
    <row r="645" spans="1:1" x14ac:dyDescent="0.25">
      <c r="A645" t="s">
        <v>4727</v>
      </c>
    </row>
    <row r="646" spans="1:1" x14ac:dyDescent="0.25">
      <c r="A646" t="s">
        <v>4728</v>
      </c>
    </row>
    <row r="647" spans="1:1" x14ac:dyDescent="0.25">
      <c r="A647" t="s">
        <v>4729</v>
      </c>
    </row>
    <row r="648" spans="1:1" x14ac:dyDescent="0.25">
      <c r="A648" t="s">
        <v>4835</v>
      </c>
    </row>
    <row r="649" spans="1:1" x14ac:dyDescent="0.25">
      <c r="A649" t="s">
        <v>4731</v>
      </c>
    </row>
    <row r="651" spans="1:1" x14ac:dyDescent="0.25">
      <c r="A651" t="s">
        <v>4722</v>
      </c>
    </row>
    <row r="652" spans="1:1" x14ac:dyDescent="0.25">
      <c r="A652" t="s">
        <v>4723</v>
      </c>
    </row>
    <row r="653" spans="1:1" x14ac:dyDescent="0.25">
      <c r="A653" t="s">
        <v>4836</v>
      </c>
    </row>
    <row r="654" spans="1:1" x14ac:dyDescent="0.25">
      <c r="A654" t="s">
        <v>4827</v>
      </c>
    </row>
    <row r="655" spans="1:1" x14ac:dyDescent="0.25">
      <c r="A655" t="s">
        <v>4806</v>
      </c>
    </row>
    <row r="656" spans="1:1" x14ac:dyDescent="0.25">
      <c r="A656" t="s">
        <v>4727</v>
      </c>
    </row>
    <row r="657" spans="1:1" x14ac:dyDescent="0.25">
      <c r="A657" t="s">
        <v>4728</v>
      </c>
    </row>
    <row r="658" spans="1:1" x14ac:dyDescent="0.25">
      <c r="A658" t="s">
        <v>4729</v>
      </c>
    </row>
    <row r="659" spans="1:1" x14ac:dyDescent="0.25">
      <c r="A659" t="s">
        <v>4837</v>
      </c>
    </row>
    <row r="660" spans="1:1" x14ac:dyDescent="0.25">
      <c r="A660" t="s">
        <v>4731</v>
      </c>
    </row>
    <row r="662" spans="1:1" x14ac:dyDescent="0.25">
      <c r="A662" t="s">
        <v>4722</v>
      </c>
    </row>
    <row r="663" spans="1:1" x14ac:dyDescent="0.25">
      <c r="A663" t="s">
        <v>4723</v>
      </c>
    </row>
    <row r="664" spans="1:1" x14ac:dyDescent="0.25">
      <c r="A664" t="s">
        <v>4838</v>
      </c>
    </row>
    <row r="665" spans="1:1" x14ac:dyDescent="0.25">
      <c r="A665" t="s">
        <v>4827</v>
      </c>
    </row>
    <row r="666" spans="1:1" x14ac:dyDescent="0.25">
      <c r="A666" t="s">
        <v>4806</v>
      </c>
    </row>
    <row r="667" spans="1:1" x14ac:dyDescent="0.25">
      <c r="A667" t="s">
        <v>4727</v>
      </c>
    </row>
    <row r="668" spans="1:1" x14ac:dyDescent="0.25">
      <c r="A668" t="s">
        <v>4728</v>
      </c>
    </row>
    <row r="669" spans="1:1" x14ac:dyDescent="0.25">
      <c r="A669" t="s">
        <v>4792</v>
      </c>
    </row>
    <row r="670" spans="1:1" x14ac:dyDescent="0.25">
      <c r="A670" t="s">
        <v>4839</v>
      </c>
    </row>
    <row r="671" spans="1:1" x14ac:dyDescent="0.25">
      <c r="A671" t="s">
        <v>4731</v>
      </c>
    </row>
    <row r="673" spans="1:1" x14ac:dyDescent="0.25">
      <c r="A673" t="s">
        <v>4722</v>
      </c>
    </row>
    <row r="674" spans="1:1" x14ac:dyDescent="0.25">
      <c r="A674" t="s">
        <v>4723</v>
      </c>
    </row>
    <row r="675" spans="1:1" x14ac:dyDescent="0.25">
      <c r="A675" t="s">
        <v>4840</v>
      </c>
    </row>
    <row r="676" spans="1:1" x14ac:dyDescent="0.25">
      <c r="A676" t="s">
        <v>4827</v>
      </c>
    </row>
    <row r="677" spans="1:1" x14ac:dyDescent="0.25">
      <c r="A677" t="s">
        <v>4806</v>
      </c>
    </row>
    <row r="678" spans="1:1" x14ac:dyDescent="0.25">
      <c r="A678" t="s">
        <v>4727</v>
      </c>
    </row>
    <row r="679" spans="1:1" x14ac:dyDescent="0.25">
      <c r="A679" t="s">
        <v>4728</v>
      </c>
    </row>
    <row r="680" spans="1:1" x14ac:dyDescent="0.25">
      <c r="A680" t="s">
        <v>4729</v>
      </c>
    </row>
    <row r="681" spans="1:1" x14ac:dyDescent="0.25">
      <c r="A681" t="s">
        <v>4841</v>
      </c>
    </row>
    <row r="682" spans="1:1" x14ac:dyDescent="0.25">
      <c r="A682" t="s">
        <v>4731</v>
      </c>
    </row>
    <row r="684" spans="1:1" x14ac:dyDescent="0.25">
      <c r="A684" t="s">
        <v>4722</v>
      </c>
    </row>
    <row r="685" spans="1:1" x14ac:dyDescent="0.25">
      <c r="A685" t="s">
        <v>4723</v>
      </c>
    </row>
    <row r="686" spans="1:1" x14ac:dyDescent="0.25">
      <c r="A686" t="s">
        <v>4842</v>
      </c>
    </row>
    <row r="687" spans="1:1" x14ac:dyDescent="0.25">
      <c r="A687" t="s">
        <v>4827</v>
      </c>
    </row>
    <row r="688" spans="1:1" x14ac:dyDescent="0.25">
      <c r="A688" t="s">
        <v>4806</v>
      </c>
    </row>
    <row r="689" spans="1:1" x14ac:dyDescent="0.25">
      <c r="A689" t="s">
        <v>4727</v>
      </c>
    </row>
    <row r="690" spans="1:1" x14ac:dyDescent="0.25">
      <c r="A690" t="s">
        <v>4728</v>
      </c>
    </row>
    <row r="691" spans="1:1" x14ac:dyDescent="0.25">
      <c r="A691" t="s">
        <v>4792</v>
      </c>
    </row>
    <row r="692" spans="1:1" x14ac:dyDescent="0.25">
      <c r="A692" t="s">
        <v>4843</v>
      </c>
    </row>
    <row r="693" spans="1:1" x14ac:dyDescent="0.25">
      <c r="A693" t="s">
        <v>4731</v>
      </c>
    </row>
    <row r="695" spans="1:1" x14ac:dyDescent="0.25">
      <c r="A695" t="s">
        <v>4722</v>
      </c>
    </row>
    <row r="696" spans="1:1" x14ac:dyDescent="0.25">
      <c r="A696" t="s">
        <v>4723</v>
      </c>
    </row>
    <row r="697" spans="1:1" x14ac:dyDescent="0.25">
      <c r="A697" t="s">
        <v>4844</v>
      </c>
    </row>
    <row r="698" spans="1:1" x14ac:dyDescent="0.25">
      <c r="A698" t="s">
        <v>4827</v>
      </c>
    </row>
    <row r="699" spans="1:1" x14ac:dyDescent="0.25">
      <c r="A699" t="s">
        <v>4806</v>
      </c>
    </row>
    <row r="700" spans="1:1" x14ac:dyDescent="0.25">
      <c r="A700" t="s">
        <v>4727</v>
      </c>
    </row>
    <row r="701" spans="1:1" x14ac:dyDescent="0.25">
      <c r="A701" t="s">
        <v>4728</v>
      </c>
    </row>
    <row r="702" spans="1:1" x14ac:dyDescent="0.25">
      <c r="A702" t="s">
        <v>4729</v>
      </c>
    </row>
    <row r="703" spans="1:1" x14ac:dyDescent="0.25">
      <c r="A703" t="s">
        <v>4845</v>
      </c>
    </row>
    <row r="704" spans="1:1" x14ac:dyDescent="0.25">
      <c r="A704" t="s">
        <v>4731</v>
      </c>
    </row>
    <row r="706" spans="1:1" x14ac:dyDescent="0.25">
      <c r="A706" t="s">
        <v>4722</v>
      </c>
    </row>
    <row r="707" spans="1:1" x14ac:dyDescent="0.25">
      <c r="A707" t="s">
        <v>4723</v>
      </c>
    </row>
    <row r="708" spans="1:1" x14ac:dyDescent="0.25">
      <c r="A708" t="s">
        <v>4846</v>
      </c>
    </row>
    <row r="709" spans="1:1" x14ac:dyDescent="0.25">
      <c r="A709" t="s">
        <v>4827</v>
      </c>
    </row>
    <row r="710" spans="1:1" x14ac:dyDescent="0.25">
      <c r="A710" t="s">
        <v>4806</v>
      </c>
    </row>
    <row r="711" spans="1:1" x14ac:dyDescent="0.25">
      <c r="A711" t="s">
        <v>4727</v>
      </c>
    </row>
    <row r="712" spans="1:1" x14ac:dyDescent="0.25">
      <c r="A712" t="s">
        <v>4728</v>
      </c>
    </row>
    <row r="713" spans="1:1" x14ac:dyDescent="0.25">
      <c r="A713" t="s">
        <v>4729</v>
      </c>
    </row>
    <row r="714" spans="1:1" x14ac:dyDescent="0.25">
      <c r="A714" t="s">
        <v>4847</v>
      </c>
    </row>
    <row r="715" spans="1:1" x14ac:dyDescent="0.25">
      <c r="A715" t="s">
        <v>4731</v>
      </c>
    </row>
    <row r="717" spans="1:1" x14ac:dyDescent="0.25">
      <c r="A717" t="s">
        <v>4722</v>
      </c>
    </row>
    <row r="718" spans="1:1" x14ac:dyDescent="0.25">
      <c r="A718" t="s">
        <v>4723</v>
      </c>
    </row>
    <row r="719" spans="1:1" x14ac:dyDescent="0.25">
      <c r="A719" t="s">
        <v>4848</v>
      </c>
    </row>
    <row r="720" spans="1:1" x14ac:dyDescent="0.25">
      <c r="A720" t="s">
        <v>4827</v>
      </c>
    </row>
    <row r="721" spans="1:1" x14ac:dyDescent="0.25">
      <c r="A721" t="s">
        <v>4806</v>
      </c>
    </row>
    <row r="722" spans="1:1" x14ac:dyDescent="0.25">
      <c r="A722" t="s">
        <v>4727</v>
      </c>
    </row>
    <row r="723" spans="1:1" x14ac:dyDescent="0.25">
      <c r="A723" t="s">
        <v>4728</v>
      </c>
    </row>
    <row r="724" spans="1:1" x14ac:dyDescent="0.25">
      <c r="A724" t="s">
        <v>4729</v>
      </c>
    </row>
    <row r="725" spans="1:1" x14ac:dyDescent="0.25">
      <c r="A725" t="s">
        <v>4849</v>
      </c>
    </row>
    <row r="726" spans="1:1" x14ac:dyDescent="0.25">
      <c r="A726" t="s">
        <v>4731</v>
      </c>
    </row>
    <row r="728" spans="1:1" x14ac:dyDescent="0.25">
      <c r="A728" t="s">
        <v>4722</v>
      </c>
    </row>
    <row r="729" spans="1:1" x14ac:dyDescent="0.25">
      <c r="A729" t="s">
        <v>4723</v>
      </c>
    </row>
    <row r="730" spans="1:1" x14ac:dyDescent="0.25">
      <c r="A730" t="s">
        <v>4850</v>
      </c>
    </row>
    <row r="731" spans="1:1" x14ac:dyDescent="0.25">
      <c r="A731" t="s">
        <v>4851</v>
      </c>
    </row>
    <row r="732" spans="1:1" x14ac:dyDescent="0.25">
      <c r="A732" t="s">
        <v>4787</v>
      </c>
    </row>
    <row r="733" spans="1:1" x14ac:dyDescent="0.25">
      <c r="A733" t="s">
        <v>4727</v>
      </c>
    </row>
    <row r="734" spans="1:1" x14ac:dyDescent="0.25">
      <c r="A734" t="s">
        <v>4728</v>
      </c>
    </row>
    <row r="735" spans="1:1" x14ac:dyDescent="0.25">
      <c r="A735" t="s">
        <v>4788</v>
      </c>
    </row>
    <row r="736" spans="1:1" x14ac:dyDescent="0.25">
      <c r="A736" t="s">
        <v>4852</v>
      </c>
    </row>
    <row r="737" spans="1:1" x14ac:dyDescent="0.25">
      <c r="A737" t="s">
        <v>4731</v>
      </c>
    </row>
    <row r="739" spans="1:1" x14ac:dyDescent="0.25">
      <c r="A739" t="s">
        <v>4722</v>
      </c>
    </row>
    <row r="740" spans="1:1" x14ac:dyDescent="0.25">
      <c r="A740" t="s">
        <v>4723</v>
      </c>
    </row>
    <row r="741" spans="1:1" x14ac:dyDescent="0.25">
      <c r="A741" t="s">
        <v>4853</v>
      </c>
    </row>
    <row r="742" spans="1:1" x14ac:dyDescent="0.25">
      <c r="A742" t="s">
        <v>4854</v>
      </c>
    </row>
    <row r="743" spans="1:1" x14ac:dyDescent="0.25">
      <c r="A743" t="s">
        <v>4787</v>
      </c>
    </row>
    <row r="744" spans="1:1" x14ac:dyDescent="0.25">
      <c r="A744" t="s">
        <v>4727</v>
      </c>
    </row>
    <row r="745" spans="1:1" x14ac:dyDescent="0.25">
      <c r="A745" t="s">
        <v>4728</v>
      </c>
    </row>
    <row r="746" spans="1:1" x14ac:dyDescent="0.25">
      <c r="A746" t="s">
        <v>4792</v>
      </c>
    </row>
    <row r="747" spans="1:1" x14ac:dyDescent="0.25">
      <c r="A747" t="s">
        <v>4855</v>
      </c>
    </row>
    <row r="748" spans="1:1" x14ac:dyDescent="0.25">
      <c r="A748" t="s">
        <v>4731</v>
      </c>
    </row>
    <row r="750" spans="1:1" x14ac:dyDescent="0.25">
      <c r="A750" t="s">
        <v>4722</v>
      </c>
    </row>
    <row r="751" spans="1:1" x14ac:dyDescent="0.25">
      <c r="A751" t="s">
        <v>4723</v>
      </c>
    </row>
    <row r="752" spans="1:1" x14ac:dyDescent="0.25">
      <c r="A752" t="s">
        <v>4856</v>
      </c>
    </row>
    <row r="753" spans="1:1" x14ac:dyDescent="0.25">
      <c r="A753" t="s">
        <v>4857</v>
      </c>
    </row>
    <row r="754" spans="1:1" x14ac:dyDescent="0.25">
      <c r="A754" t="s">
        <v>4726</v>
      </c>
    </row>
    <row r="755" spans="1:1" x14ac:dyDescent="0.25">
      <c r="A755" t="s">
        <v>4727</v>
      </c>
    </row>
    <row r="756" spans="1:1" x14ac:dyDescent="0.25">
      <c r="A756" t="s">
        <v>4728</v>
      </c>
    </row>
    <row r="757" spans="1:1" x14ac:dyDescent="0.25">
      <c r="A757" t="s">
        <v>4792</v>
      </c>
    </row>
    <row r="758" spans="1:1" x14ac:dyDescent="0.25">
      <c r="A758" t="s">
        <v>4858</v>
      </c>
    </row>
    <row r="759" spans="1:1" x14ac:dyDescent="0.25">
      <c r="A759" t="s">
        <v>4731</v>
      </c>
    </row>
    <row r="761" spans="1:1" x14ac:dyDescent="0.25">
      <c r="A761" t="s">
        <v>4722</v>
      </c>
    </row>
    <row r="762" spans="1:1" x14ac:dyDescent="0.25">
      <c r="A762" t="s">
        <v>4723</v>
      </c>
    </row>
    <row r="763" spans="1:1" x14ac:dyDescent="0.25">
      <c r="A763" t="s">
        <v>4859</v>
      </c>
    </row>
    <row r="764" spans="1:1" x14ac:dyDescent="0.25">
      <c r="A764" t="s">
        <v>4860</v>
      </c>
    </row>
    <row r="765" spans="1:1" x14ac:dyDescent="0.25">
      <c r="A765" t="s">
        <v>4799</v>
      </c>
    </row>
    <row r="766" spans="1:1" x14ac:dyDescent="0.25">
      <c r="A766" t="s">
        <v>4727</v>
      </c>
    </row>
    <row r="767" spans="1:1" x14ac:dyDescent="0.25">
      <c r="A767" t="s">
        <v>4728</v>
      </c>
    </row>
    <row r="768" spans="1:1" x14ac:dyDescent="0.25">
      <c r="A768" t="s">
        <v>4729</v>
      </c>
    </row>
    <row r="769" spans="1:1" x14ac:dyDescent="0.25">
      <c r="A769" t="s">
        <v>4861</v>
      </c>
    </row>
    <row r="770" spans="1:1" x14ac:dyDescent="0.25">
      <c r="A770" t="s">
        <v>4731</v>
      </c>
    </row>
    <row r="772" spans="1:1" x14ac:dyDescent="0.25">
      <c r="A772" t="s">
        <v>4722</v>
      </c>
    </row>
    <row r="773" spans="1:1" x14ac:dyDescent="0.25">
      <c r="A773" t="s">
        <v>4723</v>
      </c>
    </row>
    <row r="774" spans="1:1" x14ac:dyDescent="0.25">
      <c r="A774" t="s">
        <v>4862</v>
      </c>
    </row>
    <row r="775" spans="1:1" x14ac:dyDescent="0.25">
      <c r="A775" t="s">
        <v>4863</v>
      </c>
    </row>
    <row r="776" spans="1:1" x14ac:dyDescent="0.25">
      <c r="A776" t="s">
        <v>4799</v>
      </c>
    </row>
    <row r="777" spans="1:1" x14ac:dyDescent="0.25">
      <c r="A777" t="s">
        <v>4727</v>
      </c>
    </row>
    <row r="778" spans="1:1" x14ac:dyDescent="0.25">
      <c r="A778" t="s">
        <v>4728</v>
      </c>
    </row>
    <row r="779" spans="1:1" x14ac:dyDescent="0.25">
      <c r="A779" t="s">
        <v>4729</v>
      </c>
    </row>
    <row r="780" spans="1:1" x14ac:dyDescent="0.25">
      <c r="A780" t="s">
        <v>4864</v>
      </c>
    </row>
    <row r="781" spans="1:1" x14ac:dyDescent="0.25">
      <c r="A781" t="s">
        <v>4731</v>
      </c>
    </row>
    <row r="783" spans="1:1" x14ac:dyDescent="0.25">
      <c r="A783" t="s">
        <v>4722</v>
      </c>
    </row>
    <row r="784" spans="1:1" x14ac:dyDescent="0.25">
      <c r="A784" t="s">
        <v>4723</v>
      </c>
    </row>
    <row r="785" spans="1:1" x14ac:dyDescent="0.25">
      <c r="A785" t="s">
        <v>4865</v>
      </c>
    </row>
    <row r="786" spans="1:1" x14ac:dyDescent="0.25">
      <c r="A786" t="s">
        <v>4866</v>
      </c>
    </row>
    <row r="787" spans="1:1" x14ac:dyDescent="0.25">
      <c r="A787" t="s">
        <v>4867</v>
      </c>
    </row>
    <row r="788" spans="1:1" x14ac:dyDescent="0.25">
      <c r="A788" t="s">
        <v>4727</v>
      </c>
    </row>
    <row r="789" spans="1:1" x14ac:dyDescent="0.25">
      <c r="A789" t="s">
        <v>4728</v>
      </c>
    </row>
    <row r="790" spans="1:1" x14ac:dyDescent="0.25">
      <c r="A790" t="s">
        <v>4729</v>
      </c>
    </row>
    <row r="791" spans="1:1" x14ac:dyDescent="0.25">
      <c r="A791" t="s">
        <v>4868</v>
      </c>
    </row>
    <row r="792" spans="1:1" x14ac:dyDescent="0.25">
      <c r="A792" t="s">
        <v>4731</v>
      </c>
    </row>
    <row r="794" spans="1:1" x14ac:dyDescent="0.25">
      <c r="A794" t="s">
        <v>4722</v>
      </c>
    </row>
    <row r="795" spans="1:1" x14ac:dyDescent="0.25">
      <c r="A795" t="s">
        <v>4723</v>
      </c>
    </row>
    <row r="796" spans="1:1" x14ac:dyDescent="0.25">
      <c r="A796" t="s">
        <v>4869</v>
      </c>
    </row>
    <row r="797" spans="1:1" x14ac:dyDescent="0.25">
      <c r="A797" t="s">
        <v>4870</v>
      </c>
    </row>
    <row r="798" spans="1:1" x14ac:dyDescent="0.25">
      <c r="A798" t="s">
        <v>4867</v>
      </c>
    </row>
    <row r="799" spans="1:1" x14ac:dyDescent="0.25">
      <c r="A799" t="s">
        <v>4727</v>
      </c>
    </row>
    <row r="800" spans="1:1" x14ac:dyDescent="0.25">
      <c r="A800" t="s">
        <v>4728</v>
      </c>
    </row>
    <row r="801" spans="1:1" x14ac:dyDescent="0.25">
      <c r="A801" t="s">
        <v>4792</v>
      </c>
    </row>
    <row r="802" spans="1:1" x14ac:dyDescent="0.25">
      <c r="A802" t="s">
        <v>4871</v>
      </c>
    </row>
    <row r="803" spans="1:1" x14ac:dyDescent="0.25">
      <c r="A803" t="s">
        <v>4731</v>
      </c>
    </row>
    <row r="805" spans="1:1" x14ac:dyDescent="0.25">
      <c r="A805" t="s">
        <v>4722</v>
      </c>
    </row>
    <row r="806" spans="1:1" x14ac:dyDescent="0.25">
      <c r="A806" t="s">
        <v>4723</v>
      </c>
    </row>
    <row r="807" spans="1:1" x14ac:dyDescent="0.25">
      <c r="A807" t="s">
        <v>4872</v>
      </c>
    </row>
    <row r="808" spans="1:1" x14ac:dyDescent="0.25">
      <c r="A808" t="s">
        <v>4873</v>
      </c>
    </row>
    <row r="809" spans="1:1" x14ac:dyDescent="0.25">
      <c r="A809" t="s">
        <v>4867</v>
      </c>
    </row>
    <row r="810" spans="1:1" x14ac:dyDescent="0.25">
      <c r="A810" t="s">
        <v>4727</v>
      </c>
    </row>
    <row r="811" spans="1:1" x14ac:dyDescent="0.25">
      <c r="A811" t="s">
        <v>4728</v>
      </c>
    </row>
    <row r="812" spans="1:1" x14ac:dyDescent="0.25">
      <c r="A812" t="s">
        <v>4729</v>
      </c>
    </row>
    <row r="813" spans="1:1" x14ac:dyDescent="0.25">
      <c r="A813" t="s">
        <v>4874</v>
      </c>
    </row>
    <row r="814" spans="1:1" x14ac:dyDescent="0.25">
      <c r="A814" t="s">
        <v>4731</v>
      </c>
    </row>
    <row r="816" spans="1:1" x14ac:dyDescent="0.25">
      <c r="A816" t="s">
        <v>4722</v>
      </c>
    </row>
    <row r="817" spans="1:1" x14ac:dyDescent="0.25">
      <c r="A817" t="s">
        <v>4723</v>
      </c>
    </row>
    <row r="818" spans="1:1" x14ac:dyDescent="0.25">
      <c r="A818" t="s">
        <v>4875</v>
      </c>
    </row>
    <row r="819" spans="1:1" x14ac:dyDescent="0.25">
      <c r="A819" t="s">
        <v>4873</v>
      </c>
    </row>
    <row r="820" spans="1:1" x14ac:dyDescent="0.25">
      <c r="A820" t="s">
        <v>4867</v>
      </c>
    </row>
    <row r="821" spans="1:1" x14ac:dyDescent="0.25">
      <c r="A821" t="s">
        <v>4727</v>
      </c>
    </row>
    <row r="822" spans="1:1" x14ac:dyDescent="0.25">
      <c r="A822" t="s">
        <v>4728</v>
      </c>
    </row>
    <row r="823" spans="1:1" x14ac:dyDescent="0.25">
      <c r="A823" t="s">
        <v>4729</v>
      </c>
    </row>
    <row r="824" spans="1:1" x14ac:dyDescent="0.25">
      <c r="A824" t="s">
        <v>4876</v>
      </c>
    </row>
    <row r="825" spans="1:1" x14ac:dyDescent="0.25">
      <c r="A825" t="s">
        <v>4731</v>
      </c>
    </row>
    <row r="827" spans="1:1" x14ac:dyDescent="0.25">
      <c r="A827" t="s">
        <v>4722</v>
      </c>
    </row>
    <row r="828" spans="1:1" x14ac:dyDescent="0.25">
      <c r="A828" t="s">
        <v>4723</v>
      </c>
    </row>
    <row r="829" spans="1:1" x14ac:dyDescent="0.25">
      <c r="A829" t="s">
        <v>4877</v>
      </c>
    </row>
    <row r="830" spans="1:1" x14ac:dyDescent="0.25">
      <c r="A830" t="s">
        <v>4873</v>
      </c>
    </row>
    <row r="831" spans="1:1" x14ac:dyDescent="0.25">
      <c r="A831" t="s">
        <v>4867</v>
      </c>
    </row>
    <row r="832" spans="1:1" x14ac:dyDescent="0.25">
      <c r="A832" t="s">
        <v>4727</v>
      </c>
    </row>
    <row r="833" spans="1:1" x14ac:dyDescent="0.25">
      <c r="A833" t="s">
        <v>4728</v>
      </c>
    </row>
    <row r="834" spans="1:1" x14ac:dyDescent="0.25">
      <c r="A834" t="s">
        <v>4792</v>
      </c>
    </row>
    <row r="835" spans="1:1" x14ac:dyDescent="0.25">
      <c r="A835" t="s">
        <v>4878</v>
      </c>
    </row>
    <row r="836" spans="1:1" x14ac:dyDescent="0.25">
      <c r="A836" t="s">
        <v>4731</v>
      </c>
    </row>
    <row r="838" spans="1:1" x14ac:dyDescent="0.25">
      <c r="A838" t="s">
        <v>4722</v>
      </c>
    </row>
    <row r="839" spans="1:1" x14ac:dyDescent="0.25">
      <c r="A839" t="s">
        <v>4723</v>
      </c>
    </row>
    <row r="840" spans="1:1" x14ac:dyDescent="0.25">
      <c r="A840" t="s">
        <v>4879</v>
      </c>
    </row>
    <row r="841" spans="1:1" x14ac:dyDescent="0.25">
      <c r="A841" t="s">
        <v>4873</v>
      </c>
    </row>
    <row r="842" spans="1:1" x14ac:dyDescent="0.25">
      <c r="A842" t="s">
        <v>4867</v>
      </c>
    </row>
    <row r="843" spans="1:1" x14ac:dyDescent="0.25">
      <c r="A843" t="s">
        <v>4727</v>
      </c>
    </row>
    <row r="844" spans="1:1" x14ac:dyDescent="0.25">
      <c r="A844" t="s">
        <v>4728</v>
      </c>
    </row>
    <row r="845" spans="1:1" x14ac:dyDescent="0.25">
      <c r="A845" t="s">
        <v>4792</v>
      </c>
    </row>
    <row r="846" spans="1:1" x14ac:dyDescent="0.25">
      <c r="A846" t="s">
        <v>4880</v>
      </c>
    </row>
    <row r="847" spans="1:1" x14ac:dyDescent="0.25">
      <c r="A847" t="s">
        <v>4731</v>
      </c>
    </row>
    <row r="849" spans="1:1" x14ac:dyDescent="0.25">
      <c r="A849" t="s">
        <v>4722</v>
      </c>
    </row>
    <row r="850" spans="1:1" x14ac:dyDescent="0.25">
      <c r="A850" t="s">
        <v>4723</v>
      </c>
    </row>
    <row r="851" spans="1:1" x14ac:dyDescent="0.25">
      <c r="A851" t="s">
        <v>4881</v>
      </c>
    </row>
    <row r="852" spans="1:1" x14ac:dyDescent="0.25">
      <c r="A852" t="s">
        <v>4873</v>
      </c>
    </row>
    <row r="853" spans="1:1" x14ac:dyDescent="0.25">
      <c r="A853" t="s">
        <v>4867</v>
      </c>
    </row>
    <row r="854" spans="1:1" x14ac:dyDescent="0.25">
      <c r="A854" t="s">
        <v>4727</v>
      </c>
    </row>
    <row r="855" spans="1:1" x14ac:dyDescent="0.25">
      <c r="A855" t="s">
        <v>4728</v>
      </c>
    </row>
    <row r="856" spans="1:1" x14ac:dyDescent="0.25">
      <c r="A856" t="s">
        <v>4729</v>
      </c>
    </row>
    <row r="857" spans="1:1" x14ac:dyDescent="0.25">
      <c r="A857" t="s">
        <v>4882</v>
      </c>
    </row>
    <row r="858" spans="1:1" x14ac:dyDescent="0.25">
      <c r="A858" t="s">
        <v>4731</v>
      </c>
    </row>
    <row r="860" spans="1:1" x14ac:dyDescent="0.25">
      <c r="A860" t="s">
        <v>4722</v>
      </c>
    </row>
    <row r="861" spans="1:1" x14ac:dyDescent="0.25">
      <c r="A861" t="s">
        <v>4723</v>
      </c>
    </row>
    <row r="862" spans="1:1" x14ac:dyDescent="0.25">
      <c r="A862" t="s">
        <v>4883</v>
      </c>
    </row>
    <row r="863" spans="1:1" x14ac:dyDescent="0.25">
      <c r="A863" t="s">
        <v>4873</v>
      </c>
    </row>
    <row r="864" spans="1:1" x14ac:dyDescent="0.25">
      <c r="A864" t="s">
        <v>4867</v>
      </c>
    </row>
    <row r="865" spans="1:1" x14ac:dyDescent="0.25">
      <c r="A865" t="s">
        <v>4727</v>
      </c>
    </row>
    <row r="866" spans="1:1" x14ac:dyDescent="0.25">
      <c r="A866" t="s">
        <v>4728</v>
      </c>
    </row>
    <row r="867" spans="1:1" x14ac:dyDescent="0.25">
      <c r="A867" t="s">
        <v>4792</v>
      </c>
    </row>
    <row r="868" spans="1:1" x14ac:dyDescent="0.25">
      <c r="A868" t="s">
        <v>4884</v>
      </c>
    </row>
    <row r="869" spans="1:1" x14ac:dyDescent="0.25">
      <c r="A869" t="s">
        <v>4731</v>
      </c>
    </row>
    <row r="871" spans="1:1" x14ac:dyDescent="0.25">
      <c r="A871" t="s">
        <v>4722</v>
      </c>
    </row>
    <row r="872" spans="1:1" x14ac:dyDescent="0.25">
      <c r="A872" t="s">
        <v>4723</v>
      </c>
    </row>
    <row r="873" spans="1:1" x14ac:dyDescent="0.25">
      <c r="A873" t="s">
        <v>4885</v>
      </c>
    </row>
    <row r="874" spans="1:1" x14ac:dyDescent="0.25">
      <c r="A874" t="s">
        <v>4873</v>
      </c>
    </row>
    <row r="875" spans="1:1" x14ac:dyDescent="0.25">
      <c r="A875" t="s">
        <v>4867</v>
      </c>
    </row>
    <row r="876" spans="1:1" x14ac:dyDescent="0.25">
      <c r="A876" t="s">
        <v>4727</v>
      </c>
    </row>
    <row r="877" spans="1:1" x14ac:dyDescent="0.25">
      <c r="A877" t="s">
        <v>4728</v>
      </c>
    </row>
    <row r="878" spans="1:1" x14ac:dyDescent="0.25">
      <c r="A878" t="s">
        <v>4729</v>
      </c>
    </row>
    <row r="879" spans="1:1" x14ac:dyDescent="0.25">
      <c r="A879" t="s">
        <v>4886</v>
      </c>
    </row>
    <row r="880" spans="1:1" x14ac:dyDescent="0.25">
      <c r="A880" t="s">
        <v>4731</v>
      </c>
    </row>
    <row r="882" spans="1:1" x14ac:dyDescent="0.25">
      <c r="A882" t="s">
        <v>4722</v>
      </c>
    </row>
    <row r="883" spans="1:1" x14ac:dyDescent="0.25">
      <c r="A883" t="s">
        <v>4723</v>
      </c>
    </row>
    <row r="884" spans="1:1" x14ac:dyDescent="0.25">
      <c r="A884" t="s">
        <v>4887</v>
      </c>
    </row>
    <row r="885" spans="1:1" x14ac:dyDescent="0.25">
      <c r="A885" t="s">
        <v>4873</v>
      </c>
    </row>
    <row r="886" spans="1:1" x14ac:dyDescent="0.25">
      <c r="A886" t="s">
        <v>4867</v>
      </c>
    </row>
    <row r="887" spans="1:1" x14ac:dyDescent="0.25">
      <c r="A887" t="s">
        <v>4727</v>
      </c>
    </row>
    <row r="888" spans="1:1" x14ac:dyDescent="0.25">
      <c r="A888" t="s">
        <v>4728</v>
      </c>
    </row>
    <row r="889" spans="1:1" x14ac:dyDescent="0.25">
      <c r="A889" t="s">
        <v>4792</v>
      </c>
    </row>
    <row r="890" spans="1:1" x14ac:dyDescent="0.25">
      <c r="A890" t="s">
        <v>4888</v>
      </c>
    </row>
    <row r="891" spans="1:1" x14ac:dyDescent="0.25">
      <c r="A891" t="s">
        <v>4731</v>
      </c>
    </row>
    <row r="893" spans="1:1" x14ac:dyDescent="0.25">
      <c r="A893" t="s">
        <v>4722</v>
      </c>
    </row>
    <row r="894" spans="1:1" x14ac:dyDescent="0.25">
      <c r="A894" t="s">
        <v>4723</v>
      </c>
    </row>
    <row r="895" spans="1:1" x14ac:dyDescent="0.25">
      <c r="A895" t="s">
        <v>4889</v>
      </c>
    </row>
    <row r="896" spans="1:1" x14ac:dyDescent="0.25">
      <c r="A896" t="s">
        <v>4890</v>
      </c>
    </row>
    <row r="897" spans="1:1" x14ac:dyDescent="0.25">
      <c r="A897" t="s">
        <v>4891</v>
      </c>
    </row>
    <row r="898" spans="1:1" x14ac:dyDescent="0.25">
      <c r="A898" t="s">
        <v>4727</v>
      </c>
    </row>
    <row r="899" spans="1:1" x14ac:dyDescent="0.25">
      <c r="A899" t="s">
        <v>4728</v>
      </c>
    </row>
    <row r="900" spans="1:1" x14ac:dyDescent="0.25">
      <c r="A900" t="s">
        <v>4729</v>
      </c>
    </row>
    <row r="901" spans="1:1" x14ac:dyDescent="0.25">
      <c r="A901" t="s">
        <v>4892</v>
      </c>
    </row>
    <row r="902" spans="1:1" x14ac:dyDescent="0.25">
      <c r="A902" t="s">
        <v>4731</v>
      </c>
    </row>
    <row r="904" spans="1:1" x14ac:dyDescent="0.25">
      <c r="A904" t="s">
        <v>4722</v>
      </c>
    </row>
    <row r="905" spans="1:1" x14ac:dyDescent="0.25">
      <c r="A905" t="s">
        <v>4723</v>
      </c>
    </row>
    <row r="906" spans="1:1" x14ac:dyDescent="0.25">
      <c r="A906" t="s">
        <v>4893</v>
      </c>
    </row>
    <row r="907" spans="1:1" x14ac:dyDescent="0.25">
      <c r="A907" t="s">
        <v>4894</v>
      </c>
    </row>
    <row r="908" spans="1:1" x14ac:dyDescent="0.25">
      <c r="A908" t="s">
        <v>4895</v>
      </c>
    </row>
    <row r="909" spans="1:1" x14ac:dyDescent="0.25">
      <c r="A909" t="s">
        <v>4727</v>
      </c>
    </row>
    <row r="910" spans="1:1" x14ac:dyDescent="0.25">
      <c r="A910" t="s">
        <v>4728</v>
      </c>
    </row>
    <row r="911" spans="1:1" x14ac:dyDescent="0.25">
      <c r="A911" t="s">
        <v>4729</v>
      </c>
    </row>
    <row r="912" spans="1:1" x14ac:dyDescent="0.25">
      <c r="A912" t="s">
        <v>4896</v>
      </c>
    </row>
    <row r="913" spans="1:1" x14ac:dyDescent="0.25">
      <c r="A913" t="s">
        <v>4731</v>
      </c>
    </row>
    <row r="915" spans="1:1" x14ac:dyDescent="0.25">
      <c r="A915" t="s">
        <v>4722</v>
      </c>
    </row>
    <row r="916" spans="1:1" x14ac:dyDescent="0.25">
      <c r="A916" t="s">
        <v>4723</v>
      </c>
    </row>
    <row r="917" spans="1:1" x14ac:dyDescent="0.25">
      <c r="A917" t="s">
        <v>4897</v>
      </c>
    </row>
    <row r="918" spans="1:1" x14ac:dyDescent="0.25">
      <c r="A918" t="s">
        <v>4898</v>
      </c>
    </row>
    <row r="919" spans="1:1" x14ac:dyDescent="0.25">
      <c r="A919" t="s">
        <v>4899</v>
      </c>
    </row>
    <row r="920" spans="1:1" x14ac:dyDescent="0.25">
      <c r="A920" t="s">
        <v>4727</v>
      </c>
    </row>
    <row r="921" spans="1:1" x14ac:dyDescent="0.25">
      <c r="A921" t="s">
        <v>4728</v>
      </c>
    </row>
    <row r="922" spans="1:1" x14ac:dyDescent="0.25">
      <c r="A922" t="s">
        <v>4900</v>
      </c>
    </row>
    <row r="923" spans="1:1" x14ac:dyDescent="0.25">
      <c r="A923" t="s">
        <v>4901</v>
      </c>
    </row>
    <row r="924" spans="1:1" x14ac:dyDescent="0.25">
      <c r="A924" t="s">
        <v>4731</v>
      </c>
    </row>
    <row r="926" spans="1:1" x14ac:dyDescent="0.25">
      <c r="A926" t="s">
        <v>4722</v>
      </c>
    </row>
    <row r="927" spans="1:1" x14ac:dyDescent="0.25">
      <c r="A927" t="s">
        <v>4723</v>
      </c>
    </row>
    <row r="928" spans="1:1" x14ac:dyDescent="0.25">
      <c r="A928" t="s">
        <v>4902</v>
      </c>
    </row>
    <row r="929" spans="1:1" x14ac:dyDescent="0.25">
      <c r="A929" t="s">
        <v>4903</v>
      </c>
    </row>
    <row r="930" spans="1:1" x14ac:dyDescent="0.25">
      <c r="A930" t="s">
        <v>4726</v>
      </c>
    </row>
    <row r="931" spans="1:1" x14ac:dyDescent="0.25">
      <c r="A931" t="s">
        <v>4727</v>
      </c>
    </row>
    <row r="932" spans="1:1" x14ac:dyDescent="0.25">
      <c r="A932" t="s">
        <v>4728</v>
      </c>
    </row>
    <row r="933" spans="1:1" x14ac:dyDescent="0.25">
      <c r="A933" t="s">
        <v>4729</v>
      </c>
    </row>
    <row r="934" spans="1:1" x14ac:dyDescent="0.25">
      <c r="A934" t="s">
        <v>4904</v>
      </c>
    </row>
    <row r="935" spans="1:1" x14ac:dyDescent="0.25">
      <c r="A935" t="s">
        <v>4731</v>
      </c>
    </row>
    <row r="937" spans="1:1" x14ac:dyDescent="0.25">
      <c r="A937" t="s">
        <v>1737</v>
      </c>
    </row>
    <row r="938" spans="1:1" x14ac:dyDescent="0.25">
      <c r="A938" t="s">
        <v>1738</v>
      </c>
    </row>
    <row r="939" spans="1:1" x14ac:dyDescent="0.25">
      <c r="A939" t="s">
        <v>2000</v>
      </c>
    </row>
    <row r="940" spans="1:1" x14ac:dyDescent="0.25">
      <c r="A940" t="s">
        <v>2001</v>
      </c>
    </row>
    <row r="941" spans="1:1" x14ac:dyDescent="0.25">
      <c r="A941" t="s">
        <v>2002</v>
      </c>
    </row>
    <row r="942" spans="1:1" x14ac:dyDescent="0.25">
      <c r="A942" t="s">
        <v>1753</v>
      </c>
    </row>
    <row r="943" spans="1:1" x14ac:dyDescent="0.25">
      <c r="A943" t="s">
        <v>1741</v>
      </c>
    </row>
    <row r="944" spans="1:1" x14ac:dyDescent="0.25">
      <c r="A944" t="s">
        <v>1887</v>
      </c>
    </row>
    <row r="945" spans="1:1" x14ac:dyDescent="0.25">
      <c r="A945" t="s">
        <v>2003</v>
      </c>
    </row>
    <row r="946" spans="1:1" x14ac:dyDescent="0.25">
      <c r="A946" t="s">
        <v>1744</v>
      </c>
    </row>
    <row r="948" spans="1:1" x14ac:dyDescent="0.25">
      <c r="A948" t="s">
        <v>1737</v>
      </c>
    </row>
    <row r="949" spans="1:1" x14ac:dyDescent="0.25">
      <c r="A949" t="s">
        <v>1738</v>
      </c>
    </row>
    <row r="950" spans="1:1" x14ac:dyDescent="0.25">
      <c r="A950" t="s">
        <v>2004</v>
      </c>
    </row>
    <row r="951" spans="1:1" x14ac:dyDescent="0.25">
      <c r="A951" t="s">
        <v>2005</v>
      </c>
    </row>
    <row r="952" spans="1:1" x14ac:dyDescent="0.25">
      <c r="A952" t="s">
        <v>2006</v>
      </c>
    </row>
    <row r="953" spans="1:1" x14ac:dyDescent="0.25">
      <c r="A953" t="s">
        <v>1753</v>
      </c>
    </row>
    <row r="954" spans="1:1" x14ac:dyDescent="0.25">
      <c r="A954" t="s">
        <v>1741</v>
      </c>
    </row>
    <row r="955" spans="1:1" x14ac:dyDescent="0.25">
      <c r="A955" t="s">
        <v>1762</v>
      </c>
    </row>
    <row r="956" spans="1:1" x14ac:dyDescent="0.25">
      <c r="A956" t="s">
        <v>2007</v>
      </c>
    </row>
    <row r="957" spans="1:1" x14ac:dyDescent="0.25">
      <c r="A957" t="s">
        <v>1744</v>
      </c>
    </row>
    <row r="959" spans="1:1" x14ac:dyDescent="0.25">
      <c r="A959" t="s">
        <v>4722</v>
      </c>
    </row>
    <row r="960" spans="1:1" x14ac:dyDescent="0.25">
      <c r="A960" t="s">
        <v>4723</v>
      </c>
    </row>
    <row r="961" spans="1:1" x14ac:dyDescent="0.25">
      <c r="A961" t="s">
        <v>4905</v>
      </c>
    </row>
    <row r="962" spans="1:1" x14ac:dyDescent="0.25">
      <c r="A962" t="s">
        <v>4906</v>
      </c>
    </row>
    <row r="963" spans="1:1" x14ac:dyDescent="0.25">
      <c r="A963" t="s">
        <v>4907</v>
      </c>
    </row>
    <row r="964" spans="1:1" x14ac:dyDescent="0.25">
      <c r="A964" t="s">
        <v>4727</v>
      </c>
    </row>
    <row r="965" spans="1:1" x14ac:dyDescent="0.25">
      <c r="A965" t="s">
        <v>4728</v>
      </c>
    </row>
    <row r="966" spans="1:1" x14ac:dyDescent="0.25">
      <c r="A966" t="s">
        <v>4908</v>
      </c>
    </row>
    <row r="967" spans="1:1" x14ac:dyDescent="0.25">
      <c r="A967" t="s">
        <v>4909</v>
      </c>
    </row>
    <row r="968" spans="1:1" x14ac:dyDescent="0.25">
      <c r="A968" t="s">
        <v>4731</v>
      </c>
    </row>
    <row r="970" spans="1:1" x14ac:dyDescent="0.25">
      <c r="A970" t="s">
        <v>4722</v>
      </c>
    </row>
    <row r="971" spans="1:1" x14ac:dyDescent="0.25">
      <c r="A971" t="s">
        <v>4723</v>
      </c>
    </row>
    <row r="972" spans="1:1" x14ac:dyDescent="0.25">
      <c r="A972" t="s">
        <v>4910</v>
      </c>
    </row>
    <row r="973" spans="1:1" x14ac:dyDescent="0.25">
      <c r="A973" t="s">
        <v>4911</v>
      </c>
    </row>
    <row r="974" spans="1:1" x14ac:dyDescent="0.25">
      <c r="A974" t="s">
        <v>4907</v>
      </c>
    </row>
    <row r="975" spans="1:1" x14ac:dyDescent="0.25">
      <c r="A975" t="s">
        <v>4727</v>
      </c>
    </row>
    <row r="976" spans="1:1" x14ac:dyDescent="0.25">
      <c r="A976" t="s">
        <v>4728</v>
      </c>
    </row>
    <row r="977" spans="1:1" x14ac:dyDescent="0.25">
      <c r="A977" t="s">
        <v>4729</v>
      </c>
    </row>
    <row r="978" spans="1:1" x14ac:dyDescent="0.25">
      <c r="A978" t="s">
        <v>4912</v>
      </c>
    </row>
    <row r="979" spans="1:1" x14ac:dyDescent="0.25">
      <c r="A979" t="s">
        <v>4731</v>
      </c>
    </row>
    <row r="981" spans="1:1" x14ac:dyDescent="0.25">
      <c r="A981" t="s">
        <v>4722</v>
      </c>
    </row>
    <row r="982" spans="1:1" x14ac:dyDescent="0.25">
      <c r="A982" t="s">
        <v>4723</v>
      </c>
    </row>
    <row r="983" spans="1:1" x14ac:dyDescent="0.25">
      <c r="A983" t="s">
        <v>4913</v>
      </c>
    </row>
    <row r="984" spans="1:1" x14ac:dyDescent="0.25">
      <c r="A984" t="s">
        <v>4914</v>
      </c>
    </row>
    <row r="985" spans="1:1" x14ac:dyDescent="0.25">
      <c r="A985" t="s">
        <v>4734</v>
      </c>
    </row>
    <row r="986" spans="1:1" x14ac:dyDescent="0.25">
      <c r="A986" t="s">
        <v>4727</v>
      </c>
    </row>
    <row r="987" spans="1:1" x14ac:dyDescent="0.25">
      <c r="A987" t="s">
        <v>4728</v>
      </c>
    </row>
    <row r="988" spans="1:1" x14ac:dyDescent="0.25">
      <c r="A988" t="s">
        <v>4729</v>
      </c>
    </row>
    <row r="989" spans="1:1" x14ac:dyDescent="0.25">
      <c r="A989" t="s">
        <v>4915</v>
      </c>
    </row>
    <row r="990" spans="1:1" x14ac:dyDescent="0.25">
      <c r="A990" t="s">
        <v>4731</v>
      </c>
    </row>
    <row r="992" spans="1:1" x14ac:dyDescent="0.25">
      <c r="A992" t="s">
        <v>4722</v>
      </c>
    </row>
    <row r="993" spans="1:1" x14ac:dyDescent="0.25">
      <c r="A993" t="s">
        <v>4723</v>
      </c>
    </row>
    <row r="994" spans="1:1" x14ac:dyDescent="0.25">
      <c r="A994" t="s">
        <v>4916</v>
      </c>
    </row>
    <row r="995" spans="1:1" x14ac:dyDescent="0.25">
      <c r="A995" t="s">
        <v>4917</v>
      </c>
    </row>
    <row r="996" spans="1:1" x14ac:dyDescent="0.25">
      <c r="A996" t="s">
        <v>4918</v>
      </c>
    </row>
    <row r="997" spans="1:1" x14ac:dyDescent="0.25">
      <c r="A997" t="s">
        <v>4727</v>
      </c>
    </row>
    <row r="998" spans="1:1" x14ac:dyDescent="0.25">
      <c r="A998" t="s">
        <v>4728</v>
      </c>
    </row>
    <row r="999" spans="1:1" x14ac:dyDescent="0.25">
      <c r="A999" t="s">
        <v>4919</v>
      </c>
    </row>
    <row r="1000" spans="1:1" x14ac:dyDescent="0.25">
      <c r="A1000" t="s">
        <v>4920</v>
      </c>
    </row>
    <row r="1001" spans="1:1" x14ac:dyDescent="0.25">
      <c r="A1001" t="s">
        <v>4731</v>
      </c>
    </row>
    <row r="1003" spans="1:1" x14ac:dyDescent="0.25">
      <c r="A1003" t="s">
        <v>4722</v>
      </c>
    </row>
    <row r="1004" spans="1:1" x14ac:dyDescent="0.25">
      <c r="A1004" t="s">
        <v>4723</v>
      </c>
    </row>
    <row r="1005" spans="1:1" x14ac:dyDescent="0.25">
      <c r="A1005" t="s">
        <v>4921</v>
      </c>
    </row>
    <row r="1006" spans="1:1" x14ac:dyDescent="0.25">
      <c r="A1006" t="s">
        <v>4922</v>
      </c>
    </row>
    <row r="1007" spans="1:1" x14ac:dyDescent="0.25">
      <c r="A1007" t="s">
        <v>4895</v>
      </c>
    </row>
    <row r="1008" spans="1:1" x14ac:dyDescent="0.25">
      <c r="A1008" t="s">
        <v>4727</v>
      </c>
    </row>
    <row r="1009" spans="1:1" x14ac:dyDescent="0.25">
      <c r="A1009" t="s">
        <v>4728</v>
      </c>
    </row>
    <row r="1010" spans="1:1" x14ac:dyDescent="0.25">
      <c r="A1010" t="s">
        <v>4792</v>
      </c>
    </row>
    <row r="1011" spans="1:1" x14ac:dyDescent="0.25">
      <c r="A1011" t="s">
        <v>4923</v>
      </c>
    </row>
    <row r="1012" spans="1:1" x14ac:dyDescent="0.25">
      <c r="A1012" t="s">
        <v>4731</v>
      </c>
    </row>
    <row r="1014" spans="1:1" x14ac:dyDescent="0.25">
      <c r="A1014" t="s">
        <v>4722</v>
      </c>
    </row>
    <row r="1015" spans="1:1" x14ac:dyDescent="0.25">
      <c r="A1015" t="s">
        <v>4723</v>
      </c>
    </row>
    <row r="1016" spans="1:1" x14ac:dyDescent="0.25">
      <c r="A1016" t="s">
        <v>4924</v>
      </c>
    </row>
    <row r="1017" spans="1:1" x14ac:dyDescent="0.25">
      <c r="A1017" t="s">
        <v>4925</v>
      </c>
    </row>
    <row r="1018" spans="1:1" x14ac:dyDescent="0.25">
      <c r="A1018" t="s">
        <v>4895</v>
      </c>
    </row>
    <row r="1019" spans="1:1" x14ac:dyDescent="0.25">
      <c r="A1019" t="s">
        <v>4727</v>
      </c>
    </row>
    <row r="1020" spans="1:1" x14ac:dyDescent="0.25">
      <c r="A1020" t="s">
        <v>4728</v>
      </c>
    </row>
    <row r="1021" spans="1:1" x14ac:dyDescent="0.25">
      <c r="A1021" t="s">
        <v>4792</v>
      </c>
    </row>
    <row r="1022" spans="1:1" x14ac:dyDescent="0.25">
      <c r="A1022" t="s">
        <v>4926</v>
      </c>
    </row>
    <row r="1023" spans="1:1" x14ac:dyDescent="0.25">
      <c r="A1023" t="s">
        <v>4731</v>
      </c>
    </row>
    <row r="1025" spans="1:1" x14ac:dyDescent="0.25">
      <c r="A1025" t="s">
        <v>4722</v>
      </c>
    </row>
    <row r="1026" spans="1:1" x14ac:dyDescent="0.25">
      <c r="A1026" t="s">
        <v>4723</v>
      </c>
    </row>
    <row r="1027" spans="1:1" x14ac:dyDescent="0.25">
      <c r="A1027" t="s">
        <v>4927</v>
      </c>
    </row>
    <row r="1028" spans="1:1" x14ac:dyDescent="0.25">
      <c r="A1028" t="s">
        <v>4928</v>
      </c>
    </row>
    <row r="1029" spans="1:1" x14ac:dyDescent="0.25">
      <c r="A1029" t="s">
        <v>4895</v>
      </c>
    </row>
    <row r="1030" spans="1:1" x14ac:dyDescent="0.25">
      <c r="A1030" t="s">
        <v>4727</v>
      </c>
    </row>
    <row r="1031" spans="1:1" x14ac:dyDescent="0.25">
      <c r="A1031" t="s">
        <v>4728</v>
      </c>
    </row>
    <row r="1032" spans="1:1" x14ac:dyDescent="0.25">
      <c r="A1032" t="s">
        <v>4792</v>
      </c>
    </row>
    <row r="1033" spans="1:1" x14ac:dyDescent="0.25">
      <c r="A1033" t="s">
        <v>4929</v>
      </c>
    </row>
    <row r="1034" spans="1:1" x14ac:dyDescent="0.25">
      <c r="A1034" t="s">
        <v>4731</v>
      </c>
    </row>
    <row r="1036" spans="1:1" x14ac:dyDescent="0.25">
      <c r="A1036" t="s">
        <v>4722</v>
      </c>
    </row>
    <row r="1037" spans="1:1" x14ac:dyDescent="0.25">
      <c r="A1037" t="s">
        <v>4723</v>
      </c>
    </row>
    <row r="1038" spans="1:1" x14ac:dyDescent="0.25">
      <c r="A1038" t="s">
        <v>4930</v>
      </c>
    </row>
    <row r="1039" spans="1:1" x14ac:dyDescent="0.25">
      <c r="A1039" t="s">
        <v>4931</v>
      </c>
    </row>
    <row r="1040" spans="1:1" x14ac:dyDescent="0.25">
      <c r="A1040" t="s">
        <v>4895</v>
      </c>
    </row>
    <row r="1041" spans="1:1" x14ac:dyDescent="0.25">
      <c r="A1041" t="s">
        <v>4727</v>
      </c>
    </row>
    <row r="1042" spans="1:1" x14ac:dyDescent="0.25">
      <c r="A1042" t="s">
        <v>4728</v>
      </c>
    </row>
    <row r="1043" spans="1:1" x14ac:dyDescent="0.25">
      <c r="A1043" t="s">
        <v>4792</v>
      </c>
    </row>
    <row r="1044" spans="1:1" x14ac:dyDescent="0.25">
      <c r="A1044" t="s">
        <v>4932</v>
      </c>
    </row>
    <row r="1045" spans="1:1" x14ac:dyDescent="0.25">
      <c r="A1045" t="s">
        <v>4731</v>
      </c>
    </row>
    <row r="1047" spans="1:1" x14ac:dyDescent="0.25">
      <c r="A1047" t="s">
        <v>4722</v>
      </c>
    </row>
    <row r="1048" spans="1:1" x14ac:dyDescent="0.25">
      <c r="A1048" t="s">
        <v>4723</v>
      </c>
    </row>
    <row r="1049" spans="1:1" x14ac:dyDescent="0.25">
      <c r="A1049" t="s">
        <v>4933</v>
      </c>
    </row>
    <row r="1050" spans="1:1" x14ac:dyDescent="0.25">
      <c r="A1050" t="s">
        <v>4934</v>
      </c>
    </row>
    <row r="1051" spans="1:1" x14ac:dyDescent="0.25">
      <c r="A1051" t="s">
        <v>4895</v>
      </c>
    </row>
    <row r="1052" spans="1:1" x14ac:dyDescent="0.25">
      <c r="A1052" t="s">
        <v>4727</v>
      </c>
    </row>
    <row r="1053" spans="1:1" x14ac:dyDescent="0.25">
      <c r="A1053" t="s">
        <v>4728</v>
      </c>
    </row>
    <row r="1054" spans="1:1" x14ac:dyDescent="0.25">
      <c r="A1054" t="s">
        <v>4792</v>
      </c>
    </row>
    <row r="1055" spans="1:1" x14ac:dyDescent="0.25">
      <c r="A1055" t="s">
        <v>4935</v>
      </c>
    </row>
    <row r="1056" spans="1:1" x14ac:dyDescent="0.25">
      <c r="A1056" t="s">
        <v>4731</v>
      </c>
    </row>
    <row r="1058" spans="1:1" x14ac:dyDescent="0.25">
      <c r="A1058" t="s">
        <v>1737</v>
      </c>
    </row>
    <row r="1059" spans="1:1" x14ac:dyDescent="0.25">
      <c r="A1059" t="s">
        <v>1738</v>
      </c>
    </row>
    <row r="1060" spans="1:1" x14ac:dyDescent="0.25">
      <c r="A1060" t="s">
        <v>2039</v>
      </c>
    </row>
    <row r="1061" spans="1:1" x14ac:dyDescent="0.25">
      <c r="A1061" t="s">
        <v>2040</v>
      </c>
    </row>
    <row r="1062" spans="1:1" x14ac:dyDescent="0.25">
      <c r="A1062" t="s">
        <v>2041</v>
      </c>
    </row>
    <row r="1063" spans="1:1" x14ac:dyDescent="0.25">
      <c r="A1063" t="s">
        <v>1753</v>
      </c>
    </row>
    <row r="1064" spans="1:1" x14ac:dyDescent="0.25">
      <c r="A1064" t="s">
        <v>1741</v>
      </c>
    </row>
    <row r="1065" spans="1:1" x14ac:dyDescent="0.25">
      <c r="A1065" t="s">
        <v>1887</v>
      </c>
    </row>
    <row r="1066" spans="1:1" x14ac:dyDescent="0.25">
      <c r="A1066" t="s">
        <v>2042</v>
      </c>
    </row>
    <row r="1067" spans="1:1" x14ac:dyDescent="0.25">
      <c r="A1067" t="s">
        <v>1744</v>
      </c>
    </row>
    <row r="1069" spans="1:1" x14ac:dyDescent="0.25">
      <c r="A1069" t="s">
        <v>1737</v>
      </c>
    </row>
    <row r="1070" spans="1:1" x14ac:dyDescent="0.25">
      <c r="A1070" t="s">
        <v>1738</v>
      </c>
    </row>
    <row r="1071" spans="1:1" x14ac:dyDescent="0.25">
      <c r="A1071" t="s">
        <v>2043</v>
      </c>
    </row>
    <row r="1072" spans="1:1" x14ac:dyDescent="0.25">
      <c r="A1072" t="s">
        <v>2044</v>
      </c>
    </row>
    <row r="1073" spans="1:1" x14ac:dyDescent="0.25">
      <c r="A1073" t="s">
        <v>2041</v>
      </c>
    </row>
    <row r="1074" spans="1:1" x14ac:dyDescent="0.25">
      <c r="A1074" t="s">
        <v>1753</v>
      </c>
    </row>
    <row r="1075" spans="1:1" x14ac:dyDescent="0.25">
      <c r="A1075" t="s">
        <v>1740</v>
      </c>
    </row>
    <row r="1076" spans="1:1" x14ac:dyDescent="0.25">
      <c r="A1076" t="s">
        <v>1741</v>
      </c>
    </row>
    <row r="1077" spans="1:1" x14ac:dyDescent="0.25">
      <c r="A1077" t="s">
        <v>2045</v>
      </c>
    </row>
    <row r="1078" spans="1:1" x14ac:dyDescent="0.25">
      <c r="A1078" t="s">
        <v>2046</v>
      </c>
    </row>
    <row r="1079" spans="1:1" x14ac:dyDescent="0.25">
      <c r="A1079" t="s">
        <v>1744</v>
      </c>
    </row>
    <row r="1081" spans="1:1" x14ac:dyDescent="0.25">
      <c r="A1081" t="s">
        <v>1737</v>
      </c>
    </row>
    <row r="1082" spans="1:1" x14ac:dyDescent="0.25">
      <c r="A1082" t="s">
        <v>1738</v>
      </c>
    </row>
    <row r="1083" spans="1:1" x14ac:dyDescent="0.25">
      <c r="A1083" t="s">
        <v>2047</v>
      </c>
    </row>
    <row r="1084" spans="1:1" x14ac:dyDescent="0.25">
      <c r="A1084" t="s">
        <v>2040</v>
      </c>
    </row>
    <row r="1085" spans="1:1" x14ac:dyDescent="0.25">
      <c r="A1085" t="s">
        <v>2041</v>
      </c>
    </row>
    <row r="1086" spans="1:1" x14ac:dyDescent="0.25">
      <c r="A1086" t="s">
        <v>1753</v>
      </c>
    </row>
    <row r="1087" spans="1:1" x14ac:dyDescent="0.25">
      <c r="A1087" t="s">
        <v>1741</v>
      </c>
    </row>
    <row r="1088" spans="1:1" x14ac:dyDescent="0.25">
      <c r="A1088" t="s">
        <v>1887</v>
      </c>
    </row>
    <row r="1089" spans="1:1" x14ac:dyDescent="0.25">
      <c r="A1089" t="s">
        <v>2048</v>
      </c>
    </row>
    <row r="1090" spans="1:1" x14ac:dyDescent="0.25">
      <c r="A1090" t="s">
        <v>1744</v>
      </c>
    </row>
    <row r="1092" spans="1:1" x14ac:dyDescent="0.25">
      <c r="A1092" t="s">
        <v>1737</v>
      </c>
    </row>
    <row r="1093" spans="1:1" x14ac:dyDescent="0.25">
      <c r="A1093" t="s">
        <v>1738</v>
      </c>
    </row>
    <row r="1094" spans="1:1" x14ac:dyDescent="0.25">
      <c r="A1094" t="s">
        <v>2049</v>
      </c>
    </row>
    <row r="1095" spans="1:1" x14ac:dyDescent="0.25">
      <c r="A1095" t="s">
        <v>2044</v>
      </c>
    </row>
    <row r="1096" spans="1:1" x14ac:dyDescent="0.25">
      <c r="A1096" t="s">
        <v>2041</v>
      </c>
    </row>
    <row r="1097" spans="1:1" x14ac:dyDescent="0.25">
      <c r="A1097" t="s">
        <v>1753</v>
      </c>
    </row>
    <row r="1098" spans="1:1" x14ac:dyDescent="0.25">
      <c r="A1098" t="s">
        <v>1740</v>
      </c>
    </row>
    <row r="1099" spans="1:1" x14ac:dyDescent="0.25">
      <c r="A1099" t="s">
        <v>1741</v>
      </c>
    </row>
    <row r="1100" spans="1:1" x14ac:dyDescent="0.25">
      <c r="A1100" t="s">
        <v>2050</v>
      </c>
    </row>
    <row r="1101" spans="1:1" x14ac:dyDescent="0.25">
      <c r="A1101" t="s">
        <v>2051</v>
      </c>
    </row>
    <row r="1102" spans="1:1" x14ac:dyDescent="0.25">
      <c r="A1102" t="s">
        <v>1744</v>
      </c>
    </row>
    <row r="1104" spans="1:1" x14ac:dyDescent="0.25">
      <c r="A1104" t="s">
        <v>1737</v>
      </c>
    </row>
    <row r="1105" spans="1:1" x14ac:dyDescent="0.25">
      <c r="A1105" t="s">
        <v>1738</v>
      </c>
    </row>
    <row r="1106" spans="1:1" x14ac:dyDescent="0.25">
      <c r="A1106" t="s">
        <v>2052</v>
      </c>
    </row>
    <row r="1107" spans="1:1" x14ac:dyDescent="0.25">
      <c r="A1107" t="s">
        <v>2040</v>
      </c>
    </row>
    <row r="1108" spans="1:1" x14ac:dyDescent="0.25">
      <c r="A1108" t="s">
        <v>2041</v>
      </c>
    </row>
    <row r="1109" spans="1:1" x14ac:dyDescent="0.25">
      <c r="A1109" t="s">
        <v>1753</v>
      </c>
    </row>
    <row r="1110" spans="1:1" x14ac:dyDescent="0.25">
      <c r="A1110" t="s">
        <v>1741</v>
      </c>
    </row>
    <row r="1111" spans="1:1" x14ac:dyDescent="0.25">
      <c r="A1111" t="s">
        <v>1887</v>
      </c>
    </row>
    <row r="1112" spans="1:1" x14ac:dyDescent="0.25">
      <c r="A1112" t="s">
        <v>2053</v>
      </c>
    </row>
    <row r="1113" spans="1:1" x14ac:dyDescent="0.25">
      <c r="A1113" t="s">
        <v>1744</v>
      </c>
    </row>
    <row r="1115" spans="1:1" x14ac:dyDescent="0.25">
      <c r="A1115" t="s">
        <v>1737</v>
      </c>
    </row>
    <row r="1116" spans="1:1" x14ac:dyDescent="0.25">
      <c r="A1116" t="s">
        <v>1738</v>
      </c>
    </row>
    <row r="1117" spans="1:1" x14ac:dyDescent="0.25">
      <c r="A1117" t="s">
        <v>2054</v>
      </c>
    </row>
    <row r="1118" spans="1:1" x14ac:dyDescent="0.25">
      <c r="A1118" t="s">
        <v>2044</v>
      </c>
    </row>
    <row r="1119" spans="1:1" x14ac:dyDescent="0.25">
      <c r="A1119" t="s">
        <v>2041</v>
      </c>
    </row>
    <row r="1120" spans="1:1" x14ac:dyDescent="0.25">
      <c r="A1120" t="s">
        <v>1753</v>
      </c>
    </row>
    <row r="1121" spans="1:1" x14ac:dyDescent="0.25">
      <c r="A1121" t="s">
        <v>1740</v>
      </c>
    </row>
    <row r="1122" spans="1:1" x14ac:dyDescent="0.25">
      <c r="A1122" t="s">
        <v>1741</v>
      </c>
    </row>
    <row r="1123" spans="1:1" x14ac:dyDescent="0.25">
      <c r="A1123" t="s">
        <v>2045</v>
      </c>
    </row>
    <row r="1124" spans="1:1" x14ac:dyDescent="0.25">
      <c r="A1124" t="s">
        <v>2055</v>
      </c>
    </row>
    <row r="1125" spans="1:1" x14ac:dyDescent="0.25">
      <c r="A1125" t="s">
        <v>1744</v>
      </c>
    </row>
    <row r="1127" spans="1:1" x14ac:dyDescent="0.25">
      <c r="A1127" t="s">
        <v>1737</v>
      </c>
    </row>
    <row r="1128" spans="1:1" x14ac:dyDescent="0.25">
      <c r="A1128" t="s">
        <v>1738</v>
      </c>
    </row>
    <row r="1129" spans="1:1" x14ac:dyDescent="0.25">
      <c r="A1129" t="s">
        <v>2056</v>
      </c>
    </row>
    <row r="1130" spans="1:1" x14ac:dyDescent="0.25">
      <c r="A1130" t="s">
        <v>2040</v>
      </c>
    </row>
    <row r="1131" spans="1:1" x14ac:dyDescent="0.25">
      <c r="A1131" t="s">
        <v>2041</v>
      </c>
    </row>
    <row r="1132" spans="1:1" x14ac:dyDescent="0.25">
      <c r="A1132" t="s">
        <v>1753</v>
      </c>
    </row>
    <row r="1133" spans="1:1" x14ac:dyDescent="0.25">
      <c r="A1133" t="s">
        <v>1741</v>
      </c>
    </row>
    <row r="1134" spans="1:1" x14ac:dyDescent="0.25">
      <c r="A1134" t="s">
        <v>1887</v>
      </c>
    </row>
    <row r="1135" spans="1:1" x14ac:dyDescent="0.25">
      <c r="A1135" t="s">
        <v>2057</v>
      </c>
    </row>
    <row r="1136" spans="1:1" x14ac:dyDescent="0.25">
      <c r="A1136" t="s">
        <v>1744</v>
      </c>
    </row>
    <row r="1138" spans="1:1" x14ac:dyDescent="0.25">
      <c r="A1138" t="s">
        <v>1737</v>
      </c>
    </row>
    <row r="1139" spans="1:1" x14ac:dyDescent="0.25">
      <c r="A1139" t="s">
        <v>1738</v>
      </c>
    </row>
    <row r="1140" spans="1:1" x14ac:dyDescent="0.25">
      <c r="A1140" t="s">
        <v>2058</v>
      </c>
    </row>
    <row r="1141" spans="1:1" x14ac:dyDescent="0.25">
      <c r="A1141" t="s">
        <v>2044</v>
      </c>
    </row>
    <row r="1142" spans="1:1" x14ac:dyDescent="0.25">
      <c r="A1142" t="s">
        <v>2041</v>
      </c>
    </row>
    <row r="1143" spans="1:1" x14ac:dyDescent="0.25">
      <c r="A1143" t="s">
        <v>1753</v>
      </c>
    </row>
    <row r="1144" spans="1:1" x14ac:dyDescent="0.25">
      <c r="A1144" t="s">
        <v>1740</v>
      </c>
    </row>
    <row r="1145" spans="1:1" x14ac:dyDescent="0.25">
      <c r="A1145" t="s">
        <v>1741</v>
      </c>
    </row>
    <row r="1146" spans="1:1" x14ac:dyDescent="0.25">
      <c r="A1146" t="s">
        <v>2045</v>
      </c>
    </row>
    <row r="1147" spans="1:1" x14ac:dyDescent="0.25">
      <c r="A1147" t="s">
        <v>2059</v>
      </c>
    </row>
    <row r="1148" spans="1:1" x14ac:dyDescent="0.25">
      <c r="A1148" t="s">
        <v>1744</v>
      </c>
    </row>
    <row r="1150" spans="1:1" x14ac:dyDescent="0.25">
      <c r="A1150" t="s">
        <v>4722</v>
      </c>
    </row>
    <row r="1151" spans="1:1" x14ac:dyDescent="0.25">
      <c r="A1151" t="s">
        <v>4723</v>
      </c>
    </row>
    <row r="1152" spans="1:1" x14ac:dyDescent="0.25">
      <c r="A1152" t="s">
        <v>4936</v>
      </c>
    </row>
    <row r="1153" spans="1:1" x14ac:dyDescent="0.25">
      <c r="A1153" t="s">
        <v>4937</v>
      </c>
    </row>
    <row r="1154" spans="1:1" x14ac:dyDescent="0.25">
      <c r="A1154" t="s">
        <v>4834</v>
      </c>
    </row>
    <row r="1155" spans="1:1" x14ac:dyDescent="0.25">
      <c r="A1155" t="s">
        <v>4727</v>
      </c>
    </row>
    <row r="1156" spans="1:1" x14ac:dyDescent="0.25">
      <c r="A1156" t="s">
        <v>4728</v>
      </c>
    </row>
    <row r="1157" spans="1:1" x14ac:dyDescent="0.25">
      <c r="A1157" t="s">
        <v>4792</v>
      </c>
    </row>
    <row r="1158" spans="1:1" x14ac:dyDescent="0.25">
      <c r="A1158" t="s">
        <v>4938</v>
      </c>
    </row>
    <row r="1159" spans="1:1" x14ac:dyDescent="0.25">
      <c r="A1159" t="s">
        <v>4731</v>
      </c>
    </row>
    <row r="1161" spans="1:1" x14ac:dyDescent="0.25">
      <c r="A1161" t="s">
        <v>4722</v>
      </c>
    </row>
    <row r="1162" spans="1:1" x14ac:dyDescent="0.25">
      <c r="A1162" t="s">
        <v>4723</v>
      </c>
    </row>
    <row r="1163" spans="1:1" x14ac:dyDescent="0.25">
      <c r="A1163" t="s">
        <v>4939</v>
      </c>
    </row>
    <row r="1164" spans="1:1" x14ac:dyDescent="0.25">
      <c r="A1164" t="s">
        <v>4940</v>
      </c>
    </row>
    <row r="1165" spans="1:1" x14ac:dyDescent="0.25">
      <c r="A1165" t="s">
        <v>4834</v>
      </c>
    </row>
    <row r="1166" spans="1:1" x14ac:dyDescent="0.25">
      <c r="A1166" t="s">
        <v>4727</v>
      </c>
    </row>
    <row r="1167" spans="1:1" x14ac:dyDescent="0.25">
      <c r="A1167" t="s">
        <v>4728</v>
      </c>
    </row>
    <row r="1168" spans="1:1" x14ac:dyDescent="0.25">
      <c r="A1168" t="s">
        <v>4792</v>
      </c>
    </row>
    <row r="1169" spans="1:1" x14ac:dyDescent="0.25">
      <c r="A1169" t="s">
        <v>4941</v>
      </c>
    </row>
    <row r="1170" spans="1:1" x14ac:dyDescent="0.25">
      <c r="A1170" t="s">
        <v>4731</v>
      </c>
    </row>
    <row r="1172" spans="1:1" x14ac:dyDescent="0.25">
      <c r="A1172" t="s">
        <v>4722</v>
      </c>
    </row>
    <row r="1173" spans="1:1" x14ac:dyDescent="0.25">
      <c r="A1173" t="s">
        <v>4723</v>
      </c>
    </row>
    <row r="1174" spans="1:1" x14ac:dyDescent="0.25">
      <c r="A1174" t="s">
        <v>4942</v>
      </c>
    </row>
    <row r="1175" spans="1:1" x14ac:dyDescent="0.25">
      <c r="A1175" t="s">
        <v>4943</v>
      </c>
    </row>
    <row r="1176" spans="1:1" x14ac:dyDescent="0.25">
      <c r="A1176" t="s">
        <v>4895</v>
      </c>
    </row>
    <row r="1177" spans="1:1" x14ac:dyDescent="0.25">
      <c r="A1177" t="s">
        <v>4727</v>
      </c>
    </row>
    <row r="1178" spans="1:1" x14ac:dyDescent="0.25">
      <c r="A1178" t="s">
        <v>4728</v>
      </c>
    </row>
    <row r="1179" spans="1:1" x14ac:dyDescent="0.25">
      <c r="A1179" t="s">
        <v>4792</v>
      </c>
    </row>
    <row r="1180" spans="1:1" x14ac:dyDescent="0.25">
      <c r="A1180" t="s">
        <v>4944</v>
      </c>
    </row>
    <row r="1181" spans="1:1" x14ac:dyDescent="0.25">
      <c r="A1181" t="s">
        <v>4731</v>
      </c>
    </row>
    <row r="1183" spans="1:1" x14ac:dyDescent="0.25">
      <c r="A1183" t="s">
        <v>4722</v>
      </c>
    </row>
    <row r="1184" spans="1:1" x14ac:dyDescent="0.25">
      <c r="A1184" t="s">
        <v>4723</v>
      </c>
    </row>
    <row r="1185" spans="1:1" x14ac:dyDescent="0.25">
      <c r="A1185" t="s">
        <v>4945</v>
      </c>
    </row>
    <row r="1186" spans="1:1" x14ac:dyDescent="0.25">
      <c r="A1186" t="s">
        <v>4946</v>
      </c>
    </row>
    <row r="1187" spans="1:1" x14ac:dyDescent="0.25">
      <c r="A1187" t="s">
        <v>4895</v>
      </c>
    </row>
    <row r="1188" spans="1:1" x14ac:dyDescent="0.25">
      <c r="A1188" t="s">
        <v>4727</v>
      </c>
    </row>
    <row r="1189" spans="1:1" x14ac:dyDescent="0.25">
      <c r="A1189" t="s">
        <v>4728</v>
      </c>
    </row>
    <row r="1190" spans="1:1" x14ac:dyDescent="0.25">
      <c r="A1190" t="s">
        <v>4792</v>
      </c>
    </row>
    <row r="1191" spans="1:1" x14ac:dyDescent="0.25">
      <c r="A1191" t="s">
        <v>4947</v>
      </c>
    </row>
    <row r="1192" spans="1:1" x14ac:dyDescent="0.25">
      <c r="A1192" t="s">
        <v>4731</v>
      </c>
    </row>
    <row r="1194" spans="1:1" x14ac:dyDescent="0.25">
      <c r="A1194" t="s">
        <v>4722</v>
      </c>
    </row>
    <row r="1195" spans="1:1" x14ac:dyDescent="0.25">
      <c r="A1195" t="s">
        <v>4723</v>
      </c>
    </row>
    <row r="1196" spans="1:1" x14ac:dyDescent="0.25">
      <c r="A1196" t="s">
        <v>4948</v>
      </c>
    </row>
    <row r="1197" spans="1:1" x14ac:dyDescent="0.25">
      <c r="A1197" t="s">
        <v>4949</v>
      </c>
    </row>
    <row r="1198" spans="1:1" x14ac:dyDescent="0.25">
      <c r="A1198" t="s">
        <v>4891</v>
      </c>
    </row>
    <row r="1199" spans="1:1" x14ac:dyDescent="0.25">
      <c r="A1199" t="s">
        <v>4727</v>
      </c>
    </row>
    <row r="1200" spans="1:1" x14ac:dyDescent="0.25">
      <c r="A1200" t="s">
        <v>4728</v>
      </c>
    </row>
    <row r="1201" spans="1:1" x14ac:dyDescent="0.25">
      <c r="A1201" t="s">
        <v>4729</v>
      </c>
    </row>
    <row r="1202" spans="1:1" x14ac:dyDescent="0.25">
      <c r="A1202" t="s">
        <v>4950</v>
      </c>
    </row>
    <row r="1203" spans="1:1" x14ac:dyDescent="0.25">
      <c r="A1203" t="s">
        <v>4731</v>
      </c>
    </row>
    <row r="1205" spans="1:1" x14ac:dyDescent="0.25">
      <c r="A1205" t="s">
        <v>4722</v>
      </c>
    </row>
    <row r="1206" spans="1:1" x14ac:dyDescent="0.25">
      <c r="A1206" t="s">
        <v>4723</v>
      </c>
    </row>
    <row r="1207" spans="1:1" x14ac:dyDescent="0.25">
      <c r="A1207" t="s">
        <v>4951</v>
      </c>
    </row>
    <row r="1208" spans="1:1" x14ac:dyDescent="0.25">
      <c r="A1208" t="s">
        <v>4952</v>
      </c>
    </row>
    <row r="1209" spans="1:1" x14ac:dyDescent="0.25">
      <c r="A1209" t="s">
        <v>4953</v>
      </c>
    </row>
    <row r="1210" spans="1:1" x14ac:dyDescent="0.25">
      <c r="A1210" t="s">
        <v>4727</v>
      </c>
    </row>
    <row r="1211" spans="1:1" x14ac:dyDescent="0.25">
      <c r="A1211" t="s">
        <v>4728</v>
      </c>
    </row>
    <row r="1212" spans="1:1" x14ac:dyDescent="0.25">
      <c r="A1212" t="s">
        <v>4729</v>
      </c>
    </row>
    <row r="1213" spans="1:1" x14ac:dyDescent="0.25">
      <c r="A1213" t="s">
        <v>4954</v>
      </c>
    </row>
    <row r="1214" spans="1:1" x14ac:dyDescent="0.25">
      <c r="A1214" t="s">
        <v>4731</v>
      </c>
    </row>
    <row r="1216" spans="1:1" x14ac:dyDescent="0.25">
      <c r="A1216" t="s">
        <v>4722</v>
      </c>
    </row>
    <row r="1217" spans="1:1" x14ac:dyDescent="0.25">
      <c r="A1217" t="s">
        <v>4723</v>
      </c>
    </row>
    <row r="1218" spans="1:1" x14ac:dyDescent="0.25">
      <c r="A1218" t="s">
        <v>4955</v>
      </c>
    </row>
    <row r="1219" spans="1:1" x14ac:dyDescent="0.25">
      <c r="A1219" t="s">
        <v>4956</v>
      </c>
    </row>
    <row r="1220" spans="1:1" x14ac:dyDescent="0.25">
      <c r="A1220" t="s">
        <v>4957</v>
      </c>
    </row>
    <row r="1221" spans="1:1" x14ac:dyDescent="0.25">
      <c r="A1221" t="s">
        <v>4727</v>
      </c>
    </row>
    <row r="1222" spans="1:1" x14ac:dyDescent="0.25">
      <c r="A1222" t="s">
        <v>4728</v>
      </c>
    </row>
    <row r="1223" spans="1:1" x14ac:dyDescent="0.25">
      <c r="A1223" t="s">
        <v>4729</v>
      </c>
    </row>
    <row r="1224" spans="1:1" x14ac:dyDescent="0.25">
      <c r="A1224" t="s">
        <v>4958</v>
      </c>
    </row>
    <row r="1225" spans="1:1" x14ac:dyDescent="0.25">
      <c r="A1225" t="s">
        <v>4731</v>
      </c>
    </row>
    <row r="1227" spans="1:1" x14ac:dyDescent="0.25">
      <c r="A1227" t="s">
        <v>1737</v>
      </c>
    </row>
    <row r="1228" spans="1:1" x14ac:dyDescent="0.25">
      <c r="A1228" t="s">
        <v>1738</v>
      </c>
    </row>
    <row r="1229" spans="1:1" x14ac:dyDescent="0.25">
      <c r="A1229" t="s">
        <v>2083</v>
      </c>
    </row>
    <row r="1230" spans="1:1" x14ac:dyDescent="0.25">
      <c r="A1230" t="s">
        <v>2084</v>
      </c>
    </row>
    <row r="1231" spans="1:1" x14ac:dyDescent="0.25">
      <c r="A1231" t="s">
        <v>2081</v>
      </c>
    </row>
    <row r="1232" spans="1:1" x14ac:dyDescent="0.25">
      <c r="A1232" t="s">
        <v>1753</v>
      </c>
    </row>
    <row r="1233" spans="1:1" x14ac:dyDescent="0.25">
      <c r="A1233" t="s">
        <v>1741</v>
      </c>
    </row>
    <row r="1234" spans="1:1" x14ac:dyDescent="0.25">
      <c r="A1234" t="s">
        <v>1887</v>
      </c>
    </row>
    <row r="1235" spans="1:1" x14ac:dyDescent="0.25">
      <c r="A1235" t="s">
        <v>2085</v>
      </c>
    </row>
    <row r="1236" spans="1:1" x14ac:dyDescent="0.25">
      <c r="A1236" t="s">
        <v>1744</v>
      </c>
    </row>
    <row r="1238" spans="1:1" x14ac:dyDescent="0.25">
      <c r="A1238" t="s">
        <v>1737</v>
      </c>
    </row>
    <row r="1239" spans="1:1" x14ac:dyDescent="0.25">
      <c r="A1239" t="s">
        <v>1738</v>
      </c>
    </row>
    <row r="1240" spans="1:1" x14ac:dyDescent="0.25">
      <c r="A1240" t="s">
        <v>2086</v>
      </c>
    </row>
    <row r="1241" spans="1:1" x14ac:dyDescent="0.25">
      <c r="A1241" t="s">
        <v>2087</v>
      </c>
    </row>
    <row r="1242" spans="1:1" x14ac:dyDescent="0.25">
      <c r="A1242" t="s">
        <v>2081</v>
      </c>
    </row>
    <row r="1243" spans="1:1" x14ac:dyDescent="0.25">
      <c r="A1243" t="s">
        <v>1753</v>
      </c>
    </row>
    <row r="1244" spans="1:1" x14ac:dyDescent="0.25">
      <c r="A1244" t="s">
        <v>1741</v>
      </c>
    </row>
    <row r="1245" spans="1:1" x14ac:dyDescent="0.25">
      <c r="A1245" t="s">
        <v>1887</v>
      </c>
    </row>
    <row r="1246" spans="1:1" x14ac:dyDescent="0.25">
      <c r="A1246" t="s">
        <v>2088</v>
      </c>
    </row>
    <row r="1247" spans="1:1" x14ac:dyDescent="0.25">
      <c r="A1247" t="s">
        <v>1744</v>
      </c>
    </row>
    <row r="1249" spans="1:1" x14ac:dyDescent="0.25">
      <c r="A1249" t="s">
        <v>1737</v>
      </c>
    </row>
    <row r="1250" spans="1:1" x14ac:dyDescent="0.25">
      <c r="A1250" t="s">
        <v>1738</v>
      </c>
    </row>
    <row r="1251" spans="1:1" x14ac:dyDescent="0.25">
      <c r="A1251" t="s">
        <v>2089</v>
      </c>
    </row>
    <row r="1252" spans="1:1" x14ac:dyDescent="0.25">
      <c r="A1252" t="s">
        <v>2090</v>
      </c>
    </row>
    <row r="1253" spans="1:1" x14ac:dyDescent="0.25">
      <c r="A1253" t="s">
        <v>2091</v>
      </c>
    </row>
    <row r="1254" spans="1:1" x14ac:dyDescent="0.25">
      <c r="A1254" t="s">
        <v>1753</v>
      </c>
    </row>
    <row r="1255" spans="1:1" x14ac:dyDescent="0.25">
      <c r="A1255" t="s">
        <v>1741</v>
      </c>
    </row>
    <row r="1256" spans="1:1" x14ac:dyDescent="0.25">
      <c r="A1256" t="s">
        <v>1887</v>
      </c>
    </row>
    <row r="1257" spans="1:1" x14ac:dyDescent="0.25">
      <c r="A1257" t="s">
        <v>2092</v>
      </c>
    </row>
    <row r="1258" spans="1:1" x14ac:dyDescent="0.25">
      <c r="A1258" t="s">
        <v>1744</v>
      </c>
    </row>
    <row r="1260" spans="1:1" x14ac:dyDescent="0.25">
      <c r="A1260" t="s">
        <v>4722</v>
      </c>
    </row>
    <row r="1261" spans="1:1" x14ac:dyDescent="0.25">
      <c r="A1261" t="s">
        <v>4723</v>
      </c>
    </row>
    <row r="1262" spans="1:1" x14ac:dyDescent="0.25">
      <c r="A1262" t="s">
        <v>4959</v>
      </c>
    </row>
    <row r="1263" spans="1:1" x14ac:dyDescent="0.25">
      <c r="A1263" t="s">
        <v>4960</v>
      </c>
    </row>
    <row r="1264" spans="1:1" x14ac:dyDescent="0.25">
      <c r="A1264" t="s">
        <v>4961</v>
      </c>
    </row>
    <row r="1265" spans="1:1" x14ac:dyDescent="0.25">
      <c r="A1265" t="s">
        <v>4727</v>
      </c>
    </row>
    <row r="1266" spans="1:1" x14ac:dyDescent="0.25">
      <c r="A1266" t="s">
        <v>4728</v>
      </c>
    </row>
    <row r="1267" spans="1:1" x14ac:dyDescent="0.25">
      <c r="A1267" t="s">
        <v>4792</v>
      </c>
    </row>
    <row r="1268" spans="1:1" x14ac:dyDescent="0.25">
      <c r="A1268" t="s">
        <v>4962</v>
      </c>
    </row>
    <row r="1269" spans="1:1" x14ac:dyDescent="0.25">
      <c r="A1269" t="s">
        <v>4731</v>
      </c>
    </row>
    <row r="1271" spans="1:1" x14ac:dyDescent="0.25">
      <c r="A1271" t="s">
        <v>4722</v>
      </c>
    </row>
    <row r="1272" spans="1:1" x14ac:dyDescent="0.25">
      <c r="A1272" t="s">
        <v>4723</v>
      </c>
    </row>
    <row r="1273" spans="1:1" x14ac:dyDescent="0.25">
      <c r="A1273" t="s">
        <v>4963</v>
      </c>
    </row>
    <row r="1274" spans="1:1" x14ac:dyDescent="0.25">
      <c r="A1274" t="s">
        <v>4964</v>
      </c>
    </row>
    <row r="1275" spans="1:1" x14ac:dyDescent="0.25">
      <c r="A1275" t="s">
        <v>4957</v>
      </c>
    </row>
    <row r="1276" spans="1:1" x14ac:dyDescent="0.25">
      <c r="A1276" t="s">
        <v>4727</v>
      </c>
    </row>
    <row r="1277" spans="1:1" x14ac:dyDescent="0.25">
      <c r="A1277" t="s">
        <v>4728</v>
      </c>
    </row>
    <row r="1278" spans="1:1" x14ac:dyDescent="0.25">
      <c r="A1278" t="s">
        <v>4900</v>
      </c>
    </row>
    <row r="1279" spans="1:1" x14ac:dyDescent="0.25">
      <c r="A1279" t="s">
        <v>4965</v>
      </c>
    </row>
    <row r="1280" spans="1:1" x14ac:dyDescent="0.25">
      <c r="A1280" t="s">
        <v>4731</v>
      </c>
    </row>
    <row r="1282" spans="1:1" x14ac:dyDescent="0.25">
      <c r="A1282" t="s">
        <v>4722</v>
      </c>
    </row>
    <row r="1283" spans="1:1" x14ac:dyDescent="0.25">
      <c r="A1283" t="s">
        <v>4723</v>
      </c>
    </row>
    <row r="1284" spans="1:1" x14ac:dyDescent="0.25">
      <c r="A1284" t="s">
        <v>4966</v>
      </c>
    </row>
    <row r="1285" spans="1:1" x14ac:dyDescent="0.25">
      <c r="A1285" t="s">
        <v>4967</v>
      </c>
    </row>
    <row r="1286" spans="1:1" x14ac:dyDescent="0.25">
      <c r="A1286" t="s">
        <v>4957</v>
      </c>
    </row>
    <row r="1287" spans="1:1" x14ac:dyDescent="0.25">
      <c r="A1287" t="s">
        <v>4727</v>
      </c>
    </row>
    <row r="1288" spans="1:1" x14ac:dyDescent="0.25">
      <c r="A1288" t="s">
        <v>4728</v>
      </c>
    </row>
    <row r="1289" spans="1:1" x14ac:dyDescent="0.25">
      <c r="A1289" t="s">
        <v>4729</v>
      </c>
    </row>
    <row r="1290" spans="1:1" x14ac:dyDescent="0.25">
      <c r="A1290" t="s">
        <v>4968</v>
      </c>
    </row>
    <row r="1291" spans="1:1" x14ac:dyDescent="0.25">
      <c r="A1291" t="s">
        <v>4731</v>
      </c>
    </row>
    <row r="1293" spans="1:1" x14ac:dyDescent="0.25">
      <c r="A1293" t="s">
        <v>4722</v>
      </c>
    </row>
    <row r="1294" spans="1:1" x14ac:dyDescent="0.25">
      <c r="A1294" t="s">
        <v>4723</v>
      </c>
    </row>
    <row r="1295" spans="1:1" x14ac:dyDescent="0.25">
      <c r="A1295" t="s">
        <v>4969</v>
      </c>
    </row>
    <row r="1296" spans="1:1" x14ac:dyDescent="0.25">
      <c r="A1296" t="s">
        <v>4970</v>
      </c>
    </row>
    <row r="1297" spans="1:1" x14ac:dyDescent="0.25">
      <c r="A1297" t="s">
        <v>4971</v>
      </c>
    </row>
    <row r="1298" spans="1:1" x14ac:dyDescent="0.25">
      <c r="A1298" t="s">
        <v>4727</v>
      </c>
    </row>
    <row r="1299" spans="1:1" x14ac:dyDescent="0.25">
      <c r="A1299" t="s">
        <v>4728</v>
      </c>
    </row>
    <row r="1300" spans="1:1" x14ac:dyDescent="0.25">
      <c r="A1300" t="s">
        <v>4792</v>
      </c>
    </row>
    <row r="1301" spans="1:1" x14ac:dyDescent="0.25">
      <c r="A1301" t="s">
        <v>4972</v>
      </c>
    </row>
    <row r="1302" spans="1:1" x14ac:dyDescent="0.25">
      <c r="A1302" t="s">
        <v>4731</v>
      </c>
    </row>
    <row r="1304" spans="1:1" x14ac:dyDescent="0.25">
      <c r="A1304" t="s">
        <v>4722</v>
      </c>
    </row>
    <row r="1305" spans="1:1" x14ac:dyDescent="0.25">
      <c r="A1305" t="s">
        <v>4723</v>
      </c>
    </row>
    <row r="1306" spans="1:1" x14ac:dyDescent="0.25">
      <c r="A1306" t="s">
        <v>4973</v>
      </c>
    </row>
    <row r="1307" spans="1:1" x14ac:dyDescent="0.25">
      <c r="A1307" t="s">
        <v>4974</v>
      </c>
    </row>
    <row r="1308" spans="1:1" x14ac:dyDescent="0.25">
      <c r="A1308" t="s">
        <v>4971</v>
      </c>
    </row>
    <row r="1309" spans="1:1" x14ac:dyDescent="0.25">
      <c r="A1309" t="s">
        <v>4727</v>
      </c>
    </row>
    <row r="1310" spans="1:1" x14ac:dyDescent="0.25">
      <c r="A1310" t="s">
        <v>4728</v>
      </c>
    </row>
    <row r="1311" spans="1:1" x14ac:dyDescent="0.25">
      <c r="A1311" t="s">
        <v>4792</v>
      </c>
    </row>
    <row r="1312" spans="1:1" x14ac:dyDescent="0.25">
      <c r="A1312" t="s">
        <v>4975</v>
      </c>
    </row>
    <row r="1313" spans="1:1" x14ac:dyDescent="0.25">
      <c r="A1313" t="s">
        <v>4731</v>
      </c>
    </row>
    <row r="1315" spans="1:1" x14ac:dyDescent="0.25">
      <c r="A1315" t="s">
        <v>4722</v>
      </c>
    </row>
    <row r="1316" spans="1:1" x14ac:dyDescent="0.25">
      <c r="A1316" t="s">
        <v>4723</v>
      </c>
    </row>
    <row r="1317" spans="1:1" x14ac:dyDescent="0.25">
      <c r="A1317" t="s">
        <v>4976</v>
      </c>
    </row>
    <row r="1318" spans="1:1" x14ac:dyDescent="0.25">
      <c r="A1318" t="s">
        <v>4977</v>
      </c>
    </row>
    <row r="1319" spans="1:1" x14ac:dyDescent="0.25">
      <c r="A1319" t="s">
        <v>4957</v>
      </c>
    </row>
    <row r="1320" spans="1:1" x14ac:dyDescent="0.25">
      <c r="A1320" t="s">
        <v>4727</v>
      </c>
    </row>
    <row r="1321" spans="1:1" x14ac:dyDescent="0.25">
      <c r="A1321" t="s">
        <v>4728</v>
      </c>
    </row>
    <row r="1322" spans="1:1" x14ac:dyDescent="0.25">
      <c r="A1322" t="s">
        <v>4978</v>
      </c>
    </row>
    <row r="1323" spans="1:1" x14ac:dyDescent="0.25">
      <c r="A1323" t="s">
        <v>4979</v>
      </c>
    </row>
    <row r="1324" spans="1:1" x14ac:dyDescent="0.25">
      <c r="A1324" t="s">
        <v>4731</v>
      </c>
    </row>
    <row r="1326" spans="1:1" x14ac:dyDescent="0.25">
      <c r="A1326" t="s">
        <v>4722</v>
      </c>
    </row>
    <row r="1327" spans="1:1" x14ac:dyDescent="0.25">
      <c r="A1327" t="s">
        <v>4723</v>
      </c>
    </row>
    <row r="1328" spans="1:1" x14ac:dyDescent="0.25">
      <c r="A1328" t="s">
        <v>4980</v>
      </c>
    </row>
    <row r="1329" spans="1:1" x14ac:dyDescent="0.25">
      <c r="A1329" t="s">
        <v>4981</v>
      </c>
    </row>
    <row r="1330" spans="1:1" x14ac:dyDescent="0.25">
      <c r="A1330" t="s">
        <v>4957</v>
      </c>
    </row>
    <row r="1331" spans="1:1" x14ac:dyDescent="0.25">
      <c r="A1331" t="s">
        <v>4727</v>
      </c>
    </row>
    <row r="1332" spans="1:1" x14ac:dyDescent="0.25">
      <c r="A1332" t="s">
        <v>4728</v>
      </c>
    </row>
    <row r="1333" spans="1:1" x14ac:dyDescent="0.25">
      <c r="A1333" t="s">
        <v>4792</v>
      </c>
    </row>
    <row r="1334" spans="1:1" x14ac:dyDescent="0.25">
      <c r="A1334" t="s">
        <v>4982</v>
      </c>
    </row>
    <row r="1335" spans="1:1" x14ac:dyDescent="0.25">
      <c r="A1335" t="s">
        <v>4731</v>
      </c>
    </row>
    <row r="1337" spans="1:1" x14ac:dyDescent="0.25">
      <c r="A1337" t="s">
        <v>1737</v>
      </c>
    </row>
    <row r="1338" spans="1:1" x14ac:dyDescent="0.25">
      <c r="A1338" t="s">
        <v>1738</v>
      </c>
    </row>
    <row r="1339" spans="1:1" x14ac:dyDescent="0.25">
      <c r="A1339" t="s">
        <v>2116</v>
      </c>
    </row>
    <row r="1340" spans="1:1" x14ac:dyDescent="0.25">
      <c r="A1340" t="s">
        <v>2117</v>
      </c>
    </row>
    <row r="1341" spans="1:1" x14ac:dyDescent="0.25">
      <c r="A1341" t="s">
        <v>2081</v>
      </c>
    </row>
    <row r="1342" spans="1:1" x14ac:dyDescent="0.25">
      <c r="A1342" t="s">
        <v>1753</v>
      </c>
    </row>
    <row r="1343" spans="1:1" x14ac:dyDescent="0.25">
      <c r="A1343" t="s">
        <v>1741</v>
      </c>
    </row>
    <row r="1344" spans="1:1" x14ac:dyDescent="0.25">
      <c r="A1344" t="s">
        <v>1762</v>
      </c>
    </row>
    <row r="1345" spans="1:1" x14ac:dyDescent="0.25">
      <c r="A1345" t="s">
        <v>2118</v>
      </c>
    </row>
    <row r="1346" spans="1:1" x14ac:dyDescent="0.25">
      <c r="A1346" t="s">
        <v>1744</v>
      </c>
    </row>
    <row r="1348" spans="1:1" x14ac:dyDescent="0.25">
      <c r="A1348" t="s">
        <v>4722</v>
      </c>
    </row>
    <row r="1349" spans="1:1" x14ac:dyDescent="0.25">
      <c r="A1349" t="s">
        <v>4723</v>
      </c>
    </row>
    <row r="1350" spans="1:1" x14ac:dyDescent="0.25">
      <c r="A1350" t="s">
        <v>4983</v>
      </c>
    </row>
    <row r="1351" spans="1:1" x14ac:dyDescent="0.25">
      <c r="A1351" t="s">
        <v>4984</v>
      </c>
    </row>
    <row r="1352" spans="1:1" x14ac:dyDescent="0.25">
      <c r="A1352" t="s">
        <v>4957</v>
      </c>
    </row>
    <row r="1353" spans="1:1" x14ac:dyDescent="0.25">
      <c r="A1353" t="s">
        <v>4727</v>
      </c>
    </row>
    <row r="1354" spans="1:1" x14ac:dyDescent="0.25">
      <c r="A1354" t="s">
        <v>4728</v>
      </c>
    </row>
    <row r="1355" spans="1:1" x14ac:dyDescent="0.25">
      <c r="A1355" t="s">
        <v>4729</v>
      </c>
    </row>
    <row r="1356" spans="1:1" x14ac:dyDescent="0.25">
      <c r="A1356" t="s">
        <v>4985</v>
      </c>
    </row>
    <row r="1357" spans="1:1" x14ac:dyDescent="0.25">
      <c r="A1357" t="s">
        <v>4731</v>
      </c>
    </row>
    <row r="1359" spans="1:1" x14ac:dyDescent="0.25">
      <c r="A1359" t="s">
        <v>4722</v>
      </c>
    </row>
    <row r="1360" spans="1:1" x14ac:dyDescent="0.25">
      <c r="A1360" t="s">
        <v>4723</v>
      </c>
    </row>
    <row r="1361" spans="1:1" x14ac:dyDescent="0.25">
      <c r="A1361" t="s">
        <v>4986</v>
      </c>
    </row>
    <row r="1362" spans="1:1" x14ac:dyDescent="0.25">
      <c r="A1362" t="s">
        <v>4987</v>
      </c>
    </row>
    <row r="1363" spans="1:1" x14ac:dyDescent="0.25">
      <c r="A1363" t="s">
        <v>4957</v>
      </c>
    </row>
    <row r="1364" spans="1:1" x14ac:dyDescent="0.25">
      <c r="A1364" t="s">
        <v>4727</v>
      </c>
    </row>
    <row r="1365" spans="1:1" x14ac:dyDescent="0.25">
      <c r="A1365" t="s">
        <v>4728</v>
      </c>
    </row>
    <row r="1366" spans="1:1" x14ac:dyDescent="0.25">
      <c r="A1366" t="s">
        <v>4729</v>
      </c>
    </row>
    <row r="1367" spans="1:1" x14ac:dyDescent="0.25">
      <c r="A1367" t="s">
        <v>4988</v>
      </c>
    </row>
    <row r="1368" spans="1:1" x14ac:dyDescent="0.25">
      <c r="A1368" t="s">
        <v>4731</v>
      </c>
    </row>
    <row r="1370" spans="1:1" x14ac:dyDescent="0.25">
      <c r="A1370" t="s">
        <v>4722</v>
      </c>
    </row>
    <row r="1371" spans="1:1" x14ac:dyDescent="0.25">
      <c r="A1371" t="s">
        <v>4723</v>
      </c>
    </row>
    <row r="1372" spans="1:1" x14ac:dyDescent="0.25">
      <c r="A1372" t="s">
        <v>4989</v>
      </c>
    </row>
    <row r="1373" spans="1:1" x14ac:dyDescent="0.25">
      <c r="A1373" t="s">
        <v>4990</v>
      </c>
    </row>
    <row r="1374" spans="1:1" x14ac:dyDescent="0.25">
      <c r="A1374" t="s">
        <v>4895</v>
      </c>
    </row>
    <row r="1375" spans="1:1" x14ac:dyDescent="0.25">
      <c r="A1375" t="s">
        <v>4727</v>
      </c>
    </row>
    <row r="1376" spans="1:1" x14ac:dyDescent="0.25">
      <c r="A1376" t="s">
        <v>4728</v>
      </c>
    </row>
    <row r="1377" spans="1:1" x14ac:dyDescent="0.25">
      <c r="A1377" t="s">
        <v>4792</v>
      </c>
    </row>
    <row r="1378" spans="1:1" x14ac:dyDescent="0.25">
      <c r="A1378" t="s">
        <v>4991</v>
      </c>
    </row>
    <row r="1379" spans="1:1" x14ac:dyDescent="0.25">
      <c r="A1379" t="s">
        <v>4731</v>
      </c>
    </row>
    <row r="1381" spans="1:1" x14ac:dyDescent="0.25">
      <c r="A1381" t="s">
        <v>4722</v>
      </c>
    </row>
    <row r="1382" spans="1:1" x14ac:dyDescent="0.25">
      <c r="A1382" t="s">
        <v>4723</v>
      </c>
    </row>
    <row r="1383" spans="1:1" x14ac:dyDescent="0.25">
      <c r="A1383" t="s">
        <v>4992</v>
      </c>
    </row>
    <row r="1384" spans="1:1" x14ac:dyDescent="0.25">
      <c r="A1384" t="s">
        <v>4993</v>
      </c>
    </row>
    <row r="1385" spans="1:1" x14ac:dyDescent="0.25">
      <c r="A1385" t="s">
        <v>4895</v>
      </c>
    </row>
    <row r="1386" spans="1:1" x14ac:dyDescent="0.25">
      <c r="A1386" t="s">
        <v>4727</v>
      </c>
    </row>
    <row r="1387" spans="1:1" x14ac:dyDescent="0.25">
      <c r="A1387" t="s">
        <v>4728</v>
      </c>
    </row>
    <row r="1388" spans="1:1" x14ac:dyDescent="0.25">
      <c r="A1388" t="s">
        <v>4994</v>
      </c>
    </row>
    <row r="1389" spans="1:1" x14ac:dyDescent="0.25">
      <c r="A1389" t="s">
        <v>4995</v>
      </c>
    </row>
    <row r="1390" spans="1:1" x14ac:dyDescent="0.25">
      <c r="A1390" t="s">
        <v>4731</v>
      </c>
    </row>
    <row r="1392" spans="1:1" x14ac:dyDescent="0.25">
      <c r="A1392" t="s">
        <v>4722</v>
      </c>
    </row>
    <row r="1393" spans="1:1" x14ac:dyDescent="0.25">
      <c r="A1393" t="s">
        <v>4723</v>
      </c>
    </row>
    <row r="1394" spans="1:1" x14ac:dyDescent="0.25">
      <c r="A1394" t="s">
        <v>4996</v>
      </c>
    </row>
    <row r="1395" spans="1:1" x14ac:dyDescent="0.25">
      <c r="A1395" t="s">
        <v>4997</v>
      </c>
    </row>
    <row r="1396" spans="1:1" x14ac:dyDescent="0.25">
      <c r="A1396" t="s">
        <v>4834</v>
      </c>
    </row>
    <row r="1397" spans="1:1" x14ac:dyDescent="0.25">
      <c r="A1397" t="s">
        <v>4727</v>
      </c>
    </row>
    <row r="1398" spans="1:1" x14ac:dyDescent="0.25">
      <c r="A1398" t="s">
        <v>4728</v>
      </c>
    </row>
    <row r="1399" spans="1:1" x14ac:dyDescent="0.25">
      <c r="A1399" t="s">
        <v>4729</v>
      </c>
    </row>
    <row r="1400" spans="1:1" x14ac:dyDescent="0.25">
      <c r="A1400" t="s">
        <v>4998</v>
      </c>
    </row>
    <row r="1401" spans="1:1" x14ac:dyDescent="0.25">
      <c r="A1401" t="s">
        <v>4731</v>
      </c>
    </row>
    <row r="1403" spans="1:1" x14ac:dyDescent="0.25">
      <c r="A1403" t="s">
        <v>4722</v>
      </c>
    </row>
    <row r="1404" spans="1:1" x14ac:dyDescent="0.25">
      <c r="A1404" t="s">
        <v>4723</v>
      </c>
    </row>
    <row r="1405" spans="1:1" x14ac:dyDescent="0.25">
      <c r="A1405" t="s">
        <v>4999</v>
      </c>
    </row>
    <row r="1406" spans="1:1" x14ac:dyDescent="0.25">
      <c r="A1406" t="s">
        <v>4728</v>
      </c>
    </row>
    <row r="1407" spans="1:1" x14ac:dyDescent="0.25">
      <c r="A1407" t="s">
        <v>4729</v>
      </c>
    </row>
    <row r="1408" spans="1:1" x14ac:dyDescent="0.25">
      <c r="A1408" t="s">
        <v>5000</v>
      </c>
    </row>
    <row r="1409" spans="1:1" x14ac:dyDescent="0.25">
      <c r="A1409" t="s">
        <v>4731</v>
      </c>
    </row>
    <row r="1411" spans="1:1" x14ac:dyDescent="0.25">
      <c r="A1411" t="s">
        <v>4722</v>
      </c>
    </row>
    <row r="1412" spans="1:1" x14ac:dyDescent="0.25">
      <c r="A1412" t="s">
        <v>4723</v>
      </c>
    </row>
    <row r="1413" spans="1:1" x14ac:dyDescent="0.25">
      <c r="A1413" t="s">
        <v>5001</v>
      </c>
    </row>
    <row r="1414" spans="1:1" x14ac:dyDescent="0.25">
      <c r="A1414" t="s">
        <v>4728</v>
      </c>
    </row>
    <row r="1415" spans="1:1" x14ac:dyDescent="0.25">
      <c r="A1415" t="s">
        <v>4729</v>
      </c>
    </row>
    <row r="1416" spans="1:1" x14ac:dyDescent="0.25">
      <c r="A1416" t="s">
        <v>5002</v>
      </c>
    </row>
    <row r="1417" spans="1:1" x14ac:dyDescent="0.25">
      <c r="A1417" t="s">
        <v>4731</v>
      </c>
    </row>
    <row r="1419" spans="1:1" x14ac:dyDescent="0.25">
      <c r="A1419" t="s">
        <v>4722</v>
      </c>
    </row>
    <row r="1420" spans="1:1" x14ac:dyDescent="0.25">
      <c r="A1420" t="s">
        <v>4723</v>
      </c>
    </row>
    <row r="1421" spans="1:1" x14ac:dyDescent="0.25">
      <c r="A1421" t="s">
        <v>5003</v>
      </c>
    </row>
    <row r="1422" spans="1:1" x14ac:dyDescent="0.25">
      <c r="A1422" t="s">
        <v>4728</v>
      </c>
    </row>
    <row r="1423" spans="1:1" x14ac:dyDescent="0.25">
      <c r="A1423" t="s">
        <v>4729</v>
      </c>
    </row>
    <row r="1424" spans="1:1" x14ac:dyDescent="0.25">
      <c r="A1424" t="s">
        <v>5004</v>
      </c>
    </row>
    <row r="1425" spans="1:1" x14ac:dyDescent="0.25">
      <c r="A1425" t="s">
        <v>4731</v>
      </c>
    </row>
    <row r="1427" spans="1:1" x14ac:dyDescent="0.25">
      <c r="A1427" t="s">
        <v>4722</v>
      </c>
    </row>
    <row r="1428" spans="1:1" x14ac:dyDescent="0.25">
      <c r="A1428" t="s">
        <v>4723</v>
      </c>
    </row>
    <row r="1429" spans="1:1" x14ac:dyDescent="0.25">
      <c r="A1429" t="s">
        <v>5005</v>
      </c>
    </row>
    <row r="1430" spans="1:1" x14ac:dyDescent="0.25">
      <c r="A1430" t="s">
        <v>4728</v>
      </c>
    </row>
    <row r="1431" spans="1:1" x14ac:dyDescent="0.25">
      <c r="A1431" t="s">
        <v>4729</v>
      </c>
    </row>
    <row r="1432" spans="1:1" x14ac:dyDescent="0.25">
      <c r="A1432" t="s">
        <v>5006</v>
      </c>
    </row>
    <row r="1433" spans="1:1" x14ac:dyDescent="0.25">
      <c r="A1433" t="s">
        <v>4731</v>
      </c>
    </row>
    <row r="1435" spans="1:1" x14ac:dyDescent="0.25">
      <c r="A1435" t="s">
        <v>4722</v>
      </c>
    </row>
    <row r="1436" spans="1:1" x14ac:dyDescent="0.25">
      <c r="A1436" t="s">
        <v>4723</v>
      </c>
    </row>
    <row r="1437" spans="1:1" x14ac:dyDescent="0.25">
      <c r="A1437" t="s">
        <v>5007</v>
      </c>
    </row>
    <row r="1438" spans="1:1" x14ac:dyDescent="0.25">
      <c r="A1438" t="s">
        <v>4728</v>
      </c>
    </row>
    <row r="1439" spans="1:1" x14ac:dyDescent="0.25">
      <c r="A1439" t="s">
        <v>4729</v>
      </c>
    </row>
    <row r="1440" spans="1:1" x14ac:dyDescent="0.25">
      <c r="A1440" t="s">
        <v>5008</v>
      </c>
    </row>
    <row r="1441" spans="1:1" x14ac:dyDescent="0.25">
      <c r="A1441" t="s">
        <v>4731</v>
      </c>
    </row>
    <row r="1443" spans="1:1" x14ac:dyDescent="0.25">
      <c r="A1443" t="s">
        <v>4722</v>
      </c>
    </row>
    <row r="1444" spans="1:1" x14ac:dyDescent="0.25">
      <c r="A1444" t="s">
        <v>4723</v>
      </c>
    </row>
    <row r="1445" spans="1:1" x14ac:dyDescent="0.25">
      <c r="A1445" t="s">
        <v>5009</v>
      </c>
    </row>
    <row r="1446" spans="1:1" x14ac:dyDescent="0.25">
      <c r="A1446" t="s">
        <v>4728</v>
      </c>
    </row>
    <row r="1447" spans="1:1" x14ac:dyDescent="0.25">
      <c r="A1447" t="s">
        <v>4729</v>
      </c>
    </row>
    <row r="1448" spans="1:1" x14ac:dyDescent="0.25">
      <c r="A1448" t="s">
        <v>5010</v>
      </c>
    </row>
    <row r="1449" spans="1:1" x14ac:dyDescent="0.25">
      <c r="A1449" t="s">
        <v>4731</v>
      </c>
    </row>
    <row r="1451" spans="1:1" x14ac:dyDescent="0.25">
      <c r="A1451" t="s">
        <v>4722</v>
      </c>
    </row>
    <row r="1452" spans="1:1" x14ac:dyDescent="0.25">
      <c r="A1452" t="s">
        <v>4723</v>
      </c>
    </row>
    <row r="1453" spans="1:1" x14ac:dyDescent="0.25">
      <c r="A1453" t="s">
        <v>5011</v>
      </c>
    </row>
    <row r="1454" spans="1:1" x14ac:dyDescent="0.25">
      <c r="A1454" t="s">
        <v>4728</v>
      </c>
    </row>
    <row r="1455" spans="1:1" x14ac:dyDescent="0.25">
      <c r="A1455" t="s">
        <v>4729</v>
      </c>
    </row>
    <row r="1456" spans="1:1" x14ac:dyDescent="0.25">
      <c r="A1456" t="s">
        <v>5012</v>
      </c>
    </row>
    <row r="1457" spans="1:1" x14ac:dyDescent="0.25">
      <c r="A1457" t="s">
        <v>4731</v>
      </c>
    </row>
    <row r="1459" spans="1:1" x14ac:dyDescent="0.25">
      <c r="A1459" t="s">
        <v>4722</v>
      </c>
    </row>
    <row r="1460" spans="1:1" x14ac:dyDescent="0.25">
      <c r="A1460" t="s">
        <v>4723</v>
      </c>
    </row>
    <row r="1461" spans="1:1" x14ac:dyDescent="0.25">
      <c r="A1461" t="s">
        <v>5013</v>
      </c>
    </row>
    <row r="1462" spans="1:1" x14ac:dyDescent="0.25">
      <c r="A1462" t="s">
        <v>4728</v>
      </c>
    </row>
    <row r="1463" spans="1:1" x14ac:dyDescent="0.25">
      <c r="A1463" t="s">
        <v>4729</v>
      </c>
    </row>
    <row r="1464" spans="1:1" x14ac:dyDescent="0.25">
      <c r="A1464" t="s">
        <v>5014</v>
      </c>
    </row>
    <row r="1465" spans="1:1" x14ac:dyDescent="0.25">
      <c r="A1465" t="s">
        <v>4731</v>
      </c>
    </row>
    <row r="1467" spans="1:1" x14ac:dyDescent="0.25">
      <c r="A1467" t="s">
        <v>4722</v>
      </c>
    </row>
    <row r="1468" spans="1:1" x14ac:dyDescent="0.25">
      <c r="A1468" t="s">
        <v>4723</v>
      </c>
    </row>
    <row r="1469" spans="1:1" x14ac:dyDescent="0.25">
      <c r="A1469" t="s">
        <v>5015</v>
      </c>
    </row>
    <row r="1470" spans="1:1" x14ac:dyDescent="0.25">
      <c r="A1470" t="s">
        <v>4728</v>
      </c>
    </row>
    <row r="1471" spans="1:1" x14ac:dyDescent="0.25">
      <c r="A1471" t="s">
        <v>4729</v>
      </c>
    </row>
    <row r="1472" spans="1:1" x14ac:dyDescent="0.25">
      <c r="A1472" t="s">
        <v>5016</v>
      </c>
    </row>
    <row r="1473" spans="1:1" x14ac:dyDescent="0.25">
      <c r="A1473" t="s">
        <v>4731</v>
      </c>
    </row>
    <row r="1475" spans="1:1" x14ac:dyDescent="0.25">
      <c r="A1475" t="s">
        <v>4722</v>
      </c>
    </row>
    <row r="1476" spans="1:1" x14ac:dyDescent="0.25">
      <c r="A1476" t="s">
        <v>4723</v>
      </c>
    </row>
    <row r="1477" spans="1:1" x14ac:dyDescent="0.25">
      <c r="A1477" t="s">
        <v>5017</v>
      </c>
    </row>
    <row r="1478" spans="1:1" x14ac:dyDescent="0.25">
      <c r="A1478" t="s">
        <v>4728</v>
      </c>
    </row>
    <row r="1479" spans="1:1" x14ac:dyDescent="0.25">
      <c r="A1479" t="s">
        <v>4729</v>
      </c>
    </row>
    <row r="1480" spans="1:1" x14ac:dyDescent="0.25">
      <c r="A1480" t="s">
        <v>5018</v>
      </c>
    </row>
    <row r="1481" spans="1:1" x14ac:dyDescent="0.25">
      <c r="A1481" t="s">
        <v>4731</v>
      </c>
    </row>
    <row r="1483" spans="1:1" x14ac:dyDescent="0.25">
      <c r="A1483" t="s">
        <v>4722</v>
      </c>
    </row>
    <row r="1484" spans="1:1" x14ac:dyDescent="0.25">
      <c r="A1484" t="s">
        <v>4723</v>
      </c>
    </row>
    <row r="1485" spans="1:1" x14ac:dyDescent="0.25">
      <c r="A1485" t="s">
        <v>5019</v>
      </c>
    </row>
    <row r="1486" spans="1:1" x14ac:dyDescent="0.25">
      <c r="A1486" t="s">
        <v>4728</v>
      </c>
    </row>
    <row r="1487" spans="1:1" x14ac:dyDescent="0.25">
      <c r="A1487" t="s">
        <v>4729</v>
      </c>
    </row>
    <row r="1488" spans="1:1" x14ac:dyDescent="0.25">
      <c r="A1488" t="s">
        <v>5020</v>
      </c>
    </row>
    <row r="1489" spans="1:1" x14ac:dyDescent="0.25">
      <c r="A1489" t="s">
        <v>4731</v>
      </c>
    </row>
    <row r="1491" spans="1:1" x14ac:dyDescent="0.25">
      <c r="A1491" t="s">
        <v>4722</v>
      </c>
    </row>
    <row r="1492" spans="1:1" x14ac:dyDescent="0.25">
      <c r="A1492" t="s">
        <v>4723</v>
      </c>
    </row>
    <row r="1493" spans="1:1" x14ac:dyDescent="0.25">
      <c r="A1493" t="s">
        <v>5021</v>
      </c>
    </row>
    <row r="1494" spans="1:1" x14ac:dyDescent="0.25">
      <c r="A1494" t="s">
        <v>4728</v>
      </c>
    </row>
    <row r="1495" spans="1:1" x14ac:dyDescent="0.25">
      <c r="A1495" t="s">
        <v>4729</v>
      </c>
    </row>
    <row r="1496" spans="1:1" x14ac:dyDescent="0.25">
      <c r="A1496" t="s">
        <v>5022</v>
      </c>
    </row>
    <row r="1497" spans="1:1" x14ac:dyDescent="0.25">
      <c r="A1497" t="s">
        <v>4731</v>
      </c>
    </row>
    <row r="1499" spans="1:1" x14ac:dyDescent="0.25">
      <c r="A1499" t="s">
        <v>4722</v>
      </c>
    </row>
    <row r="1500" spans="1:1" x14ac:dyDescent="0.25">
      <c r="A1500" t="s">
        <v>4723</v>
      </c>
    </row>
    <row r="1501" spans="1:1" x14ac:dyDescent="0.25">
      <c r="A1501" t="s">
        <v>5023</v>
      </c>
    </row>
    <row r="1502" spans="1:1" x14ac:dyDescent="0.25">
      <c r="A1502" t="s">
        <v>4728</v>
      </c>
    </row>
    <row r="1503" spans="1:1" x14ac:dyDescent="0.25">
      <c r="A1503" t="s">
        <v>4729</v>
      </c>
    </row>
    <row r="1504" spans="1:1" x14ac:dyDescent="0.25">
      <c r="A1504" t="s">
        <v>5024</v>
      </c>
    </row>
    <row r="1505" spans="1:1" x14ac:dyDescent="0.25">
      <c r="A1505" t="s">
        <v>4731</v>
      </c>
    </row>
    <row r="1507" spans="1:1" x14ac:dyDescent="0.25">
      <c r="A1507" t="s">
        <v>4722</v>
      </c>
    </row>
    <row r="1508" spans="1:1" x14ac:dyDescent="0.25">
      <c r="A1508" t="s">
        <v>4723</v>
      </c>
    </row>
    <row r="1509" spans="1:1" x14ac:dyDescent="0.25">
      <c r="A1509" t="s">
        <v>5025</v>
      </c>
    </row>
    <row r="1510" spans="1:1" x14ac:dyDescent="0.25">
      <c r="A1510" t="s">
        <v>5026</v>
      </c>
    </row>
    <row r="1511" spans="1:1" x14ac:dyDescent="0.25">
      <c r="A1511" t="s">
        <v>5027</v>
      </c>
    </row>
    <row r="1512" spans="1:1" x14ac:dyDescent="0.25">
      <c r="A1512" t="s">
        <v>4727</v>
      </c>
    </row>
    <row r="1513" spans="1:1" x14ac:dyDescent="0.25">
      <c r="A1513" t="s">
        <v>4728</v>
      </c>
    </row>
    <row r="1514" spans="1:1" x14ac:dyDescent="0.25">
      <c r="A1514" t="s">
        <v>4729</v>
      </c>
    </row>
    <row r="1515" spans="1:1" x14ac:dyDescent="0.25">
      <c r="A1515" t="s">
        <v>5028</v>
      </c>
    </row>
    <row r="1516" spans="1:1" x14ac:dyDescent="0.25">
      <c r="A1516" t="s">
        <v>4731</v>
      </c>
    </row>
    <row r="1518" spans="1:1" x14ac:dyDescent="0.25">
      <c r="A1518" t="s">
        <v>4722</v>
      </c>
    </row>
    <row r="1519" spans="1:1" x14ac:dyDescent="0.25">
      <c r="A1519" t="s">
        <v>4723</v>
      </c>
    </row>
    <row r="1520" spans="1:1" x14ac:dyDescent="0.25">
      <c r="A1520" t="s">
        <v>5029</v>
      </c>
    </row>
    <row r="1521" spans="1:1" x14ac:dyDescent="0.25">
      <c r="A1521" t="s">
        <v>5030</v>
      </c>
    </row>
    <row r="1522" spans="1:1" x14ac:dyDescent="0.25">
      <c r="A1522" t="s">
        <v>4957</v>
      </c>
    </row>
    <row r="1523" spans="1:1" x14ac:dyDescent="0.25">
      <c r="A1523" t="s">
        <v>4727</v>
      </c>
    </row>
    <row r="1524" spans="1:1" x14ac:dyDescent="0.25">
      <c r="A1524" t="s">
        <v>4728</v>
      </c>
    </row>
    <row r="1525" spans="1:1" x14ac:dyDescent="0.25">
      <c r="A1525" t="s">
        <v>4729</v>
      </c>
    </row>
    <row r="1526" spans="1:1" x14ac:dyDescent="0.25">
      <c r="A1526" t="s">
        <v>5031</v>
      </c>
    </row>
    <row r="1527" spans="1:1" x14ac:dyDescent="0.25">
      <c r="A1527" t="s">
        <v>4731</v>
      </c>
    </row>
    <row r="1529" spans="1:1" x14ac:dyDescent="0.25">
      <c r="A1529" t="s">
        <v>4722</v>
      </c>
    </row>
    <row r="1530" spans="1:1" x14ac:dyDescent="0.25">
      <c r="A1530" t="s">
        <v>4723</v>
      </c>
    </row>
    <row r="1531" spans="1:1" x14ac:dyDescent="0.25">
      <c r="A1531" t="s">
        <v>5032</v>
      </c>
    </row>
    <row r="1532" spans="1:1" x14ac:dyDescent="0.25">
      <c r="A1532" t="s">
        <v>5033</v>
      </c>
    </row>
    <row r="1533" spans="1:1" x14ac:dyDescent="0.25">
      <c r="A1533" t="s">
        <v>4953</v>
      </c>
    </row>
    <row r="1534" spans="1:1" x14ac:dyDescent="0.25">
      <c r="A1534" t="s">
        <v>4727</v>
      </c>
    </row>
    <row r="1535" spans="1:1" x14ac:dyDescent="0.25">
      <c r="A1535" t="s">
        <v>4728</v>
      </c>
    </row>
    <row r="1536" spans="1:1" x14ac:dyDescent="0.25">
      <c r="A1536" t="s">
        <v>4729</v>
      </c>
    </row>
    <row r="1537" spans="1:1" x14ac:dyDescent="0.25">
      <c r="A1537" t="s">
        <v>5034</v>
      </c>
    </row>
    <row r="1538" spans="1:1" x14ac:dyDescent="0.25">
      <c r="A1538" t="s">
        <v>4731</v>
      </c>
    </row>
    <row r="1540" spans="1:1" x14ac:dyDescent="0.25">
      <c r="A1540" t="s">
        <v>4722</v>
      </c>
    </row>
    <row r="1541" spans="1:1" x14ac:dyDescent="0.25">
      <c r="A1541" t="s">
        <v>4723</v>
      </c>
    </row>
    <row r="1542" spans="1:1" x14ac:dyDescent="0.25">
      <c r="A1542" t="s">
        <v>5035</v>
      </c>
    </row>
    <row r="1543" spans="1:1" x14ac:dyDescent="0.25">
      <c r="A1543" t="s">
        <v>5036</v>
      </c>
    </row>
    <row r="1544" spans="1:1" x14ac:dyDescent="0.25">
      <c r="A1544" t="s">
        <v>5037</v>
      </c>
    </row>
    <row r="1545" spans="1:1" x14ac:dyDescent="0.25">
      <c r="A1545" t="s">
        <v>4727</v>
      </c>
    </row>
    <row r="1546" spans="1:1" x14ac:dyDescent="0.25">
      <c r="A1546" t="s">
        <v>4728</v>
      </c>
    </row>
    <row r="1547" spans="1:1" x14ac:dyDescent="0.25">
      <c r="A1547" t="s">
        <v>4729</v>
      </c>
    </row>
    <row r="1548" spans="1:1" x14ac:dyDescent="0.25">
      <c r="A1548" t="s">
        <v>5038</v>
      </c>
    </row>
    <row r="1549" spans="1:1" x14ac:dyDescent="0.25">
      <c r="A1549" t="s">
        <v>4731</v>
      </c>
    </row>
    <row r="1551" spans="1:1" x14ac:dyDescent="0.25">
      <c r="A1551" t="s">
        <v>4722</v>
      </c>
    </row>
    <row r="1552" spans="1:1" x14ac:dyDescent="0.25">
      <c r="A1552" t="s">
        <v>4723</v>
      </c>
    </row>
    <row r="1553" spans="1:1" x14ac:dyDescent="0.25">
      <c r="A1553" t="s">
        <v>5039</v>
      </c>
    </row>
    <row r="1554" spans="1:1" x14ac:dyDescent="0.25">
      <c r="A1554" t="s">
        <v>5040</v>
      </c>
    </row>
    <row r="1555" spans="1:1" x14ac:dyDescent="0.25">
      <c r="A1555" t="s">
        <v>4895</v>
      </c>
    </row>
    <row r="1556" spans="1:1" x14ac:dyDescent="0.25">
      <c r="A1556" t="s">
        <v>4727</v>
      </c>
    </row>
    <row r="1557" spans="1:1" x14ac:dyDescent="0.25">
      <c r="A1557" t="s">
        <v>4728</v>
      </c>
    </row>
    <row r="1558" spans="1:1" x14ac:dyDescent="0.25">
      <c r="A1558" t="s">
        <v>4792</v>
      </c>
    </row>
    <row r="1559" spans="1:1" x14ac:dyDescent="0.25">
      <c r="A1559" t="s">
        <v>5041</v>
      </c>
    </row>
    <row r="1560" spans="1:1" x14ac:dyDescent="0.25">
      <c r="A1560" t="s">
        <v>4731</v>
      </c>
    </row>
    <row r="1562" spans="1:1" x14ac:dyDescent="0.25">
      <c r="A1562" t="s">
        <v>4722</v>
      </c>
    </row>
    <row r="1563" spans="1:1" x14ac:dyDescent="0.25">
      <c r="A1563" t="s">
        <v>4723</v>
      </c>
    </row>
    <row r="1564" spans="1:1" x14ac:dyDescent="0.25">
      <c r="A1564" t="s">
        <v>5042</v>
      </c>
    </row>
    <row r="1565" spans="1:1" x14ac:dyDescent="0.25">
      <c r="A1565" t="s">
        <v>5043</v>
      </c>
    </row>
    <row r="1566" spans="1:1" x14ac:dyDescent="0.25">
      <c r="A1566" t="s">
        <v>4895</v>
      </c>
    </row>
    <row r="1567" spans="1:1" x14ac:dyDescent="0.25">
      <c r="A1567" t="s">
        <v>4727</v>
      </c>
    </row>
    <row r="1568" spans="1:1" x14ac:dyDescent="0.25">
      <c r="A1568" t="s">
        <v>4728</v>
      </c>
    </row>
    <row r="1569" spans="1:1" x14ac:dyDescent="0.25">
      <c r="A1569" t="s">
        <v>4792</v>
      </c>
    </row>
    <row r="1570" spans="1:1" x14ac:dyDescent="0.25">
      <c r="A1570" t="s">
        <v>5044</v>
      </c>
    </row>
    <row r="1571" spans="1:1" x14ac:dyDescent="0.25">
      <c r="A1571" t="s">
        <v>4731</v>
      </c>
    </row>
    <row r="1573" spans="1:1" x14ac:dyDescent="0.25">
      <c r="A1573" t="s">
        <v>4722</v>
      </c>
    </row>
    <row r="1574" spans="1:1" x14ac:dyDescent="0.25">
      <c r="A1574" t="s">
        <v>4723</v>
      </c>
    </row>
    <row r="1575" spans="1:1" x14ac:dyDescent="0.25">
      <c r="A1575" t="s">
        <v>5045</v>
      </c>
    </row>
    <row r="1576" spans="1:1" x14ac:dyDescent="0.25">
      <c r="A1576" t="s">
        <v>5046</v>
      </c>
    </row>
    <row r="1577" spans="1:1" x14ac:dyDescent="0.25">
      <c r="A1577" t="s">
        <v>4895</v>
      </c>
    </row>
    <row r="1578" spans="1:1" x14ac:dyDescent="0.25">
      <c r="A1578" t="s">
        <v>4727</v>
      </c>
    </row>
    <row r="1579" spans="1:1" x14ac:dyDescent="0.25">
      <c r="A1579" t="s">
        <v>4728</v>
      </c>
    </row>
    <row r="1580" spans="1:1" x14ac:dyDescent="0.25">
      <c r="A1580" t="s">
        <v>4792</v>
      </c>
    </row>
    <row r="1581" spans="1:1" x14ac:dyDescent="0.25">
      <c r="A1581" t="s">
        <v>5047</v>
      </c>
    </row>
    <row r="1582" spans="1:1" x14ac:dyDescent="0.25">
      <c r="A1582" t="s">
        <v>4731</v>
      </c>
    </row>
    <row r="1584" spans="1:1" x14ac:dyDescent="0.25">
      <c r="A1584" t="s">
        <v>4722</v>
      </c>
    </row>
    <row r="1585" spans="1:1" x14ac:dyDescent="0.25">
      <c r="A1585" t="s">
        <v>4723</v>
      </c>
    </row>
    <row r="1586" spans="1:1" x14ac:dyDescent="0.25">
      <c r="A1586" t="s">
        <v>5048</v>
      </c>
    </row>
    <row r="1587" spans="1:1" x14ac:dyDescent="0.25">
      <c r="A1587" t="s">
        <v>5049</v>
      </c>
    </row>
    <row r="1588" spans="1:1" x14ac:dyDescent="0.25">
      <c r="A1588" t="s">
        <v>4895</v>
      </c>
    </row>
    <row r="1589" spans="1:1" x14ac:dyDescent="0.25">
      <c r="A1589" t="s">
        <v>4727</v>
      </c>
    </row>
    <row r="1590" spans="1:1" x14ac:dyDescent="0.25">
      <c r="A1590" t="s">
        <v>4728</v>
      </c>
    </row>
    <row r="1591" spans="1:1" x14ac:dyDescent="0.25">
      <c r="A1591" t="s">
        <v>4729</v>
      </c>
    </row>
    <row r="1592" spans="1:1" x14ac:dyDescent="0.25">
      <c r="A1592" t="s">
        <v>5050</v>
      </c>
    </row>
    <row r="1593" spans="1:1" x14ac:dyDescent="0.25">
      <c r="A1593" t="s">
        <v>4731</v>
      </c>
    </row>
    <row r="1595" spans="1:1" x14ac:dyDescent="0.25">
      <c r="A1595" t="s">
        <v>4722</v>
      </c>
    </row>
    <row r="1596" spans="1:1" x14ac:dyDescent="0.25">
      <c r="A1596" t="s">
        <v>4723</v>
      </c>
    </row>
    <row r="1597" spans="1:1" x14ac:dyDescent="0.25">
      <c r="A1597" t="s">
        <v>5051</v>
      </c>
    </row>
    <row r="1598" spans="1:1" x14ac:dyDescent="0.25">
      <c r="A1598" t="s">
        <v>5052</v>
      </c>
    </row>
    <row r="1599" spans="1:1" x14ac:dyDescent="0.25">
      <c r="A1599" t="s">
        <v>4834</v>
      </c>
    </row>
    <row r="1600" spans="1:1" x14ac:dyDescent="0.25">
      <c r="A1600" t="s">
        <v>4727</v>
      </c>
    </row>
    <row r="1601" spans="1:1" x14ac:dyDescent="0.25">
      <c r="A1601" t="s">
        <v>4728</v>
      </c>
    </row>
    <row r="1602" spans="1:1" x14ac:dyDescent="0.25">
      <c r="A1602" t="s">
        <v>4729</v>
      </c>
    </row>
    <row r="1603" spans="1:1" x14ac:dyDescent="0.25">
      <c r="A1603" t="s">
        <v>5053</v>
      </c>
    </row>
    <row r="1604" spans="1:1" x14ac:dyDescent="0.25">
      <c r="A1604" t="s">
        <v>4731</v>
      </c>
    </row>
    <row r="1606" spans="1:1" x14ac:dyDescent="0.25">
      <c r="A1606" t="s">
        <v>4722</v>
      </c>
    </row>
    <row r="1607" spans="1:1" x14ac:dyDescent="0.25">
      <c r="A1607" t="s">
        <v>4723</v>
      </c>
    </row>
    <row r="1608" spans="1:1" x14ac:dyDescent="0.25">
      <c r="A1608" t="s">
        <v>5054</v>
      </c>
    </row>
    <row r="1609" spans="1:1" x14ac:dyDescent="0.25">
      <c r="A1609" t="s">
        <v>5055</v>
      </c>
    </row>
    <row r="1610" spans="1:1" x14ac:dyDescent="0.25">
      <c r="A1610" t="s">
        <v>4907</v>
      </c>
    </row>
    <row r="1611" spans="1:1" x14ac:dyDescent="0.25">
      <c r="A1611" t="s">
        <v>4727</v>
      </c>
    </row>
    <row r="1612" spans="1:1" x14ac:dyDescent="0.25">
      <c r="A1612" t="s">
        <v>4728</v>
      </c>
    </row>
    <row r="1613" spans="1:1" x14ac:dyDescent="0.25">
      <c r="A1613" t="s">
        <v>4994</v>
      </c>
    </row>
    <row r="1614" spans="1:1" x14ac:dyDescent="0.25">
      <c r="A1614" t="s">
        <v>5056</v>
      </c>
    </row>
    <row r="1615" spans="1:1" x14ac:dyDescent="0.25">
      <c r="A1615" t="s">
        <v>4731</v>
      </c>
    </row>
    <row r="1617" spans="1:1" x14ac:dyDescent="0.25">
      <c r="A1617" t="s">
        <v>4722</v>
      </c>
    </row>
    <row r="1618" spans="1:1" x14ac:dyDescent="0.25">
      <c r="A1618" t="s">
        <v>4723</v>
      </c>
    </row>
    <row r="1619" spans="1:1" x14ac:dyDescent="0.25">
      <c r="A1619" t="s">
        <v>5057</v>
      </c>
    </row>
    <row r="1620" spans="1:1" x14ac:dyDescent="0.25">
      <c r="A1620" t="s">
        <v>5058</v>
      </c>
    </row>
    <row r="1621" spans="1:1" x14ac:dyDescent="0.25">
      <c r="A1621" t="s">
        <v>5059</v>
      </c>
    </row>
    <row r="1622" spans="1:1" x14ac:dyDescent="0.25">
      <c r="A1622" t="s">
        <v>4727</v>
      </c>
    </row>
    <row r="1623" spans="1:1" x14ac:dyDescent="0.25">
      <c r="A1623" t="s">
        <v>4728</v>
      </c>
    </row>
    <row r="1624" spans="1:1" x14ac:dyDescent="0.25">
      <c r="A1624" t="s">
        <v>4729</v>
      </c>
    </row>
    <row r="1625" spans="1:1" x14ac:dyDescent="0.25">
      <c r="A1625" t="s">
        <v>5060</v>
      </c>
    </row>
    <row r="1626" spans="1:1" x14ac:dyDescent="0.25">
      <c r="A1626" t="s">
        <v>4731</v>
      </c>
    </row>
    <row r="1628" spans="1:1" x14ac:dyDescent="0.25">
      <c r="A1628" t="s">
        <v>4722</v>
      </c>
    </row>
    <row r="1629" spans="1:1" x14ac:dyDescent="0.25">
      <c r="A1629" t="s">
        <v>4723</v>
      </c>
    </row>
    <row r="1630" spans="1:1" x14ac:dyDescent="0.25">
      <c r="A1630" t="s">
        <v>5061</v>
      </c>
    </row>
    <row r="1631" spans="1:1" x14ac:dyDescent="0.25">
      <c r="A1631" t="s">
        <v>5062</v>
      </c>
    </row>
    <row r="1632" spans="1:1" x14ac:dyDescent="0.25">
      <c r="A1632" t="s">
        <v>5063</v>
      </c>
    </row>
    <row r="1633" spans="1:1" x14ac:dyDescent="0.25">
      <c r="A1633" t="s">
        <v>4727</v>
      </c>
    </row>
    <row r="1634" spans="1:1" x14ac:dyDescent="0.25">
      <c r="A1634" t="s">
        <v>4728</v>
      </c>
    </row>
    <row r="1635" spans="1:1" x14ac:dyDescent="0.25">
      <c r="A1635" t="s">
        <v>4729</v>
      </c>
    </row>
    <row r="1636" spans="1:1" x14ac:dyDescent="0.25">
      <c r="A1636" t="s">
        <v>5064</v>
      </c>
    </row>
    <row r="1637" spans="1:1" x14ac:dyDescent="0.25">
      <c r="A1637" t="s">
        <v>4731</v>
      </c>
    </row>
    <row r="1639" spans="1:1" x14ac:dyDescent="0.25">
      <c r="A1639" t="s">
        <v>4722</v>
      </c>
    </row>
    <row r="1640" spans="1:1" x14ac:dyDescent="0.25">
      <c r="A1640" t="s">
        <v>4723</v>
      </c>
    </row>
    <row r="1641" spans="1:1" x14ac:dyDescent="0.25">
      <c r="A1641" t="s">
        <v>5065</v>
      </c>
    </row>
    <row r="1642" spans="1:1" x14ac:dyDescent="0.25">
      <c r="A1642" t="s">
        <v>5066</v>
      </c>
    </row>
    <row r="1643" spans="1:1" x14ac:dyDescent="0.25">
      <c r="A1643" t="s">
        <v>4895</v>
      </c>
    </row>
    <row r="1644" spans="1:1" x14ac:dyDescent="0.25">
      <c r="A1644" t="s">
        <v>4727</v>
      </c>
    </row>
    <row r="1645" spans="1:1" x14ac:dyDescent="0.25">
      <c r="A1645" t="s">
        <v>4728</v>
      </c>
    </row>
    <row r="1646" spans="1:1" x14ac:dyDescent="0.25">
      <c r="A1646" t="s">
        <v>4729</v>
      </c>
    </row>
    <row r="1647" spans="1:1" x14ac:dyDescent="0.25">
      <c r="A1647" t="s">
        <v>5067</v>
      </c>
    </row>
    <row r="1648" spans="1:1" x14ac:dyDescent="0.25">
      <c r="A1648" t="s">
        <v>4731</v>
      </c>
    </row>
    <row r="1650" spans="1:1" x14ac:dyDescent="0.25">
      <c r="A1650" t="s">
        <v>1737</v>
      </c>
    </row>
    <row r="1651" spans="1:1" x14ac:dyDescent="0.25">
      <c r="A1651" t="s">
        <v>1738</v>
      </c>
    </row>
    <row r="1652" spans="1:1" x14ac:dyDescent="0.25">
      <c r="A1652" t="s">
        <v>2204</v>
      </c>
    </row>
    <row r="1653" spans="1:1" x14ac:dyDescent="0.25">
      <c r="A1653" t="s">
        <v>2205</v>
      </c>
    </row>
    <row r="1654" spans="1:1" x14ac:dyDescent="0.25">
      <c r="A1654" t="s">
        <v>2010</v>
      </c>
    </row>
    <row r="1655" spans="1:1" x14ac:dyDescent="0.25">
      <c r="A1655" t="s">
        <v>1753</v>
      </c>
    </row>
    <row r="1656" spans="1:1" x14ac:dyDescent="0.25">
      <c r="A1656" t="s">
        <v>1741</v>
      </c>
    </row>
    <row r="1657" spans="1:1" x14ac:dyDescent="0.25">
      <c r="A1657" t="s">
        <v>1762</v>
      </c>
    </row>
    <row r="1658" spans="1:1" x14ac:dyDescent="0.25">
      <c r="A1658" t="s">
        <v>2206</v>
      </c>
    </row>
    <row r="1659" spans="1:1" x14ac:dyDescent="0.25">
      <c r="A1659" t="s">
        <v>1744</v>
      </c>
    </row>
    <row r="1661" spans="1:1" x14ac:dyDescent="0.25">
      <c r="A1661" t="s">
        <v>4722</v>
      </c>
    </row>
    <row r="1662" spans="1:1" x14ac:dyDescent="0.25">
      <c r="A1662" t="s">
        <v>4723</v>
      </c>
    </row>
    <row r="1663" spans="1:1" x14ac:dyDescent="0.25">
      <c r="A1663" t="s">
        <v>5068</v>
      </c>
    </row>
    <row r="1664" spans="1:1" x14ac:dyDescent="0.25">
      <c r="A1664" t="s">
        <v>5069</v>
      </c>
    </row>
    <row r="1665" spans="1:1" x14ac:dyDescent="0.25">
      <c r="A1665" t="s">
        <v>5070</v>
      </c>
    </row>
    <row r="1666" spans="1:1" x14ac:dyDescent="0.25">
      <c r="A1666" t="s">
        <v>4727</v>
      </c>
    </row>
    <row r="1667" spans="1:1" x14ac:dyDescent="0.25">
      <c r="A1667" t="s">
        <v>4728</v>
      </c>
    </row>
    <row r="1668" spans="1:1" x14ac:dyDescent="0.25">
      <c r="A1668" t="s">
        <v>4729</v>
      </c>
    </row>
    <row r="1669" spans="1:1" x14ac:dyDescent="0.25">
      <c r="A1669" t="s">
        <v>5071</v>
      </c>
    </row>
    <row r="1670" spans="1:1" x14ac:dyDescent="0.25">
      <c r="A1670" t="s">
        <v>4731</v>
      </c>
    </row>
    <row r="1672" spans="1:1" x14ac:dyDescent="0.25">
      <c r="A1672" t="s">
        <v>4722</v>
      </c>
    </row>
    <row r="1673" spans="1:1" x14ac:dyDescent="0.25">
      <c r="A1673" t="s">
        <v>4723</v>
      </c>
    </row>
    <row r="1674" spans="1:1" x14ac:dyDescent="0.25">
      <c r="A1674" t="s">
        <v>5072</v>
      </c>
    </row>
    <row r="1675" spans="1:1" x14ac:dyDescent="0.25">
      <c r="A1675" t="s">
        <v>5073</v>
      </c>
    </row>
    <row r="1676" spans="1:1" x14ac:dyDescent="0.25">
      <c r="A1676" t="s">
        <v>5070</v>
      </c>
    </row>
    <row r="1677" spans="1:1" x14ac:dyDescent="0.25">
      <c r="A1677" t="s">
        <v>4727</v>
      </c>
    </row>
    <row r="1678" spans="1:1" x14ac:dyDescent="0.25">
      <c r="A1678" t="s">
        <v>4728</v>
      </c>
    </row>
    <row r="1679" spans="1:1" x14ac:dyDescent="0.25">
      <c r="A1679" t="s">
        <v>4994</v>
      </c>
    </row>
    <row r="1680" spans="1:1" x14ac:dyDescent="0.25">
      <c r="A1680" t="s">
        <v>5074</v>
      </c>
    </row>
    <row r="1681" spans="1:1" x14ac:dyDescent="0.25">
      <c r="A1681" t="s">
        <v>4731</v>
      </c>
    </row>
    <row r="1683" spans="1:1" x14ac:dyDescent="0.25">
      <c r="A1683" t="s">
        <v>1737</v>
      </c>
    </row>
    <row r="1684" spans="1:1" x14ac:dyDescent="0.25">
      <c r="A1684" t="s">
        <v>1738</v>
      </c>
    </row>
    <row r="1685" spans="1:1" x14ac:dyDescent="0.25">
      <c r="A1685" t="s">
        <v>2214</v>
      </c>
    </row>
    <row r="1686" spans="1:1" x14ac:dyDescent="0.25">
      <c r="A1686" t="s">
        <v>2215</v>
      </c>
    </row>
    <row r="1687" spans="1:1" x14ac:dyDescent="0.25">
      <c r="A1687" t="s">
        <v>2209</v>
      </c>
    </row>
    <row r="1688" spans="1:1" x14ac:dyDescent="0.25">
      <c r="A1688" t="s">
        <v>1753</v>
      </c>
    </row>
    <row r="1689" spans="1:1" x14ac:dyDescent="0.25">
      <c r="A1689" t="s">
        <v>1741</v>
      </c>
    </row>
    <row r="1690" spans="1:1" x14ac:dyDescent="0.25">
      <c r="A1690" t="s">
        <v>1762</v>
      </c>
    </row>
    <row r="1691" spans="1:1" x14ac:dyDescent="0.25">
      <c r="A1691" t="s">
        <v>2216</v>
      </c>
    </row>
    <row r="1692" spans="1:1" x14ac:dyDescent="0.25">
      <c r="A1692" t="s">
        <v>1744</v>
      </c>
    </row>
    <row r="1694" spans="1:1" x14ac:dyDescent="0.25">
      <c r="A1694" t="s">
        <v>1737</v>
      </c>
    </row>
    <row r="1695" spans="1:1" x14ac:dyDescent="0.25">
      <c r="A1695" t="s">
        <v>1738</v>
      </c>
    </row>
    <row r="1696" spans="1:1" x14ac:dyDescent="0.25">
      <c r="A1696" t="s">
        <v>2217</v>
      </c>
    </row>
    <row r="1697" spans="1:1" x14ac:dyDescent="0.25">
      <c r="A1697" t="s">
        <v>2218</v>
      </c>
    </row>
    <row r="1698" spans="1:1" x14ac:dyDescent="0.25">
      <c r="A1698" t="s">
        <v>2209</v>
      </c>
    </row>
    <row r="1699" spans="1:1" x14ac:dyDescent="0.25">
      <c r="A1699" t="s">
        <v>1753</v>
      </c>
    </row>
    <row r="1700" spans="1:1" x14ac:dyDescent="0.25">
      <c r="A1700" t="s">
        <v>1741</v>
      </c>
    </row>
    <row r="1701" spans="1:1" x14ac:dyDescent="0.25">
      <c r="A1701" t="s">
        <v>2219</v>
      </c>
    </row>
    <row r="1702" spans="1:1" x14ac:dyDescent="0.25">
      <c r="A1702" t="s">
        <v>2220</v>
      </c>
    </row>
    <row r="1703" spans="1:1" x14ac:dyDescent="0.25">
      <c r="A1703" t="s">
        <v>1744</v>
      </c>
    </row>
    <row r="1705" spans="1:1" x14ac:dyDescent="0.25">
      <c r="A1705" t="s">
        <v>4722</v>
      </c>
    </row>
    <row r="1706" spans="1:1" x14ac:dyDescent="0.25">
      <c r="A1706" t="s">
        <v>4723</v>
      </c>
    </row>
    <row r="1707" spans="1:1" x14ac:dyDescent="0.25">
      <c r="A1707" t="s">
        <v>5075</v>
      </c>
    </row>
    <row r="1708" spans="1:1" x14ac:dyDescent="0.25">
      <c r="A1708" t="s">
        <v>5076</v>
      </c>
    </row>
    <row r="1709" spans="1:1" x14ac:dyDescent="0.25">
      <c r="A1709" t="s">
        <v>5077</v>
      </c>
    </row>
    <row r="1710" spans="1:1" x14ac:dyDescent="0.25">
      <c r="A1710" t="s">
        <v>4727</v>
      </c>
    </row>
    <row r="1711" spans="1:1" x14ac:dyDescent="0.25">
      <c r="A1711" t="s">
        <v>4728</v>
      </c>
    </row>
    <row r="1712" spans="1:1" x14ac:dyDescent="0.25">
      <c r="A1712" t="s">
        <v>4729</v>
      </c>
    </row>
    <row r="1713" spans="1:1" x14ac:dyDescent="0.25">
      <c r="A1713" t="s">
        <v>5078</v>
      </c>
    </row>
    <row r="1714" spans="1:1" x14ac:dyDescent="0.25">
      <c r="A1714" t="s">
        <v>4731</v>
      </c>
    </row>
    <row r="1716" spans="1:1" x14ac:dyDescent="0.25">
      <c r="A1716" t="s">
        <v>1737</v>
      </c>
    </row>
    <row r="1717" spans="1:1" x14ac:dyDescent="0.25">
      <c r="A1717" t="s">
        <v>1738</v>
      </c>
    </row>
    <row r="1718" spans="1:1" x14ac:dyDescent="0.25">
      <c r="A1718" t="s">
        <v>2225</v>
      </c>
    </row>
    <row r="1719" spans="1:1" x14ac:dyDescent="0.25">
      <c r="A1719" t="s">
        <v>2226</v>
      </c>
    </row>
    <row r="1720" spans="1:1" x14ac:dyDescent="0.25">
      <c r="A1720" t="s">
        <v>1990</v>
      </c>
    </row>
    <row r="1721" spans="1:1" x14ac:dyDescent="0.25">
      <c r="A1721" t="s">
        <v>1753</v>
      </c>
    </row>
    <row r="1722" spans="1:1" x14ac:dyDescent="0.25">
      <c r="A1722" t="s">
        <v>1741</v>
      </c>
    </row>
    <row r="1723" spans="1:1" x14ac:dyDescent="0.25">
      <c r="A1723" t="s">
        <v>1887</v>
      </c>
    </row>
    <row r="1724" spans="1:1" x14ac:dyDescent="0.25">
      <c r="A1724" t="s">
        <v>2227</v>
      </c>
    </row>
    <row r="1725" spans="1:1" x14ac:dyDescent="0.25">
      <c r="A1725" t="s">
        <v>1744</v>
      </c>
    </row>
    <row r="1727" spans="1:1" x14ac:dyDescent="0.25">
      <c r="A1727" t="s">
        <v>4722</v>
      </c>
    </row>
    <row r="1728" spans="1:1" x14ac:dyDescent="0.25">
      <c r="A1728" t="s">
        <v>4723</v>
      </c>
    </row>
    <row r="1729" spans="1:1" x14ac:dyDescent="0.25">
      <c r="A1729" t="s">
        <v>5079</v>
      </c>
    </row>
    <row r="1730" spans="1:1" x14ac:dyDescent="0.25">
      <c r="A1730" t="s">
        <v>5080</v>
      </c>
    </row>
    <row r="1731" spans="1:1" x14ac:dyDescent="0.25">
      <c r="A1731" t="s">
        <v>4895</v>
      </c>
    </row>
    <row r="1732" spans="1:1" x14ac:dyDescent="0.25">
      <c r="A1732" t="s">
        <v>4727</v>
      </c>
    </row>
    <row r="1733" spans="1:1" x14ac:dyDescent="0.25">
      <c r="A1733" t="s">
        <v>4728</v>
      </c>
    </row>
    <row r="1734" spans="1:1" x14ac:dyDescent="0.25">
      <c r="A1734" t="s">
        <v>4792</v>
      </c>
    </row>
    <row r="1735" spans="1:1" x14ac:dyDescent="0.25">
      <c r="A1735" t="s">
        <v>5081</v>
      </c>
    </row>
    <row r="1736" spans="1:1" x14ac:dyDescent="0.25">
      <c r="A1736" t="s">
        <v>4731</v>
      </c>
    </row>
    <row r="1738" spans="1:1" x14ac:dyDescent="0.25">
      <c r="A1738" t="s">
        <v>4722</v>
      </c>
    </row>
    <row r="1739" spans="1:1" x14ac:dyDescent="0.25">
      <c r="A1739" t="s">
        <v>4723</v>
      </c>
    </row>
    <row r="1740" spans="1:1" x14ac:dyDescent="0.25">
      <c r="A1740" t="s">
        <v>5082</v>
      </c>
    </row>
    <row r="1741" spans="1:1" x14ac:dyDescent="0.25">
      <c r="A1741" t="s">
        <v>5083</v>
      </c>
    </row>
    <row r="1742" spans="1:1" x14ac:dyDescent="0.25">
      <c r="A1742" t="s">
        <v>4895</v>
      </c>
    </row>
    <row r="1743" spans="1:1" x14ac:dyDescent="0.25">
      <c r="A1743" t="s">
        <v>4727</v>
      </c>
    </row>
    <row r="1744" spans="1:1" x14ac:dyDescent="0.25">
      <c r="A1744" t="s">
        <v>4728</v>
      </c>
    </row>
    <row r="1745" spans="1:1" x14ac:dyDescent="0.25">
      <c r="A1745" t="s">
        <v>4792</v>
      </c>
    </row>
    <row r="1746" spans="1:1" x14ac:dyDescent="0.25">
      <c r="A1746" t="s">
        <v>5084</v>
      </c>
    </row>
    <row r="1747" spans="1:1" x14ac:dyDescent="0.25">
      <c r="A1747" t="s">
        <v>4731</v>
      </c>
    </row>
    <row r="1749" spans="1:1" x14ac:dyDescent="0.25">
      <c r="A1749" t="s">
        <v>4722</v>
      </c>
    </row>
    <row r="1750" spans="1:1" x14ac:dyDescent="0.25">
      <c r="A1750" t="s">
        <v>4723</v>
      </c>
    </row>
    <row r="1751" spans="1:1" x14ac:dyDescent="0.25">
      <c r="A1751" t="s">
        <v>5085</v>
      </c>
    </row>
    <row r="1752" spans="1:1" x14ac:dyDescent="0.25">
      <c r="A1752" t="s">
        <v>5086</v>
      </c>
    </row>
    <row r="1753" spans="1:1" x14ac:dyDescent="0.25">
      <c r="A1753" t="s">
        <v>4895</v>
      </c>
    </row>
    <row r="1754" spans="1:1" x14ac:dyDescent="0.25">
      <c r="A1754" t="s">
        <v>4727</v>
      </c>
    </row>
    <row r="1755" spans="1:1" x14ac:dyDescent="0.25">
      <c r="A1755" t="s">
        <v>4728</v>
      </c>
    </row>
    <row r="1756" spans="1:1" x14ac:dyDescent="0.25">
      <c r="A1756" t="s">
        <v>4792</v>
      </c>
    </row>
    <row r="1757" spans="1:1" x14ac:dyDescent="0.25">
      <c r="A1757" t="s">
        <v>5087</v>
      </c>
    </row>
    <row r="1758" spans="1:1" x14ac:dyDescent="0.25">
      <c r="A1758" t="s">
        <v>4731</v>
      </c>
    </row>
    <row r="1760" spans="1:1" x14ac:dyDescent="0.25">
      <c r="A1760" t="s">
        <v>4722</v>
      </c>
    </row>
    <row r="1761" spans="1:1" x14ac:dyDescent="0.25">
      <c r="A1761" t="s">
        <v>4723</v>
      </c>
    </row>
    <row r="1762" spans="1:1" x14ac:dyDescent="0.25">
      <c r="A1762" t="s">
        <v>5088</v>
      </c>
    </row>
    <row r="1763" spans="1:1" x14ac:dyDescent="0.25">
      <c r="A1763" t="s">
        <v>5089</v>
      </c>
    </row>
    <row r="1764" spans="1:1" x14ac:dyDescent="0.25">
      <c r="A1764" t="s">
        <v>4891</v>
      </c>
    </row>
    <row r="1765" spans="1:1" x14ac:dyDescent="0.25">
      <c r="A1765" t="s">
        <v>4727</v>
      </c>
    </row>
    <row r="1766" spans="1:1" x14ac:dyDescent="0.25">
      <c r="A1766" t="s">
        <v>4728</v>
      </c>
    </row>
    <row r="1767" spans="1:1" x14ac:dyDescent="0.25">
      <c r="A1767" t="s">
        <v>4729</v>
      </c>
    </row>
    <row r="1768" spans="1:1" x14ac:dyDescent="0.25">
      <c r="A1768" t="s">
        <v>5090</v>
      </c>
    </row>
    <row r="1769" spans="1:1" x14ac:dyDescent="0.25">
      <c r="A1769" t="s">
        <v>4731</v>
      </c>
    </row>
    <row r="1771" spans="1:1" x14ac:dyDescent="0.25">
      <c r="A1771" t="s">
        <v>1737</v>
      </c>
    </row>
    <row r="1772" spans="1:1" x14ac:dyDescent="0.25">
      <c r="A1772" t="s">
        <v>1738</v>
      </c>
    </row>
    <row r="1773" spans="1:1" x14ac:dyDescent="0.25">
      <c r="A1773" t="s">
        <v>2240</v>
      </c>
    </row>
    <row r="1774" spans="1:1" x14ac:dyDescent="0.25">
      <c r="A1774" t="s">
        <v>2241</v>
      </c>
    </row>
    <row r="1775" spans="1:1" x14ac:dyDescent="0.25">
      <c r="A1775" t="s">
        <v>2021</v>
      </c>
    </row>
    <row r="1776" spans="1:1" x14ac:dyDescent="0.25">
      <c r="A1776" t="s">
        <v>1753</v>
      </c>
    </row>
    <row r="1777" spans="1:1" x14ac:dyDescent="0.25">
      <c r="A1777" t="s">
        <v>1741</v>
      </c>
    </row>
    <row r="1778" spans="1:1" x14ac:dyDescent="0.25">
      <c r="A1778" t="s">
        <v>2242</v>
      </c>
    </row>
    <row r="1779" spans="1:1" x14ac:dyDescent="0.25">
      <c r="A1779" t="s">
        <v>2243</v>
      </c>
    </row>
    <row r="1780" spans="1:1" x14ac:dyDescent="0.25">
      <c r="A1780" t="s">
        <v>1744</v>
      </c>
    </row>
    <row r="1782" spans="1:1" x14ac:dyDescent="0.25">
      <c r="A1782" t="s">
        <v>4722</v>
      </c>
    </row>
    <row r="1783" spans="1:1" x14ac:dyDescent="0.25">
      <c r="A1783" t="s">
        <v>4723</v>
      </c>
    </row>
    <row r="1784" spans="1:1" x14ac:dyDescent="0.25">
      <c r="A1784" t="s">
        <v>5091</v>
      </c>
    </row>
    <row r="1785" spans="1:1" x14ac:dyDescent="0.25">
      <c r="A1785" t="s">
        <v>5092</v>
      </c>
    </row>
    <row r="1786" spans="1:1" x14ac:dyDescent="0.25">
      <c r="A1786" t="s">
        <v>4907</v>
      </c>
    </row>
    <row r="1787" spans="1:1" x14ac:dyDescent="0.25">
      <c r="A1787" t="s">
        <v>4727</v>
      </c>
    </row>
    <row r="1788" spans="1:1" x14ac:dyDescent="0.25">
      <c r="A1788" t="s">
        <v>4728</v>
      </c>
    </row>
    <row r="1789" spans="1:1" x14ac:dyDescent="0.25">
      <c r="A1789" t="s">
        <v>4729</v>
      </c>
    </row>
    <row r="1790" spans="1:1" x14ac:dyDescent="0.25">
      <c r="A1790" t="s">
        <v>5093</v>
      </c>
    </row>
    <row r="1791" spans="1:1" x14ac:dyDescent="0.25">
      <c r="A1791" t="s">
        <v>4731</v>
      </c>
    </row>
    <row r="1793" spans="1:1" x14ac:dyDescent="0.25">
      <c r="A1793" t="s">
        <v>4722</v>
      </c>
    </row>
    <row r="1794" spans="1:1" x14ac:dyDescent="0.25">
      <c r="A1794" t="s">
        <v>4723</v>
      </c>
    </row>
    <row r="1795" spans="1:1" x14ac:dyDescent="0.25">
      <c r="A1795" t="s">
        <v>5094</v>
      </c>
    </row>
    <row r="1796" spans="1:1" x14ac:dyDescent="0.25">
      <c r="A1796" t="s">
        <v>5095</v>
      </c>
    </row>
    <row r="1797" spans="1:1" x14ac:dyDescent="0.25">
      <c r="A1797" t="s">
        <v>4895</v>
      </c>
    </row>
    <row r="1798" spans="1:1" x14ac:dyDescent="0.25">
      <c r="A1798" t="s">
        <v>4727</v>
      </c>
    </row>
    <row r="1799" spans="1:1" x14ac:dyDescent="0.25">
      <c r="A1799" t="s">
        <v>4728</v>
      </c>
    </row>
    <row r="1800" spans="1:1" x14ac:dyDescent="0.25">
      <c r="A1800" t="s">
        <v>4792</v>
      </c>
    </row>
    <row r="1801" spans="1:1" x14ac:dyDescent="0.25">
      <c r="A1801" t="s">
        <v>5096</v>
      </c>
    </row>
    <row r="1802" spans="1:1" x14ac:dyDescent="0.25">
      <c r="A1802" t="s">
        <v>4731</v>
      </c>
    </row>
    <row r="1804" spans="1:1" x14ac:dyDescent="0.25">
      <c r="A1804" t="s">
        <v>4722</v>
      </c>
    </row>
    <row r="1805" spans="1:1" x14ac:dyDescent="0.25">
      <c r="A1805" t="s">
        <v>4723</v>
      </c>
    </row>
    <row r="1806" spans="1:1" x14ac:dyDescent="0.25">
      <c r="A1806" t="s">
        <v>5097</v>
      </c>
    </row>
    <row r="1807" spans="1:1" x14ac:dyDescent="0.25">
      <c r="A1807" t="s">
        <v>5098</v>
      </c>
    </row>
    <row r="1808" spans="1:1" x14ac:dyDescent="0.25">
      <c r="A1808" t="s">
        <v>4834</v>
      </c>
    </row>
    <row r="1809" spans="1:1" x14ac:dyDescent="0.25">
      <c r="A1809" t="s">
        <v>4727</v>
      </c>
    </row>
    <row r="1810" spans="1:1" x14ac:dyDescent="0.25">
      <c r="A1810" t="s">
        <v>4728</v>
      </c>
    </row>
    <row r="1811" spans="1:1" x14ac:dyDescent="0.25">
      <c r="A1811" t="s">
        <v>4729</v>
      </c>
    </row>
    <row r="1812" spans="1:1" x14ac:dyDescent="0.25">
      <c r="A1812" t="s">
        <v>5099</v>
      </c>
    </row>
    <row r="1813" spans="1:1" x14ac:dyDescent="0.25">
      <c r="A1813" t="s">
        <v>4731</v>
      </c>
    </row>
    <row r="1815" spans="1:1" x14ac:dyDescent="0.25">
      <c r="A1815" t="s">
        <v>4722</v>
      </c>
    </row>
    <row r="1816" spans="1:1" x14ac:dyDescent="0.25">
      <c r="A1816" t="s">
        <v>4723</v>
      </c>
    </row>
    <row r="1817" spans="1:1" x14ac:dyDescent="0.25">
      <c r="A1817" t="s">
        <v>5100</v>
      </c>
    </row>
    <row r="1818" spans="1:1" x14ac:dyDescent="0.25">
      <c r="A1818" t="s">
        <v>5101</v>
      </c>
    </row>
    <row r="1819" spans="1:1" x14ac:dyDescent="0.25">
      <c r="A1819" t="s">
        <v>4834</v>
      </c>
    </row>
    <row r="1820" spans="1:1" x14ac:dyDescent="0.25">
      <c r="A1820" t="s">
        <v>4727</v>
      </c>
    </row>
    <row r="1821" spans="1:1" x14ac:dyDescent="0.25">
      <c r="A1821" t="s">
        <v>4728</v>
      </c>
    </row>
    <row r="1822" spans="1:1" x14ac:dyDescent="0.25">
      <c r="A1822" t="s">
        <v>4729</v>
      </c>
    </row>
    <row r="1823" spans="1:1" x14ac:dyDescent="0.25">
      <c r="A1823" t="s">
        <v>5102</v>
      </c>
    </row>
    <row r="1824" spans="1:1" x14ac:dyDescent="0.25">
      <c r="A1824" t="s">
        <v>4731</v>
      </c>
    </row>
    <row r="1826" spans="1:1" x14ac:dyDescent="0.25">
      <c r="A1826" t="s">
        <v>4722</v>
      </c>
    </row>
    <row r="1827" spans="1:1" x14ac:dyDescent="0.25">
      <c r="A1827" t="s">
        <v>4723</v>
      </c>
    </row>
    <row r="1828" spans="1:1" x14ac:dyDescent="0.25">
      <c r="A1828" t="s">
        <v>5103</v>
      </c>
    </row>
    <row r="1829" spans="1:1" x14ac:dyDescent="0.25">
      <c r="A1829" t="s">
        <v>5104</v>
      </c>
    </row>
    <row r="1830" spans="1:1" x14ac:dyDescent="0.25">
      <c r="A1830" t="s">
        <v>4834</v>
      </c>
    </row>
    <row r="1831" spans="1:1" x14ac:dyDescent="0.25">
      <c r="A1831" t="s">
        <v>4727</v>
      </c>
    </row>
    <row r="1832" spans="1:1" x14ac:dyDescent="0.25">
      <c r="A1832" t="s">
        <v>4728</v>
      </c>
    </row>
    <row r="1833" spans="1:1" x14ac:dyDescent="0.25">
      <c r="A1833" t="s">
        <v>4729</v>
      </c>
    </row>
    <row r="1834" spans="1:1" x14ac:dyDescent="0.25">
      <c r="A1834" t="s">
        <v>5105</v>
      </c>
    </row>
    <row r="1835" spans="1:1" x14ac:dyDescent="0.25">
      <c r="A1835" t="s">
        <v>4731</v>
      </c>
    </row>
    <row r="1837" spans="1:1" x14ac:dyDescent="0.25">
      <c r="A1837" t="s">
        <v>4722</v>
      </c>
    </row>
    <row r="1838" spans="1:1" x14ac:dyDescent="0.25">
      <c r="A1838" t="s">
        <v>4723</v>
      </c>
    </row>
    <row r="1839" spans="1:1" x14ac:dyDescent="0.25">
      <c r="A1839" t="s">
        <v>5106</v>
      </c>
    </row>
    <row r="1840" spans="1:1" x14ac:dyDescent="0.25">
      <c r="A1840" t="s">
        <v>5107</v>
      </c>
    </row>
    <row r="1841" spans="1:1" x14ac:dyDescent="0.25">
      <c r="A1841" t="s">
        <v>4834</v>
      </c>
    </row>
    <row r="1842" spans="1:1" x14ac:dyDescent="0.25">
      <c r="A1842" t="s">
        <v>4727</v>
      </c>
    </row>
    <row r="1843" spans="1:1" x14ac:dyDescent="0.25">
      <c r="A1843" t="s">
        <v>4728</v>
      </c>
    </row>
    <row r="1844" spans="1:1" x14ac:dyDescent="0.25">
      <c r="A1844" t="s">
        <v>4729</v>
      </c>
    </row>
    <row r="1845" spans="1:1" x14ac:dyDescent="0.25">
      <c r="A1845" t="s">
        <v>5108</v>
      </c>
    </row>
    <row r="1846" spans="1:1" x14ac:dyDescent="0.25">
      <c r="A1846" t="s">
        <v>4731</v>
      </c>
    </row>
    <row r="1848" spans="1:1" x14ac:dyDescent="0.25">
      <c r="A1848" t="s">
        <v>4722</v>
      </c>
    </row>
    <row r="1849" spans="1:1" x14ac:dyDescent="0.25">
      <c r="A1849" t="s">
        <v>4723</v>
      </c>
    </row>
    <row r="1850" spans="1:1" x14ac:dyDescent="0.25">
      <c r="A1850" t="s">
        <v>5109</v>
      </c>
    </row>
    <row r="1851" spans="1:1" x14ac:dyDescent="0.25">
      <c r="A1851" t="s">
        <v>5110</v>
      </c>
    </row>
    <row r="1852" spans="1:1" x14ac:dyDescent="0.25">
      <c r="A1852" t="s">
        <v>4834</v>
      </c>
    </row>
    <row r="1853" spans="1:1" x14ac:dyDescent="0.25">
      <c r="A1853" t="s">
        <v>4727</v>
      </c>
    </row>
    <row r="1854" spans="1:1" x14ac:dyDescent="0.25">
      <c r="A1854" t="s">
        <v>4728</v>
      </c>
    </row>
    <row r="1855" spans="1:1" x14ac:dyDescent="0.25">
      <c r="A1855" t="s">
        <v>4729</v>
      </c>
    </row>
    <row r="1856" spans="1:1" x14ac:dyDescent="0.25">
      <c r="A1856" t="s">
        <v>5111</v>
      </c>
    </row>
    <row r="1857" spans="1:1" x14ac:dyDescent="0.25">
      <c r="A1857" t="s">
        <v>4731</v>
      </c>
    </row>
    <row r="1859" spans="1:1" x14ac:dyDescent="0.25">
      <c r="A1859" t="s">
        <v>4722</v>
      </c>
    </row>
    <row r="1860" spans="1:1" x14ac:dyDescent="0.25">
      <c r="A1860" t="s">
        <v>4723</v>
      </c>
    </row>
    <row r="1861" spans="1:1" x14ac:dyDescent="0.25">
      <c r="A1861" t="s">
        <v>5112</v>
      </c>
    </row>
    <row r="1862" spans="1:1" x14ac:dyDescent="0.25">
      <c r="A1862" t="s">
        <v>4728</v>
      </c>
    </row>
    <row r="1863" spans="1:1" x14ac:dyDescent="0.25">
      <c r="A1863" t="s">
        <v>5113</v>
      </c>
    </row>
    <row r="1864" spans="1:1" x14ac:dyDescent="0.25">
      <c r="A1864" t="s">
        <v>5114</v>
      </c>
    </row>
    <row r="1865" spans="1:1" x14ac:dyDescent="0.25">
      <c r="A1865" t="s">
        <v>4731</v>
      </c>
    </row>
    <row r="1867" spans="1:1" x14ac:dyDescent="0.25">
      <c r="A1867" t="s">
        <v>4722</v>
      </c>
    </row>
    <row r="1868" spans="1:1" x14ac:dyDescent="0.25">
      <c r="A1868" t="s">
        <v>4723</v>
      </c>
    </row>
    <row r="1869" spans="1:1" x14ac:dyDescent="0.25">
      <c r="A1869" t="s">
        <v>5115</v>
      </c>
    </row>
    <row r="1870" spans="1:1" x14ac:dyDescent="0.25">
      <c r="A1870" t="s">
        <v>4728</v>
      </c>
    </row>
    <row r="1871" spans="1:1" x14ac:dyDescent="0.25">
      <c r="A1871" t="s">
        <v>4729</v>
      </c>
    </row>
    <row r="1872" spans="1:1" x14ac:dyDescent="0.25">
      <c r="A1872" t="s">
        <v>5116</v>
      </c>
    </row>
    <row r="1873" spans="1:1" x14ac:dyDescent="0.25">
      <c r="A1873" t="s">
        <v>4731</v>
      </c>
    </row>
    <row r="1875" spans="1:1" x14ac:dyDescent="0.25">
      <c r="A1875" t="s">
        <v>1737</v>
      </c>
    </row>
    <row r="1876" spans="1:1" x14ac:dyDescent="0.25">
      <c r="A1876" t="s">
        <v>1738</v>
      </c>
    </row>
    <row r="1877" spans="1:1" x14ac:dyDescent="0.25">
      <c r="A1877" t="s">
        <v>2270</v>
      </c>
    </row>
    <row r="1878" spans="1:1" x14ac:dyDescent="0.25">
      <c r="A1878" t="s">
        <v>2271</v>
      </c>
    </row>
    <row r="1879" spans="1:1" x14ac:dyDescent="0.25">
      <c r="A1879" t="s">
        <v>1990</v>
      </c>
    </row>
    <row r="1880" spans="1:1" x14ac:dyDescent="0.25">
      <c r="A1880" t="s">
        <v>1753</v>
      </c>
    </row>
    <row r="1881" spans="1:1" x14ac:dyDescent="0.25">
      <c r="A1881" t="s">
        <v>1741</v>
      </c>
    </row>
    <row r="1882" spans="1:1" x14ac:dyDescent="0.25">
      <c r="A1882" t="s">
        <v>1887</v>
      </c>
    </row>
    <row r="1883" spans="1:1" x14ac:dyDescent="0.25">
      <c r="A1883" t="s">
        <v>2272</v>
      </c>
    </row>
    <row r="1884" spans="1:1" x14ac:dyDescent="0.25">
      <c r="A1884" t="s">
        <v>1744</v>
      </c>
    </row>
    <row r="1886" spans="1:1" x14ac:dyDescent="0.25">
      <c r="A1886" t="s">
        <v>4722</v>
      </c>
    </row>
    <row r="1887" spans="1:1" x14ac:dyDescent="0.25">
      <c r="A1887" t="s">
        <v>4723</v>
      </c>
    </row>
    <row r="1888" spans="1:1" x14ac:dyDescent="0.25">
      <c r="A1888" t="s">
        <v>5117</v>
      </c>
    </row>
    <row r="1889" spans="1:1" x14ac:dyDescent="0.25">
      <c r="A1889" t="s">
        <v>5118</v>
      </c>
    </row>
    <row r="1890" spans="1:1" x14ac:dyDescent="0.25">
      <c r="A1890" t="s">
        <v>4834</v>
      </c>
    </row>
    <row r="1891" spans="1:1" x14ac:dyDescent="0.25">
      <c r="A1891" t="s">
        <v>4727</v>
      </c>
    </row>
    <row r="1892" spans="1:1" x14ac:dyDescent="0.25">
      <c r="A1892" t="s">
        <v>4728</v>
      </c>
    </row>
    <row r="1893" spans="1:1" x14ac:dyDescent="0.25">
      <c r="A1893" t="s">
        <v>4729</v>
      </c>
    </row>
    <row r="1894" spans="1:1" x14ac:dyDescent="0.25">
      <c r="A1894" t="s">
        <v>5119</v>
      </c>
    </row>
    <row r="1895" spans="1:1" x14ac:dyDescent="0.25">
      <c r="A1895" t="s">
        <v>4731</v>
      </c>
    </row>
    <row r="1897" spans="1:1" x14ac:dyDescent="0.25">
      <c r="A1897" t="s">
        <v>4722</v>
      </c>
    </row>
    <row r="1898" spans="1:1" x14ac:dyDescent="0.25">
      <c r="A1898" t="s">
        <v>4723</v>
      </c>
    </row>
    <row r="1899" spans="1:1" x14ac:dyDescent="0.25">
      <c r="A1899" t="s">
        <v>5120</v>
      </c>
    </row>
    <row r="1900" spans="1:1" x14ac:dyDescent="0.25">
      <c r="A1900" t="s">
        <v>5121</v>
      </c>
    </row>
    <row r="1901" spans="1:1" x14ac:dyDescent="0.25">
      <c r="A1901" t="s">
        <v>4867</v>
      </c>
    </row>
    <row r="1902" spans="1:1" x14ac:dyDescent="0.25">
      <c r="A1902" t="s">
        <v>4727</v>
      </c>
    </row>
    <row r="1903" spans="1:1" x14ac:dyDescent="0.25">
      <c r="A1903" t="s">
        <v>4728</v>
      </c>
    </row>
    <row r="1904" spans="1:1" x14ac:dyDescent="0.25">
      <c r="A1904" t="s">
        <v>4729</v>
      </c>
    </row>
    <row r="1905" spans="1:1" x14ac:dyDescent="0.25">
      <c r="A1905" t="s">
        <v>5122</v>
      </c>
    </row>
    <row r="1906" spans="1:1" x14ac:dyDescent="0.25">
      <c r="A1906" t="s">
        <v>4731</v>
      </c>
    </row>
    <row r="1908" spans="1:1" x14ac:dyDescent="0.25">
      <c r="A1908" t="s">
        <v>4722</v>
      </c>
    </row>
    <row r="1909" spans="1:1" x14ac:dyDescent="0.25">
      <c r="A1909" t="s">
        <v>4723</v>
      </c>
    </row>
    <row r="1910" spans="1:1" x14ac:dyDescent="0.25">
      <c r="A1910" t="s">
        <v>5123</v>
      </c>
    </row>
    <row r="1911" spans="1:1" x14ac:dyDescent="0.25">
      <c r="A1911" t="s">
        <v>5124</v>
      </c>
    </row>
    <row r="1912" spans="1:1" x14ac:dyDescent="0.25">
      <c r="A1912" t="s">
        <v>4907</v>
      </c>
    </row>
    <row r="1913" spans="1:1" x14ac:dyDescent="0.25">
      <c r="A1913" t="s">
        <v>4727</v>
      </c>
    </row>
    <row r="1914" spans="1:1" x14ac:dyDescent="0.25">
      <c r="A1914" t="s">
        <v>4728</v>
      </c>
    </row>
    <row r="1915" spans="1:1" x14ac:dyDescent="0.25">
      <c r="A1915" t="s">
        <v>4908</v>
      </c>
    </row>
    <row r="1916" spans="1:1" x14ac:dyDescent="0.25">
      <c r="A1916" t="s">
        <v>5125</v>
      </c>
    </row>
    <row r="1917" spans="1:1" x14ac:dyDescent="0.25">
      <c r="A1917" t="s">
        <v>4731</v>
      </c>
    </row>
    <row r="1919" spans="1:1" x14ac:dyDescent="0.25">
      <c r="A1919" t="s">
        <v>4722</v>
      </c>
    </row>
    <row r="1920" spans="1:1" x14ac:dyDescent="0.25">
      <c r="A1920" t="s">
        <v>4723</v>
      </c>
    </row>
    <row r="1921" spans="1:1" x14ac:dyDescent="0.25">
      <c r="A1921" t="s">
        <v>5126</v>
      </c>
    </row>
    <row r="1922" spans="1:1" x14ac:dyDescent="0.25">
      <c r="A1922" t="s">
        <v>5127</v>
      </c>
    </row>
    <row r="1923" spans="1:1" x14ac:dyDescent="0.25">
      <c r="A1923" t="s">
        <v>4867</v>
      </c>
    </row>
    <row r="1924" spans="1:1" x14ac:dyDescent="0.25">
      <c r="A1924" t="s">
        <v>4727</v>
      </c>
    </row>
    <row r="1925" spans="1:1" x14ac:dyDescent="0.25">
      <c r="A1925" t="s">
        <v>4728</v>
      </c>
    </row>
    <row r="1926" spans="1:1" x14ac:dyDescent="0.25">
      <c r="A1926" t="s">
        <v>4729</v>
      </c>
    </row>
    <row r="1927" spans="1:1" x14ac:dyDescent="0.25">
      <c r="A1927" t="s">
        <v>5128</v>
      </c>
    </row>
    <row r="1928" spans="1:1" x14ac:dyDescent="0.25">
      <c r="A1928" t="s">
        <v>4731</v>
      </c>
    </row>
    <row r="1930" spans="1:1" x14ac:dyDescent="0.25">
      <c r="A1930" t="s">
        <v>4722</v>
      </c>
    </row>
    <row r="1931" spans="1:1" x14ac:dyDescent="0.25">
      <c r="A1931" t="s">
        <v>4723</v>
      </c>
    </row>
    <row r="1932" spans="1:1" x14ac:dyDescent="0.25">
      <c r="A1932" t="s">
        <v>5129</v>
      </c>
    </row>
    <row r="1933" spans="1:1" x14ac:dyDescent="0.25">
      <c r="A1933" t="s">
        <v>5130</v>
      </c>
    </row>
    <row r="1934" spans="1:1" x14ac:dyDescent="0.25">
      <c r="A1934" t="s">
        <v>5131</v>
      </c>
    </row>
    <row r="1935" spans="1:1" x14ac:dyDescent="0.25">
      <c r="A1935" t="s">
        <v>4727</v>
      </c>
    </row>
    <row r="1936" spans="1:1" x14ac:dyDescent="0.25">
      <c r="A1936" t="s">
        <v>4728</v>
      </c>
    </row>
    <row r="1937" spans="1:1" x14ac:dyDescent="0.25">
      <c r="A1937" t="s">
        <v>4792</v>
      </c>
    </row>
    <row r="1938" spans="1:1" x14ac:dyDescent="0.25">
      <c r="A1938" t="s">
        <v>5132</v>
      </c>
    </row>
    <row r="1939" spans="1:1" x14ac:dyDescent="0.25">
      <c r="A1939" t="s">
        <v>4731</v>
      </c>
    </row>
    <row r="1941" spans="1:1" x14ac:dyDescent="0.25">
      <c r="A1941" t="s">
        <v>4722</v>
      </c>
    </row>
    <row r="1942" spans="1:1" x14ac:dyDescent="0.25">
      <c r="A1942" t="s">
        <v>4723</v>
      </c>
    </row>
    <row r="1943" spans="1:1" x14ac:dyDescent="0.25">
      <c r="A1943" t="s">
        <v>5133</v>
      </c>
    </row>
    <row r="1944" spans="1:1" x14ac:dyDescent="0.25">
      <c r="A1944" t="s">
        <v>5134</v>
      </c>
    </row>
    <row r="1945" spans="1:1" x14ac:dyDescent="0.25">
      <c r="A1945" t="s">
        <v>5135</v>
      </c>
    </row>
    <row r="1946" spans="1:1" x14ac:dyDescent="0.25">
      <c r="A1946" t="s">
        <v>4727</v>
      </c>
    </row>
    <row r="1947" spans="1:1" x14ac:dyDescent="0.25">
      <c r="A1947" t="s">
        <v>4728</v>
      </c>
    </row>
    <row r="1948" spans="1:1" x14ac:dyDescent="0.25">
      <c r="A1948" t="s">
        <v>4792</v>
      </c>
    </row>
    <row r="1949" spans="1:1" x14ac:dyDescent="0.25">
      <c r="A1949" t="s">
        <v>5136</v>
      </c>
    </row>
    <row r="1950" spans="1:1" x14ac:dyDescent="0.25">
      <c r="A1950" t="s">
        <v>4731</v>
      </c>
    </row>
    <row r="1952" spans="1:1" x14ac:dyDescent="0.25">
      <c r="A1952" t="s">
        <v>4722</v>
      </c>
    </row>
    <row r="1953" spans="1:1" x14ac:dyDescent="0.25">
      <c r="A1953" t="s">
        <v>4723</v>
      </c>
    </row>
    <row r="1954" spans="1:1" x14ac:dyDescent="0.25">
      <c r="A1954" t="s">
        <v>5137</v>
      </c>
    </row>
    <row r="1955" spans="1:1" x14ac:dyDescent="0.25">
      <c r="A1955" t="s">
        <v>5138</v>
      </c>
    </row>
    <row r="1956" spans="1:1" x14ac:dyDescent="0.25">
      <c r="A1956" t="s">
        <v>4867</v>
      </c>
    </row>
    <row r="1957" spans="1:1" x14ac:dyDescent="0.25">
      <c r="A1957" t="s">
        <v>4727</v>
      </c>
    </row>
    <row r="1958" spans="1:1" x14ac:dyDescent="0.25">
      <c r="A1958" t="s">
        <v>4728</v>
      </c>
    </row>
    <row r="1959" spans="1:1" x14ac:dyDescent="0.25">
      <c r="A1959" t="s">
        <v>5139</v>
      </c>
    </row>
    <row r="1960" spans="1:1" x14ac:dyDescent="0.25">
      <c r="A1960" t="s">
        <v>5140</v>
      </c>
    </row>
    <row r="1961" spans="1:1" x14ac:dyDescent="0.25">
      <c r="A1961" t="s">
        <v>4731</v>
      </c>
    </row>
    <row r="1963" spans="1:1" x14ac:dyDescent="0.25">
      <c r="A1963" t="s">
        <v>4722</v>
      </c>
    </row>
    <row r="1964" spans="1:1" x14ac:dyDescent="0.25">
      <c r="A1964" t="s">
        <v>4723</v>
      </c>
    </row>
    <row r="1965" spans="1:1" x14ac:dyDescent="0.25">
      <c r="A1965" t="s">
        <v>5141</v>
      </c>
    </row>
    <row r="1966" spans="1:1" x14ac:dyDescent="0.25">
      <c r="A1966" t="s">
        <v>5142</v>
      </c>
    </row>
    <row r="1967" spans="1:1" x14ac:dyDescent="0.25">
      <c r="A1967" t="s">
        <v>4895</v>
      </c>
    </row>
    <row r="1968" spans="1:1" x14ac:dyDescent="0.25">
      <c r="A1968" t="s">
        <v>4727</v>
      </c>
    </row>
    <row r="1969" spans="1:1" x14ac:dyDescent="0.25">
      <c r="A1969" t="s">
        <v>4728</v>
      </c>
    </row>
    <row r="1970" spans="1:1" x14ac:dyDescent="0.25">
      <c r="A1970" t="s">
        <v>4792</v>
      </c>
    </row>
    <row r="1971" spans="1:1" x14ac:dyDescent="0.25">
      <c r="A1971" t="s">
        <v>5143</v>
      </c>
    </row>
    <row r="1972" spans="1:1" x14ac:dyDescent="0.25">
      <c r="A1972" t="s">
        <v>4731</v>
      </c>
    </row>
    <row r="1974" spans="1:1" x14ac:dyDescent="0.25">
      <c r="A1974" t="s">
        <v>1737</v>
      </c>
    </row>
    <row r="1975" spans="1:1" x14ac:dyDescent="0.25">
      <c r="A1975" t="s">
        <v>1738</v>
      </c>
    </row>
    <row r="1976" spans="1:1" x14ac:dyDescent="0.25">
      <c r="A1976" t="s">
        <v>2299</v>
      </c>
    </row>
    <row r="1977" spans="1:1" x14ac:dyDescent="0.25">
      <c r="A1977" t="s">
        <v>2300</v>
      </c>
    </row>
    <row r="1978" spans="1:1" x14ac:dyDescent="0.25">
      <c r="A1978" t="s">
        <v>2301</v>
      </c>
    </row>
    <row r="1979" spans="1:1" x14ac:dyDescent="0.25">
      <c r="A1979" t="s">
        <v>1753</v>
      </c>
    </row>
    <row r="1980" spans="1:1" x14ac:dyDescent="0.25">
      <c r="A1980" t="s">
        <v>1741</v>
      </c>
    </row>
    <row r="1981" spans="1:1" x14ac:dyDescent="0.25">
      <c r="A1981" t="s">
        <v>1762</v>
      </c>
    </row>
    <row r="1982" spans="1:1" x14ac:dyDescent="0.25">
      <c r="A1982" t="s">
        <v>2302</v>
      </c>
    </row>
    <row r="1983" spans="1:1" x14ac:dyDescent="0.25">
      <c r="A1983" t="s">
        <v>1744</v>
      </c>
    </row>
    <row r="1985" spans="1:1" x14ac:dyDescent="0.25">
      <c r="A1985" t="s">
        <v>4722</v>
      </c>
    </row>
    <row r="1986" spans="1:1" x14ac:dyDescent="0.25">
      <c r="A1986" t="s">
        <v>4723</v>
      </c>
    </row>
    <row r="1987" spans="1:1" x14ac:dyDescent="0.25">
      <c r="A1987" t="s">
        <v>5144</v>
      </c>
    </row>
    <row r="1988" spans="1:1" x14ac:dyDescent="0.25">
      <c r="A1988" t="s">
        <v>5145</v>
      </c>
    </row>
    <row r="1989" spans="1:1" x14ac:dyDescent="0.25">
      <c r="A1989" t="s">
        <v>5070</v>
      </c>
    </row>
    <row r="1990" spans="1:1" x14ac:dyDescent="0.25">
      <c r="A1990" t="s">
        <v>4727</v>
      </c>
    </row>
    <row r="1991" spans="1:1" x14ac:dyDescent="0.25">
      <c r="A1991" t="s">
        <v>4728</v>
      </c>
    </row>
    <row r="1992" spans="1:1" x14ac:dyDescent="0.25">
      <c r="A1992" t="s">
        <v>4792</v>
      </c>
    </row>
    <row r="1993" spans="1:1" x14ac:dyDescent="0.25">
      <c r="A1993" t="s">
        <v>5146</v>
      </c>
    </row>
    <row r="1994" spans="1:1" x14ac:dyDescent="0.25">
      <c r="A1994" t="s">
        <v>4731</v>
      </c>
    </row>
    <row r="1996" spans="1:1" x14ac:dyDescent="0.25">
      <c r="A1996" t="s">
        <v>4722</v>
      </c>
    </row>
    <row r="1997" spans="1:1" x14ac:dyDescent="0.25">
      <c r="A1997" t="s">
        <v>4723</v>
      </c>
    </row>
    <row r="1998" spans="1:1" x14ac:dyDescent="0.25">
      <c r="A1998" t="s">
        <v>5147</v>
      </c>
    </row>
    <row r="1999" spans="1:1" x14ac:dyDescent="0.25">
      <c r="A1999" t="s">
        <v>5148</v>
      </c>
    </row>
    <row r="2000" spans="1:1" x14ac:dyDescent="0.25">
      <c r="A2000" t="s">
        <v>5070</v>
      </c>
    </row>
    <row r="2001" spans="1:1" x14ac:dyDescent="0.25">
      <c r="A2001" t="s">
        <v>4727</v>
      </c>
    </row>
    <row r="2002" spans="1:1" x14ac:dyDescent="0.25">
      <c r="A2002" t="s">
        <v>4728</v>
      </c>
    </row>
    <row r="2003" spans="1:1" x14ac:dyDescent="0.25">
      <c r="A2003" t="s">
        <v>4792</v>
      </c>
    </row>
    <row r="2004" spans="1:1" x14ac:dyDescent="0.25">
      <c r="A2004" t="s">
        <v>5149</v>
      </c>
    </row>
    <row r="2005" spans="1:1" x14ac:dyDescent="0.25">
      <c r="A2005" t="s">
        <v>4731</v>
      </c>
    </row>
    <row r="2007" spans="1:1" x14ac:dyDescent="0.25">
      <c r="A2007" t="s">
        <v>4722</v>
      </c>
    </row>
    <row r="2008" spans="1:1" x14ac:dyDescent="0.25">
      <c r="A2008" t="s">
        <v>4723</v>
      </c>
    </row>
    <row r="2009" spans="1:1" x14ac:dyDescent="0.25">
      <c r="A2009" t="s">
        <v>5150</v>
      </c>
    </row>
    <row r="2010" spans="1:1" x14ac:dyDescent="0.25">
      <c r="A2010" t="s">
        <v>5151</v>
      </c>
    </row>
    <row r="2011" spans="1:1" x14ac:dyDescent="0.25">
      <c r="A2011" t="s">
        <v>5070</v>
      </c>
    </row>
    <row r="2012" spans="1:1" x14ac:dyDescent="0.25">
      <c r="A2012" t="s">
        <v>4727</v>
      </c>
    </row>
    <row r="2013" spans="1:1" x14ac:dyDescent="0.25">
      <c r="A2013" t="s">
        <v>4728</v>
      </c>
    </row>
    <row r="2014" spans="1:1" x14ac:dyDescent="0.25">
      <c r="A2014" t="s">
        <v>4792</v>
      </c>
    </row>
    <row r="2015" spans="1:1" x14ac:dyDescent="0.25">
      <c r="A2015" t="s">
        <v>5152</v>
      </c>
    </row>
    <row r="2016" spans="1:1" x14ac:dyDescent="0.25">
      <c r="A2016" t="s">
        <v>4731</v>
      </c>
    </row>
    <row r="2018" spans="1:1" x14ac:dyDescent="0.25">
      <c r="A2018" t="s">
        <v>1737</v>
      </c>
    </row>
    <row r="2019" spans="1:1" x14ac:dyDescent="0.25">
      <c r="A2019" t="s">
        <v>1738</v>
      </c>
    </row>
    <row r="2020" spans="1:1" x14ac:dyDescent="0.25">
      <c r="A2020" t="s">
        <v>2312</v>
      </c>
    </row>
    <row r="2021" spans="1:1" x14ac:dyDescent="0.25">
      <c r="A2021" t="s">
        <v>2313</v>
      </c>
    </row>
    <row r="2022" spans="1:1" x14ac:dyDescent="0.25">
      <c r="A2022" t="s">
        <v>2209</v>
      </c>
    </row>
    <row r="2023" spans="1:1" x14ac:dyDescent="0.25">
      <c r="A2023" t="s">
        <v>1753</v>
      </c>
    </row>
    <row r="2024" spans="1:1" x14ac:dyDescent="0.25">
      <c r="A2024" t="s">
        <v>1741</v>
      </c>
    </row>
    <row r="2025" spans="1:1" x14ac:dyDescent="0.25">
      <c r="A2025" t="s">
        <v>1887</v>
      </c>
    </row>
    <row r="2026" spans="1:1" x14ac:dyDescent="0.25">
      <c r="A2026" t="s">
        <v>2314</v>
      </c>
    </row>
    <row r="2027" spans="1:1" x14ac:dyDescent="0.25">
      <c r="A2027" t="s">
        <v>1744</v>
      </c>
    </row>
    <row r="2029" spans="1:1" x14ac:dyDescent="0.25">
      <c r="A2029" t="s">
        <v>1737</v>
      </c>
    </row>
    <row r="2030" spans="1:1" x14ac:dyDescent="0.25">
      <c r="A2030" t="s">
        <v>1738</v>
      </c>
    </row>
    <row r="2031" spans="1:1" x14ac:dyDescent="0.25">
      <c r="A2031" t="s">
        <v>2315</v>
      </c>
    </row>
    <row r="2032" spans="1:1" x14ac:dyDescent="0.25">
      <c r="A2032" t="s">
        <v>2316</v>
      </c>
    </row>
    <row r="2033" spans="1:1" x14ac:dyDescent="0.25">
      <c r="A2033" t="s">
        <v>2209</v>
      </c>
    </row>
    <row r="2034" spans="1:1" x14ac:dyDescent="0.25">
      <c r="A2034" t="s">
        <v>1753</v>
      </c>
    </row>
    <row r="2035" spans="1:1" x14ac:dyDescent="0.25">
      <c r="A2035" t="s">
        <v>1741</v>
      </c>
    </row>
    <row r="2036" spans="1:1" x14ac:dyDescent="0.25">
      <c r="A2036" t="s">
        <v>1887</v>
      </c>
    </row>
    <row r="2037" spans="1:1" x14ac:dyDescent="0.25">
      <c r="A2037" t="s">
        <v>2317</v>
      </c>
    </row>
    <row r="2038" spans="1:1" x14ac:dyDescent="0.25">
      <c r="A2038" t="s">
        <v>1744</v>
      </c>
    </row>
    <row r="2040" spans="1:1" x14ac:dyDescent="0.25">
      <c r="A2040" t="s">
        <v>4722</v>
      </c>
    </row>
    <row r="2041" spans="1:1" x14ac:dyDescent="0.25">
      <c r="A2041" t="s">
        <v>4723</v>
      </c>
    </row>
    <row r="2042" spans="1:1" x14ac:dyDescent="0.25">
      <c r="A2042" t="s">
        <v>5153</v>
      </c>
    </row>
    <row r="2043" spans="1:1" x14ac:dyDescent="0.25">
      <c r="A2043" t="s">
        <v>5154</v>
      </c>
    </row>
    <row r="2044" spans="1:1" x14ac:dyDescent="0.25">
      <c r="A2044" t="s">
        <v>5155</v>
      </c>
    </row>
    <row r="2045" spans="1:1" x14ac:dyDescent="0.25">
      <c r="A2045" t="s">
        <v>4727</v>
      </c>
    </row>
    <row r="2046" spans="1:1" x14ac:dyDescent="0.25">
      <c r="A2046" t="s">
        <v>4728</v>
      </c>
    </row>
    <row r="2047" spans="1:1" x14ac:dyDescent="0.25">
      <c r="A2047" t="s">
        <v>4729</v>
      </c>
    </row>
    <row r="2048" spans="1:1" x14ac:dyDescent="0.25">
      <c r="A2048" t="s">
        <v>5156</v>
      </c>
    </row>
    <row r="2049" spans="1:1" x14ac:dyDescent="0.25">
      <c r="A2049" t="s">
        <v>4731</v>
      </c>
    </row>
    <row r="2051" spans="1:1" x14ac:dyDescent="0.25">
      <c r="A2051" t="s">
        <v>4722</v>
      </c>
    </row>
    <row r="2052" spans="1:1" x14ac:dyDescent="0.25">
      <c r="A2052" t="s">
        <v>4723</v>
      </c>
    </row>
    <row r="2053" spans="1:1" x14ac:dyDescent="0.25">
      <c r="A2053" t="s">
        <v>5157</v>
      </c>
    </row>
    <row r="2054" spans="1:1" x14ac:dyDescent="0.25">
      <c r="A2054" t="s">
        <v>5158</v>
      </c>
    </row>
    <row r="2055" spans="1:1" x14ac:dyDescent="0.25">
      <c r="A2055" t="s">
        <v>5159</v>
      </c>
    </row>
    <row r="2056" spans="1:1" x14ac:dyDescent="0.25">
      <c r="A2056" t="s">
        <v>4727</v>
      </c>
    </row>
    <row r="2057" spans="1:1" x14ac:dyDescent="0.25">
      <c r="A2057" t="s">
        <v>4728</v>
      </c>
    </row>
    <row r="2058" spans="1:1" x14ac:dyDescent="0.25">
      <c r="A2058" t="s">
        <v>4729</v>
      </c>
    </row>
    <row r="2059" spans="1:1" x14ac:dyDescent="0.25">
      <c r="A2059" t="s">
        <v>5160</v>
      </c>
    </row>
    <row r="2060" spans="1:1" x14ac:dyDescent="0.25">
      <c r="A2060" t="s">
        <v>4731</v>
      </c>
    </row>
    <row r="2062" spans="1:1" x14ac:dyDescent="0.25">
      <c r="A2062" t="s">
        <v>1737</v>
      </c>
    </row>
    <row r="2063" spans="1:1" x14ac:dyDescent="0.25">
      <c r="A2063" t="s">
        <v>1738</v>
      </c>
    </row>
    <row r="2064" spans="1:1" x14ac:dyDescent="0.25">
      <c r="A2064" t="s">
        <v>2326</v>
      </c>
    </row>
    <row r="2065" spans="1:1" x14ac:dyDescent="0.25">
      <c r="A2065" t="s">
        <v>2327</v>
      </c>
    </row>
    <row r="2066" spans="1:1" x14ac:dyDescent="0.25">
      <c r="A2066" t="s">
        <v>1990</v>
      </c>
    </row>
    <row r="2067" spans="1:1" x14ac:dyDescent="0.25">
      <c r="A2067" t="s">
        <v>1753</v>
      </c>
    </row>
    <row r="2068" spans="1:1" x14ac:dyDescent="0.25">
      <c r="A2068" t="s">
        <v>1741</v>
      </c>
    </row>
    <row r="2069" spans="1:1" x14ac:dyDescent="0.25">
      <c r="A2069" t="s">
        <v>1887</v>
      </c>
    </row>
    <row r="2070" spans="1:1" x14ac:dyDescent="0.25">
      <c r="A2070" t="s">
        <v>2328</v>
      </c>
    </row>
    <row r="2071" spans="1:1" x14ac:dyDescent="0.25">
      <c r="A2071" t="s">
        <v>1744</v>
      </c>
    </row>
    <row r="2073" spans="1:1" x14ac:dyDescent="0.25">
      <c r="A2073" t="s">
        <v>1737</v>
      </c>
    </row>
    <row r="2074" spans="1:1" x14ac:dyDescent="0.25">
      <c r="A2074" t="s">
        <v>1738</v>
      </c>
    </row>
    <row r="2075" spans="1:1" x14ac:dyDescent="0.25">
      <c r="A2075" t="s">
        <v>2329</v>
      </c>
    </row>
    <row r="2076" spans="1:1" x14ac:dyDescent="0.25">
      <c r="A2076" t="s">
        <v>2330</v>
      </c>
    </row>
    <row r="2077" spans="1:1" x14ac:dyDescent="0.25">
      <c r="A2077" t="s">
        <v>1990</v>
      </c>
    </row>
    <row r="2078" spans="1:1" x14ac:dyDescent="0.25">
      <c r="A2078" t="s">
        <v>1753</v>
      </c>
    </row>
    <row r="2079" spans="1:1" x14ac:dyDescent="0.25">
      <c r="A2079" t="s">
        <v>1741</v>
      </c>
    </row>
    <row r="2080" spans="1:1" x14ac:dyDescent="0.25">
      <c r="A2080" t="s">
        <v>1887</v>
      </c>
    </row>
    <row r="2081" spans="1:1" x14ac:dyDescent="0.25">
      <c r="A2081" t="s">
        <v>2331</v>
      </c>
    </row>
    <row r="2082" spans="1:1" x14ac:dyDescent="0.25">
      <c r="A2082" t="s">
        <v>1744</v>
      </c>
    </row>
    <row r="2084" spans="1:1" x14ac:dyDescent="0.25">
      <c r="A2084" t="s">
        <v>4722</v>
      </c>
    </row>
    <row r="2085" spans="1:1" x14ac:dyDescent="0.25">
      <c r="A2085" t="s">
        <v>4723</v>
      </c>
    </row>
    <row r="2086" spans="1:1" x14ac:dyDescent="0.25">
      <c r="A2086" t="s">
        <v>5161</v>
      </c>
    </row>
    <row r="2087" spans="1:1" x14ac:dyDescent="0.25">
      <c r="A2087" t="s">
        <v>5162</v>
      </c>
    </row>
    <row r="2088" spans="1:1" x14ac:dyDescent="0.25">
      <c r="A2088" t="s">
        <v>4834</v>
      </c>
    </row>
    <row r="2089" spans="1:1" x14ac:dyDescent="0.25">
      <c r="A2089" t="s">
        <v>4727</v>
      </c>
    </row>
    <row r="2090" spans="1:1" x14ac:dyDescent="0.25">
      <c r="A2090" t="s">
        <v>4728</v>
      </c>
    </row>
    <row r="2091" spans="1:1" x14ac:dyDescent="0.25">
      <c r="A2091" t="s">
        <v>4729</v>
      </c>
    </row>
    <row r="2092" spans="1:1" x14ac:dyDescent="0.25">
      <c r="A2092" t="s">
        <v>5163</v>
      </c>
    </row>
    <row r="2093" spans="1:1" x14ac:dyDescent="0.25">
      <c r="A2093" t="s">
        <v>4731</v>
      </c>
    </row>
    <row r="2095" spans="1:1" x14ac:dyDescent="0.25">
      <c r="A2095" t="s">
        <v>4722</v>
      </c>
    </row>
    <row r="2096" spans="1:1" x14ac:dyDescent="0.25">
      <c r="A2096" t="s">
        <v>4723</v>
      </c>
    </row>
    <row r="2097" spans="1:1" x14ac:dyDescent="0.25">
      <c r="A2097" t="s">
        <v>5164</v>
      </c>
    </row>
    <row r="2098" spans="1:1" x14ac:dyDescent="0.25">
      <c r="A2098" t="s">
        <v>5165</v>
      </c>
    </row>
    <row r="2099" spans="1:1" x14ac:dyDescent="0.25">
      <c r="A2099" t="s">
        <v>4918</v>
      </c>
    </row>
    <row r="2100" spans="1:1" x14ac:dyDescent="0.25">
      <c r="A2100" t="s">
        <v>4727</v>
      </c>
    </row>
    <row r="2101" spans="1:1" x14ac:dyDescent="0.25">
      <c r="A2101" t="s">
        <v>4728</v>
      </c>
    </row>
    <row r="2102" spans="1:1" x14ac:dyDescent="0.25">
      <c r="A2102" t="s">
        <v>4792</v>
      </c>
    </row>
    <row r="2103" spans="1:1" x14ac:dyDescent="0.25">
      <c r="A2103" t="s">
        <v>5166</v>
      </c>
    </row>
    <row r="2104" spans="1:1" x14ac:dyDescent="0.25">
      <c r="A2104" t="s">
        <v>4731</v>
      </c>
    </row>
    <row r="2106" spans="1:1" x14ac:dyDescent="0.25">
      <c r="A2106" t="s">
        <v>1737</v>
      </c>
    </row>
    <row r="2107" spans="1:1" x14ac:dyDescent="0.25">
      <c r="A2107" t="s">
        <v>1738</v>
      </c>
    </row>
    <row r="2108" spans="1:1" x14ac:dyDescent="0.25">
      <c r="A2108" t="s">
        <v>2338</v>
      </c>
    </row>
    <row r="2109" spans="1:1" x14ac:dyDescent="0.25">
      <c r="A2109" t="s">
        <v>2339</v>
      </c>
    </row>
    <row r="2110" spans="1:1" x14ac:dyDescent="0.25">
      <c r="A2110" t="s">
        <v>2021</v>
      </c>
    </row>
    <row r="2111" spans="1:1" x14ac:dyDescent="0.25">
      <c r="A2111" t="s">
        <v>1753</v>
      </c>
    </row>
    <row r="2112" spans="1:1" x14ac:dyDescent="0.25">
      <c r="A2112" t="s">
        <v>1741</v>
      </c>
    </row>
    <row r="2113" spans="1:1" x14ac:dyDescent="0.25">
      <c r="A2113" t="s">
        <v>1887</v>
      </c>
    </row>
    <row r="2114" spans="1:1" x14ac:dyDescent="0.25">
      <c r="A2114" t="s">
        <v>2340</v>
      </c>
    </row>
    <row r="2115" spans="1:1" x14ac:dyDescent="0.25">
      <c r="A2115" t="s">
        <v>1744</v>
      </c>
    </row>
    <row r="2117" spans="1:1" x14ac:dyDescent="0.25">
      <c r="A2117" t="s">
        <v>4722</v>
      </c>
    </row>
    <row r="2118" spans="1:1" x14ac:dyDescent="0.25">
      <c r="A2118" t="s">
        <v>4723</v>
      </c>
    </row>
    <row r="2119" spans="1:1" x14ac:dyDescent="0.25">
      <c r="A2119" t="s">
        <v>5167</v>
      </c>
    </row>
    <row r="2120" spans="1:1" x14ac:dyDescent="0.25">
      <c r="A2120" t="s">
        <v>5168</v>
      </c>
    </row>
    <row r="2121" spans="1:1" x14ac:dyDescent="0.25">
      <c r="A2121" t="s">
        <v>4918</v>
      </c>
    </row>
    <row r="2122" spans="1:1" x14ac:dyDescent="0.25">
      <c r="A2122" t="s">
        <v>4727</v>
      </c>
    </row>
    <row r="2123" spans="1:1" x14ac:dyDescent="0.25">
      <c r="A2123" t="s">
        <v>4728</v>
      </c>
    </row>
    <row r="2124" spans="1:1" x14ac:dyDescent="0.25">
      <c r="A2124" t="s">
        <v>4792</v>
      </c>
    </row>
    <row r="2125" spans="1:1" x14ac:dyDescent="0.25">
      <c r="A2125" t="s">
        <v>5169</v>
      </c>
    </row>
    <row r="2126" spans="1:1" x14ac:dyDescent="0.25">
      <c r="A2126" t="s">
        <v>4731</v>
      </c>
    </row>
    <row r="2128" spans="1:1" x14ac:dyDescent="0.25">
      <c r="A2128" t="s">
        <v>4722</v>
      </c>
    </row>
    <row r="2129" spans="1:1" x14ac:dyDescent="0.25">
      <c r="A2129" t="s">
        <v>4723</v>
      </c>
    </row>
    <row r="2130" spans="1:1" x14ac:dyDescent="0.25">
      <c r="A2130" t="s">
        <v>5170</v>
      </c>
    </row>
    <row r="2131" spans="1:1" x14ac:dyDescent="0.25">
      <c r="A2131" t="s">
        <v>5171</v>
      </c>
    </row>
    <row r="2132" spans="1:1" x14ac:dyDescent="0.25">
      <c r="A2132" t="s">
        <v>4918</v>
      </c>
    </row>
    <row r="2133" spans="1:1" x14ac:dyDescent="0.25">
      <c r="A2133" t="s">
        <v>4727</v>
      </c>
    </row>
    <row r="2134" spans="1:1" x14ac:dyDescent="0.25">
      <c r="A2134" t="s">
        <v>4728</v>
      </c>
    </row>
    <row r="2135" spans="1:1" x14ac:dyDescent="0.25">
      <c r="A2135" t="s">
        <v>4792</v>
      </c>
    </row>
    <row r="2136" spans="1:1" x14ac:dyDescent="0.25">
      <c r="A2136" t="s">
        <v>5172</v>
      </c>
    </row>
    <row r="2137" spans="1:1" x14ac:dyDescent="0.25">
      <c r="A2137" t="s">
        <v>4731</v>
      </c>
    </row>
    <row r="2139" spans="1:1" x14ac:dyDescent="0.25">
      <c r="A2139" t="s">
        <v>4722</v>
      </c>
    </row>
    <row r="2140" spans="1:1" x14ac:dyDescent="0.25">
      <c r="A2140" t="s">
        <v>4723</v>
      </c>
    </row>
    <row r="2141" spans="1:1" x14ac:dyDescent="0.25">
      <c r="A2141" t="s">
        <v>5173</v>
      </c>
    </row>
    <row r="2142" spans="1:1" x14ac:dyDescent="0.25">
      <c r="A2142" t="s">
        <v>5174</v>
      </c>
    </row>
    <row r="2143" spans="1:1" x14ac:dyDescent="0.25">
      <c r="A2143" t="s">
        <v>4918</v>
      </c>
    </row>
    <row r="2144" spans="1:1" x14ac:dyDescent="0.25">
      <c r="A2144" t="s">
        <v>4727</v>
      </c>
    </row>
    <row r="2145" spans="1:1" x14ac:dyDescent="0.25">
      <c r="A2145" t="s">
        <v>4728</v>
      </c>
    </row>
    <row r="2146" spans="1:1" x14ac:dyDescent="0.25">
      <c r="A2146" t="s">
        <v>4729</v>
      </c>
    </row>
    <row r="2147" spans="1:1" x14ac:dyDescent="0.25">
      <c r="A2147" t="s">
        <v>5175</v>
      </c>
    </row>
    <row r="2148" spans="1:1" x14ac:dyDescent="0.25">
      <c r="A2148" t="s">
        <v>4731</v>
      </c>
    </row>
    <row r="2150" spans="1:1" x14ac:dyDescent="0.25">
      <c r="A2150" t="s">
        <v>4722</v>
      </c>
    </row>
    <row r="2151" spans="1:1" x14ac:dyDescent="0.25">
      <c r="A2151" t="s">
        <v>4723</v>
      </c>
    </row>
    <row r="2152" spans="1:1" x14ac:dyDescent="0.25">
      <c r="A2152" t="s">
        <v>5176</v>
      </c>
    </row>
    <row r="2153" spans="1:1" x14ac:dyDescent="0.25">
      <c r="A2153" t="s">
        <v>5177</v>
      </c>
    </row>
    <row r="2154" spans="1:1" x14ac:dyDescent="0.25">
      <c r="A2154" t="s">
        <v>4953</v>
      </c>
    </row>
    <row r="2155" spans="1:1" x14ac:dyDescent="0.25">
      <c r="A2155" t="s">
        <v>4727</v>
      </c>
    </row>
    <row r="2156" spans="1:1" x14ac:dyDescent="0.25">
      <c r="A2156" t="s">
        <v>4728</v>
      </c>
    </row>
    <row r="2157" spans="1:1" x14ac:dyDescent="0.25">
      <c r="A2157" t="s">
        <v>4729</v>
      </c>
    </row>
    <row r="2158" spans="1:1" x14ac:dyDescent="0.25">
      <c r="A2158" t="s">
        <v>5178</v>
      </c>
    </row>
    <row r="2159" spans="1:1" x14ac:dyDescent="0.25">
      <c r="A2159" t="s">
        <v>4731</v>
      </c>
    </row>
    <row r="2161" spans="1:1" x14ac:dyDescent="0.25">
      <c r="A2161" t="s">
        <v>4722</v>
      </c>
    </row>
    <row r="2162" spans="1:1" x14ac:dyDescent="0.25">
      <c r="A2162" t="s">
        <v>4723</v>
      </c>
    </row>
    <row r="2163" spans="1:1" x14ac:dyDescent="0.25">
      <c r="A2163" t="s">
        <v>5179</v>
      </c>
    </row>
    <row r="2164" spans="1:1" x14ac:dyDescent="0.25">
      <c r="A2164" t="s">
        <v>4728</v>
      </c>
    </row>
    <row r="2165" spans="1:1" x14ac:dyDescent="0.25">
      <c r="A2165" t="s">
        <v>4792</v>
      </c>
    </row>
    <row r="2166" spans="1:1" x14ac:dyDescent="0.25">
      <c r="A2166" t="s">
        <v>5180</v>
      </c>
    </row>
    <row r="2167" spans="1:1" x14ac:dyDescent="0.25">
      <c r="A2167" t="s">
        <v>4731</v>
      </c>
    </row>
    <row r="2169" spans="1:1" x14ac:dyDescent="0.25">
      <c r="A2169" t="s">
        <v>4722</v>
      </c>
    </row>
    <row r="2170" spans="1:1" x14ac:dyDescent="0.25">
      <c r="A2170" t="s">
        <v>4723</v>
      </c>
    </row>
    <row r="2171" spans="1:1" x14ac:dyDescent="0.25">
      <c r="A2171" t="s">
        <v>5181</v>
      </c>
    </row>
    <row r="2172" spans="1:1" x14ac:dyDescent="0.25">
      <c r="A2172" t="s">
        <v>4728</v>
      </c>
    </row>
    <row r="2173" spans="1:1" x14ac:dyDescent="0.25">
      <c r="A2173" t="s">
        <v>4729</v>
      </c>
    </row>
    <row r="2174" spans="1:1" x14ac:dyDescent="0.25">
      <c r="A2174" t="s">
        <v>5182</v>
      </c>
    </row>
    <row r="2175" spans="1:1" x14ac:dyDescent="0.25">
      <c r="A2175" t="s">
        <v>4731</v>
      </c>
    </row>
    <row r="2177" spans="1:1" x14ac:dyDescent="0.25">
      <c r="A2177" t="s">
        <v>4722</v>
      </c>
    </row>
    <row r="2178" spans="1:1" x14ac:dyDescent="0.25">
      <c r="A2178" t="s">
        <v>4723</v>
      </c>
    </row>
    <row r="2179" spans="1:1" x14ac:dyDescent="0.25">
      <c r="A2179" t="s">
        <v>5183</v>
      </c>
    </row>
    <row r="2180" spans="1:1" x14ac:dyDescent="0.25">
      <c r="A2180" t="s">
        <v>5184</v>
      </c>
    </row>
    <row r="2181" spans="1:1" x14ac:dyDescent="0.25">
      <c r="A2181" t="s">
        <v>4918</v>
      </c>
    </row>
    <row r="2182" spans="1:1" x14ac:dyDescent="0.25">
      <c r="A2182" t="s">
        <v>4727</v>
      </c>
    </row>
    <row r="2183" spans="1:1" x14ac:dyDescent="0.25">
      <c r="A2183" t="s">
        <v>4728</v>
      </c>
    </row>
    <row r="2184" spans="1:1" x14ac:dyDescent="0.25">
      <c r="A2184" t="s">
        <v>4792</v>
      </c>
    </row>
    <row r="2185" spans="1:1" x14ac:dyDescent="0.25">
      <c r="A2185" t="s">
        <v>5185</v>
      </c>
    </row>
    <row r="2186" spans="1:1" x14ac:dyDescent="0.25">
      <c r="A2186" t="s">
        <v>4731</v>
      </c>
    </row>
    <row r="2188" spans="1:1" x14ac:dyDescent="0.25">
      <c r="A2188" t="s">
        <v>4722</v>
      </c>
    </row>
    <row r="2189" spans="1:1" x14ac:dyDescent="0.25">
      <c r="A2189" t="s">
        <v>4723</v>
      </c>
    </row>
    <row r="2190" spans="1:1" x14ac:dyDescent="0.25">
      <c r="A2190" t="s">
        <v>5186</v>
      </c>
    </row>
    <row r="2191" spans="1:1" x14ac:dyDescent="0.25">
      <c r="A2191" t="s">
        <v>5187</v>
      </c>
    </row>
    <row r="2192" spans="1:1" x14ac:dyDescent="0.25">
      <c r="A2192" t="s">
        <v>5188</v>
      </c>
    </row>
    <row r="2193" spans="1:1" x14ac:dyDescent="0.25">
      <c r="A2193" t="s">
        <v>4727</v>
      </c>
    </row>
    <row r="2194" spans="1:1" x14ac:dyDescent="0.25">
      <c r="A2194" t="s">
        <v>4728</v>
      </c>
    </row>
    <row r="2195" spans="1:1" x14ac:dyDescent="0.25">
      <c r="A2195" t="s">
        <v>4729</v>
      </c>
    </row>
    <row r="2196" spans="1:1" x14ac:dyDescent="0.25">
      <c r="A2196" t="s">
        <v>5189</v>
      </c>
    </row>
    <row r="2197" spans="1:1" x14ac:dyDescent="0.25">
      <c r="A2197" t="s">
        <v>4731</v>
      </c>
    </row>
    <row r="2199" spans="1:1" x14ac:dyDescent="0.25">
      <c r="A2199" t="s">
        <v>4722</v>
      </c>
    </row>
    <row r="2200" spans="1:1" x14ac:dyDescent="0.25">
      <c r="A2200" t="s">
        <v>4723</v>
      </c>
    </row>
    <row r="2201" spans="1:1" x14ac:dyDescent="0.25">
      <c r="A2201" t="s">
        <v>5190</v>
      </c>
    </row>
    <row r="2202" spans="1:1" x14ac:dyDescent="0.25">
      <c r="A2202" t="s">
        <v>5191</v>
      </c>
    </row>
    <row r="2203" spans="1:1" x14ac:dyDescent="0.25">
      <c r="A2203" t="s">
        <v>4907</v>
      </c>
    </row>
    <row r="2204" spans="1:1" x14ac:dyDescent="0.25">
      <c r="A2204" t="s">
        <v>4727</v>
      </c>
    </row>
    <row r="2205" spans="1:1" x14ac:dyDescent="0.25">
      <c r="A2205" t="s">
        <v>4728</v>
      </c>
    </row>
    <row r="2206" spans="1:1" x14ac:dyDescent="0.25">
      <c r="A2206" t="s">
        <v>4729</v>
      </c>
    </row>
    <row r="2207" spans="1:1" x14ac:dyDescent="0.25">
      <c r="A2207" t="s">
        <v>5192</v>
      </c>
    </row>
    <row r="2208" spans="1:1" x14ac:dyDescent="0.25">
      <c r="A2208" t="s">
        <v>4731</v>
      </c>
    </row>
    <row r="2210" spans="1:1" x14ac:dyDescent="0.25">
      <c r="A2210" t="s">
        <v>1737</v>
      </c>
    </row>
    <row r="2211" spans="1:1" x14ac:dyDescent="0.25">
      <c r="A2211" t="s">
        <v>1738</v>
      </c>
    </row>
    <row r="2212" spans="1:1" x14ac:dyDescent="0.25">
      <c r="A2212" t="s">
        <v>2366</v>
      </c>
    </row>
    <row r="2213" spans="1:1" x14ac:dyDescent="0.25">
      <c r="A2213" t="s">
        <v>2367</v>
      </c>
    </row>
    <row r="2214" spans="1:1" x14ac:dyDescent="0.25">
      <c r="A2214" t="s">
        <v>2301</v>
      </c>
    </row>
    <row r="2215" spans="1:1" x14ac:dyDescent="0.25">
      <c r="A2215" t="s">
        <v>1753</v>
      </c>
    </row>
    <row r="2216" spans="1:1" x14ac:dyDescent="0.25">
      <c r="A2216" t="s">
        <v>1741</v>
      </c>
    </row>
    <row r="2217" spans="1:1" x14ac:dyDescent="0.25">
      <c r="A2217" t="s">
        <v>1762</v>
      </c>
    </row>
    <row r="2218" spans="1:1" x14ac:dyDescent="0.25">
      <c r="A2218" t="s">
        <v>2368</v>
      </c>
    </row>
    <row r="2219" spans="1:1" x14ac:dyDescent="0.25">
      <c r="A2219" t="s">
        <v>1744</v>
      </c>
    </row>
    <row r="2221" spans="1:1" x14ac:dyDescent="0.25">
      <c r="A2221" t="s">
        <v>4722</v>
      </c>
    </row>
    <row r="2222" spans="1:1" x14ac:dyDescent="0.25">
      <c r="A2222" t="s">
        <v>4723</v>
      </c>
    </row>
    <row r="2223" spans="1:1" x14ac:dyDescent="0.25">
      <c r="A2223" t="s">
        <v>5193</v>
      </c>
    </row>
    <row r="2224" spans="1:1" x14ac:dyDescent="0.25">
      <c r="A2224" t="s">
        <v>5194</v>
      </c>
    </row>
    <row r="2225" spans="1:1" x14ac:dyDescent="0.25">
      <c r="A2225" t="s">
        <v>5195</v>
      </c>
    </row>
    <row r="2226" spans="1:1" x14ac:dyDescent="0.25">
      <c r="A2226" t="s">
        <v>4727</v>
      </c>
    </row>
    <row r="2227" spans="1:1" x14ac:dyDescent="0.25">
      <c r="A2227" t="s">
        <v>4728</v>
      </c>
    </row>
    <row r="2228" spans="1:1" x14ac:dyDescent="0.25">
      <c r="A2228" t="s">
        <v>5196</v>
      </c>
    </row>
    <row r="2229" spans="1:1" x14ac:dyDescent="0.25">
      <c r="A2229" t="s">
        <v>5197</v>
      </c>
    </row>
    <row r="2230" spans="1:1" x14ac:dyDescent="0.25">
      <c r="A2230" t="s">
        <v>4731</v>
      </c>
    </row>
    <row r="2232" spans="1:1" x14ac:dyDescent="0.25">
      <c r="A2232" t="s">
        <v>1737</v>
      </c>
    </row>
    <row r="2233" spans="1:1" x14ac:dyDescent="0.25">
      <c r="A2233" t="s">
        <v>1738</v>
      </c>
    </row>
    <row r="2234" spans="1:1" x14ac:dyDescent="0.25">
      <c r="A2234" t="s">
        <v>2374</v>
      </c>
    </row>
    <row r="2235" spans="1:1" x14ac:dyDescent="0.25">
      <c r="A2235" t="s">
        <v>2375</v>
      </c>
    </row>
    <row r="2236" spans="1:1" x14ac:dyDescent="0.25">
      <c r="A2236" t="s">
        <v>2376</v>
      </c>
    </row>
    <row r="2237" spans="1:1" x14ac:dyDescent="0.25">
      <c r="A2237" t="s">
        <v>1753</v>
      </c>
    </row>
    <row r="2238" spans="1:1" x14ac:dyDescent="0.25">
      <c r="A2238" t="s">
        <v>1741</v>
      </c>
    </row>
    <row r="2239" spans="1:1" x14ac:dyDescent="0.25">
      <c r="A2239" t="s">
        <v>1887</v>
      </c>
    </row>
    <row r="2240" spans="1:1" x14ac:dyDescent="0.25">
      <c r="A2240" t="s">
        <v>2377</v>
      </c>
    </row>
    <row r="2241" spans="1:1" x14ac:dyDescent="0.25">
      <c r="A2241" t="s">
        <v>1744</v>
      </c>
    </row>
    <row r="2243" spans="1:1" x14ac:dyDescent="0.25">
      <c r="A2243" t="s">
        <v>4722</v>
      </c>
    </row>
    <row r="2244" spans="1:1" x14ac:dyDescent="0.25">
      <c r="A2244" t="s">
        <v>4723</v>
      </c>
    </row>
    <row r="2245" spans="1:1" x14ac:dyDescent="0.25">
      <c r="A2245" t="s">
        <v>5198</v>
      </c>
    </row>
    <row r="2246" spans="1:1" x14ac:dyDescent="0.25">
      <c r="A2246" t="s">
        <v>5199</v>
      </c>
    </row>
    <row r="2247" spans="1:1" x14ac:dyDescent="0.25">
      <c r="A2247" t="s">
        <v>5135</v>
      </c>
    </row>
    <row r="2248" spans="1:1" x14ac:dyDescent="0.25">
      <c r="A2248" t="s">
        <v>4727</v>
      </c>
    </row>
    <row r="2249" spans="1:1" x14ac:dyDescent="0.25">
      <c r="A2249" t="s">
        <v>4728</v>
      </c>
    </row>
    <row r="2250" spans="1:1" x14ac:dyDescent="0.25">
      <c r="A2250" t="s">
        <v>4792</v>
      </c>
    </row>
    <row r="2251" spans="1:1" x14ac:dyDescent="0.25">
      <c r="A2251" t="s">
        <v>5200</v>
      </c>
    </row>
    <row r="2252" spans="1:1" x14ac:dyDescent="0.25">
      <c r="A2252" t="s">
        <v>4731</v>
      </c>
    </row>
    <row r="2254" spans="1:1" x14ac:dyDescent="0.25">
      <c r="A2254" t="s">
        <v>1737</v>
      </c>
    </row>
    <row r="2255" spans="1:1" x14ac:dyDescent="0.25">
      <c r="A2255" t="s">
        <v>1738</v>
      </c>
    </row>
    <row r="2256" spans="1:1" x14ac:dyDescent="0.25">
      <c r="A2256" t="s">
        <v>2381</v>
      </c>
    </row>
    <row r="2257" spans="1:1" x14ac:dyDescent="0.25">
      <c r="A2257" t="s">
        <v>2382</v>
      </c>
    </row>
    <row r="2258" spans="1:1" x14ac:dyDescent="0.25">
      <c r="A2258" t="s">
        <v>1990</v>
      </c>
    </row>
    <row r="2259" spans="1:1" x14ac:dyDescent="0.25">
      <c r="A2259" t="s">
        <v>1753</v>
      </c>
    </row>
    <row r="2260" spans="1:1" x14ac:dyDescent="0.25">
      <c r="A2260" t="s">
        <v>1741</v>
      </c>
    </row>
    <row r="2261" spans="1:1" x14ac:dyDescent="0.25">
      <c r="A2261" t="s">
        <v>2242</v>
      </c>
    </row>
    <row r="2262" spans="1:1" x14ac:dyDescent="0.25">
      <c r="A2262" t="s">
        <v>2383</v>
      </c>
    </row>
    <row r="2263" spans="1:1" x14ac:dyDescent="0.25">
      <c r="A2263" t="s">
        <v>1744</v>
      </c>
    </row>
    <row r="2265" spans="1:1" x14ac:dyDescent="0.25">
      <c r="A2265" t="s">
        <v>4722</v>
      </c>
    </row>
    <row r="2266" spans="1:1" x14ac:dyDescent="0.25">
      <c r="A2266" t="s">
        <v>4723</v>
      </c>
    </row>
    <row r="2267" spans="1:1" x14ac:dyDescent="0.25">
      <c r="A2267" t="s">
        <v>5201</v>
      </c>
    </row>
    <row r="2268" spans="1:1" x14ac:dyDescent="0.25">
      <c r="A2268" t="s">
        <v>5202</v>
      </c>
    </row>
    <row r="2269" spans="1:1" x14ac:dyDescent="0.25">
      <c r="A2269" t="s">
        <v>4895</v>
      </c>
    </row>
    <row r="2270" spans="1:1" x14ac:dyDescent="0.25">
      <c r="A2270" t="s">
        <v>4727</v>
      </c>
    </row>
    <row r="2271" spans="1:1" x14ac:dyDescent="0.25">
      <c r="A2271" t="s">
        <v>4728</v>
      </c>
    </row>
    <row r="2272" spans="1:1" x14ac:dyDescent="0.25">
      <c r="A2272" t="s">
        <v>4792</v>
      </c>
    </row>
    <row r="2273" spans="1:1" x14ac:dyDescent="0.25">
      <c r="A2273" t="s">
        <v>5203</v>
      </c>
    </row>
    <row r="2274" spans="1:1" x14ac:dyDescent="0.25">
      <c r="A2274" t="s">
        <v>4731</v>
      </c>
    </row>
    <row r="2276" spans="1:1" x14ac:dyDescent="0.25">
      <c r="A2276" t="s">
        <v>1737</v>
      </c>
    </row>
    <row r="2277" spans="1:1" x14ac:dyDescent="0.25">
      <c r="A2277" t="s">
        <v>1738</v>
      </c>
    </row>
    <row r="2278" spans="1:1" x14ac:dyDescent="0.25">
      <c r="A2278" t="s">
        <v>2387</v>
      </c>
    </row>
    <row r="2279" spans="1:1" x14ac:dyDescent="0.25">
      <c r="A2279" t="s">
        <v>1741</v>
      </c>
    </row>
    <row r="2280" spans="1:1" x14ac:dyDescent="0.25">
      <c r="A2280" t="s">
        <v>1762</v>
      </c>
    </row>
    <row r="2281" spans="1:1" x14ac:dyDescent="0.25">
      <c r="A2281" t="s">
        <v>2388</v>
      </c>
    </row>
    <row r="2282" spans="1:1" x14ac:dyDescent="0.25">
      <c r="A2282" t="s">
        <v>1744</v>
      </c>
    </row>
    <row r="2284" spans="1:1" x14ac:dyDescent="0.25">
      <c r="A2284" t="s">
        <v>4722</v>
      </c>
    </row>
    <row r="2285" spans="1:1" x14ac:dyDescent="0.25">
      <c r="A2285" t="s">
        <v>4723</v>
      </c>
    </row>
    <row r="2286" spans="1:1" x14ac:dyDescent="0.25">
      <c r="A2286" t="s">
        <v>5204</v>
      </c>
    </row>
    <row r="2287" spans="1:1" x14ac:dyDescent="0.25">
      <c r="A2287" t="s">
        <v>4728</v>
      </c>
    </row>
    <row r="2288" spans="1:1" x14ac:dyDescent="0.25">
      <c r="A2288" t="s">
        <v>4729</v>
      </c>
    </row>
    <row r="2289" spans="1:1" x14ac:dyDescent="0.25">
      <c r="A2289" t="s">
        <v>5205</v>
      </c>
    </row>
    <row r="2290" spans="1:1" x14ac:dyDescent="0.25">
      <c r="A2290" t="s">
        <v>4731</v>
      </c>
    </row>
    <row r="2292" spans="1:1" x14ac:dyDescent="0.25">
      <c r="A2292" t="s">
        <v>4722</v>
      </c>
    </row>
    <row r="2293" spans="1:1" x14ac:dyDescent="0.25">
      <c r="A2293" t="s">
        <v>4723</v>
      </c>
    </row>
    <row r="2294" spans="1:1" x14ac:dyDescent="0.25">
      <c r="A2294" t="s">
        <v>5206</v>
      </c>
    </row>
    <row r="2295" spans="1:1" x14ac:dyDescent="0.25">
      <c r="A2295" t="s">
        <v>5207</v>
      </c>
    </row>
    <row r="2296" spans="1:1" x14ac:dyDescent="0.25">
      <c r="A2296" t="s">
        <v>4834</v>
      </c>
    </row>
    <row r="2297" spans="1:1" x14ac:dyDescent="0.25">
      <c r="A2297" t="s">
        <v>4727</v>
      </c>
    </row>
    <row r="2298" spans="1:1" x14ac:dyDescent="0.25">
      <c r="A2298" t="s">
        <v>4728</v>
      </c>
    </row>
    <row r="2299" spans="1:1" x14ac:dyDescent="0.25">
      <c r="A2299" t="s">
        <v>4792</v>
      </c>
    </row>
    <row r="2300" spans="1:1" x14ac:dyDescent="0.25">
      <c r="A2300" t="s">
        <v>5208</v>
      </c>
    </row>
    <row r="2301" spans="1:1" x14ac:dyDescent="0.25">
      <c r="A2301" t="s">
        <v>4731</v>
      </c>
    </row>
    <row r="2303" spans="1:1" x14ac:dyDescent="0.25">
      <c r="A2303" t="s">
        <v>1737</v>
      </c>
    </row>
    <row r="2304" spans="1:1" x14ac:dyDescent="0.25">
      <c r="A2304" t="s">
        <v>1738</v>
      </c>
    </row>
    <row r="2305" spans="1:1" x14ac:dyDescent="0.25">
      <c r="A2305" t="s">
        <v>2394</v>
      </c>
    </row>
    <row r="2306" spans="1:1" x14ac:dyDescent="0.25">
      <c r="A2306" t="s">
        <v>2395</v>
      </c>
    </row>
    <row r="2307" spans="1:1" x14ac:dyDescent="0.25">
      <c r="A2307" t="s">
        <v>2376</v>
      </c>
    </row>
    <row r="2308" spans="1:1" x14ac:dyDescent="0.25">
      <c r="A2308" t="s">
        <v>1753</v>
      </c>
    </row>
    <row r="2309" spans="1:1" x14ac:dyDescent="0.25">
      <c r="A2309" t="s">
        <v>1741</v>
      </c>
    </row>
    <row r="2310" spans="1:1" x14ac:dyDescent="0.25">
      <c r="A2310" t="s">
        <v>2130</v>
      </c>
    </row>
    <row r="2311" spans="1:1" x14ac:dyDescent="0.25">
      <c r="A2311" t="s">
        <v>2396</v>
      </c>
    </row>
    <row r="2312" spans="1:1" x14ac:dyDescent="0.25">
      <c r="A2312" t="s">
        <v>1744</v>
      </c>
    </row>
    <row r="2314" spans="1:1" x14ac:dyDescent="0.25">
      <c r="A2314" t="s">
        <v>4722</v>
      </c>
    </row>
    <row r="2315" spans="1:1" x14ac:dyDescent="0.25">
      <c r="A2315" t="s">
        <v>4723</v>
      </c>
    </row>
    <row r="2316" spans="1:1" x14ac:dyDescent="0.25">
      <c r="A2316" t="s">
        <v>5209</v>
      </c>
    </row>
    <row r="2317" spans="1:1" x14ac:dyDescent="0.25">
      <c r="A2317" t="s">
        <v>5210</v>
      </c>
    </row>
    <row r="2318" spans="1:1" x14ac:dyDescent="0.25">
      <c r="A2318" t="s">
        <v>5211</v>
      </c>
    </row>
    <row r="2319" spans="1:1" x14ac:dyDescent="0.25">
      <c r="A2319" t="s">
        <v>4727</v>
      </c>
    </row>
    <row r="2320" spans="1:1" x14ac:dyDescent="0.25">
      <c r="A2320" t="s">
        <v>4728</v>
      </c>
    </row>
    <row r="2321" spans="1:1" x14ac:dyDescent="0.25">
      <c r="A2321" t="s">
        <v>4792</v>
      </c>
    </row>
    <row r="2322" spans="1:1" x14ac:dyDescent="0.25">
      <c r="A2322" t="s">
        <v>5212</v>
      </c>
    </row>
    <row r="2323" spans="1:1" x14ac:dyDescent="0.25">
      <c r="A2323" t="s">
        <v>4731</v>
      </c>
    </row>
    <row r="2325" spans="1:1" x14ac:dyDescent="0.25">
      <c r="A2325" t="s">
        <v>4722</v>
      </c>
    </row>
    <row r="2326" spans="1:1" x14ac:dyDescent="0.25">
      <c r="A2326" t="s">
        <v>4723</v>
      </c>
    </row>
    <row r="2327" spans="1:1" x14ac:dyDescent="0.25">
      <c r="A2327" t="s">
        <v>5213</v>
      </c>
    </row>
    <row r="2328" spans="1:1" x14ac:dyDescent="0.25">
      <c r="A2328" t="s">
        <v>4728</v>
      </c>
    </row>
    <row r="2329" spans="1:1" x14ac:dyDescent="0.25">
      <c r="A2329" t="s">
        <v>4792</v>
      </c>
    </row>
    <row r="2330" spans="1:1" x14ac:dyDescent="0.25">
      <c r="A2330" t="s">
        <v>5214</v>
      </c>
    </row>
    <row r="2331" spans="1:1" x14ac:dyDescent="0.25">
      <c r="A2331" t="s">
        <v>4731</v>
      </c>
    </row>
    <row r="2333" spans="1:1" x14ac:dyDescent="0.25">
      <c r="A2333" t="s">
        <v>4722</v>
      </c>
    </row>
    <row r="2334" spans="1:1" x14ac:dyDescent="0.25">
      <c r="A2334" t="s">
        <v>4723</v>
      </c>
    </row>
    <row r="2335" spans="1:1" x14ac:dyDescent="0.25">
      <c r="A2335" t="s">
        <v>5215</v>
      </c>
    </row>
    <row r="2336" spans="1:1" x14ac:dyDescent="0.25">
      <c r="A2336" t="s">
        <v>4728</v>
      </c>
    </row>
    <row r="2337" spans="1:1" x14ac:dyDescent="0.25">
      <c r="A2337" t="s">
        <v>5216</v>
      </c>
    </row>
    <row r="2338" spans="1:1" x14ac:dyDescent="0.25">
      <c r="A2338" t="s">
        <v>5217</v>
      </c>
    </row>
    <row r="2339" spans="1:1" x14ac:dyDescent="0.25">
      <c r="A2339" t="s">
        <v>4731</v>
      </c>
    </row>
    <row r="2341" spans="1:1" x14ac:dyDescent="0.25">
      <c r="A2341" t="s">
        <v>4722</v>
      </c>
    </row>
    <row r="2342" spans="1:1" x14ac:dyDescent="0.25">
      <c r="A2342" t="s">
        <v>4723</v>
      </c>
    </row>
    <row r="2343" spans="1:1" x14ac:dyDescent="0.25">
      <c r="A2343" t="s">
        <v>5218</v>
      </c>
    </row>
    <row r="2344" spans="1:1" x14ac:dyDescent="0.25">
      <c r="A2344" t="s">
        <v>5219</v>
      </c>
    </row>
    <row r="2345" spans="1:1" x14ac:dyDescent="0.25">
      <c r="A2345" t="s">
        <v>5220</v>
      </c>
    </row>
    <row r="2346" spans="1:1" x14ac:dyDescent="0.25">
      <c r="A2346" t="s">
        <v>4727</v>
      </c>
    </row>
    <row r="2347" spans="1:1" x14ac:dyDescent="0.25">
      <c r="A2347" t="s">
        <v>4742</v>
      </c>
    </row>
    <row r="2348" spans="1:1" x14ac:dyDescent="0.25">
      <c r="A2348" t="s">
        <v>4728</v>
      </c>
    </row>
    <row r="2349" spans="1:1" x14ac:dyDescent="0.25">
      <c r="A2349" t="s">
        <v>5221</v>
      </c>
    </row>
    <row r="2350" spans="1:1" x14ac:dyDescent="0.25">
      <c r="A2350" t="s">
        <v>5222</v>
      </c>
    </row>
    <row r="2351" spans="1:1" x14ac:dyDescent="0.25">
      <c r="A2351" t="s">
        <v>4731</v>
      </c>
    </row>
    <row r="2353" spans="1:1" x14ac:dyDescent="0.25">
      <c r="A2353" t="s">
        <v>1737</v>
      </c>
    </row>
    <row r="2354" spans="1:1" x14ac:dyDescent="0.25">
      <c r="A2354" t="s">
        <v>1738</v>
      </c>
    </row>
    <row r="2355" spans="1:1" x14ac:dyDescent="0.25">
      <c r="A2355" t="s">
        <v>2409</v>
      </c>
    </row>
    <row r="2356" spans="1:1" x14ac:dyDescent="0.25">
      <c r="A2356" t="s">
        <v>2410</v>
      </c>
    </row>
    <row r="2357" spans="1:1" x14ac:dyDescent="0.25">
      <c r="A2357" t="s">
        <v>2411</v>
      </c>
    </row>
    <row r="2358" spans="1:1" x14ac:dyDescent="0.25">
      <c r="A2358" t="s">
        <v>1753</v>
      </c>
    </row>
    <row r="2359" spans="1:1" x14ac:dyDescent="0.25">
      <c r="A2359" t="s">
        <v>1741</v>
      </c>
    </row>
    <row r="2360" spans="1:1" x14ac:dyDescent="0.25">
      <c r="A2360" t="s">
        <v>2130</v>
      </c>
    </row>
    <row r="2361" spans="1:1" x14ac:dyDescent="0.25">
      <c r="A2361" t="s">
        <v>2412</v>
      </c>
    </row>
    <row r="2362" spans="1:1" x14ac:dyDescent="0.25">
      <c r="A2362" t="s">
        <v>1744</v>
      </c>
    </row>
    <row r="2364" spans="1:1" x14ac:dyDescent="0.25">
      <c r="A2364" t="s">
        <v>1737</v>
      </c>
    </row>
    <row r="2365" spans="1:1" x14ac:dyDescent="0.25">
      <c r="A2365" t="s">
        <v>1738</v>
      </c>
    </row>
    <row r="2366" spans="1:1" x14ac:dyDescent="0.25">
      <c r="A2366" t="s">
        <v>2413</v>
      </c>
    </row>
    <row r="2367" spans="1:1" x14ac:dyDescent="0.25">
      <c r="A2367" t="s">
        <v>2414</v>
      </c>
    </row>
    <row r="2368" spans="1:1" x14ac:dyDescent="0.25">
      <c r="A2368" t="s">
        <v>2411</v>
      </c>
    </row>
    <row r="2369" spans="1:1" x14ac:dyDescent="0.25">
      <c r="A2369" t="s">
        <v>1753</v>
      </c>
    </row>
    <row r="2370" spans="1:1" x14ac:dyDescent="0.25">
      <c r="A2370" t="s">
        <v>1741</v>
      </c>
    </row>
    <row r="2371" spans="1:1" x14ac:dyDescent="0.25">
      <c r="A2371" t="s">
        <v>2130</v>
      </c>
    </row>
    <row r="2372" spans="1:1" x14ac:dyDescent="0.25">
      <c r="A2372" t="s">
        <v>2415</v>
      </c>
    </row>
    <row r="2373" spans="1:1" x14ac:dyDescent="0.25">
      <c r="A2373" t="s">
        <v>1744</v>
      </c>
    </row>
    <row r="2375" spans="1:1" x14ac:dyDescent="0.25">
      <c r="A2375" t="s">
        <v>4722</v>
      </c>
    </row>
    <row r="2376" spans="1:1" x14ac:dyDescent="0.25">
      <c r="A2376" t="s">
        <v>4723</v>
      </c>
    </row>
    <row r="2377" spans="1:1" x14ac:dyDescent="0.25">
      <c r="A2377" t="s">
        <v>5223</v>
      </c>
    </row>
    <row r="2378" spans="1:1" x14ac:dyDescent="0.25">
      <c r="A2378" t="s">
        <v>5224</v>
      </c>
    </row>
    <row r="2379" spans="1:1" x14ac:dyDescent="0.25">
      <c r="A2379" t="s">
        <v>5225</v>
      </c>
    </row>
    <row r="2380" spans="1:1" x14ac:dyDescent="0.25">
      <c r="A2380" t="s">
        <v>4727</v>
      </c>
    </row>
    <row r="2381" spans="1:1" x14ac:dyDescent="0.25">
      <c r="A2381" t="s">
        <v>4728</v>
      </c>
    </row>
    <row r="2382" spans="1:1" x14ac:dyDescent="0.25">
      <c r="A2382" t="s">
        <v>4792</v>
      </c>
    </row>
    <row r="2383" spans="1:1" x14ac:dyDescent="0.25">
      <c r="A2383" t="s">
        <v>5226</v>
      </c>
    </row>
    <row r="2384" spans="1:1" x14ac:dyDescent="0.25">
      <c r="A2384" t="s">
        <v>4731</v>
      </c>
    </row>
    <row r="2386" spans="1:1" x14ac:dyDescent="0.25">
      <c r="A2386" t="s">
        <v>4722</v>
      </c>
    </row>
    <row r="2387" spans="1:1" x14ac:dyDescent="0.25">
      <c r="A2387" t="s">
        <v>4723</v>
      </c>
    </row>
    <row r="2388" spans="1:1" x14ac:dyDescent="0.25">
      <c r="A2388" t="s">
        <v>5227</v>
      </c>
    </row>
    <row r="2389" spans="1:1" x14ac:dyDescent="0.25">
      <c r="A2389" t="s">
        <v>5228</v>
      </c>
    </row>
    <row r="2390" spans="1:1" x14ac:dyDescent="0.25">
      <c r="A2390" t="s">
        <v>5229</v>
      </c>
    </row>
    <row r="2391" spans="1:1" x14ac:dyDescent="0.25">
      <c r="A2391" t="s">
        <v>4727</v>
      </c>
    </row>
    <row r="2392" spans="1:1" x14ac:dyDescent="0.25">
      <c r="A2392" t="s">
        <v>4728</v>
      </c>
    </row>
    <row r="2393" spans="1:1" x14ac:dyDescent="0.25">
      <c r="A2393" t="s">
        <v>4729</v>
      </c>
    </row>
    <row r="2394" spans="1:1" x14ac:dyDescent="0.25">
      <c r="A2394" t="s">
        <v>5230</v>
      </c>
    </row>
    <row r="2395" spans="1:1" x14ac:dyDescent="0.25">
      <c r="A2395" t="s">
        <v>4731</v>
      </c>
    </row>
    <row r="2397" spans="1:1" x14ac:dyDescent="0.25">
      <c r="A2397" t="s">
        <v>4722</v>
      </c>
    </row>
    <row r="2398" spans="1:1" x14ac:dyDescent="0.25">
      <c r="A2398" t="s">
        <v>4723</v>
      </c>
    </row>
    <row r="2399" spans="1:1" x14ac:dyDescent="0.25">
      <c r="A2399" t="s">
        <v>5231</v>
      </c>
    </row>
    <row r="2400" spans="1:1" x14ac:dyDescent="0.25">
      <c r="A2400" t="s">
        <v>5232</v>
      </c>
    </row>
    <row r="2401" spans="1:1" x14ac:dyDescent="0.25">
      <c r="A2401" t="s">
        <v>4834</v>
      </c>
    </row>
    <row r="2402" spans="1:1" x14ac:dyDescent="0.25">
      <c r="A2402" t="s">
        <v>4727</v>
      </c>
    </row>
    <row r="2403" spans="1:1" x14ac:dyDescent="0.25">
      <c r="A2403" t="s">
        <v>4728</v>
      </c>
    </row>
    <row r="2404" spans="1:1" x14ac:dyDescent="0.25">
      <c r="A2404" t="s">
        <v>4729</v>
      </c>
    </row>
    <row r="2405" spans="1:1" x14ac:dyDescent="0.25">
      <c r="A2405" t="s">
        <v>5233</v>
      </c>
    </row>
    <row r="2406" spans="1:1" x14ac:dyDescent="0.25">
      <c r="A2406" t="s">
        <v>4731</v>
      </c>
    </row>
    <row r="2408" spans="1:1" x14ac:dyDescent="0.25">
      <c r="A2408" t="s">
        <v>4722</v>
      </c>
    </row>
    <row r="2409" spans="1:1" x14ac:dyDescent="0.25">
      <c r="A2409" t="s">
        <v>4723</v>
      </c>
    </row>
    <row r="2410" spans="1:1" x14ac:dyDescent="0.25">
      <c r="A2410" t="s">
        <v>5234</v>
      </c>
    </row>
    <row r="2411" spans="1:1" x14ac:dyDescent="0.25">
      <c r="A2411" t="s">
        <v>5235</v>
      </c>
    </row>
    <row r="2412" spans="1:1" x14ac:dyDescent="0.25">
      <c r="A2412" t="s">
        <v>5229</v>
      </c>
    </row>
    <row r="2413" spans="1:1" x14ac:dyDescent="0.25">
      <c r="A2413" t="s">
        <v>4727</v>
      </c>
    </row>
    <row r="2414" spans="1:1" x14ac:dyDescent="0.25">
      <c r="A2414" t="s">
        <v>4728</v>
      </c>
    </row>
    <row r="2415" spans="1:1" x14ac:dyDescent="0.25">
      <c r="A2415" t="s">
        <v>4792</v>
      </c>
    </row>
    <row r="2416" spans="1:1" x14ac:dyDescent="0.25">
      <c r="A2416" t="s">
        <v>5236</v>
      </c>
    </row>
    <row r="2417" spans="1:1" x14ac:dyDescent="0.25">
      <c r="A2417" t="s">
        <v>4731</v>
      </c>
    </row>
    <row r="2419" spans="1:1" x14ac:dyDescent="0.25">
      <c r="A2419" t="s">
        <v>4722</v>
      </c>
    </row>
    <row r="2420" spans="1:1" x14ac:dyDescent="0.25">
      <c r="A2420" t="s">
        <v>4723</v>
      </c>
    </row>
    <row r="2421" spans="1:1" x14ac:dyDescent="0.25">
      <c r="A2421" t="s">
        <v>5237</v>
      </c>
    </row>
    <row r="2422" spans="1:1" x14ac:dyDescent="0.25">
      <c r="A2422" t="s">
        <v>5238</v>
      </c>
    </row>
    <row r="2423" spans="1:1" x14ac:dyDescent="0.25">
      <c r="A2423" t="s">
        <v>4895</v>
      </c>
    </row>
    <row r="2424" spans="1:1" x14ac:dyDescent="0.25">
      <c r="A2424" t="s">
        <v>4727</v>
      </c>
    </row>
    <row r="2425" spans="1:1" x14ac:dyDescent="0.25">
      <c r="A2425" t="s">
        <v>4728</v>
      </c>
    </row>
    <row r="2426" spans="1:1" x14ac:dyDescent="0.25">
      <c r="A2426" t="s">
        <v>4792</v>
      </c>
    </row>
    <row r="2427" spans="1:1" x14ac:dyDescent="0.25">
      <c r="A2427" t="s">
        <v>5239</v>
      </c>
    </row>
    <row r="2428" spans="1:1" x14ac:dyDescent="0.25">
      <c r="A2428" t="s">
        <v>4731</v>
      </c>
    </row>
    <row r="2430" spans="1:1" x14ac:dyDescent="0.25">
      <c r="A2430" t="s">
        <v>4722</v>
      </c>
    </row>
    <row r="2431" spans="1:1" x14ac:dyDescent="0.25">
      <c r="A2431" t="s">
        <v>4723</v>
      </c>
    </row>
    <row r="2432" spans="1:1" x14ac:dyDescent="0.25">
      <c r="A2432" t="s">
        <v>5240</v>
      </c>
    </row>
    <row r="2433" spans="1:1" x14ac:dyDescent="0.25">
      <c r="A2433" t="s">
        <v>5241</v>
      </c>
    </row>
    <row r="2434" spans="1:1" x14ac:dyDescent="0.25">
      <c r="A2434" t="s">
        <v>5135</v>
      </c>
    </row>
    <row r="2435" spans="1:1" x14ac:dyDescent="0.25">
      <c r="A2435" t="s">
        <v>4727</v>
      </c>
    </row>
    <row r="2436" spans="1:1" x14ac:dyDescent="0.25">
      <c r="A2436" t="s">
        <v>4728</v>
      </c>
    </row>
    <row r="2437" spans="1:1" x14ac:dyDescent="0.25">
      <c r="A2437" t="s">
        <v>4729</v>
      </c>
    </row>
    <row r="2438" spans="1:1" x14ac:dyDescent="0.25">
      <c r="A2438" t="s">
        <v>5242</v>
      </c>
    </row>
    <row r="2439" spans="1:1" x14ac:dyDescent="0.25">
      <c r="A2439" t="s">
        <v>4731</v>
      </c>
    </row>
    <row r="2441" spans="1:1" x14ac:dyDescent="0.25">
      <c r="A2441" t="s">
        <v>4722</v>
      </c>
    </row>
    <row r="2442" spans="1:1" x14ac:dyDescent="0.25">
      <c r="A2442" t="s">
        <v>4723</v>
      </c>
    </row>
    <row r="2443" spans="1:1" x14ac:dyDescent="0.25">
      <c r="A2443" t="s">
        <v>5243</v>
      </c>
    </row>
    <row r="2444" spans="1:1" x14ac:dyDescent="0.25">
      <c r="A2444" t="s">
        <v>4742</v>
      </c>
    </row>
    <row r="2445" spans="1:1" x14ac:dyDescent="0.25">
      <c r="A2445" t="s">
        <v>4728</v>
      </c>
    </row>
    <row r="2446" spans="1:1" x14ac:dyDescent="0.25">
      <c r="A2446" t="s">
        <v>5244</v>
      </c>
    </row>
    <row r="2447" spans="1:1" x14ac:dyDescent="0.25">
      <c r="A2447" t="s">
        <v>5245</v>
      </c>
    </row>
    <row r="2448" spans="1:1" x14ac:dyDescent="0.25">
      <c r="A2448" t="s">
        <v>4731</v>
      </c>
    </row>
    <row r="2450" spans="1:1" x14ac:dyDescent="0.25">
      <c r="A2450" t="s">
        <v>4722</v>
      </c>
    </row>
    <row r="2451" spans="1:1" x14ac:dyDescent="0.25">
      <c r="A2451" t="s">
        <v>4723</v>
      </c>
    </row>
    <row r="2452" spans="1:1" x14ac:dyDescent="0.25">
      <c r="A2452" t="s">
        <v>5246</v>
      </c>
    </row>
    <row r="2453" spans="1:1" x14ac:dyDescent="0.25">
      <c r="A2453" t="s">
        <v>4742</v>
      </c>
    </row>
    <row r="2454" spans="1:1" x14ac:dyDescent="0.25">
      <c r="A2454" t="s">
        <v>4728</v>
      </c>
    </row>
    <row r="2455" spans="1:1" x14ac:dyDescent="0.25">
      <c r="A2455" t="s">
        <v>5244</v>
      </c>
    </row>
    <row r="2456" spans="1:1" x14ac:dyDescent="0.25">
      <c r="A2456" t="s">
        <v>5247</v>
      </c>
    </row>
    <row r="2457" spans="1:1" x14ac:dyDescent="0.25">
      <c r="A2457" t="s">
        <v>4731</v>
      </c>
    </row>
    <row r="2459" spans="1:1" x14ac:dyDescent="0.25">
      <c r="A2459" t="s">
        <v>1737</v>
      </c>
    </row>
    <row r="2460" spans="1:1" x14ac:dyDescent="0.25">
      <c r="A2460" t="s">
        <v>1738</v>
      </c>
    </row>
    <row r="2461" spans="1:1" x14ac:dyDescent="0.25">
      <c r="A2461" t="s">
        <v>2440</v>
      </c>
    </row>
    <row r="2462" spans="1:1" x14ac:dyDescent="0.25">
      <c r="A2462" t="s">
        <v>2441</v>
      </c>
    </row>
    <row r="2463" spans="1:1" x14ac:dyDescent="0.25">
      <c r="A2463" t="s">
        <v>2376</v>
      </c>
    </row>
    <row r="2464" spans="1:1" x14ac:dyDescent="0.25">
      <c r="A2464" t="s">
        <v>1753</v>
      </c>
    </row>
    <row r="2465" spans="1:1" x14ac:dyDescent="0.25">
      <c r="A2465" t="s">
        <v>1741</v>
      </c>
    </row>
    <row r="2466" spans="1:1" x14ac:dyDescent="0.25">
      <c r="A2466" t="s">
        <v>2219</v>
      </c>
    </row>
    <row r="2467" spans="1:1" x14ac:dyDescent="0.25">
      <c r="A2467" t="s">
        <v>2442</v>
      </c>
    </row>
    <row r="2468" spans="1:1" x14ac:dyDescent="0.25">
      <c r="A2468" t="s">
        <v>1744</v>
      </c>
    </row>
    <row r="2470" spans="1:1" x14ac:dyDescent="0.25">
      <c r="A2470" t="s">
        <v>4722</v>
      </c>
    </row>
    <row r="2471" spans="1:1" x14ac:dyDescent="0.25">
      <c r="A2471" t="s">
        <v>4723</v>
      </c>
    </row>
    <row r="2472" spans="1:1" x14ac:dyDescent="0.25">
      <c r="A2472" t="s">
        <v>5248</v>
      </c>
    </row>
    <row r="2473" spans="1:1" x14ac:dyDescent="0.25">
      <c r="A2473" t="s">
        <v>5249</v>
      </c>
    </row>
    <row r="2474" spans="1:1" x14ac:dyDescent="0.25">
      <c r="A2474" t="s">
        <v>5250</v>
      </c>
    </row>
    <row r="2475" spans="1:1" x14ac:dyDescent="0.25">
      <c r="A2475" t="s">
        <v>4727</v>
      </c>
    </row>
    <row r="2476" spans="1:1" x14ac:dyDescent="0.25">
      <c r="A2476" t="s">
        <v>4728</v>
      </c>
    </row>
    <row r="2477" spans="1:1" x14ac:dyDescent="0.25">
      <c r="A2477" t="s">
        <v>4729</v>
      </c>
    </row>
    <row r="2478" spans="1:1" x14ac:dyDescent="0.25">
      <c r="A2478" t="s">
        <v>5251</v>
      </c>
    </row>
    <row r="2479" spans="1:1" x14ac:dyDescent="0.25">
      <c r="A2479" t="s">
        <v>4731</v>
      </c>
    </row>
    <row r="2481" spans="1:1" x14ac:dyDescent="0.25">
      <c r="A2481" t="s">
        <v>1737</v>
      </c>
    </row>
    <row r="2482" spans="1:1" x14ac:dyDescent="0.25">
      <c r="A2482" t="s">
        <v>1738</v>
      </c>
    </row>
    <row r="2483" spans="1:1" x14ac:dyDescent="0.25">
      <c r="A2483" t="s">
        <v>2447</v>
      </c>
    </row>
    <row r="2484" spans="1:1" x14ac:dyDescent="0.25">
      <c r="A2484" t="s">
        <v>2448</v>
      </c>
    </row>
    <row r="2485" spans="1:1" x14ac:dyDescent="0.25">
      <c r="A2485" t="s">
        <v>1990</v>
      </c>
    </row>
    <row r="2486" spans="1:1" x14ac:dyDescent="0.25">
      <c r="A2486" t="s">
        <v>1753</v>
      </c>
    </row>
    <row r="2487" spans="1:1" x14ac:dyDescent="0.25">
      <c r="A2487" t="s">
        <v>1741</v>
      </c>
    </row>
    <row r="2488" spans="1:1" x14ac:dyDescent="0.25">
      <c r="A2488" t="s">
        <v>1887</v>
      </c>
    </row>
    <row r="2489" spans="1:1" x14ac:dyDescent="0.25">
      <c r="A2489" t="s">
        <v>2449</v>
      </c>
    </row>
    <row r="2490" spans="1:1" x14ac:dyDescent="0.25">
      <c r="A2490" t="s">
        <v>1744</v>
      </c>
    </row>
    <row r="2492" spans="1:1" x14ac:dyDescent="0.25">
      <c r="A2492" t="s">
        <v>4722</v>
      </c>
    </row>
    <row r="2493" spans="1:1" x14ac:dyDescent="0.25">
      <c r="A2493" t="s">
        <v>4723</v>
      </c>
    </row>
    <row r="2494" spans="1:1" x14ac:dyDescent="0.25">
      <c r="A2494" t="s">
        <v>5252</v>
      </c>
    </row>
    <row r="2495" spans="1:1" x14ac:dyDescent="0.25">
      <c r="A2495" t="s">
        <v>5253</v>
      </c>
    </row>
    <row r="2496" spans="1:1" x14ac:dyDescent="0.25">
      <c r="A2496" t="s">
        <v>4907</v>
      </c>
    </row>
    <row r="2497" spans="1:1" x14ac:dyDescent="0.25">
      <c r="A2497" t="s">
        <v>4727</v>
      </c>
    </row>
    <row r="2498" spans="1:1" x14ac:dyDescent="0.25">
      <c r="A2498" t="s">
        <v>4728</v>
      </c>
    </row>
    <row r="2499" spans="1:1" x14ac:dyDescent="0.25">
      <c r="A2499" t="s">
        <v>4792</v>
      </c>
    </row>
    <row r="2500" spans="1:1" x14ac:dyDescent="0.25">
      <c r="A2500" t="s">
        <v>5254</v>
      </c>
    </row>
    <row r="2501" spans="1:1" x14ac:dyDescent="0.25">
      <c r="A2501" t="s">
        <v>4731</v>
      </c>
    </row>
    <row r="2503" spans="1:1" x14ac:dyDescent="0.25">
      <c r="A2503" t="s">
        <v>4722</v>
      </c>
    </row>
    <row r="2504" spans="1:1" x14ac:dyDescent="0.25">
      <c r="A2504" t="s">
        <v>4723</v>
      </c>
    </row>
    <row r="2505" spans="1:1" x14ac:dyDescent="0.25">
      <c r="A2505" t="s">
        <v>5255</v>
      </c>
    </row>
    <row r="2506" spans="1:1" x14ac:dyDescent="0.25">
      <c r="A2506" t="s">
        <v>5256</v>
      </c>
    </row>
    <row r="2507" spans="1:1" x14ac:dyDescent="0.25">
      <c r="A2507" t="s">
        <v>4895</v>
      </c>
    </row>
    <row r="2508" spans="1:1" x14ac:dyDescent="0.25">
      <c r="A2508" t="s">
        <v>4727</v>
      </c>
    </row>
    <row r="2509" spans="1:1" x14ac:dyDescent="0.25">
      <c r="A2509" t="s">
        <v>4728</v>
      </c>
    </row>
    <row r="2510" spans="1:1" x14ac:dyDescent="0.25">
      <c r="A2510" t="s">
        <v>5257</v>
      </c>
    </row>
    <row r="2511" spans="1:1" x14ac:dyDescent="0.25">
      <c r="A2511" t="s">
        <v>5258</v>
      </c>
    </row>
    <row r="2512" spans="1:1" x14ac:dyDescent="0.25">
      <c r="A2512" t="s">
        <v>4731</v>
      </c>
    </row>
    <row r="2514" spans="1:1" x14ac:dyDescent="0.25">
      <c r="A2514" t="s">
        <v>1737</v>
      </c>
    </row>
    <row r="2515" spans="1:1" x14ac:dyDescent="0.25">
      <c r="A2515" t="s">
        <v>1738</v>
      </c>
    </row>
    <row r="2516" spans="1:1" x14ac:dyDescent="0.25">
      <c r="A2516" t="s">
        <v>2457</v>
      </c>
    </row>
    <row r="2517" spans="1:1" x14ac:dyDescent="0.25">
      <c r="A2517" t="s">
        <v>2458</v>
      </c>
    </row>
    <row r="2518" spans="1:1" x14ac:dyDescent="0.25">
      <c r="A2518" t="s">
        <v>1990</v>
      </c>
    </row>
    <row r="2519" spans="1:1" x14ac:dyDescent="0.25">
      <c r="A2519" t="s">
        <v>1753</v>
      </c>
    </row>
    <row r="2520" spans="1:1" x14ac:dyDescent="0.25">
      <c r="A2520" t="s">
        <v>1741</v>
      </c>
    </row>
    <row r="2521" spans="1:1" x14ac:dyDescent="0.25">
      <c r="A2521" t="s">
        <v>1887</v>
      </c>
    </row>
    <row r="2522" spans="1:1" x14ac:dyDescent="0.25">
      <c r="A2522" t="s">
        <v>2459</v>
      </c>
    </row>
    <row r="2523" spans="1:1" x14ac:dyDescent="0.25">
      <c r="A2523" t="s">
        <v>1744</v>
      </c>
    </row>
    <row r="2525" spans="1:1" x14ac:dyDescent="0.25">
      <c r="A2525" t="s">
        <v>4722</v>
      </c>
    </row>
    <row r="2526" spans="1:1" x14ac:dyDescent="0.25">
      <c r="A2526" t="s">
        <v>4723</v>
      </c>
    </row>
    <row r="2527" spans="1:1" x14ac:dyDescent="0.25">
      <c r="A2527" t="s">
        <v>5259</v>
      </c>
    </row>
    <row r="2528" spans="1:1" x14ac:dyDescent="0.25">
      <c r="A2528" t="s">
        <v>5260</v>
      </c>
    </row>
    <row r="2529" spans="1:1" x14ac:dyDescent="0.25">
      <c r="A2529" t="s">
        <v>4734</v>
      </c>
    </row>
    <row r="2530" spans="1:1" x14ac:dyDescent="0.25">
      <c r="A2530" t="s">
        <v>4727</v>
      </c>
    </row>
    <row r="2531" spans="1:1" x14ac:dyDescent="0.25">
      <c r="A2531" t="s">
        <v>4728</v>
      </c>
    </row>
    <row r="2532" spans="1:1" x14ac:dyDescent="0.25">
      <c r="A2532" t="s">
        <v>4729</v>
      </c>
    </row>
    <row r="2533" spans="1:1" x14ac:dyDescent="0.25">
      <c r="A2533" t="s">
        <v>5261</v>
      </c>
    </row>
    <row r="2534" spans="1:1" x14ac:dyDescent="0.25">
      <c r="A2534" t="s">
        <v>4731</v>
      </c>
    </row>
    <row r="2536" spans="1:1" x14ac:dyDescent="0.25">
      <c r="A2536" t="s">
        <v>4722</v>
      </c>
    </row>
    <row r="2537" spans="1:1" x14ac:dyDescent="0.25">
      <c r="A2537" t="s">
        <v>4723</v>
      </c>
    </row>
    <row r="2538" spans="1:1" x14ac:dyDescent="0.25">
      <c r="A2538" t="s">
        <v>5262</v>
      </c>
    </row>
    <row r="2539" spans="1:1" x14ac:dyDescent="0.25">
      <c r="A2539" t="s">
        <v>5263</v>
      </c>
    </row>
    <row r="2540" spans="1:1" x14ac:dyDescent="0.25">
      <c r="A2540" t="s">
        <v>4734</v>
      </c>
    </row>
    <row r="2541" spans="1:1" x14ac:dyDescent="0.25">
      <c r="A2541" t="s">
        <v>4727</v>
      </c>
    </row>
    <row r="2542" spans="1:1" x14ac:dyDescent="0.25">
      <c r="A2542" t="s">
        <v>4728</v>
      </c>
    </row>
    <row r="2543" spans="1:1" x14ac:dyDescent="0.25">
      <c r="A2543" t="s">
        <v>4729</v>
      </c>
    </row>
    <row r="2544" spans="1:1" x14ac:dyDescent="0.25">
      <c r="A2544" t="s">
        <v>5264</v>
      </c>
    </row>
    <row r="2545" spans="1:1" x14ac:dyDescent="0.25">
      <c r="A2545" t="s">
        <v>4731</v>
      </c>
    </row>
    <row r="2547" spans="1:1" x14ac:dyDescent="0.25">
      <c r="A2547" t="s">
        <v>4722</v>
      </c>
    </row>
    <row r="2548" spans="1:1" x14ac:dyDescent="0.25">
      <c r="A2548" t="s">
        <v>4723</v>
      </c>
    </row>
    <row r="2549" spans="1:1" x14ac:dyDescent="0.25">
      <c r="A2549" t="s">
        <v>5265</v>
      </c>
    </row>
    <row r="2550" spans="1:1" x14ac:dyDescent="0.25">
      <c r="A2550" t="s">
        <v>5266</v>
      </c>
    </row>
    <row r="2551" spans="1:1" x14ac:dyDescent="0.25">
      <c r="A2551" t="s">
        <v>4734</v>
      </c>
    </row>
    <row r="2552" spans="1:1" x14ac:dyDescent="0.25">
      <c r="A2552" t="s">
        <v>4727</v>
      </c>
    </row>
    <row r="2553" spans="1:1" x14ac:dyDescent="0.25">
      <c r="A2553" t="s">
        <v>4728</v>
      </c>
    </row>
    <row r="2554" spans="1:1" x14ac:dyDescent="0.25">
      <c r="A2554" t="s">
        <v>4729</v>
      </c>
    </row>
    <row r="2555" spans="1:1" x14ac:dyDescent="0.25">
      <c r="A2555" t="s">
        <v>5267</v>
      </c>
    </row>
    <row r="2556" spans="1:1" x14ac:dyDescent="0.25">
      <c r="A2556" t="s">
        <v>4731</v>
      </c>
    </row>
    <row r="2558" spans="1:1" x14ac:dyDescent="0.25">
      <c r="A2558" t="s">
        <v>4722</v>
      </c>
    </row>
    <row r="2559" spans="1:1" x14ac:dyDescent="0.25">
      <c r="A2559" t="s">
        <v>4723</v>
      </c>
    </row>
    <row r="2560" spans="1:1" x14ac:dyDescent="0.25">
      <c r="A2560" t="s">
        <v>5268</v>
      </c>
    </row>
    <row r="2561" spans="1:1" x14ac:dyDescent="0.25">
      <c r="A2561" t="s">
        <v>5269</v>
      </c>
    </row>
    <row r="2562" spans="1:1" x14ac:dyDescent="0.25">
      <c r="A2562" t="s">
        <v>5270</v>
      </c>
    </row>
    <row r="2563" spans="1:1" x14ac:dyDescent="0.25">
      <c r="A2563" t="s">
        <v>4727</v>
      </c>
    </row>
    <row r="2564" spans="1:1" x14ac:dyDescent="0.25">
      <c r="A2564" t="s">
        <v>4728</v>
      </c>
    </row>
    <row r="2565" spans="1:1" x14ac:dyDescent="0.25">
      <c r="A2565" t="s">
        <v>4729</v>
      </c>
    </row>
    <row r="2566" spans="1:1" x14ac:dyDescent="0.25">
      <c r="A2566" t="s">
        <v>5271</v>
      </c>
    </row>
    <row r="2567" spans="1:1" x14ac:dyDescent="0.25">
      <c r="A2567" t="s">
        <v>4731</v>
      </c>
    </row>
    <row r="2569" spans="1:1" x14ac:dyDescent="0.25">
      <c r="A2569" t="s">
        <v>4722</v>
      </c>
    </row>
    <row r="2570" spans="1:1" x14ac:dyDescent="0.25">
      <c r="A2570" t="s">
        <v>4723</v>
      </c>
    </row>
    <row r="2571" spans="1:1" x14ac:dyDescent="0.25">
      <c r="A2571" t="s">
        <v>5272</v>
      </c>
    </row>
    <row r="2572" spans="1:1" x14ac:dyDescent="0.25">
      <c r="A2572" t="s">
        <v>5273</v>
      </c>
    </row>
    <row r="2573" spans="1:1" x14ac:dyDescent="0.25">
      <c r="A2573" t="s">
        <v>4895</v>
      </c>
    </row>
    <row r="2574" spans="1:1" x14ac:dyDescent="0.25">
      <c r="A2574" t="s">
        <v>4727</v>
      </c>
    </row>
    <row r="2575" spans="1:1" x14ac:dyDescent="0.25">
      <c r="A2575" t="s">
        <v>4728</v>
      </c>
    </row>
    <row r="2576" spans="1:1" x14ac:dyDescent="0.25">
      <c r="A2576" t="s">
        <v>4792</v>
      </c>
    </row>
    <row r="2577" spans="1:1" x14ac:dyDescent="0.25">
      <c r="A2577" t="s">
        <v>5274</v>
      </c>
    </row>
    <row r="2578" spans="1:1" x14ac:dyDescent="0.25">
      <c r="A2578" t="s">
        <v>4731</v>
      </c>
    </row>
    <row r="2580" spans="1:1" x14ac:dyDescent="0.25">
      <c r="A2580" t="s">
        <v>4722</v>
      </c>
    </row>
    <row r="2581" spans="1:1" x14ac:dyDescent="0.25">
      <c r="A2581" t="s">
        <v>4723</v>
      </c>
    </row>
    <row r="2582" spans="1:1" x14ac:dyDescent="0.25">
      <c r="A2582" t="s">
        <v>5275</v>
      </c>
    </row>
    <row r="2583" spans="1:1" x14ac:dyDescent="0.25">
      <c r="A2583" t="s">
        <v>5276</v>
      </c>
    </row>
    <row r="2584" spans="1:1" x14ac:dyDescent="0.25">
      <c r="A2584" t="s">
        <v>4895</v>
      </c>
    </row>
    <row r="2585" spans="1:1" x14ac:dyDescent="0.25">
      <c r="A2585" t="s">
        <v>4727</v>
      </c>
    </row>
    <row r="2586" spans="1:1" x14ac:dyDescent="0.25">
      <c r="A2586" t="s">
        <v>4728</v>
      </c>
    </row>
    <row r="2587" spans="1:1" x14ac:dyDescent="0.25">
      <c r="A2587" t="s">
        <v>5277</v>
      </c>
    </row>
    <row r="2588" spans="1:1" x14ac:dyDescent="0.25">
      <c r="A2588" t="s">
        <v>5278</v>
      </c>
    </row>
    <row r="2589" spans="1:1" x14ac:dyDescent="0.25">
      <c r="A2589" t="s">
        <v>4731</v>
      </c>
    </row>
    <row r="2591" spans="1:1" x14ac:dyDescent="0.25">
      <c r="A2591" t="s">
        <v>4722</v>
      </c>
    </row>
    <row r="2592" spans="1:1" x14ac:dyDescent="0.25">
      <c r="A2592" t="s">
        <v>4723</v>
      </c>
    </row>
    <row r="2593" spans="1:1" x14ac:dyDescent="0.25">
      <c r="A2593" t="s">
        <v>5279</v>
      </c>
    </row>
    <row r="2594" spans="1:1" x14ac:dyDescent="0.25">
      <c r="A2594" t="s">
        <v>5280</v>
      </c>
    </row>
    <row r="2595" spans="1:1" x14ac:dyDescent="0.25">
      <c r="A2595" t="s">
        <v>5270</v>
      </c>
    </row>
    <row r="2596" spans="1:1" x14ac:dyDescent="0.25">
      <c r="A2596" t="s">
        <v>4727</v>
      </c>
    </row>
    <row r="2597" spans="1:1" x14ac:dyDescent="0.25">
      <c r="A2597" t="s">
        <v>4742</v>
      </c>
    </row>
    <row r="2598" spans="1:1" x14ac:dyDescent="0.25">
      <c r="A2598" t="s">
        <v>4728</v>
      </c>
    </row>
    <row r="2599" spans="1:1" x14ac:dyDescent="0.25">
      <c r="A2599" t="s">
        <v>5281</v>
      </c>
    </row>
    <row r="2600" spans="1:1" x14ac:dyDescent="0.25">
      <c r="A2600" t="s">
        <v>5282</v>
      </c>
    </row>
    <row r="2601" spans="1:1" x14ac:dyDescent="0.25">
      <c r="A2601" t="s">
        <v>4731</v>
      </c>
    </row>
    <row r="2603" spans="1:1" x14ac:dyDescent="0.25">
      <c r="A2603" t="s">
        <v>4722</v>
      </c>
    </row>
    <row r="2604" spans="1:1" x14ac:dyDescent="0.25">
      <c r="A2604" t="s">
        <v>4723</v>
      </c>
    </row>
    <row r="2605" spans="1:1" x14ac:dyDescent="0.25">
      <c r="A2605" t="s">
        <v>5283</v>
      </c>
    </row>
    <row r="2606" spans="1:1" x14ac:dyDescent="0.25">
      <c r="A2606" t="s">
        <v>5284</v>
      </c>
    </row>
    <row r="2607" spans="1:1" x14ac:dyDescent="0.25">
      <c r="A2607" t="s">
        <v>4734</v>
      </c>
    </row>
    <row r="2608" spans="1:1" x14ac:dyDescent="0.25">
      <c r="A2608" t="s">
        <v>4727</v>
      </c>
    </row>
    <row r="2609" spans="1:1" x14ac:dyDescent="0.25">
      <c r="A2609" t="s">
        <v>4728</v>
      </c>
    </row>
    <row r="2610" spans="1:1" x14ac:dyDescent="0.25">
      <c r="A2610" t="s">
        <v>4729</v>
      </c>
    </row>
    <row r="2611" spans="1:1" x14ac:dyDescent="0.25">
      <c r="A2611" t="s">
        <v>5285</v>
      </c>
    </row>
    <row r="2612" spans="1:1" x14ac:dyDescent="0.25">
      <c r="A2612" t="s">
        <v>4731</v>
      </c>
    </row>
    <row r="2614" spans="1:1" x14ac:dyDescent="0.25">
      <c r="A2614" t="s">
        <v>4722</v>
      </c>
    </row>
    <row r="2615" spans="1:1" x14ac:dyDescent="0.25">
      <c r="A2615" t="s">
        <v>4723</v>
      </c>
    </row>
    <row r="2616" spans="1:1" x14ac:dyDescent="0.25">
      <c r="A2616" t="s">
        <v>5286</v>
      </c>
    </row>
    <row r="2617" spans="1:1" x14ac:dyDescent="0.25">
      <c r="A2617" t="s">
        <v>5287</v>
      </c>
    </row>
    <row r="2618" spans="1:1" x14ac:dyDescent="0.25">
      <c r="A2618" t="s">
        <v>4734</v>
      </c>
    </row>
    <row r="2619" spans="1:1" x14ac:dyDescent="0.25">
      <c r="A2619" t="s">
        <v>4727</v>
      </c>
    </row>
    <row r="2620" spans="1:1" x14ac:dyDescent="0.25">
      <c r="A2620" t="s">
        <v>4728</v>
      </c>
    </row>
    <row r="2621" spans="1:1" x14ac:dyDescent="0.25">
      <c r="A2621" t="s">
        <v>4729</v>
      </c>
    </row>
    <row r="2622" spans="1:1" x14ac:dyDescent="0.25">
      <c r="A2622" t="s">
        <v>5288</v>
      </c>
    </row>
    <row r="2623" spans="1:1" x14ac:dyDescent="0.25">
      <c r="A2623" t="s">
        <v>4731</v>
      </c>
    </row>
    <row r="2625" spans="1:1" x14ac:dyDescent="0.25">
      <c r="A2625" t="s">
        <v>4722</v>
      </c>
    </row>
    <row r="2626" spans="1:1" x14ac:dyDescent="0.25">
      <c r="A2626" t="s">
        <v>4723</v>
      </c>
    </row>
    <row r="2627" spans="1:1" x14ac:dyDescent="0.25">
      <c r="A2627" t="s">
        <v>5289</v>
      </c>
    </row>
    <row r="2628" spans="1:1" x14ac:dyDescent="0.25">
      <c r="A2628" t="s">
        <v>5290</v>
      </c>
    </row>
    <row r="2629" spans="1:1" x14ac:dyDescent="0.25">
      <c r="A2629" t="s">
        <v>4734</v>
      </c>
    </row>
    <row r="2630" spans="1:1" x14ac:dyDescent="0.25">
      <c r="A2630" t="s">
        <v>4727</v>
      </c>
    </row>
    <row r="2631" spans="1:1" x14ac:dyDescent="0.25">
      <c r="A2631" t="s">
        <v>4728</v>
      </c>
    </row>
    <row r="2632" spans="1:1" x14ac:dyDescent="0.25">
      <c r="A2632" t="s">
        <v>4729</v>
      </c>
    </row>
    <row r="2633" spans="1:1" x14ac:dyDescent="0.25">
      <c r="A2633" t="s">
        <v>5291</v>
      </c>
    </row>
    <row r="2634" spans="1:1" x14ac:dyDescent="0.25">
      <c r="A2634" t="s">
        <v>4731</v>
      </c>
    </row>
    <row r="2636" spans="1:1" x14ac:dyDescent="0.25">
      <c r="A2636" t="s">
        <v>4722</v>
      </c>
    </row>
    <row r="2637" spans="1:1" x14ac:dyDescent="0.25">
      <c r="A2637" t="s">
        <v>4723</v>
      </c>
    </row>
    <row r="2638" spans="1:1" x14ac:dyDescent="0.25">
      <c r="A2638" t="s">
        <v>5292</v>
      </c>
    </row>
    <row r="2639" spans="1:1" x14ac:dyDescent="0.25">
      <c r="A2639" t="s">
        <v>5293</v>
      </c>
    </row>
    <row r="2640" spans="1:1" x14ac:dyDescent="0.25">
      <c r="A2640" t="s">
        <v>4907</v>
      </c>
    </row>
    <row r="2641" spans="1:1" x14ac:dyDescent="0.25">
      <c r="A2641" t="s">
        <v>4727</v>
      </c>
    </row>
    <row r="2642" spans="1:1" x14ac:dyDescent="0.25">
      <c r="A2642" t="s">
        <v>4728</v>
      </c>
    </row>
    <row r="2643" spans="1:1" x14ac:dyDescent="0.25">
      <c r="A2643" t="s">
        <v>4792</v>
      </c>
    </row>
    <row r="2644" spans="1:1" x14ac:dyDescent="0.25">
      <c r="A2644" t="s">
        <v>5294</v>
      </c>
    </row>
    <row r="2645" spans="1:1" x14ac:dyDescent="0.25">
      <c r="A2645" t="s">
        <v>4731</v>
      </c>
    </row>
    <row r="2647" spans="1:1" x14ac:dyDescent="0.25">
      <c r="A2647" t="s">
        <v>4722</v>
      </c>
    </row>
    <row r="2648" spans="1:1" x14ac:dyDescent="0.25">
      <c r="A2648" t="s">
        <v>4723</v>
      </c>
    </row>
    <row r="2649" spans="1:1" x14ac:dyDescent="0.25">
      <c r="A2649" t="s">
        <v>5295</v>
      </c>
    </row>
    <row r="2650" spans="1:1" x14ac:dyDescent="0.25">
      <c r="A2650" t="s">
        <v>5296</v>
      </c>
    </row>
    <row r="2651" spans="1:1" x14ac:dyDescent="0.25">
      <c r="A2651" t="s">
        <v>4895</v>
      </c>
    </row>
    <row r="2652" spans="1:1" x14ac:dyDescent="0.25">
      <c r="A2652" t="s">
        <v>4727</v>
      </c>
    </row>
    <row r="2653" spans="1:1" x14ac:dyDescent="0.25">
      <c r="A2653" t="s">
        <v>4728</v>
      </c>
    </row>
    <row r="2654" spans="1:1" x14ac:dyDescent="0.25">
      <c r="A2654" t="s">
        <v>4792</v>
      </c>
    </row>
    <row r="2655" spans="1:1" x14ac:dyDescent="0.25">
      <c r="A2655" t="s">
        <v>5297</v>
      </c>
    </row>
    <row r="2656" spans="1:1" x14ac:dyDescent="0.25">
      <c r="A2656" t="s">
        <v>4731</v>
      </c>
    </row>
    <row r="2658" spans="1:1" x14ac:dyDescent="0.25">
      <c r="A2658" t="s">
        <v>4722</v>
      </c>
    </row>
    <row r="2659" spans="1:1" x14ac:dyDescent="0.25">
      <c r="A2659" t="s">
        <v>4723</v>
      </c>
    </row>
    <row r="2660" spans="1:1" x14ac:dyDescent="0.25">
      <c r="A2660" t="s">
        <v>5298</v>
      </c>
    </row>
    <row r="2661" spans="1:1" x14ac:dyDescent="0.25">
      <c r="A2661" t="s">
        <v>5276</v>
      </c>
    </row>
    <row r="2662" spans="1:1" x14ac:dyDescent="0.25">
      <c r="A2662" t="s">
        <v>4895</v>
      </c>
    </row>
    <row r="2663" spans="1:1" x14ac:dyDescent="0.25">
      <c r="A2663" t="s">
        <v>4727</v>
      </c>
    </row>
    <row r="2664" spans="1:1" x14ac:dyDescent="0.25">
      <c r="A2664" t="s">
        <v>4728</v>
      </c>
    </row>
    <row r="2665" spans="1:1" x14ac:dyDescent="0.25">
      <c r="A2665" t="s">
        <v>5277</v>
      </c>
    </row>
    <row r="2666" spans="1:1" x14ac:dyDescent="0.25">
      <c r="A2666" t="s">
        <v>5299</v>
      </c>
    </row>
    <row r="2667" spans="1:1" x14ac:dyDescent="0.25">
      <c r="A2667" t="s">
        <v>4731</v>
      </c>
    </row>
    <row r="2669" spans="1:1" x14ac:dyDescent="0.25">
      <c r="A2669" t="s">
        <v>4722</v>
      </c>
    </row>
    <row r="2670" spans="1:1" x14ac:dyDescent="0.25">
      <c r="A2670" t="s">
        <v>4723</v>
      </c>
    </row>
    <row r="2671" spans="1:1" x14ac:dyDescent="0.25">
      <c r="A2671" t="s">
        <v>5300</v>
      </c>
    </row>
    <row r="2672" spans="1:1" x14ac:dyDescent="0.25">
      <c r="A2672" t="s">
        <v>5301</v>
      </c>
    </row>
    <row r="2673" spans="1:1" x14ac:dyDescent="0.25">
      <c r="A2673" t="s">
        <v>5070</v>
      </c>
    </row>
    <row r="2674" spans="1:1" x14ac:dyDescent="0.25">
      <c r="A2674" t="s">
        <v>4727</v>
      </c>
    </row>
    <row r="2675" spans="1:1" x14ac:dyDescent="0.25">
      <c r="A2675" t="s">
        <v>4728</v>
      </c>
    </row>
    <row r="2676" spans="1:1" x14ac:dyDescent="0.25">
      <c r="A2676" t="s">
        <v>4729</v>
      </c>
    </row>
    <row r="2677" spans="1:1" x14ac:dyDescent="0.25">
      <c r="A2677" t="s">
        <v>5302</v>
      </c>
    </row>
    <row r="2678" spans="1:1" x14ac:dyDescent="0.25">
      <c r="A2678" t="s">
        <v>4731</v>
      </c>
    </row>
    <row r="2680" spans="1:1" x14ac:dyDescent="0.25">
      <c r="A2680" t="s">
        <v>4722</v>
      </c>
    </row>
    <row r="2681" spans="1:1" x14ac:dyDescent="0.25">
      <c r="A2681" t="s">
        <v>4723</v>
      </c>
    </row>
    <row r="2682" spans="1:1" x14ac:dyDescent="0.25">
      <c r="A2682" t="s">
        <v>5303</v>
      </c>
    </row>
    <row r="2683" spans="1:1" x14ac:dyDescent="0.25">
      <c r="A2683" t="s">
        <v>5304</v>
      </c>
    </row>
    <row r="2684" spans="1:1" x14ac:dyDescent="0.25">
      <c r="A2684" t="s">
        <v>5225</v>
      </c>
    </row>
    <row r="2685" spans="1:1" x14ac:dyDescent="0.25">
      <c r="A2685" t="s">
        <v>4727</v>
      </c>
    </row>
    <row r="2686" spans="1:1" x14ac:dyDescent="0.25">
      <c r="A2686" t="s">
        <v>4728</v>
      </c>
    </row>
    <row r="2687" spans="1:1" x14ac:dyDescent="0.25">
      <c r="A2687" t="s">
        <v>4994</v>
      </c>
    </row>
    <row r="2688" spans="1:1" x14ac:dyDescent="0.25">
      <c r="A2688" t="s">
        <v>5305</v>
      </c>
    </row>
    <row r="2689" spans="1:1" x14ac:dyDescent="0.25">
      <c r="A2689" t="s">
        <v>4731</v>
      </c>
    </row>
    <row r="2691" spans="1:1" x14ac:dyDescent="0.25">
      <c r="A2691" t="s">
        <v>4722</v>
      </c>
    </row>
    <row r="2692" spans="1:1" x14ac:dyDescent="0.25">
      <c r="A2692" t="s">
        <v>4723</v>
      </c>
    </row>
    <row r="2693" spans="1:1" x14ac:dyDescent="0.25">
      <c r="A2693" t="s">
        <v>5306</v>
      </c>
    </row>
    <row r="2694" spans="1:1" x14ac:dyDescent="0.25">
      <c r="A2694" t="s">
        <v>5307</v>
      </c>
    </row>
    <row r="2695" spans="1:1" x14ac:dyDescent="0.25">
      <c r="A2695" t="s">
        <v>4961</v>
      </c>
    </row>
    <row r="2696" spans="1:1" x14ac:dyDescent="0.25">
      <c r="A2696" t="s">
        <v>4727</v>
      </c>
    </row>
    <row r="2697" spans="1:1" x14ac:dyDescent="0.25">
      <c r="A2697" t="s">
        <v>4728</v>
      </c>
    </row>
    <row r="2698" spans="1:1" x14ac:dyDescent="0.25">
      <c r="A2698" t="s">
        <v>4729</v>
      </c>
    </row>
    <row r="2699" spans="1:1" x14ac:dyDescent="0.25">
      <c r="A2699" t="s">
        <v>5308</v>
      </c>
    </row>
    <row r="2700" spans="1:1" x14ac:dyDescent="0.25">
      <c r="A2700" t="s">
        <v>4731</v>
      </c>
    </row>
    <row r="2702" spans="1:1" x14ac:dyDescent="0.25">
      <c r="A2702" t="s">
        <v>4722</v>
      </c>
    </row>
    <row r="2703" spans="1:1" x14ac:dyDescent="0.25">
      <c r="A2703" t="s">
        <v>4723</v>
      </c>
    </row>
    <row r="2704" spans="1:1" x14ac:dyDescent="0.25">
      <c r="A2704" t="s">
        <v>5309</v>
      </c>
    </row>
    <row r="2705" spans="1:1" x14ac:dyDescent="0.25">
      <c r="A2705" t="s">
        <v>5310</v>
      </c>
    </row>
    <row r="2706" spans="1:1" x14ac:dyDescent="0.25">
      <c r="A2706" t="s">
        <v>4834</v>
      </c>
    </row>
    <row r="2707" spans="1:1" x14ac:dyDescent="0.25">
      <c r="A2707" t="s">
        <v>4727</v>
      </c>
    </row>
    <row r="2708" spans="1:1" x14ac:dyDescent="0.25">
      <c r="A2708" t="s">
        <v>4728</v>
      </c>
    </row>
    <row r="2709" spans="1:1" x14ac:dyDescent="0.25">
      <c r="A2709" t="s">
        <v>4729</v>
      </c>
    </row>
    <row r="2710" spans="1:1" x14ac:dyDescent="0.25">
      <c r="A2710" t="s">
        <v>5311</v>
      </c>
    </row>
    <row r="2711" spans="1:1" x14ac:dyDescent="0.25">
      <c r="A2711" t="s">
        <v>4731</v>
      </c>
    </row>
    <row r="2713" spans="1:1" x14ac:dyDescent="0.25">
      <c r="A2713" t="s">
        <v>1737</v>
      </c>
    </row>
    <row r="2714" spans="1:1" x14ac:dyDescent="0.25">
      <c r="A2714" t="s">
        <v>1738</v>
      </c>
    </row>
    <row r="2715" spans="1:1" x14ac:dyDescent="0.25">
      <c r="A2715" t="s">
        <v>2513</v>
      </c>
    </row>
    <row r="2716" spans="1:1" x14ac:dyDescent="0.25">
      <c r="A2716" t="s">
        <v>2514</v>
      </c>
    </row>
    <row r="2717" spans="1:1" x14ac:dyDescent="0.25">
      <c r="A2717" t="s">
        <v>2515</v>
      </c>
    </row>
    <row r="2718" spans="1:1" x14ac:dyDescent="0.25">
      <c r="A2718" t="s">
        <v>1753</v>
      </c>
    </row>
    <row r="2719" spans="1:1" x14ac:dyDescent="0.25">
      <c r="A2719" t="s">
        <v>1741</v>
      </c>
    </row>
    <row r="2720" spans="1:1" x14ac:dyDescent="0.25">
      <c r="A2720" t="s">
        <v>1887</v>
      </c>
    </row>
    <row r="2721" spans="1:1" x14ac:dyDescent="0.25">
      <c r="A2721" t="s">
        <v>2516</v>
      </c>
    </row>
    <row r="2722" spans="1:1" x14ac:dyDescent="0.25">
      <c r="A2722" t="s">
        <v>1744</v>
      </c>
    </row>
    <row r="2724" spans="1:1" x14ac:dyDescent="0.25">
      <c r="A2724" t="s">
        <v>1737</v>
      </c>
    </row>
    <row r="2725" spans="1:1" x14ac:dyDescent="0.25">
      <c r="A2725" t="s">
        <v>1738</v>
      </c>
    </row>
    <row r="2726" spans="1:1" x14ac:dyDescent="0.25">
      <c r="A2726" t="s">
        <v>2517</v>
      </c>
    </row>
    <row r="2727" spans="1:1" x14ac:dyDescent="0.25">
      <c r="A2727" t="s">
        <v>2518</v>
      </c>
    </row>
    <row r="2728" spans="1:1" x14ac:dyDescent="0.25">
      <c r="A2728" t="s">
        <v>2006</v>
      </c>
    </row>
    <row r="2729" spans="1:1" x14ac:dyDescent="0.25">
      <c r="A2729" t="s">
        <v>1753</v>
      </c>
    </row>
    <row r="2730" spans="1:1" x14ac:dyDescent="0.25">
      <c r="A2730" t="s">
        <v>1741</v>
      </c>
    </row>
    <row r="2731" spans="1:1" x14ac:dyDescent="0.25">
      <c r="A2731" t="s">
        <v>1887</v>
      </c>
    </row>
    <row r="2732" spans="1:1" x14ac:dyDescent="0.25">
      <c r="A2732" t="s">
        <v>2519</v>
      </c>
    </row>
    <row r="2733" spans="1:1" x14ac:dyDescent="0.25">
      <c r="A2733" t="s">
        <v>1744</v>
      </c>
    </row>
    <row r="2735" spans="1:1" x14ac:dyDescent="0.25">
      <c r="A2735" t="s">
        <v>4722</v>
      </c>
    </row>
    <row r="2736" spans="1:1" x14ac:dyDescent="0.25">
      <c r="A2736" t="s">
        <v>4723</v>
      </c>
    </row>
    <row r="2737" spans="1:1" x14ac:dyDescent="0.25">
      <c r="A2737" t="s">
        <v>5312</v>
      </c>
    </row>
    <row r="2738" spans="1:1" x14ac:dyDescent="0.25">
      <c r="A2738" t="s">
        <v>5313</v>
      </c>
    </row>
    <row r="2739" spans="1:1" x14ac:dyDescent="0.25">
      <c r="A2739" t="s">
        <v>4834</v>
      </c>
    </row>
    <row r="2740" spans="1:1" x14ac:dyDescent="0.25">
      <c r="A2740" t="s">
        <v>4727</v>
      </c>
    </row>
    <row r="2741" spans="1:1" x14ac:dyDescent="0.25">
      <c r="A2741" t="s">
        <v>4728</v>
      </c>
    </row>
    <row r="2742" spans="1:1" x14ac:dyDescent="0.25">
      <c r="A2742" t="s">
        <v>4729</v>
      </c>
    </row>
    <row r="2743" spans="1:1" x14ac:dyDescent="0.25">
      <c r="A2743" t="s">
        <v>5314</v>
      </c>
    </row>
    <row r="2744" spans="1:1" x14ac:dyDescent="0.25">
      <c r="A2744" t="s">
        <v>4731</v>
      </c>
    </row>
    <row r="2746" spans="1:1" x14ac:dyDescent="0.25">
      <c r="A2746" t="s">
        <v>4722</v>
      </c>
    </row>
    <row r="2747" spans="1:1" x14ac:dyDescent="0.25">
      <c r="A2747" t="s">
        <v>4723</v>
      </c>
    </row>
    <row r="2748" spans="1:1" x14ac:dyDescent="0.25">
      <c r="A2748" t="s">
        <v>5315</v>
      </c>
    </row>
    <row r="2749" spans="1:1" x14ac:dyDescent="0.25">
      <c r="A2749" t="s">
        <v>5316</v>
      </c>
    </row>
    <row r="2750" spans="1:1" x14ac:dyDescent="0.25">
      <c r="A2750" t="s">
        <v>5317</v>
      </c>
    </row>
    <row r="2751" spans="1:1" x14ac:dyDescent="0.25">
      <c r="A2751" t="s">
        <v>4727</v>
      </c>
    </row>
    <row r="2752" spans="1:1" x14ac:dyDescent="0.25">
      <c r="A2752" t="s">
        <v>4728</v>
      </c>
    </row>
    <row r="2753" spans="1:1" x14ac:dyDescent="0.25">
      <c r="A2753" t="s">
        <v>4792</v>
      </c>
    </row>
    <row r="2754" spans="1:1" x14ac:dyDescent="0.25">
      <c r="A2754" t="s">
        <v>5318</v>
      </c>
    </row>
    <row r="2755" spans="1:1" x14ac:dyDescent="0.25">
      <c r="A2755" t="s">
        <v>4731</v>
      </c>
    </row>
    <row r="2757" spans="1:1" x14ac:dyDescent="0.25">
      <c r="A2757" t="s">
        <v>4722</v>
      </c>
    </row>
    <row r="2758" spans="1:1" x14ac:dyDescent="0.25">
      <c r="A2758" t="s">
        <v>4723</v>
      </c>
    </row>
    <row r="2759" spans="1:1" x14ac:dyDescent="0.25">
      <c r="A2759" t="s">
        <v>5319</v>
      </c>
    </row>
    <row r="2760" spans="1:1" x14ac:dyDescent="0.25">
      <c r="A2760" t="s">
        <v>5316</v>
      </c>
    </row>
    <row r="2761" spans="1:1" x14ac:dyDescent="0.25">
      <c r="A2761" t="s">
        <v>5317</v>
      </c>
    </row>
    <row r="2762" spans="1:1" x14ac:dyDescent="0.25">
      <c r="A2762" t="s">
        <v>4727</v>
      </c>
    </row>
    <row r="2763" spans="1:1" x14ac:dyDescent="0.25">
      <c r="A2763" t="s">
        <v>4728</v>
      </c>
    </row>
    <row r="2764" spans="1:1" x14ac:dyDescent="0.25">
      <c r="A2764" t="s">
        <v>4792</v>
      </c>
    </row>
    <row r="2765" spans="1:1" x14ac:dyDescent="0.25">
      <c r="A2765" t="s">
        <v>5320</v>
      </c>
    </row>
    <row r="2766" spans="1:1" x14ac:dyDescent="0.25">
      <c r="A2766" t="s">
        <v>4731</v>
      </c>
    </row>
    <row r="2768" spans="1:1" x14ac:dyDescent="0.25">
      <c r="A2768" t="s">
        <v>4722</v>
      </c>
    </row>
    <row r="2769" spans="1:1" x14ac:dyDescent="0.25">
      <c r="A2769" t="s">
        <v>4723</v>
      </c>
    </row>
    <row r="2770" spans="1:1" x14ac:dyDescent="0.25">
      <c r="A2770" t="s">
        <v>5321</v>
      </c>
    </row>
    <row r="2771" spans="1:1" x14ac:dyDescent="0.25">
      <c r="A2771" t="s">
        <v>5322</v>
      </c>
    </row>
    <row r="2772" spans="1:1" x14ac:dyDescent="0.25">
      <c r="A2772" t="s">
        <v>5317</v>
      </c>
    </row>
    <row r="2773" spans="1:1" x14ac:dyDescent="0.25">
      <c r="A2773" t="s">
        <v>4727</v>
      </c>
    </row>
    <row r="2774" spans="1:1" x14ac:dyDescent="0.25">
      <c r="A2774" t="s">
        <v>4728</v>
      </c>
    </row>
    <row r="2775" spans="1:1" x14ac:dyDescent="0.25">
      <c r="A2775" t="s">
        <v>5323</v>
      </c>
    </row>
    <row r="2776" spans="1:1" x14ac:dyDescent="0.25">
      <c r="A2776" t="s">
        <v>5324</v>
      </c>
    </row>
    <row r="2777" spans="1:1" x14ac:dyDescent="0.25">
      <c r="A2777" t="s">
        <v>4731</v>
      </c>
    </row>
    <row r="2779" spans="1:1" x14ac:dyDescent="0.25">
      <c r="A2779" t="s">
        <v>4722</v>
      </c>
    </row>
    <row r="2780" spans="1:1" x14ac:dyDescent="0.25">
      <c r="A2780" t="s">
        <v>4723</v>
      </c>
    </row>
    <row r="2781" spans="1:1" x14ac:dyDescent="0.25">
      <c r="A2781" t="s">
        <v>5325</v>
      </c>
    </row>
    <row r="2782" spans="1:1" x14ac:dyDescent="0.25">
      <c r="A2782" t="s">
        <v>5322</v>
      </c>
    </row>
    <row r="2783" spans="1:1" x14ac:dyDescent="0.25">
      <c r="A2783" t="s">
        <v>5326</v>
      </c>
    </row>
    <row r="2784" spans="1:1" x14ac:dyDescent="0.25">
      <c r="A2784" t="s">
        <v>4727</v>
      </c>
    </row>
    <row r="2785" spans="1:1" x14ac:dyDescent="0.25">
      <c r="A2785" t="s">
        <v>4728</v>
      </c>
    </row>
    <row r="2786" spans="1:1" x14ac:dyDescent="0.25">
      <c r="A2786" t="s">
        <v>4908</v>
      </c>
    </row>
    <row r="2787" spans="1:1" x14ac:dyDescent="0.25">
      <c r="A2787" t="s">
        <v>5327</v>
      </c>
    </row>
    <row r="2788" spans="1:1" x14ac:dyDescent="0.25">
      <c r="A2788" t="s">
        <v>4731</v>
      </c>
    </row>
    <row r="2790" spans="1:1" x14ac:dyDescent="0.25">
      <c r="A2790" t="s">
        <v>4722</v>
      </c>
    </row>
    <row r="2791" spans="1:1" x14ac:dyDescent="0.25">
      <c r="A2791" t="s">
        <v>4723</v>
      </c>
    </row>
    <row r="2792" spans="1:1" x14ac:dyDescent="0.25">
      <c r="A2792" t="s">
        <v>5328</v>
      </c>
    </row>
    <row r="2793" spans="1:1" x14ac:dyDescent="0.25">
      <c r="A2793" t="s">
        <v>5329</v>
      </c>
    </row>
    <row r="2794" spans="1:1" x14ac:dyDescent="0.25">
      <c r="A2794" t="s">
        <v>5317</v>
      </c>
    </row>
    <row r="2795" spans="1:1" x14ac:dyDescent="0.25">
      <c r="A2795" t="s">
        <v>4727</v>
      </c>
    </row>
    <row r="2796" spans="1:1" x14ac:dyDescent="0.25">
      <c r="A2796" t="s">
        <v>4728</v>
      </c>
    </row>
    <row r="2797" spans="1:1" x14ac:dyDescent="0.25">
      <c r="A2797" t="s">
        <v>4792</v>
      </c>
    </row>
    <row r="2798" spans="1:1" x14ac:dyDescent="0.25">
      <c r="A2798" t="s">
        <v>5330</v>
      </c>
    </row>
    <row r="2799" spans="1:1" x14ac:dyDescent="0.25">
      <c r="A2799" t="s">
        <v>4731</v>
      </c>
    </row>
    <row r="2801" spans="1:1" x14ac:dyDescent="0.25">
      <c r="A2801" t="s">
        <v>4722</v>
      </c>
    </row>
    <row r="2802" spans="1:1" x14ac:dyDescent="0.25">
      <c r="A2802" t="s">
        <v>4723</v>
      </c>
    </row>
    <row r="2803" spans="1:1" x14ac:dyDescent="0.25">
      <c r="A2803" t="s">
        <v>5331</v>
      </c>
    </row>
    <row r="2804" spans="1:1" x14ac:dyDescent="0.25">
      <c r="A2804" t="s">
        <v>5332</v>
      </c>
    </row>
    <row r="2805" spans="1:1" x14ac:dyDescent="0.25">
      <c r="A2805" t="s">
        <v>5317</v>
      </c>
    </row>
    <row r="2806" spans="1:1" x14ac:dyDescent="0.25">
      <c r="A2806" t="s">
        <v>4727</v>
      </c>
    </row>
    <row r="2807" spans="1:1" x14ac:dyDescent="0.25">
      <c r="A2807" t="s">
        <v>4728</v>
      </c>
    </row>
    <row r="2808" spans="1:1" x14ac:dyDescent="0.25">
      <c r="A2808" t="s">
        <v>4729</v>
      </c>
    </row>
    <row r="2809" spans="1:1" x14ac:dyDescent="0.25">
      <c r="A2809" t="s">
        <v>5333</v>
      </c>
    </row>
    <row r="2810" spans="1:1" x14ac:dyDescent="0.25">
      <c r="A2810" t="s">
        <v>4731</v>
      </c>
    </row>
    <row r="2812" spans="1:1" x14ac:dyDescent="0.25">
      <c r="A2812" t="s">
        <v>4722</v>
      </c>
    </row>
    <row r="2813" spans="1:1" x14ac:dyDescent="0.25">
      <c r="A2813" t="s">
        <v>4723</v>
      </c>
    </row>
    <row r="2814" spans="1:1" x14ac:dyDescent="0.25">
      <c r="A2814" t="s">
        <v>5334</v>
      </c>
    </row>
    <row r="2815" spans="1:1" x14ac:dyDescent="0.25">
      <c r="A2815" t="s">
        <v>5335</v>
      </c>
    </row>
    <row r="2816" spans="1:1" x14ac:dyDescent="0.25">
      <c r="A2816" t="s">
        <v>4834</v>
      </c>
    </row>
    <row r="2817" spans="1:1" x14ac:dyDescent="0.25">
      <c r="A2817" t="s">
        <v>4727</v>
      </c>
    </row>
    <row r="2818" spans="1:1" x14ac:dyDescent="0.25">
      <c r="A2818" t="s">
        <v>4728</v>
      </c>
    </row>
    <row r="2819" spans="1:1" x14ac:dyDescent="0.25">
      <c r="A2819" t="s">
        <v>5336</v>
      </c>
    </row>
    <row r="2820" spans="1:1" x14ac:dyDescent="0.25">
      <c r="A2820" t="s">
        <v>5337</v>
      </c>
    </row>
    <row r="2821" spans="1:1" x14ac:dyDescent="0.25">
      <c r="A2821" t="s">
        <v>4731</v>
      </c>
    </row>
    <row r="2823" spans="1:1" x14ac:dyDescent="0.25">
      <c r="A2823" t="s">
        <v>4722</v>
      </c>
    </row>
    <row r="2824" spans="1:1" x14ac:dyDescent="0.25">
      <c r="A2824" t="s">
        <v>4723</v>
      </c>
    </row>
    <row r="2825" spans="1:1" x14ac:dyDescent="0.25">
      <c r="A2825" t="s">
        <v>5338</v>
      </c>
    </row>
    <row r="2826" spans="1:1" x14ac:dyDescent="0.25">
      <c r="A2826" t="s">
        <v>5339</v>
      </c>
    </row>
    <row r="2827" spans="1:1" x14ac:dyDescent="0.25">
      <c r="A2827" t="s">
        <v>5340</v>
      </c>
    </row>
    <row r="2828" spans="1:1" x14ac:dyDescent="0.25">
      <c r="A2828" t="s">
        <v>4727</v>
      </c>
    </row>
    <row r="2829" spans="1:1" x14ac:dyDescent="0.25">
      <c r="A2829" t="s">
        <v>4728</v>
      </c>
    </row>
    <row r="2830" spans="1:1" x14ac:dyDescent="0.25">
      <c r="A2830" t="s">
        <v>4729</v>
      </c>
    </row>
    <row r="2831" spans="1:1" x14ac:dyDescent="0.25">
      <c r="A2831" t="s">
        <v>5341</v>
      </c>
    </row>
    <row r="2832" spans="1:1" x14ac:dyDescent="0.25">
      <c r="A2832" t="s">
        <v>4731</v>
      </c>
    </row>
    <row r="2834" spans="1:1" x14ac:dyDescent="0.25">
      <c r="A2834" t="s">
        <v>4722</v>
      </c>
    </row>
    <row r="2835" spans="1:1" x14ac:dyDescent="0.25">
      <c r="A2835" t="s">
        <v>4723</v>
      </c>
    </row>
    <row r="2836" spans="1:1" x14ac:dyDescent="0.25">
      <c r="A2836" t="s">
        <v>5342</v>
      </c>
    </row>
    <row r="2837" spans="1:1" x14ac:dyDescent="0.25">
      <c r="A2837" t="s">
        <v>5343</v>
      </c>
    </row>
    <row r="2838" spans="1:1" x14ac:dyDescent="0.25">
      <c r="A2838" t="s">
        <v>5225</v>
      </c>
    </row>
    <row r="2839" spans="1:1" x14ac:dyDescent="0.25">
      <c r="A2839" t="s">
        <v>4727</v>
      </c>
    </row>
    <row r="2840" spans="1:1" x14ac:dyDescent="0.25">
      <c r="A2840" t="s">
        <v>4728</v>
      </c>
    </row>
    <row r="2841" spans="1:1" x14ac:dyDescent="0.25">
      <c r="A2841" t="s">
        <v>4792</v>
      </c>
    </row>
    <row r="2842" spans="1:1" x14ac:dyDescent="0.25">
      <c r="A2842" t="s">
        <v>5344</v>
      </c>
    </row>
    <row r="2843" spans="1:1" x14ac:dyDescent="0.25">
      <c r="A2843" t="s">
        <v>4731</v>
      </c>
    </row>
    <row r="2845" spans="1:1" x14ac:dyDescent="0.25">
      <c r="A2845" t="s">
        <v>4722</v>
      </c>
    </row>
    <row r="2846" spans="1:1" x14ac:dyDescent="0.25">
      <c r="A2846" t="s">
        <v>4723</v>
      </c>
    </row>
    <row r="2847" spans="1:1" x14ac:dyDescent="0.25">
      <c r="A2847" t="s">
        <v>5345</v>
      </c>
    </row>
    <row r="2848" spans="1:1" x14ac:dyDescent="0.25">
      <c r="A2848" t="s">
        <v>5346</v>
      </c>
    </row>
    <row r="2849" spans="1:1" x14ac:dyDescent="0.25">
      <c r="A2849" t="s">
        <v>5225</v>
      </c>
    </row>
    <row r="2850" spans="1:1" x14ac:dyDescent="0.25">
      <c r="A2850" t="s">
        <v>4727</v>
      </c>
    </row>
    <row r="2851" spans="1:1" x14ac:dyDescent="0.25">
      <c r="A2851" t="s">
        <v>4728</v>
      </c>
    </row>
    <row r="2852" spans="1:1" x14ac:dyDescent="0.25">
      <c r="A2852" t="s">
        <v>4792</v>
      </c>
    </row>
    <row r="2853" spans="1:1" x14ac:dyDescent="0.25">
      <c r="A2853" t="s">
        <v>5347</v>
      </c>
    </row>
    <row r="2854" spans="1:1" x14ac:dyDescent="0.25">
      <c r="A2854" t="s">
        <v>4731</v>
      </c>
    </row>
    <row r="2856" spans="1:1" x14ac:dyDescent="0.25">
      <c r="A2856" t="s">
        <v>4722</v>
      </c>
    </row>
    <row r="2857" spans="1:1" x14ac:dyDescent="0.25">
      <c r="A2857" t="s">
        <v>4723</v>
      </c>
    </row>
    <row r="2858" spans="1:1" x14ac:dyDescent="0.25">
      <c r="A2858" t="s">
        <v>5348</v>
      </c>
    </row>
    <row r="2859" spans="1:1" x14ac:dyDescent="0.25">
      <c r="A2859" t="s">
        <v>5349</v>
      </c>
    </row>
    <row r="2860" spans="1:1" x14ac:dyDescent="0.25">
      <c r="A2860" t="s">
        <v>4895</v>
      </c>
    </row>
    <row r="2861" spans="1:1" x14ac:dyDescent="0.25">
      <c r="A2861" t="s">
        <v>4727</v>
      </c>
    </row>
    <row r="2862" spans="1:1" x14ac:dyDescent="0.25">
      <c r="A2862" t="s">
        <v>4728</v>
      </c>
    </row>
    <row r="2863" spans="1:1" x14ac:dyDescent="0.25">
      <c r="A2863" t="s">
        <v>4792</v>
      </c>
    </row>
    <row r="2864" spans="1:1" x14ac:dyDescent="0.25">
      <c r="A2864" t="s">
        <v>5350</v>
      </c>
    </row>
    <row r="2865" spans="1:1" x14ac:dyDescent="0.25">
      <c r="A2865" t="s">
        <v>4731</v>
      </c>
    </row>
    <row r="2867" spans="1:1" x14ac:dyDescent="0.25">
      <c r="A2867" t="s">
        <v>4722</v>
      </c>
    </row>
    <row r="2868" spans="1:1" x14ac:dyDescent="0.25">
      <c r="A2868" t="s">
        <v>4723</v>
      </c>
    </row>
    <row r="2869" spans="1:1" x14ac:dyDescent="0.25">
      <c r="A2869" t="s">
        <v>5351</v>
      </c>
    </row>
    <row r="2870" spans="1:1" x14ac:dyDescent="0.25">
      <c r="A2870" t="s">
        <v>5352</v>
      </c>
    </row>
    <row r="2871" spans="1:1" x14ac:dyDescent="0.25">
      <c r="A2871" t="s">
        <v>5225</v>
      </c>
    </row>
    <row r="2872" spans="1:1" x14ac:dyDescent="0.25">
      <c r="A2872" t="s">
        <v>4727</v>
      </c>
    </row>
    <row r="2873" spans="1:1" x14ac:dyDescent="0.25">
      <c r="A2873" t="s">
        <v>4728</v>
      </c>
    </row>
    <row r="2874" spans="1:1" x14ac:dyDescent="0.25">
      <c r="A2874" t="s">
        <v>5216</v>
      </c>
    </row>
    <row r="2875" spans="1:1" x14ac:dyDescent="0.25">
      <c r="A2875" t="s">
        <v>5353</v>
      </c>
    </row>
    <row r="2876" spans="1:1" x14ac:dyDescent="0.25">
      <c r="A2876" t="s">
        <v>4731</v>
      </c>
    </row>
    <row r="2878" spans="1:1" x14ac:dyDescent="0.25">
      <c r="A2878" t="s">
        <v>4722</v>
      </c>
    </row>
    <row r="2879" spans="1:1" x14ac:dyDescent="0.25">
      <c r="A2879" t="s">
        <v>4723</v>
      </c>
    </row>
    <row r="2880" spans="1:1" x14ac:dyDescent="0.25">
      <c r="A2880" t="s">
        <v>5354</v>
      </c>
    </row>
    <row r="2881" spans="1:1" x14ac:dyDescent="0.25">
      <c r="A2881" t="s">
        <v>5355</v>
      </c>
    </row>
    <row r="2882" spans="1:1" x14ac:dyDescent="0.25">
      <c r="A2882" t="s">
        <v>5356</v>
      </c>
    </row>
    <row r="2883" spans="1:1" x14ac:dyDescent="0.25">
      <c r="A2883" t="s">
        <v>4727</v>
      </c>
    </row>
    <row r="2884" spans="1:1" x14ac:dyDescent="0.25">
      <c r="A2884" t="s">
        <v>4728</v>
      </c>
    </row>
    <row r="2885" spans="1:1" x14ac:dyDescent="0.25">
      <c r="A2885" t="s">
        <v>4729</v>
      </c>
    </row>
    <row r="2886" spans="1:1" x14ac:dyDescent="0.25">
      <c r="A2886" t="s">
        <v>5357</v>
      </c>
    </row>
    <row r="2887" spans="1:1" x14ac:dyDescent="0.25">
      <c r="A2887" t="s">
        <v>4731</v>
      </c>
    </row>
    <row r="2889" spans="1:1" x14ac:dyDescent="0.25">
      <c r="A2889" t="s">
        <v>4722</v>
      </c>
    </row>
    <row r="2890" spans="1:1" x14ac:dyDescent="0.25">
      <c r="A2890" t="s">
        <v>4723</v>
      </c>
    </row>
    <row r="2891" spans="1:1" x14ac:dyDescent="0.25">
      <c r="A2891" t="s">
        <v>5358</v>
      </c>
    </row>
    <row r="2892" spans="1:1" x14ac:dyDescent="0.25">
      <c r="A2892" t="s">
        <v>5359</v>
      </c>
    </row>
    <row r="2893" spans="1:1" x14ac:dyDescent="0.25">
      <c r="A2893" t="s">
        <v>4895</v>
      </c>
    </row>
    <row r="2894" spans="1:1" x14ac:dyDescent="0.25">
      <c r="A2894" t="s">
        <v>4727</v>
      </c>
    </row>
    <row r="2895" spans="1:1" x14ac:dyDescent="0.25">
      <c r="A2895" t="s">
        <v>4728</v>
      </c>
    </row>
    <row r="2896" spans="1:1" x14ac:dyDescent="0.25">
      <c r="A2896" t="s">
        <v>4729</v>
      </c>
    </row>
    <row r="2897" spans="1:1" x14ac:dyDescent="0.25">
      <c r="A2897" t="s">
        <v>5360</v>
      </c>
    </row>
    <row r="2898" spans="1:1" x14ac:dyDescent="0.25">
      <c r="A2898" t="s">
        <v>4731</v>
      </c>
    </row>
    <row r="2900" spans="1:1" x14ac:dyDescent="0.25">
      <c r="A2900" t="s">
        <v>4722</v>
      </c>
    </row>
    <row r="2901" spans="1:1" x14ac:dyDescent="0.25">
      <c r="A2901" t="s">
        <v>4723</v>
      </c>
    </row>
    <row r="2902" spans="1:1" x14ac:dyDescent="0.25">
      <c r="A2902" t="s">
        <v>5361</v>
      </c>
    </row>
    <row r="2903" spans="1:1" x14ac:dyDescent="0.25">
      <c r="A2903" t="s">
        <v>5362</v>
      </c>
    </row>
    <row r="2904" spans="1:1" x14ac:dyDescent="0.25">
      <c r="A2904" t="s">
        <v>5363</v>
      </c>
    </row>
    <row r="2905" spans="1:1" x14ac:dyDescent="0.25">
      <c r="A2905" t="s">
        <v>4727</v>
      </c>
    </row>
    <row r="2906" spans="1:1" x14ac:dyDescent="0.25">
      <c r="A2906" t="s">
        <v>4728</v>
      </c>
    </row>
    <row r="2907" spans="1:1" x14ac:dyDescent="0.25">
      <c r="A2907" t="s">
        <v>4792</v>
      </c>
    </row>
    <row r="2908" spans="1:1" x14ac:dyDescent="0.25">
      <c r="A2908" t="s">
        <v>5364</v>
      </c>
    </row>
    <row r="2909" spans="1:1" x14ac:dyDescent="0.25">
      <c r="A2909" t="s">
        <v>4731</v>
      </c>
    </row>
    <row r="2911" spans="1:1" x14ac:dyDescent="0.25">
      <c r="A2911" t="s">
        <v>4722</v>
      </c>
    </row>
    <row r="2912" spans="1:1" x14ac:dyDescent="0.25">
      <c r="A2912" t="s">
        <v>4723</v>
      </c>
    </row>
    <row r="2913" spans="1:1" x14ac:dyDescent="0.25">
      <c r="A2913" t="s">
        <v>5365</v>
      </c>
    </row>
    <row r="2914" spans="1:1" x14ac:dyDescent="0.25">
      <c r="A2914" t="s">
        <v>5366</v>
      </c>
    </row>
    <row r="2915" spans="1:1" x14ac:dyDescent="0.25">
      <c r="A2915" t="s">
        <v>5367</v>
      </c>
    </row>
    <row r="2916" spans="1:1" x14ac:dyDescent="0.25">
      <c r="A2916" t="s">
        <v>4727</v>
      </c>
    </row>
    <row r="2917" spans="1:1" x14ac:dyDescent="0.25">
      <c r="A2917" t="s">
        <v>4728</v>
      </c>
    </row>
    <row r="2918" spans="1:1" x14ac:dyDescent="0.25">
      <c r="A2918" t="s">
        <v>4900</v>
      </c>
    </row>
    <row r="2919" spans="1:1" x14ac:dyDescent="0.25">
      <c r="A2919" t="s">
        <v>5368</v>
      </c>
    </row>
    <row r="2920" spans="1:1" x14ac:dyDescent="0.25">
      <c r="A2920" t="s">
        <v>4731</v>
      </c>
    </row>
    <row r="2922" spans="1:1" x14ac:dyDescent="0.25">
      <c r="A2922" t="s">
        <v>4722</v>
      </c>
    </row>
    <row r="2923" spans="1:1" x14ac:dyDescent="0.25">
      <c r="A2923" t="s">
        <v>4723</v>
      </c>
    </row>
    <row r="2924" spans="1:1" x14ac:dyDescent="0.25">
      <c r="A2924" t="s">
        <v>5369</v>
      </c>
    </row>
    <row r="2925" spans="1:1" x14ac:dyDescent="0.25">
      <c r="A2925" t="s">
        <v>5370</v>
      </c>
    </row>
    <row r="2926" spans="1:1" x14ac:dyDescent="0.25">
      <c r="A2926" t="s">
        <v>5371</v>
      </c>
    </row>
    <row r="2927" spans="1:1" x14ac:dyDescent="0.25">
      <c r="A2927" t="s">
        <v>4727</v>
      </c>
    </row>
    <row r="2928" spans="1:1" x14ac:dyDescent="0.25">
      <c r="A2928" t="s">
        <v>4728</v>
      </c>
    </row>
    <row r="2929" spans="1:1" x14ac:dyDescent="0.25">
      <c r="A2929" t="s">
        <v>4729</v>
      </c>
    </row>
    <row r="2930" spans="1:1" x14ac:dyDescent="0.25">
      <c r="A2930" t="s">
        <v>5372</v>
      </c>
    </row>
    <row r="2931" spans="1:1" x14ac:dyDescent="0.25">
      <c r="A2931" t="s">
        <v>4731</v>
      </c>
    </row>
    <row r="2933" spans="1:1" x14ac:dyDescent="0.25">
      <c r="A2933" t="s">
        <v>4722</v>
      </c>
    </row>
    <row r="2934" spans="1:1" x14ac:dyDescent="0.25">
      <c r="A2934" t="s">
        <v>4723</v>
      </c>
    </row>
    <row r="2935" spans="1:1" x14ac:dyDescent="0.25">
      <c r="A2935" t="s">
        <v>5373</v>
      </c>
    </row>
    <row r="2936" spans="1:1" x14ac:dyDescent="0.25">
      <c r="A2936" t="s">
        <v>5374</v>
      </c>
    </row>
    <row r="2937" spans="1:1" x14ac:dyDescent="0.25">
      <c r="A2937" t="s">
        <v>5070</v>
      </c>
    </row>
    <row r="2938" spans="1:1" x14ac:dyDescent="0.25">
      <c r="A2938" t="s">
        <v>4727</v>
      </c>
    </row>
    <row r="2939" spans="1:1" x14ac:dyDescent="0.25">
      <c r="A2939" t="s">
        <v>4728</v>
      </c>
    </row>
    <row r="2940" spans="1:1" x14ac:dyDescent="0.25">
      <c r="A2940" t="s">
        <v>4729</v>
      </c>
    </row>
    <row r="2941" spans="1:1" x14ac:dyDescent="0.25">
      <c r="A2941" t="s">
        <v>5375</v>
      </c>
    </row>
    <row r="2942" spans="1:1" x14ac:dyDescent="0.25">
      <c r="A2942" t="s">
        <v>4731</v>
      </c>
    </row>
    <row r="2944" spans="1:1" x14ac:dyDescent="0.25">
      <c r="A2944" t="s">
        <v>4722</v>
      </c>
    </row>
    <row r="2945" spans="1:1" x14ac:dyDescent="0.25">
      <c r="A2945" t="s">
        <v>4723</v>
      </c>
    </row>
    <row r="2946" spans="1:1" x14ac:dyDescent="0.25">
      <c r="A2946" t="s">
        <v>5376</v>
      </c>
    </row>
    <row r="2947" spans="1:1" x14ac:dyDescent="0.25">
      <c r="A2947" t="s">
        <v>5377</v>
      </c>
    </row>
    <row r="2948" spans="1:1" x14ac:dyDescent="0.25">
      <c r="A2948" t="s">
        <v>4726</v>
      </c>
    </row>
    <row r="2949" spans="1:1" x14ac:dyDescent="0.25">
      <c r="A2949" t="s">
        <v>4727</v>
      </c>
    </row>
    <row r="2950" spans="1:1" x14ac:dyDescent="0.25">
      <c r="A2950" t="s">
        <v>4728</v>
      </c>
    </row>
    <row r="2951" spans="1:1" x14ac:dyDescent="0.25">
      <c r="A2951" t="s">
        <v>5378</v>
      </c>
    </row>
    <row r="2952" spans="1:1" x14ac:dyDescent="0.25">
      <c r="A2952" t="s">
        <v>5379</v>
      </c>
    </row>
    <row r="2953" spans="1:1" x14ac:dyDescent="0.25">
      <c r="A2953" t="s">
        <v>4731</v>
      </c>
    </row>
    <row r="2955" spans="1:1" x14ac:dyDescent="0.25">
      <c r="A2955" t="s">
        <v>4722</v>
      </c>
    </row>
    <row r="2956" spans="1:1" x14ac:dyDescent="0.25">
      <c r="A2956" t="s">
        <v>4723</v>
      </c>
    </row>
    <row r="2957" spans="1:1" x14ac:dyDescent="0.25">
      <c r="A2957" t="s">
        <v>5380</v>
      </c>
    </row>
    <row r="2958" spans="1:1" x14ac:dyDescent="0.25">
      <c r="A2958" t="s">
        <v>5381</v>
      </c>
    </row>
    <row r="2959" spans="1:1" x14ac:dyDescent="0.25">
      <c r="A2959" t="s">
        <v>4726</v>
      </c>
    </row>
    <row r="2960" spans="1:1" x14ac:dyDescent="0.25">
      <c r="A2960" t="s">
        <v>4727</v>
      </c>
    </row>
    <row r="2961" spans="1:1" x14ac:dyDescent="0.25">
      <c r="A2961" t="s">
        <v>4742</v>
      </c>
    </row>
    <row r="2962" spans="1:1" x14ac:dyDescent="0.25">
      <c r="A2962" t="s">
        <v>4728</v>
      </c>
    </row>
    <row r="2963" spans="1:1" x14ac:dyDescent="0.25">
      <c r="A2963" t="s">
        <v>5382</v>
      </c>
    </row>
    <row r="2964" spans="1:1" x14ac:dyDescent="0.25">
      <c r="A2964" t="s">
        <v>5383</v>
      </c>
    </row>
    <row r="2965" spans="1:1" x14ac:dyDescent="0.25">
      <c r="A2965" t="s">
        <v>4731</v>
      </c>
    </row>
    <row r="2967" spans="1:1" x14ac:dyDescent="0.25">
      <c r="A2967" t="s">
        <v>4722</v>
      </c>
    </row>
    <row r="2968" spans="1:1" x14ac:dyDescent="0.25">
      <c r="A2968" t="s">
        <v>4723</v>
      </c>
    </row>
    <row r="2969" spans="1:1" x14ac:dyDescent="0.25">
      <c r="A2969" t="s">
        <v>5384</v>
      </c>
    </row>
    <row r="2970" spans="1:1" x14ac:dyDescent="0.25">
      <c r="A2970" t="s">
        <v>5385</v>
      </c>
    </row>
    <row r="2971" spans="1:1" x14ac:dyDescent="0.25">
      <c r="A2971" t="s">
        <v>4726</v>
      </c>
    </row>
    <row r="2972" spans="1:1" x14ac:dyDescent="0.25">
      <c r="A2972" t="s">
        <v>4727</v>
      </c>
    </row>
    <row r="2973" spans="1:1" x14ac:dyDescent="0.25">
      <c r="A2973" t="s">
        <v>4742</v>
      </c>
    </row>
    <row r="2974" spans="1:1" x14ac:dyDescent="0.25">
      <c r="A2974" t="s">
        <v>4728</v>
      </c>
    </row>
    <row r="2975" spans="1:1" x14ac:dyDescent="0.25">
      <c r="A2975" t="s">
        <v>5386</v>
      </c>
    </row>
    <row r="2976" spans="1:1" x14ac:dyDescent="0.25">
      <c r="A2976" t="s">
        <v>5387</v>
      </c>
    </row>
    <row r="2977" spans="1:1" x14ac:dyDescent="0.25">
      <c r="A2977" t="s">
        <v>4731</v>
      </c>
    </row>
    <row r="2979" spans="1:1" x14ac:dyDescent="0.25">
      <c r="A2979" t="s">
        <v>4722</v>
      </c>
    </row>
    <row r="2980" spans="1:1" x14ac:dyDescent="0.25">
      <c r="A2980" t="s">
        <v>4723</v>
      </c>
    </row>
    <row r="2981" spans="1:1" x14ac:dyDescent="0.25">
      <c r="A2981" t="s">
        <v>5388</v>
      </c>
    </row>
    <row r="2982" spans="1:1" x14ac:dyDescent="0.25">
      <c r="A2982" t="s">
        <v>5389</v>
      </c>
    </row>
    <row r="2983" spans="1:1" x14ac:dyDescent="0.25">
      <c r="A2983" t="s">
        <v>4726</v>
      </c>
    </row>
    <row r="2984" spans="1:1" x14ac:dyDescent="0.25">
      <c r="A2984" t="s">
        <v>4727</v>
      </c>
    </row>
    <row r="2985" spans="1:1" x14ac:dyDescent="0.25">
      <c r="A2985" t="s">
        <v>4742</v>
      </c>
    </row>
    <row r="2986" spans="1:1" x14ac:dyDescent="0.25">
      <c r="A2986" t="s">
        <v>4728</v>
      </c>
    </row>
    <row r="2987" spans="1:1" x14ac:dyDescent="0.25">
      <c r="A2987" t="s">
        <v>5390</v>
      </c>
    </row>
    <row r="2988" spans="1:1" x14ac:dyDescent="0.25">
      <c r="A2988" t="s">
        <v>5391</v>
      </c>
    </row>
    <row r="2989" spans="1:1" x14ac:dyDescent="0.25">
      <c r="A2989" t="s">
        <v>4731</v>
      </c>
    </row>
    <row r="2991" spans="1:1" x14ac:dyDescent="0.25">
      <c r="A2991" t="s">
        <v>4722</v>
      </c>
    </row>
    <row r="2992" spans="1:1" x14ac:dyDescent="0.25">
      <c r="A2992" t="s">
        <v>4723</v>
      </c>
    </row>
    <row r="2993" spans="1:1" x14ac:dyDescent="0.25">
      <c r="A2993" t="s">
        <v>5392</v>
      </c>
    </row>
    <row r="2994" spans="1:1" x14ac:dyDescent="0.25">
      <c r="A2994" t="s">
        <v>5393</v>
      </c>
    </row>
    <row r="2995" spans="1:1" x14ac:dyDescent="0.25">
      <c r="A2995" t="s">
        <v>4726</v>
      </c>
    </row>
    <row r="2996" spans="1:1" x14ac:dyDescent="0.25">
      <c r="A2996" t="s">
        <v>4727</v>
      </c>
    </row>
    <row r="2997" spans="1:1" x14ac:dyDescent="0.25">
      <c r="A2997" t="s">
        <v>4728</v>
      </c>
    </row>
    <row r="2998" spans="1:1" x14ac:dyDescent="0.25">
      <c r="A2998" t="s">
        <v>5394</v>
      </c>
    </row>
    <row r="2999" spans="1:1" x14ac:dyDescent="0.25">
      <c r="A2999" t="s">
        <v>5395</v>
      </c>
    </row>
    <row r="3000" spans="1:1" x14ac:dyDescent="0.25">
      <c r="A3000" t="s">
        <v>4731</v>
      </c>
    </row>
    <row r="3002" spans="1:1" x14ac:dyDescent="0.25">
      <c r="A3002" t="s">
        <v>4722</v>
      </c>
    </row>
    <row r="3003" spans="1:1" x14ac:dyDescent="0.25">
      <c r="A3003" t="s">
        <v>4723</v>
      </c>
    </row>
    <row r="3004" spans="1:1" x14ac:dyDescent="0.25">
      <c r="A3004" t="s">
        <v>5396</v>
      </c>
    </row>
    <row r="3005" spans="1:1" x14ac:dyDescent="0.25">
      <c r="A3005" t="s">
        <v>5397</v>
      </c>
    </row>
    <row r="3006" spans="1:1" x14ac:dyDescent="0.25">
      <c r="A3006" t="s">
        <v>4834</v>
      </c>
    </row>
    <row r="3007" spans="1:1" x14ac:dyDescent="0.25">
      <c r="A3007" t="s">
        <v>4727</v>
      </c>
    </row>
    <row r="3008" spans="1:1" x14ac:dyDescent="0.25">
      <c r="A3008" t="s">
        <v>4728</v>
      </c>
    </row>
    <row r="3009" spans="1:1" x14ac:dyDescent="0.25">
      <c r="A3009" t="s">
        <v>4792</v>
      </c>
    </row>
    <row r="3010" spans="1:1" x14ac:dyDescent="0.25">
      <c r="A3010" t="s">
        <v>5398</v>
      </c>
    </row>
    <row r="3011" spans="1:1" x14ac:dyDescent="0.25">
      <c r="A3011" t="s">
        <v>4731</v>
      </c>
    </row>
    <row r="3013" spans="1:1" x14ac:dyDescent="0.25">
      <c r="A3013" t="s">
        <v>4722</v>
      </c>
    </row>
    <row r="3014" spans="1:1" x14ac:dyDescent="0.25">
      <c r="A3014" t="s">
        <v>4723</v>
      </c>
    </row>
    <row r="3015" spans="1:1" x14ac:dyDescent="0.25">
      <c r="A3015" t="s">
        <v>5399</v>
      </c>
    </row>
    <row r="3016" spans="1:1" x14ac:dyDescent="0.25">
      <c r="A3016" t="s">
        <v>5400</v>
      </c>
    </row>
    <row r="3017" spans="1:1" x14ac:dyDescent="0.25">
      <c r="A3017" t="s">
        <v>4834</v>
      </c>
    </row>
    <row r="3018" spans="1:1" x14ac:dyDescent="0.25">
      <c r="A3018" t="s">
        <v>4727</v>
      </c>
    </row>
    <row r="3019" spans="1:1" x14ac:dyDescent="0.25">
      <c r="A3019" t="s">
        <v>4728</v>
      </c>
    </row>
    <row r="3020" spans="1:1" x14ac:dyDescent="0.25">
      <c r="A3020" t="s">
        <v>4729</v>
      </c>
    </row>
    <row r="3021" spans="1:1" x14ac:dyDescent="0.25">
      <c r="A3021" t="s">
        <v>5401</v>
      </c>
    </row>
    <row r="3022" spans="1:1" x14ac:dyDescent="0.25">
      <c r="A3022" t="s">
        <v>4731</v>
      </c>
    </row>
    <row r="3024" spans="1:1" x14ac:dyDescent="0.25">
      <c r="A3024" t="s">
        <v>4722</v>
      </c>
    </row>
    <row r="3025" spans="1:1" x14ac:dyDescent="0.25">
      <c r="A3025" t="s">
        <v>4723</v>
      </c>
    </row>
    <row r="3026" spans="1:1" x14ac:dyDescent="0.25">
      <c r="A3026" t="s">
        <v>5402</v>
      </c>
    </row>
    <row r="3027" spans="1:1" x14ac:dyDescent="0.25">
      <c r="A3027" t="s">
        <v>5403</v>
      </c>
    </row>
    <row r="3028" spans="1:1" x14ac:dyDescent="0.25">
      <c r="A3028" t="s">
        <v>5225</v>
      </c>
    </row>
    <row r="3029" spans="1:1" x14ac:dyDescent="0.25">
      <c r="A3029" t="s">
        <v>4727</v>
      </c>
    </row>
    <row r="3030" spans="1:1" x14ac:dyDescent="0.25">
      <c r="A3030" t="s">
        <v>4728</v>
      </c>
    </row>
    <row r="3031" spans="1:1" x14ac:dyDescent="0.25">
      <c r="A3031" t="s">
        <v>4729</v>
      </c>
    </row>
    <row r="3032" spans="1:1" x14ac:dyDescent="0.25">
      <c r="A3032" t="s">
        <v>5404</v>
      </c>
    </row>
    <row r="3033" spans="1:1" x14ac:dyDescent="0.25">
      <c r="A3033" t="s">
        <v>4731</v>
      </c>
    </row>
    <row r="3035" spans="1:1" x14ac:dyDescent="0.25">
      <c r="A3035" t="s">
        <v>4722</v>
      </c>
    </row>
    <row r="3036" spans="1:1" x14ac:dyDescent="0.25">
      <c r="A3036" t="s">
        <v>4723</v>
      </c>
    </row>
    <row r="3037" spans="1:1" x14ac:dyDescent="0.25">
      <c r="A3037" t="s">
        <v>5405</v>
      </c>
    </row>
    <row r="3038" spans="1:1" x14ac:dyDescent="0.25">
      <c r="A3038" t="s">
        <v>5406</v>
      </c>
    </row>
    <row r="3039" spans="1:1" x14ac:dyDescent="0.25">
      <c r="A3039" t="s">
        <v>5131</v>
      </c>
    </row>
    <row r="3040" spans="1:1" x14ac:dyDescent="0.25">
      <c r="A3040" t="s">
        <v>4727</v>
      </c>
    </row>
    <row r="3041" spans="1:1" x14ac:dyDescent="0.25">
      <c r="A3041" t="s">
        <v>4728</v>
      </c>
    </row>
    <row r="3042" spans="1:1" x14ac:dyDescent="0.25">
      <c r="A3042" t="s">
        <v>4729</v>
      </c>
    </row>
    <row r="3043" spans="1:1" x14ac:dyDescent="0.25">
      <c r="A3043" t="s">
        <v>5407</v>
      </c>
    </row>
    <row r="3044" spans="1:1" x14ac:dyDescent="0.25">
      <c r="A3044" t="s">
        <v>4731</v>
      </c>
    </row>
    <row r="3046" spans="1:1" x14ac:dyDescent="0.25">
      <c r="A3046" t="s">
        <v>4722</v>
      </c>
    </row>
    <row r="3047" spans="1:1" x14ac:dyDescent="0.25">
      <c r="A3047" t="s">
        <v>4723</v>
      </c>
    </row>
    <row r="3048" spans="1:1" x14ac:dyDescent="0.25">
      <c r="A3048" t="s">
        <v>5408</v>
      </c>
    </row>
    <row r="3049" spans="1:1" x14ac:dyDescent="0.25">
      <c r="A3049" t="s">
        <v>5409</v>
      </c>
    </row>
    <row r="3050" spans="1:1" x14ac:dyDescent="0.25">
      <c r="A3050" t="s">
        <v>5131</v>
      </c>
    </row>
    <row r="3051" spans="1:1" x14ac:dyDescent="0.25">
      <c r="A3051" t="s">
        <v>4727</v>
      </c>
    </row>
    <row r="3052" spans="1:1" x14ac:dyDescent="0.25">
      <c r="A3052" t="s">
        <v>4728</v>
      </c>
    </row>
    <row r="3053" spans="1:1" x14ac:dyDescent="0.25">
      <c r="A3053" t="s">
        <v>4729</v>
      </c>
    </row>
    <row r="3054" spans="1:1" x14ac:dyDescent="0.25">
      <c r="A3054" t="s">
        <v>5410</v>
      </c>
    </row>
    <row r="3055" spans="1:1" x14ac:dyDescent="0.25">
      <c r="A3055" t="s">
        <v>4731</v>
      </c>
    </row>
    <row r="3057" spans="1:1" x14ac:dyDescent="0.25">
      <c r="A3057" t="s">
        <v>4722</v>
      </c>
    </row>
    <row r="3058" spans="1:1" x14ac:dyDescent="0.25">
      <c r="A3058" t="s">
        <v>4723</v>
      </c>
    </row>
    <row r="3059" spans="1:1" x14ac:dyDescent="0.25">
      <c r="A3059" t="s">
        <v>5411</v>
      </c>
    </row>
    <row r="3060" spans="1:1" x14ac:dyDescent="0.25">
      <c r="A3060" t="s">
        <v>5412</v>
      </c>
    </row>
    <row r="3061" spans="1:1" x14ac:dyDescent="0.25">
      <c r="A3061" t="s">
        <v>5131</v>
      </c>
    </row>
    <row r="3062" spans="1:1" x14ac:dyDescent="0.25">
      <c r="A3062" t="s">
        <v>4727</v>
      </c>
    </row>
    <row r="3063" spans="1:1" x14ac:dyDescent="0.25">
      <c r="A3063" t="s">
        <v>4728</v>
      </c>
    </row>
    <row r="3064" spans="1:1" x14ac:dyDescent="0.25">
      <c r="A3064" t="s">
        <v>4792</v>
      </c>
    </row>
    <row r="3065" spans="1:1" x14ac:dyDescent="0.25">
      <c r="A3065" t="s">
        <v>5413</v>
      </c>
    </row>
    <row r="3066" spans="1:1" x14ac:dyDescent="0.25">
      <c r="A3066" t="s">
        <v>4731</v>
      </c>
    </row>
    <row r="3068" spans="1:1" x14ac:dyDescent="0.25">
      <c r="A3068" t="s">
        <v>4722</v>
      </c>
    </row>
    <row r="3069" spans="1:1" x14ac:dyDescent="0.25">
      <c r="A3069" t="s">
        <v>4723</v>
      </c>
    </row>
    <row r="3070" spans="1:1" x14ac:dyDescent="0.25">
      <c r="A3070" t="s">
        <v>5414</v>
      </c>
    </row>
    <row r="3071" spans="1:1" x14ac:dyDescent="0.25">
      <c r="A3071" t="s">
        <v>5415</v>
      </c>
    </row>
    <row r="3072" spans="1:1" x14ac:dyDescent="0.25">
      <c r="A3072" t="s">
        <v>4895</v>
      </c>
    </row>
    <row r="3073" spans="1:1" x14ac:dyDescent="0.25">
      <c r="A3073" t="s">
        <v>4727</v>
      </c>
    </row>
    <row r="3074" spans="1:1" x14ac:dyDescent="0.25">
      <c r="A3074" t="s">
        <v>4728</v>
      </c>
    </row>
    <row r="3075" spans="1:1" x14ac:dyDescent="0.25">
      <c r="A3075" t="s">
        <v>4729</v>
      </c>
    </row>
    <row r="3076" spans="1:1" x14ac:dyDescent="0.25">
      <c r="A3076" t="s">
        <v>5416</v>
      </c>
    </row>
    <row r="3077" spans="1:1" x14ac:dyDescent="0.25">
      <c r="A3077" t="s">
        <v>4731</v>
      </c>
    </row>
    <row r="3079" spans="1:1" x14ac:dyDescent="0.25">
      <c r="A3079" t="s">
        <v>4722</v>
      </c>
    </row>
    <row r="3080" spans="1:1" x14ac:dyDescent="0.25">
      <c r="A3080" t="s">
        <v>4723</v>
      </c>
    </row>
    <row r="3081" spans="1:1" x14ac:dyDescent="0.25">
      <c r="A3081" t="s">
        <v>5417</v>
      </c>
    </row>
    <row r="3082" spans="1:1" x14ac:dyDescent="0.25">
      <c r="A3082" t="s">
        <v>5418</v>
      </c>
    </row>
    <row r="3083" spans="1:1" x14ac:dyDescent="0.25">
      <c r="A3083" t="s">
        <v>4895</v>
      </c>
    </row>
    <row r="3084" spans="1:1" x14ac:dyDescent="0.25">
      <c r="A3084" t="s">
        <v>4727</v>
      </c>
    </row>
    <row r="3085" spans="1:1" x14ac:dyDescent="0.25">
      <c r="A3085" t="s">
        <v>4728</v>
      </c>
    </row>
    <row r="3086" spans="1:1" x14ac:dyDescent="0.25">
      <c r="A3086" t="s">
        <v>4729</v>
      </c>
    </row>
    <row r="3087" spans="1:1" x14ac:dyDescent="0.25">
      <c r="A3087" t="s">
        <v>5419</v>
      </c>
    </row>
    <row r="3088" spans="1:1" x14ac:dyDescent="0.25">
      <c r="A3088" t="s">
        <v>4731</v>
      </c>
    </row>
    <row r="3090" spans="1:1" x14ac:dyDescent="0.25">
      <c r="A3090" t="s">
        <v>1737</v>
      </c>
    </row>
    <row r="3091" spans="1:1" x14ac:dyDescent="0.25">
      <c r="A3091" t="s">
        <v>1738</v>
      </c>
    </row>
    <row r="3092" spans="1:1" x14ac:dyDescent="0.25">
      <c r="A3092" t="s">
        <v>2625</v>
      </c>
    </row>
    <row r="3093" spans="1:1" x14ac:dyDescent="0.25">
      <c r="A3093" t="s">
        <v>2626</v>
      </c>
    </row>
    <row r="3094" spans="1:1" x14ac:dyDescent="0.25">
      <c r="A3094" t="s">
        <v>1990</v>
      </c>
    </row>
    <row r="3095" spans="1:1" x14ac:dyDescent="0.25">
      <c r="A3095" t="s">
        <v>1753</v>
      </c>
    </row>
    <row r="3096" spans="1:1" x14ac:dyDescent="0.25">
      <c r="A3096" t="s">
        <v>1741</v>
      </c>
    </row>
    <row r="3097" spans="1:1" x14ac:dyDescent="0.25">
      <c r="A3097" t="s">
        <v>1887</v>
      </c>
    </row>
    <row r="3098" spans="1:1" x14ac:dyDescent="0.25">
      <c r="A3098" t="s">
        <v>2627</v>
      </c>
    </row>
    <row r="3099" spans="1:1" x14ac:dyDescent="0.25">
      <c r="A3099" t="s">
        <v>1744</v>
      </c>
    </row>
    <row r="3101" spans="1:1" x14ac:dyDescent="0.25">
      <c r="A3101" t="s">
        <v>4722</v>
      </c>
    </row>
    <row r="3102" spans="1:1" x14ac:dyDescent="0.25">
      <c r="A3102" t="s">
        <v>4723</v>
      </c>
    </row>
    <row r="3103" spans="1:1" x14ac:dyDescent="0.25">
      <c r="A3103" t="s">
        <v>5420</v>
      </c>
    </row>
    <row r="3104" spans="1:1" x14ac:dyDescent="0.25">
      <c r="A3104" t="s">
        <v>5421</v>
      </c>
    </row>
    <row r="3105" spans="1:1" x14ac:dyDescent="0.25">
      <c r="A3105" t="s">
        <v>5422</v>
      </c>
    </row>
    <row r="3106" spans="1:1" x14ac:dyDescent="0.25">
      <c r="A3106" t="s">
        <v>4727</v>
      </c>
    </row>
    <row r="3107" spans="1:1" x14ac:dyDescent="0.25">
      <c r="A3107" t="s">
        <v>4728</v>
      </c>
    </row>
    <row r="3108" spans="1:1" x14ac:dyDescent="0.25">
      <c r="A3108" t="s">
        <v>4729</v>
      </c>
    </row>
    <row r="3109" spans="1:1" x14ac:dyDescent="0.25">
      <c r="A3109" t="s">
        <v>5423</v>
      </c>
    </row>
    <row r="3110" spans="1:1" x14ac:dyDescent="0.25">
      <c r="A3110" t="s">
        <v>4731</v>
      </c>
    </row>
    <row r="3112" spans="1:1" x14ac:dyDescent="0.25">
      <c r="A3112" t="s">
        <v>4722</v>
      </c>
    </row>
    <row r="3113" spans="1:1" x14ac:dyDescent="0.25">
      <c r="A3113" t="s">
        <v>4723</v>
      </c>
    </row>
    <row r="3114" spans="1:1" x14ac:dyDescent="0.25">
      <c r="A3114" t="s">
        <v>5424</v>
      </c>
    </row>
    <row r="3115" spans="1:1" x14ac:dyDescent="0.25">
      <c r="A3115" t="s">
        <v>5425</v>
      </c>
    </row>
    <row r="3116" spans="1:1" x14ac:dyDescent="0.25">
      <c r="A3116" t="s">
        <v>4895</v>
      </c>
    </row>
    <row r="3117" spans="1:1" x14ac:dyDescent="0.25">
      <c r="A3117" t="s">
        <v>4727</v>
      </c>
    </row>
    <row r="3118" spans="1:1" x14ac:dyDescent="0.25">
      <c r="A3118" t="s">
        <v>4728</v>
      </c>
    </row>
    <row r="3119" spans="1:1" x14ac:dyDescent="0.25">
      <c r="A3119" t="s">
        <v>4729</v>
      </c>
    </row>
    <row r="3120" spans="1:1" x14ac:dyDescent="0.25">
      <c r="A3120" t="s">
        <v>5426</v>
      </c>
    </row>
    <row r="3121" spans="1:1" x14ac:dyDescent="0.25">
      <c r="A3121" t="s">
        <v>4731</v>
      </c>
    </row>
    <row r="3123" spans="1:1" x14ac:dyDescent="0.25">
      <c r="A3123" t="s">
        <v>1737</v>
      </c>
    </row>
    <row r="3124" spans="1:1" x14ac:dyDescent="0.25">
      <c r="A3124" t="s">
        <v>1738</v>
      </c>
    </row>
    <row r="3125" spans="1:1" x14ac:dyDescent="0.25">
      <c r="A3125" t="s">
        <v>2635</v>
      </c>
    </row>
    <row r="3126" spans="1:1" x14ac:dyDescent="0.25">
      <c r="A3126" t="s">
        <v>2636</v>
      </c>
    </row>
    <row r="3127" spans="1:1" x14ac:dyDescent="0.25">
      <c r="A3127" t="s">
        <v>2010</v>
      </c>
    </row>
    <row r="3128" spans="1:1" x14ac:dyDescent="0.25">
      <c r="A3128" t="s">
        <v>1753</v>
      </c>
    </row>
    <row r="3129" spans="1:1" x14ac:dyDescent="0.25">
      <c r="A3129" t="s">
        <v>1741</v>
      </c>
    </row>
    <row r="3130" spans="1:1" x14ac:dyDescent="0.25">
      <c r="A3130" t="s">
        <v>1887</v>
      </c>
    </row>
    <row r="3131" spans="1:1" x14ac:dyDescent="0.25">
      <c r="A3131" t="s">
        <v>2637</v>
      </c>
    </row>
    <row r="3132" spans="1:1" x14ac:dyDescent="0.25">
      <c r="A3132" t="s">
        <v>1744</v>
      </c>
    </row>
    <row r="3134" spans="1:1" x14ac:dyDescent="0.25">
      <c r="A3134" t="s">
        <v>1737</v>
      </c>
    </row>
    <row r="3135" spans="1:1" x14ac:dyDescent="0.25">
      <c r="A3135" t="s">
        <v>1738</v>
      </c>
    </row>
    <row r="3136" spans="1:1" x14ac:dyDescent="0.25">
      <c r="A3136" t="s">
        <v>2638</v>
      </c>
    </row>
    <row r="3137" spans="1:1" x14ac:dyDescent="0.25">
      <c r="A3137" t="s">
        <v>2636</v>
      </c>
    </row>
    <row r="3138" spans="1:1" x14ac:dyDescent="0.25">
      <c r="A3138" t="s">
        <v>2010</v>
      </c>
    </row>
    <row r="3139" spans="1:1" x14ac:dyDescent="0.25">
      <c r="A3139" t="s">
        <v>1753</v>
      </c>
    </row>
    <row r="3140" spans="1:1" x14ac:dyDescent="0.25">
      <c r="A3140" t="s">
        <v>1741</v>
      </c>
    </row>
    <row r="3141" spans="1:1" x14ac:dyDescent="0.25">
      <c r="A3141" t="s">
        <v>1887</v>
      </c>
    </row>
    <row r="3142" spans="1:1" x14ac:dyDescent="0.25">
      <c r="A3142" t="s">
        <v>2639</v>
      </c>
    </row>
    <row r="3143" spans="1:1" x14ac:dyDescent="0.25">
      <c r="A3143" t="s">
        <v>1744</v>
      </c>
    </row>
    <row r="3145" spans="1:1" x14ac:dyDescent="0.25">
      <c r="A3145" t="s">
        <v>4722</v>
      </c>
    </row>
    <row r="3146" spans="1:1" x14ac:dyDescent="0.25">
      <c r="A3146" t="s">
        <v>4723</v>
      </c>
    </row>
    <row r="3147" spans="1:1" x14ac:dyDescent="0.25">
      <c r="A3147" t="s">
        <v>5427</v>
      </c>
    </row>
    <row r="3148" spans="1:1" x14ac:dyDescent="0.25">
      <c r="A3148" t="s">
        <v>5428</v>
      </c>
    </row>
    <row r="3149" spans="1:1" x14ac:dyDescent="0.25">
      <c r="A3149" t="s">
        <v>5225</v>
      </c>
    </row>
    <row r="3150" spans="1:1" x14ac:dyDescent="0.25">
      <c r="A3150" t="s">
        <v>4727</v>
      </c>
    </row>
    <row r="3151" spans="1:1" x14ac:dyDescent="0.25">
      <c r="A3151" t="s">
        <v>4728</v>
      </c>
    </row>
    <row r="3152" spans="1:1" x14ac:dyDescent="0.25">
      <c r="A3152" t="s">
        <v>4792</v>
      </c>
    </row>
    <row r="3153" spans="1:1" x14ac:dyDescent="0.25">
      <c r="A3153" t="s">
        <v>5429</v>
      </c>
    </row>
    <row r="3154" spans="1:1" x14ac:dyDescent="0.25">
      <c r="A3154" t="s">
        <v>4731</v>
      </c>
    </row>
    <row r="3156" spans="1:1" x14ac:dyDescent="0.25">
      <c r="A3156" t="s">
        <v>4722</v>
      </c>
    </row>
    <row r="3157" spans="1:1" x14ac:dyDescent="0.25">
      <c r="A3157" t="s">
        <v>4723</v>
      </c>
    </row>
    <row r="3158" spans="1:1" x14ac:dyDescent="0.25">
      <c r="A3158" t="s">
        <v>5430</v>
      </c>
    </row>
    <row r="3159" spans="1:1" x14ac:dyDescent="0.25">
      <c r="A3159" t="s">
        <v>5428</v>
      </c>
    </row>
    <row r="3160" spans="1:1" x14ac:dyDescent="0.25">
      <c r="A3160" t="s">
        <v>5225</v>
      </c>
    </row>
    <row r="3161" spans="1:1" x14ac:dyDescent="0.25">
      <c r="A3161" t="s">
        <v>4727</v>
      </c>
    </row>
    <row r="3162" spans="1:1" x14ac:dyDescent="0.25">
      <c r="A3162" t="s">
        <v>4728</v>
      </c>
    </row>
    <row r="3163" spans="1:1" x14ac:dyDescent="0.25">
      <c r="A3163" t="s">
        <v>4792</v>
      </c>
    </row>
    <row r="3164" spans="1:1" x14ac:dyDescent="0.25">
      <c r="A3164" t="s">
        <v>5431</v>
      </c>
    </row>
    <row r="3165" spans="1:1" x14ac:dyDescent="0.25">
      <c r="A3165" t="s">
        <v>4731</v>
      </c>
    </row>
    <row r="3167" spans="1:1" x14ac:dyDescent="0.25">
      <c r="A3167" t="s">
        <v>4722</v>
      </c>
    </row>
    <row r="3168" spans="1:1" x14ac:dyDescent="0.25">
      <c r="A3168" t="s">
        <v>4723</v>
      </c>
    </row>
    <row r="3169" spans="1:1" x14ac:dyDescent="0.25">
      <c r="A3169" t="s">
        <v>5432</v>
      </c>
    </row>
    <row r="3170" spans="1:1" x14ac:dyDescent="0.25">
      <c r="A3170" t="s">
        <v>5433</v>
      </c>
    </row>
    <row r="3171" spans="1:1" x14ac:dyDescent="0.25">
      <c r="A3171" t="s">
        <v>5188</v>
      </c>
    </row>
    <row r="3172" spans="1:1" x14ac:dyDescent="0.25">
      <c r="A3172" t="s">
        <v>4727</v>
      </c>
    </row>
    <row r="3173" spans="1:1" x14ac:dyDescent="0.25">
      <c r="A3173" t="s">
        <v>4728</v>
      </c>
    </row>
    <row r="3174" spans="1:1" x14ac:dyDescent="0.25">
      <c r="A3174" t="s">
        <v>4729</v>
      </c>
    </row>
    <row r="3175" spans="1:1" x14ac:dyDescent="0.25">
      <c r="A3175" t="s">
        <v>5434</v>
      </c>
    </row>
    <row r="3176" spans="1:1" x14ac:dyDescent="0.25">
      <c r="A3176" t="s">
        <v>4731</v>
      </c>
    </row>
    <row r="3178" spans="1:1" x14ac:dyDescent="0.25">
      <c r="A3178" t="s">
        <v>4722</v>
      </c>
    </row>
    <row r="3179" spans="1:1" x14ac:dyDescent="0.25">
      <c r="A3179" t="s">
        <v>4723</v>
      </c>
    </row>
    <row r="3180" spans="1:1" x14ac:dyDescent="0.25">
      <c r="A3180" t="s">
        <v>5435</v>
      </c>
    </row>
    <row r="3181" spans="1:1" x14ac:dyDescent="0.25">
      <c r="A3181" t="s">
        <v>5433</v>
      </c>
    </row>
    <row r="3182" spans="1:1" x14ac:dyDescent="0.25">
      <c r="A3182" t="s">
        <v>5188</v>
      </c>
    </row>
    <row r="3183" spans="1:1" x14ac:dyDescent="0.25">
      <c r="A3183" t="s">
        <v>4727</v>
      </c>
    </row>
    <row r="3184" spans="1:1" x14ac:dyDescent="0.25">
      <c r="A3184" t="s">
        <v>4728</v>
      </c>
    </row>
    <row r="3185" spans="1:1" x14ac:dyDescent="0.25">
      <c r="A3185" t="s">
        <v>4729</v>
      </c>
    </row>
    <row r="3186" spans="1:1" x14ac:dyDescent="0.25">
      <c r="A3186" t="s">
        <v>5436</v>
      </c>
    </row>
    <row r="3187" spans="1:1" x14ac:dyDescent="0.25">
      <c r="A3187" t="s">
        <v>4731</v>
      </c>
    </row>
    <row r="3189" spans="1:1" x14ac:dyDescent="0.25">
      <c r="A3189" t="s">
        <v>4722</v>
      </c>
    </row>
    <row r="3190" spans="1:1" x14ac:dyDescent="0.25">
      <c r="A3190" t="s">
        <v>4723</v>
      </c>
    </row>
    <row r="3191" spans="1:1" x14ac:dyDescent="0.25">
      <c r="A3191" t="s">
        <v>5437</v>
      </c>
    </row>
    <row r="3192" spans="1:1" x14ac:dyDescent="0.25">
      <c r="A3192" t="s">
        <v>5438</v>
      </c>
    </row>
    <row r="3193" spans="1:1" x14ac:dyDescent="0.25">
      <c r="A3193" t="s">
        <v>4895</v>
      </c>
    </row>
    <row r="3194" spans="1:1" x14ac:dyDescent="0.25">
      <c r="A3194" t="s">
        <v>4727</v>
      </c>
    </row>
    <row r="3195" spans="1:1" x14ac:dyDescent="0.25">
      <c r="A3195" t="s">
        <v>4728</v>
      </c>
    </row>
    <row r="3196" spans="1:1" x14ac:dyDescent="0.25">
      <c r="A3196" t="s">
        <v>4792</v>
      </c>
    </row>
    <row r="3197" spans="1:1" x14ac:dyDescent="0.25">
      <c r="A3197" t="s">
        <v>5439</v>
      </c>
    </row>
    <row r="3198" spans="1:1" x14ac:dyDescent="0.25">
      <c r="A3198" t="s">
        <v>4731</v>
      </c>
    </row>
    <row r="3200" spans="1:1" x14ac:dyDescent="0.25">
      <c r="A3200" t="s">
        <v>1737</v>
      </c>
    </row>
    <row r="3201" spans="1:1" x14ac:dyDescent="0.25">
      <c r="A3201" t="s">
        <v>1738</v>
      </c>
    </row>
    <row r="3202" spans="1:1" x14ac:dyDescent="0.25">
      <c r="A3202" t="s">
        <v>2653</v>
      </c>
    </row>
    <row r="3203" spans="1:1" x14ac:dyDescent="0.25">
      <c r="A3203" t="s">
        <v>2654</v>
      </c>
    </row>
    <row r="3204" spans="1:1" x14ac:dyDescent="0.25">
      <c r="A3204" t="s">
        <v>1990</v>
      </c>
    </row>
    <row r="3205" spans="1:1" x14ac:dyDescent="0.25">
      <c r="A3205" t="s">
        <v>1753</v>
      </c>
    </row>
    <row r="3206" spans="1:1" x14ac:dyDescent="0.25">
      <c r="A3206" t="s">
        <v>1741</v>
      </c>
    </row>
    <row r="3207" spans="1:1" x14ac:dyDescent="0.25">
      <c r="A3207" t="s">
        <v>1887</v>
      </c>
    </row>
    <row r="3208" spans="1:1" x14ac:dyDescent="0.25">
      <c r="A3208" t="s">
        <v>2655</v>
      </c>
    </row>
    <row r="3209" spans="1:1" x14ac:dyDescent="0.25">
      <c r="A3209" t="s">
        <v>1744</v>
      </c>
    </row>
    <row r="3211" spans="1:1" x14ac:dyDescent="0.25">
      <c r="A3211" t="s">
        <v>4722</v>
      </c>
    </row>
    <row r="3212" spans="1:1" x14ac:dyDescent="0.25">
      <c r="A3212" t="s">
        <v>4723</v>
      </c>
    </row>
    <row r="3213" spans="1:1" x14ac:dyDescent="0.25">
      <c r="A3213" t="s">
        <v>5440</v>
      </c>
    </row>
    <row r="3214" spans="1:1" x14ac:dyDescent="0.25">
      <c r="A3214" t="s">
        <v>5441</v>
      </c>
    </row>
    <row r="3215" spans="1:1" x14ac:dyDescent="0.25">
      <c r="A3215" t="s">
        <v>4907</v>
      </c>
    </row>
    <row r="3216" spans="1:1" x14ac:dyDescent="0.25">
      <c r="A3216" t="s">
        <v>4727</v>
      </c>
    </row>
    <row r="3217" spans="1:1" x14ac:dyDescent="0.25">
      <c r="A3217" t="s">
        <v>4728</v>
      </c>
    </row>
    <row r="3218" spans="1:1" x14ac:dyDescent="0.25">
      <c r="A3218" t="s">
        <v>4729</v>
      </c>
    </row>
    <row r="3219" spans="1:1" x14ac:dyDescent="0.25">
      <c r="A3219" t="s">
        <v>5442</v>
      </c>
    </row>
    <row r="3220" spans="1:1" x14ac:dyDescent="0.25">
      <c r="A3220" t="s">
        <v>4731</v>
      </c>
    </row>
    <row r="3222" spans="1:1" x14ac:dyDescent="0.25">
      <c r="A3222" t="s">
        <v>4722</v>
      </c>
    </row>
    <row r="3223" spans="1:1" x14ac:dyDescent="0.25">
      <c r="A3223" t="s">
        <v>4723</v>
      </c>
    </row>
    <row r="3224" spans="1:1" x14ac:dyDescent="0.25">
      <c r="A3224" t="s">
        <v>5443</v>
      </c>
    </row>
    <row r="3225" spans="1:1" x14ac:dyDescent="0.25">
      <c r="A3225" t="s">
        <v>5444</v>
      </c>
    </row>
    <row r="3226" spans="1:1" x14ac:dyDescent="0.25">
      <c r="A3226" t="s">
        <v>4907</v>
      </c>
    </row>
    <row r="3227" spans="1:1" x14ac:dyDescent="0.25">
      <c r="A3227" t="s">
        <v>4727</v>
      </c>
    </row>
    <row r="3228" spans="1:1" x14ac:dyDescent="0.25">
      <c r="A3228" t="s">
        <v>4728</v>
      </c>
    </row>
    <row r="3229" spans="1:1" x14ac:dyDescent="0.25">
      <c r="A3229" t="s">
        <v>4729</v>
      </c>
    </row>
    <row r="3230" spans="1:1" x14ac:dyDescent="0.25">
      <c r="A3230" t="s">
        <v>5445</v>
      </c>
    </row>
    <row r="3231" spans="1:1" x14ac:dyDescent="0.25">
      <c r="A3231" t="s">
        <v>4731</v>
      </c>
    </row>
    <row r="3233" spans="1:1" x14ac:dyDescent="0.25">
      <c r="A3233" t="s">
        <v>4722</v>
      </c>
    </row>
    <row r="3234" spans="1:1" x14ac:dyDescent="0.25">
      <c r="A3234" t="s">
        <v>4723</v>
      </c>
    </row>
    <row r="3235" spans="1:1" x14ac:dyDescent="0.25">
      <c r="A3235" t="s">
        <v>5446</v>
      </c>
    </row>
    <row r="3236" spans="1:1" x14ac:dyDescent="0.25">
      <c r="A3236" t="s">
        <v>5447</v>
      </c>
    </row>
    <row r="3237" spans="1:1" x14ac:dyDescent="0.25">
      <c r="A3237" t="s">
        <v>4834</v>
      </c>
    </row>
    <row r="3238" spans="1:1" x14ac:dyDescent="0.25">
      <c r="A3238" t="s">
        <v>4727</v>
      </c>
    </row>
    <row r="3239" spans="1:1" x14ac:dyDescent="0.25">
      <c r="A3239" t="s">
        <v>4728</v>
      </c>
    </row>
    <row r="3240" spans="1:1" x14ac:dyDescent="0.25">
      <c r="A3240" t="s">
        <v>4792</v>
      </c>
    </row>
    <row r="3241" spans="1:1" x14ac:dyDescent="0.25">
      <c r="A3241" t="s">
        <v>5448</v>
      </c>
    </row>
    <row r="3242" spans="1:1" x14ac:dyDescent="0.25">
      <c r="A3242" t="s">
        <v>4731</v>
      </c>
    </row>
    <row r="3244" spans="1:1" x14ac:dyDescent="0.25">
      <c r="A3244" t="s">
        <v>4722</v>
      </c>
    </row>
    <row r="3245" spans="1:1" x14ac:dyDescent="0.25">
      <c r="A3245" t="s">
        <v>4723</v>
      </c>
    </row>
    <row r="3246" spans="1:1" x14ac:dyDescent="0.25">
      <c r="A3246" t="s">
        <v>5449</v>
      </c>
    </row>
    <row r="3247" spans="1:1" x14ac:dyDescent="0.25">
      <c r="A3247" t="s">
        <v>5450</v>
      </c>
    </row>
    <row r="3248" spans="1:1" x14ac:dyDescent="0.25">
      <c r="A3248" t="s">
        <v>4726</v>
      </c>
    </row>
    <row r="3249" spans="1:1" x14ac:dyDescent="0.25">
      <c r="A3249" t="s">
        <v>4727</v>
      </c>
    </row>
    <row r="3250" spans="1:1" x14ac:dyDescent="0.25">
      <c r="A3250" t="s">
        <v>4728</v>
      </c>
    </row>
    <row r="3251" spans="1:1" x14ac:dyDescent="0.25">
      <c r="A3251" t="s">
        <v>4729</v>
      </c>
    </row>
    <row r="3252" spans="1:1" x14ac:dyDescent="0.25">
      <c r="A3252" t="s">
        <v>5451</v>
      </c>
    </row>
    <row r="3253" spans="1:1" x14ac:dyDescent="0.25">
      <c r="A3253" t="s">
        <v>4731</v>
      </c>
    </row>
    <row r="3255" spans="1:1" x14ac:dyDescent="0.25">
      <c r="A3255" t="s">
        <v>4722</v>
      </c>
    </row>
    <row r="3256" spans="1:1" x14ac:dyDescent="0.25">
      <c r="A3256" t="s">
        <v>4723</v>
      </c>
    </row>
    <row r="3257" spans="1:1" x14ac:dyDescent="0.25">
      <c r="A3257" t="s">
        <v>5452</v>
      </c>
    </row>
    <row r="3258" spans="1:1" x14ac:dyDescent="0.25">
      <c r="A3258" t="s">
        <v>5453</v>
      </c>
    </row>
    <row r="3259" spans="1:1" x14ac:dyDescent="0.25">
      <c r="A3259" t="s">
        <v>5454</v>
      </c>
    </row>
    <row r="3260" spans="1:1" x14ac:dyDescent="0.25">
      <c r="A3260" t="s">
        <v>4727</v>
      </c>
    </row>
    <row r="3261" spans="1:1" x14ac:dyDescent="0.25">
      <c r="A3261" t="s">
        <v>4728</v>
      </c>
    </row>
    <row r="3262" spans="1:1" x14ac:dyDescent="0.25">
      <c r="A3262" t="s">
        <v>4729</v>
      </c>
    </row>
    <row r="3263" spans="1:1" x14ac:dyDescent="0.25">
      <c r="A3263" t="s">
        <v>5455</v>
      </c>
    </row>
    <row r="3264" spans="1:1" x14ac:dyDescent="0.25">
      <c r="A3264" t="s">
        <v>4731</v>
      </c>
    </row>
    <row r="3266" spans="1:1" x14ac:dyDescent="0.25">
      <c r="A3266" t="s">
        <v>1737</v>
      </c>
    </row>
    <row r="3267" spans="1:1" x14ac:dyDescent="0.25">
      <c r="A3267" t="s">
        <v>1738</v>
      </c>
    </row>
    <row r="3268" spans="1:1" x14ac:dyDescent="0.25">
      <c r="A3268" t="s">
        <v>2672</v>
      </c>
    </row>
    <row r="3269" spans="1:1" x14ac:dyDescent="0.25">
      <c r="A3269" t="s">
        <v>2673</v>
      </c>
    </row>
    <row r="3270" spans="1:1" x14ac:dyDescent="0.25">
      <c r="A3270" t="s">
        <v>1929</v>
      </c>
    </row>
    <row r="3271" spans="1:1" x14ac:dyDescent="0.25">
      <c r="A3271" t="s">
        <v>1753</v>
      </c>
    </row>
    <row r="3272" spans="1:1" x14ac:dyDescent="0.25">
      <c r="A3272" t="s">
        <v>1741</v>
      </c>
    </row>
    <row r="3273" spans="1:1" x14ac:dyDescent="0.25">
      <c r="A3273" t="s">
        <v>1762</v>
      </c>
    </row>
    <row r="3274" spans="1:1" x14ac:dyDescent="0.25">
      <c r="A3274" t="s">
        <v>2674</v>
      </c>
    </row>
    <row r="3275" spans="1:1" x14ac:dyDescent="0.25">
      <c r="A3275" t="s">
        <v>1744</v>
      </c>
    </row>
    <row r="3277" spans="1:1" x14ac:dyDescent="0.25">
      <c r="A3277" t="s">
        <v>1737</v>
      </c>
    </row>
    <row r="3278" spans="1:1" x14ac:dyDescent="0.25">
      <c r="A3278" t="s">
        <v>1738</v>
      </c>
    </row>
    <row r="3279" spans="1:1" x14ac:dyDescent="0.25">
      <c r="A3279" t="s">
        <v>2675</v>
      </c>
    </row>
    <row r="3280" spans="1:1" x14ac:dyDescent="0.25">
      <c r="A3280" t="s">
        <v>2676</v>
      </c>
    </row>
    <row r="3281" spans="1:1" x14ac:dyDescent="0.25">
      <c r="A3281" t="s">
        <v>1929</v>
      </c>
    </row>
    <row r="3282" spans="1:1" x14ac:dyDescent="0.25">
      <c r="A3282" t="s">
        <v>1753</v>
      </c>
    </row>
    <row r="3283" spans="1:1" x14ac:dyDescent="0.25">
      <c r="A3283" t="s">
        <v>1741</v>
      </c>
    </row>
    <row r="3284" spans="1:1" x14ac:dyDescent="0.25">
      <c r="A3284" t="s">
        <v>2677</v>
      </c>
    </row>
    <row r="3285" spans="1:1" x14ac:dyDescent="0.25">
      <c r="A3285" t="s">
        <v>2678</v>
      </c>
    </row>
    <row r="3286" spans="1:1" x14ac:dyDescent="0.25">
      <c r="A3286" t="s">
        <v>1744</v>
      </c>
    </row>
    <row r="3288" spans="1:1" x14ac:dyDescent="0.25">
      <c r="A3288" t="s">
        <v>4722</v>
      </c>
    </row>
    <row r="3289" spans="1:1" x14ac:dyDescent="0.25">
      <c r="A3289" t="s">
        <v>4723</v>
      </c>
    </row>
    <row r="3290" spans="1:1" x14ac:dyDescent="0.25">
      <c r="A3290" t="s">
        <v>5456</v>
      </c>
    </row>
    <row r="3291" spans="1:1" x14ac:dyDescent="0.25">
      <c r="A3291" t="s">
        <v>5457</v>
      </c>
    </row>
    <row r="3292" spans="1:1" x14ac:dyDescent="0.25">
      <c r="A3292" t="s">
        <v>4834</v>
      </c>
    </row>
    <row r="3293" spans="1:1" x14ac:dyDescent="0.25">
      <c r="A3293" t="s">
        <v>4727</v>
      </c>
    </row>
    <row r="3294" spans="1:1" x14ac:dyDescent="0.25">
      <c r="A3294" t="s">
        <v>4728</v>
      </c>
    </row>
    <row r="3295" spans="1:1" x14ac:dyDescent="0.25">
      <c r="A3295" t="s">
        <v>4729</v>
      </c>
    </row>
    <row r="3296" spans="1:1" x14ac:dyDescent="0.25">
      <c r="A3296" t="s">
        <v>5458</v>
      </c>
    </row>
    <row r="3297" spans="1:1" x14ac:dyDescent="0.25">
      <c r="A3297" t="s">
        <v>4731</v>
      </c>
    </row>
    <row r="3299" spans="1:1" x14ac:dyDescent="0.25">
      <c r="A3299" t="s">
        <v>4722</v>
      </c>
    </row>
    <row r="3300" spans="1:1" x14ac:dyDescent="0.25">
      <c r="A3300" t="s">
        <v>4723</v>
      </c>
    </row>
    <row r="3301" spans="1:1" x14ac:dyDescent="0.25">
      <c r="A3301" t="s">
        <v>5459</v>
      </c>
    </row>
    <row r="3302" spans="1:1" x14ac:dyDescent="0.25">
      <c r="A3302" t="s">
        <v>5460</v>
      </c>
    </row>
    <row r="3303" spans="1:1" x14ac:dyDescent="0.25">
      <c r="A3303" t="s">
        <v>5461</v>
      </c>
    </row>
    <row r="3304" spans="1:1" x14ac:dyDescent="0.25">
      <c r="A3304" t="s">
        <v>4727</v>
      </c>
    </row>
    <row r="3305" spans="1:1" x14ac:dyDescent="0.25">
      <c r="A3305" t="s">
        <v>4728</v>
      </c>
    </row>
    <row r="3306" spans="1:1" x14ac:dyDescent="0.25">
      <c r="A3306" t="s">
        <v>4729</v>
      </c>
    </row>
    <row r="3307" spans="1:1" x14ac:dyDescent="0.25">
      <c r="A3307" t="s">
        <v>5462</v>
      </c>
    </row>
    <row r="3308" spans="1:1" x14ac:dyDescent="0.25">
      <c r="A3308" t="s">
        <v>4731</v>
      </c>
    </row>
    <row r="3310" spans="1:1" x14ac:dyDescent="0.25">
      <c r="A3310" t="s">
        <v>4722</v>
      </c>
    </row>
    <row r="3311" spans="1:1" x14ac:dyDescent="0.25">
      <c r="A3311" t="s">
        <v>4723</v>
      </c>
    </row>
    <row r="3312" spans="1:1" x14ac:dyDescent="0.25">
      <c r="A3312" t="s">
        <v>5463</v>
      </c>
    </row>
    <row r="3313" spans="1:1" x14ac:dyDescent="0.25">
      <c r="A3313" t="s">
        <v>5464</v>
      </c>
    </row>
    <row r="3314" spans="1:1" x14ac:dyDescent="0.25">
      <c r="A3314" t="s">
        <v>5461</v>
      </c>
    </row>
    <row r="3315" spans="1:1" x14ac:dyDescent="0.25">
      <c r="A3315" t="s">
        <v>4727</v>
      </c>
    </row>
    <row r="3316" spans="1:1" x14ac:dyDescent="0.25">
      <c r="A3316" t="s">
        <v>4728</v>
      </c>
    </row>
    <row r="3317" spans="1:1" x14ac:dyDescent="0.25">
      <c r="A3317" t="s">
        <v>4792</v>
      </c>
    </row>
    <row r="3318" spans="1:1" x14ac:dyDescent="0.25">
      <c r="A3318" t="s">
        <v>5465</v>
      </c>
    </row>
    <row r="3319" spans="1:1" x14ac:dyDescent="0.25">
      <c r="A3319" t="s">
        <v>4731</v>
      </c>
    </row>
    <row r="3321" spans="1:1" x14ac:dyDescent="0.25">
      <c r="A3321" t="s">
        <v>4722</v>
      </c>
    </row>
    <row r="3322" spans="1:1" x14ac:dyDescent="0.25">
      <c r="A3322" t="s">
        <v>4723</v>
      </c>
    </row>
    <row r="3323" spans="1:1" x14ac:dyDescent="0.25">
      <c r="A3323" t="s">
        <v>5466</v>
      </c>
    </row>
    <row r="3324" spans="1:1" x14ac:dyDescent="0.25">
      <c r="A3324" t="s">
        <v>5467</v>
      </c>
    </row>
    <row r="3325" spans="1:1" x14ac:dyDescent="0.25">
      <c r="A3325" t="s">
        <v>4834</v>
      </c>
    </row>
    <row r="3326" spans="1:1" x14ac:dyDescent="0.25">
      <c r="A3326" t="s">
        <v>4727</v>
      </c>
    </row>
    <row r="3327" spans="1:1" x14ac:dyDescent="0.25">
      <c r="A3327" t="s">
        <v>4728</v>
      </c>
    </row>
    <row r="3328" spans="1:1" x14ac:dyDescent="0.25">
      <c r="A3328" t="s">
        <v>4729</v>
      </c>
    </row>
    <row r="3329" spans="1:1" x14ac:dyDescent="0.25">
      <c r="A3329" t="s">
        <v>5468</v>
      </c>
    </row>
    <row r="3330" spans="1:1" x14ac:dyDescent="0.25">
      <c r="A3330" t="s">
        <v>4731</v>
      </c>
    </row>
    <row r="3332" spans="1:1" x14ac:dyDescent="0.25">
      <c r="A3332" t="s">
        <v>4722</v>
      </c>
    </row>
    <row r="3333" spans="1:1" x14ac:dyDescent="0.25">
      <c r="A3333" t="s">
        <v>4723</v>
      </c>
    </row>
    <row r="3334" spans="1:1" x14ac:dyDescent="0.25">
      <c r="A3334" t="s">
        <v>5469</v>
      </c>
    </row>
    <row r="3335" spans="1:1" x14ac:dyDescent="0.25">
      <c r="A3335" t="s">
        <v>5470</v>
      </c>
    </row>
    <row r="3336" spans="1:1" x14ac:dyDescent="0.25">
      <c r="A3336" t="s">
        <v>4907</v>
      </c>
    </row>
    <row r="3337" spans="1:1" x14ac:dyDescent="0.25">
      <c r="A3337" t="s">
        <v>4727</v>
      </c>
    </row>
    <row r="3338" spans="1:1" x14ac:dyDescent="0.25">
      <c r="A3338" t="s">
        <v>4728</v>
      </c>
    </row>
    <row r="3339" spans="1:1" x14ac:dyDescent="0.25">
      <c r="A3339" t="s">
        <v>4792</v>
      </c>
    </row>
    <row r="3340" spans="1:1" x14ac:dyDescent="0.25">
      <c r="A3340" t="s">
        <v>5471</v>
      </c>
    </row>
    <row r="3341" spans="1:1" x14ac:dyDescent="0.25">
      <c r="A3341" t="s">
        <v>4731</v>
      </c>
    </row>
    <row r="3343" spans="1:1" x14ac:dyDescent="0.25">
      <c r="A3343" t="s">
        <v>4722</v>
      </c>
    </row>
    <row r="3344" spans="1:1" x14ac:dyDescent="0.25">
      <c r="A3344" t="s">
        <v>4723</v>
      </c>
    </row>
    <row r="3345" spans="1:1" x14ac:dyDescent="0.25">
      <c r="A3345" t="s">
        <v>5472</v>
      </c>
    </row>
    <row r="3346" spans="1:1" x14ac:dyDescent="0.25">
      <c r="A3346" t="s">
        <v>5473</v>
      </c>
    </row>
    <row r="3347" spans="1:1" x14ac:dyDescent="0.25">
      <c r="A3347" t="s">
        <v>4834</v>
      </c>
    </row>
    <row r="3348" spans="1:1" x14ac:dyDescent="0.25">
      <c r="A3348" t="s">
        <v>4727</v>
      </c>
    </row>
    <row r="3349" spans="1:1" x14ac:dyDescent="0.25">
      <c r="A3349" t="s">
        <v>4728</v>
      </c>
    </row>
    <row r="3350" spans="1:1" x14ac:dyDescent="0.25">
      <c r="A3350" t="s">
        <v>4729</v>
      </c>
    </row>
    <row r="3351" spans="1:1" x14ac:dyDescent="0.25">
      <c r="A3351" t="s">
        <v>5474</v>
      </c>
    </row>
    <row r="3352" spans="1:1" x14ac:dyDescent="0.25">
      <c r="A3352" t="s">
        <v>4731</v>
      </c>
    </row>
    <row r="3354" spans="1:1" x14ac:dyDescent="0.25">
      <c r="A3354" t="s">
        <v>4722</v>
      </c>
    </row>
    <row r="3355" spans="1:1" x14ac:dyDescent="0.25">
      <c r="A3355" t="s">
        <v>4723</v>
      </c>
    </row>
    <row r="3356" spans="1:1" x14ac:dyDescent="0.25">
      <c r="A3356" t="s">
        <v>5475</v>
      </c>
    </row>
    <row r="3357" spans="1:1" x14ac:dyDescent="0.25">
      <c r="A3357" t="s">
        <v>5476</v>
      </c>
    </row>
    <row r="3358" spans="1:1" x14ac:dyDescent="0.25">
      <c r="A3358" t="s">
        <v>4834</v>
      </c>
    </row>
    <row r="3359" spans="1:1" x14ac:dyDescent="0.25">
      <c r="A3359" t="s">
        <v>4727</v>
      </c>
    </row>
    <row r="3360" spans="1:1" x14ac:dyDescent="0.25">
      <c r="A3360" t="s">
        <v>4728</v>
      </c>
    </row>
    <row r="3361" spans="1:1" x14ac:dyDescent="0.25">
      <c r="A3361" t="s">
        <v>4729</v>
      </c>
    </row>
    <row r="3362" spans="1:1" x14ac:dyDescent="0.25">
      <c r="A3362" t="s">
        <v>5477</v>
      </c>
    </row>
    <row r="3363" spans="1:1" x14ac:dyDescent="0.25">
      <c r="A3363" t="s">
        <v>4731</v>
      </c>
    </row>
    <row r="3365" spans="1:1" x14ac:dyDescent="0.25">
      <c r="A3365" t="s">
        <v>4722</v>
      </c>
    </row>
    <row r="3366" spans="1:1" x14ac:dyDescent="0.25">
      <c r="A3366" t="s">
        <v>4723</v>
      </c>
    </row>
    <row r="3367" spans="1:1" x14ac:dyDescent="0.25">
      <c r="A3367" t="s">
        <v>5478</v>
      </c>
    </row>
    <row r="3368" spans="1:1" x14ac:dyDescent="0.25">
      <c r="A3368" t="s">
        <v>5479</v>
      </c>
    </row>
    <row r="3369" spans="1:1" x14ac:dyDescent="0.25">
      <c r="A3369" t="s">
        <v>4834</v>
      </c>
    </row>
    <row r="3370" spans="1:1" x14ac:dyDescent="0.25">
      <c r="A3370" t="s">
        <v>4727</v>
      </c>
    </row>
    <row r="3371" spans="1:1" x14ac:dyDescent="0.25">
      <c r="A3371" t="s">
        <v>4728</v>
      </c>
    </row>
    <row r="3372" spans="1:1" x14ac:dyDescent="0.25">
      <c r="A3372" t="s">
        <v>4729</v>
      </c>
    </row>
    <row r="3373" spans="1:1" x14ac:dyDescent="0.25">
      <c r="A3373" t="s">
        <v>5480</v>
      </c>
    </row>
    <row r="3374" spans="1:1" x14ac:dyDescent="0.25">
      <c r="A3374" t="s">
        <v>4731</v>
      </c>
    </row>
    <row r="3376" spans="1:1" x14ac:dyDescent="0.25">
      <c r="A3376" t="s">
        <v>4722</v>
      </c>
    </row>
    <row r="3377" spans="1:1" x14ac:dyDescent="0.25">
      <c r="A3377" t="s">
        <v>4723</v>
      </c>
    </row>
    <row r="3378" spans="1:1" x14ac:dyDescent="0.25">
      <c r="A3378" t="s">
        <v>5481</v>
      </c>
    </row>
    <row r="3379" spans="1:1" x14ac:dyDescent="0.25">
      <c r="A3379" t="s">
        <v>5482</v>
      </c>
    </row>
    <row r="3380" spans="1:1" x14ac:dyDescent="0.25">
      <c r="A3380" t="s">
        <v>4867</v>
      </c>
    </row>
    <row r="3381" spans="1:1" x14ac:dyDescent="0.25">
      <c r="A3381" t="s">
        <v>4727</v>
      </c>
    </row>
    <row r="3382" spans="1:1" x14ac:dyDescent="0.25">
      <c r="A3382" t="s">
        <v>4728</v>
      </c>
    </row>
    <row r="3383" spans="1:1" x14ac:dyDescent="0.25">
      <c r="A3383" t="s">
        <v>4729</v>
      </c>
    </row>
    <row r="3384" spans="1:1" x14ac:dyDescent="0.25">
      <c r="A3384" t="s">
        <v>5483</v>
      </c>
    </row>
    <row r="3385" spans="1:1" x14ac:dyDescent="0.25">
      <c r="A3385" t="s">
        <v>4731</v>
      </c>
    </row>
    <row r="3387" spans="1:1" x14ac:dyDescent="0.25">
      <c r="A3387" t="s">
        <v>4722</v>
      </c>
    </row>
    <row r="3388" spans="1:1" x14ac:dyDescent="0.25">
      <c r="A3388" t="s">
        <v>4723</v>
      </c>
    </row>
    <row r="3389" spans="1:1" x14ac:dyDescent="0.25">
      <c r="A3389" t="s">
        <v>5484</v>
      </c>
    </row>
    <row r="3390" spans="1:1" x14ac:dyDescent="0.25">
      <c r="A3390" t="s">
        <v>5482</v>
      </c>
    </row>
    <row r="3391" spans="1:1" x14ac:dyDescent="0.25">
      <c r="A3391" t="s">
        <v>5485</v>
      </c>
    </row>
    <row r="3392" spans="1:1" x14ac:dyDescent="0.25">
      <c r="A3392" t="s">
        <v>4727</v>
      </c>
    </row>
    <row r="3393" spans="1:1" x14ac:dyDescent="0.25">
      <c r="A3393" t="s">
        <v>4728</v>
      </c>
    </row>
    <row r="3394" spans="1:1" x14ac:dyDescent="0.25">
      <c r="A3394" t="s">
        <v>5486</v>
      </c>
    </row>
    <row r="3395" spans="1:1" x14ac:dyDescent="0.25">
      <c r="A3395" t="s">
        <v>5487</v>
      </c>
    </row>
    <row r="3396" spans="1:1" x14ac:dyDescent="0.25">
      <c r="A3396" t="s">
        <v>4731</v>
      </c>
    </row>
    <row r="3398" spans="1:1" x14ac:dyDescent="0.25">
      <c r="A3398" t="s">
        <v>4722</v>
      </c>
    </row>
    <row r="3399" spans="1:1" x14ac:dyDescent="0.25">
      <c r="A3399" t="s">
        <v>4723</v>
      </c>
    </row>
    <row r="3400" spans="1:1" x14ac:dyDescent="0.25">
      <c r="A3400" t="s">
        <v>5488</v>
      </c>
    </row>
    <row r="3401" spans="1:1" x14ac:dyDescent="0.25">
      <c r="A3401" t="s">
        <v>5482</v>
      </c>
    </row>
    <row r="3402" spans="1:1" x14ac:dyDescent="0.25">
      <c r="A3402" t="s">
        <v>4834</v>
      </c>
    </row>
    <row r="3403" spans="1:1" x14ac:dyDescent="0.25">
      <c r="A3403" t="s">
        <v>4727</v>
      </c>
    </row>
    <row r="3404" spans="1:1" x14ac:dyDescent="0.25">
      <c r="A3404" t="s">
        <v>4728</v>
      </c>
    </row>
    <row r="3405" spans="1:1" x14ac:dyDescent="0.25">
      <c r="A3405" t="s">
        <v>4729</v>
      </c>
    </row>
    <row r="3406" spans="1:1" x14ac:dyDescent="0.25">
      <c r="A3406" t="s">
        <v>5489</v>
      </c>
    </row>
    <row r="3407" spans="1:1" x14ac:dyDescent="0.25">
      <c r="A3407" t="s">
        <v>4731</v>
      </c>
    </row>
    <row r="3409" spans="1:1" x14ac:dyDescent="0.25">
      <c r="A3409" t="s">
        <v>4722</v>
      </c>
    </row>
    <row r="3410" spans="1:1" x14ac:dyDescent="0.25">
      <c r="A3410" t="s">
        <v>4723</v>
      </c>
    </row>
    <row r="3411" spans="1:1" x14ac:dyDescent="0.25">
      <c r="A3411" t="s">
        <v>5490</v>
      </c>
    </row>
    <row r="3412" spans="1:1" x14ac:dyDescent="0.25">
      <c r="A3412" t="s">
        <v>5491</v>
      </c>
    </row>
    <row r="3413" spans="1:1" x14ac:dyDescent="0.25">
      <c r="A3413" t="s">
        <v>5492</v>
      </c>
    </row>
    <row r="3414" spans="1:1" x14ac:dyDescent="0.25">
      <c r="A3414" t="s">
        <v>4727</v>
      </c>
    </row>
    <row r="3415" spans="1:1" x14ac:dyDescent="0.25">
      <c r="A3415" t="s">
        <v>4728</v>
      </c>
    </row>
    <row r="3416" spans="1:1" x14ac:dyDescent="0.25">
      <c r="A3416" t="s">
        <v>4729</v>
      </c>
    </row>
    <row r="3417" spans="1:1" x14ac:dyDescent="0.25">
      <c r="A3417" t="s">
        <v>5493</v>
      </c>
    </row>
    <row r="3418" spans="1:1" x14ac:dyDescent="0.25">
      <c r="A3418" t="s">
        <v>4731</v>
      </c>
    </row>
    <row r="3420" spans="1:1" x14ac:dyDescent="0.25">
      <c r="A3420" t="s">
        <v>4722</v>
      </c>
    </row>
    <row r="3421" spans="1:1" x14ac:dyDescent="0.25">
      <c r="A3421" t="s">
        <v>4723</v>
      </c>
    </row>
    <row r="3422" spans="1:1" x14ac:dyDescent="0.25">
      <c r="A3422" t="s">
        <v>5494</v>
      </c>
    </row>
    <row r="3423" spans="1:1" x14ac:dyDescent="0.25">
      <c r="A3423" t="s">
        <v>5495</v>
      </c>
    </row>
    <row r="3424" spans="1:1" x14ac:dyDescent="0.25">
      <c r="A3424" t="s">
        <v>4895</v>
      </c>
    </row>
    <row r="3425" spans="1:1" x14ac:dyDescent="0.25">
      <c r="A3425" t="s">
        <v>4727</v>
      </c>
    </row>
    <row r="3426" spans="1:1" x14ac:dyDescent="0.25">
      <c r="A3426" t="s">
        <v>4728</v>
      </c>
    </row>
    <row r="3427" spans="1:1" x14ac:dyDescent="0.25">
      <c r="A3427" t="s">
        <v>4729</v>
      </c>
    </row>
    <row r="3428" spans="1:1" x14ac:dyDescent="0.25">
      <c r="A3428" t="s">
        <v>5496</v>
      </c>
    </row>
    <row r="3429" spans="1:1" x14ac:dyDescent="0.25">
      <c r="A3429" t="s">
        <v>4731</v>
      </c>
    </row>
    <row r="3431" spans="1:1" x14ac:dyDescent="0.25">
      <c r="A3431" t="s">
        <v>4722</v>
      </c>
    </row>
    <row r="3432" spans="1:1" x14ac:dyDescent="0.25">
      <c r="A3432" t="s">
        <v>4723</v>
      </c>
    </row>
    <row r="3433" spans="1:1" x14ac:dyDescent="0.25">
      <c r="A3433" t="s">
        <v>5497</v>
      </c>
    </row>
    <row r="3434" spans="1:1" x14ac:dyDescent="0.25">
      <c r="A3434" t="s">
        <v>5498</v>
      </c>
    </row>
    <row r="3435" spans="1:1" x14ac:dyDescent="0.25">
      <c r="A3435" t="s">
        <v>5195</v>
      </c>
    </row>
    <row r="3436" spans="1:1" x14ac:dyDescent="0.25">
      <c r="A3436" t="s">
        <v>4727</v>
      </c>
    </row>
    <row r="3437" spans="1:1" x14ac:dyDescent="0.25">
      <c r="A3437" t="s">
        <v>4728</v>
      </c>
    </row>
    <row r="3438" spans="1:1" x14ac:dyDescent="0.25">
      <c r="A3438" t="s">
        <v>4729</v>
      </c>
    </row>
    <row r="3439" spans="1:1" x14ac:dyDescent="0.25">
      <c r="A3439" t="s">
        <v>5499</v>
      </c>
    </row>
    <row r="3440" spans="1:1" x14ac:dyDescent="0.25">
      <c r="A3440" t="s">
        <v>4731</v>
      </c>
    </row>
    <row r="3442" spans="1:1" x14ac:dyDescent="0.25">
      <c r="A3442" t="s">
        <v>4722</v>
      </c>
    </row>
    <row r="3443" spans="1:1" x14ac:dyDescent="0.25">
      <c r="A3443" t="s">
        <v>4723</v>
      </c>
    </row>
    <row r="3444" spans="1:1" x14ac:dyDescent="0.25">
      <c r="A3444" t="s">
        <v>5500</v>
      </c>
    </row>
    <row r="3445" spans="1:1" x14ac:dyDescent="0.25">
      <c r="A3445" t="s">
        <v>5501</v>
      </c>
    </row>
    <row r="3446" spans="1:1" x14ac:dyDescent="0.25">
      <c r="A3446" t="s">
        <v>5317</v>
      </c>
    </row>
    <row r="3447" spans="1:1" x14ac:dyDescent="0.25">
      <c r="A3447" t="s">
        <v>4727</v>
      </c>
    </row>
    <row r="3448" spans="1:1" x14ac:dyDescent="0.25">
      <c r="A3448" t="s">
        <v>4728</v>
      </c>
    </row>
    <row r="3449" spans="1:1" x14ac:dyDescent="0.25">
      <c r="A3449" t="s">
        <v>4994</v>
      </c>
    </row>
    <row r="3450" spans="1:1" x14ac:dyDescent="0.25">
      <c r="A3450" t="s">
        <v>5502</v>
      </c>
    </row>
    <row r="3451" spans="1:1" x14ac:dyDescent="0.25">
      <c r="A3451" t="s">
        <v>4731</v>
      </c>
    </row>
    <row r="3453" spans="1:1" x14ac:dyDescent="0.25">
      <c r="A3453" t="s">
        <v>4722</v>
      </c>
    </row>
    <row r="3454" spans="1:1" x14ac:dyDescent="0.25">
      <c r="A3454" t="s">
        <v>4723</v>
      </c>
    </row>
    <row r="3455" spans="1:1" x14ac:dyDescent="0.25">
      <c r="A3455" t="s">
        <v>5503</v>
      </c>
    </row>
    <row r="3456" spans="1:1" x14ac:dyDescent="0.25">
      <c r="A3456" t="s">
        <v>5504</v>
      </c>
    </row>
    <row r="3457" spans="1:1" x14ac:dyDescent="0.25">
      <c r="A3457" t="s">
        <v>4957</v>
      </c>
    </row>
    <row r="3458" spans="1:1" x14ac:dyDescent="0.25">
      <c r="A3458" t="s">
        <v>4727</v>
      </c>
    </row>
    <row r="3459" spans="1:1" x14ac:dyDescent="0.25">
      <c r="A3459" t="s">
        <v>4728</v>
      </c>
    </row>
    <row r="3460" spans="1:1" x14ac:dyDescent="0.25">
      <c r="A3460" t="s">
        <v>5336</v>
      </c>
    </row>
    <row r="3461" spans="1:1" x14ac:dyDescent="0.25">
      <c r="A3461" t="s">
        <v>5505</v>
      </c>
    </row>
    <row r="3462" spans="1:1" x14ac:dyDescent="0.25">
      <c r="A3462" t="s">
        <v>4731</v>
      </c>
    </row>
    <row r="3464" spans="1:1" x14ac:dyDescent="0.25">
      <c r="A3464" t="s">
        <v>4722</v>
      </c>
    </row>
    <row r="3465" spans="1:1" x14ac:dyDescent="0.25">
      <c r="A3465" t="s">
        <v>4723</v>
      </c>
    </row>
    <row r="3466" spans="1:1" x14ac:dyDescent="0.25">
      <c r="A3466" t="s">
        <v>5506</v>
      </c>
    </row>
    <row r="3467" spans="1:1" x14ac:dyDescent="0.25">
      <c r="A3467" t="s">
        <v>5507</v>
      </c>
    </row>
    <row r="3468" spans="1:1" x14ac:dyDescent="0.25">
      <c r="A3468" t="s">
        <v>5188</v>
      </c>
    </row>
    <row r="3469" spans="1:1" x14ac:dyDescent="0.25">
      <c r="A3469" t="s">
        <v>4727</v>
      </c>
    </row>
    <row r="3470" spans="1:1" x14ac:dyDescent="0.25">
      <c r="A3470" t="s">
        <v>4728</v>
      </c>
    </row>
    <row r="3471" spans="1:1" x14ac:dyDescent="0.25">
      <c r="A3471" t="s">
        <v>4994</v>
      </c>
    </row>
    <row r="3472" spans="1:1" x14ac:dyDescent="0.25">
      <c r="A3472" t="s">
        <v>5508</v>
      </c>
    </row>
    <row r="3473" spans="1:1" x14ac:dyDescent="0.25">
      <c r="A3473" t="s">
        <v>4731</v>
      </c>
    </row>
    <row r="3475" spans="1:1" x14ac:dyDescent="0.25">
      <c r="A3475" t="s">
        <v>4722</v>
      </c>
    </row>
    <row r="3476" spans="1:1" x14ac:dyDescent="0.25">
      <c r="A3476" t="s">
        <v>4723</v>
      </c>
    </row>
    <row r="3477" spans="1:1" x14ac:dyDescent="0.25">
      <c r="A3477" t="s">
        <v>5509</v>
      </c>
    </row>
    <row r="3478" spans="1:1" x14ac:dyDescent="0.25">
      <c r="A3478" t="s">
        <v>5510</v>
      </c>
    </row>
    <row r="3479" spans="1:1" x14ac:dyDescent="0.25">
      <c r="A3479" t="s">
        <v>4907</v>
      </c>
    </row>
    <row r="3480" spans="1:1" x14ac:dyDescent="0.25">
      <c r="A3480" t="s">
        <v>4727</v>
      </c>
    </row>
    <row r="3481" spans="1:1" x14ac:dyDescent="0.25">
      <c r="A3481" t="s">
        <v>4728</v>
      </c>
    </row>
    <row r="3482" spans="1:1" x14ac:dyDescent="0.25">
      <c r="A3482" t="s">
        <v>4729</v>
      </c>
    </row>
    <row r="3483" spans="1:1" x14ac:dyDescent="0.25">
      <c r="A3483" t="s">
        <v>5511</v>
      </c>
    </row>
    <row r="3484" spans="1:1" x14ac:dyDescent="0.25">
      <c r="A3484" t="s">
        <v>4731</v>
      </c>
    </row>
    <row r="3486" spans="1:1" x14ac:dyDescent="0.25">
      <c r="A3486" t="s">
        <v>4722</v>
      </c>
    </row>
    <row r="3487" spans="1:1" x14ac:dyDescent="0.25">
      <c r="A3487" t="s">
        <v>4723</v>
      </c>
    </row>
    <row r="3488" spans="1:1" x14ac:dyDescent="0.25">
      <c r="A3488" t="s">
        <v>5512</v>
      </c>
    </row>
    <row r="3489" spans="1:1" x14ac:dyDescent="0.25">
      <c r="A3489" t="s">
        <v>5513</v>
      </c>
    </row>
    <row r="3490" spans="1:1" x14ac:dyDescent="0.25">
      <c r="A3490" t="s">
        <v>4895</v>
      </c>
    </row>
    <row r="3491" spans="1:1" x14ac:dyDescent="0.25">
      <c r="A3491" t="s">
        <v>4727</v>
      </c>
    </row>
    <row r="3492" spans="1:1" x14ac:dyDescent="0.25">
      <c r="A3492" t="s">
        <v>4728</v>
      </c>
    </row>
    <row r="3493" spans="1:1" x14ac:dyDescent="0.25">
      <c r="A3493" t="s">
        <v>4729</v>
      </c>
    </row>
    <row r="3494" spans="1:1" x14ac:dyDescent="0.25">
      <c r="A3494" t="s">
        <v>5514</v>
      </c>
    </row>
    <row r="3495" spans="1:1" x14ac:dyDescent="0.25">
      <c r="A3495" t="s">
        <v>4731</v>
      </c>
    </row>
    <row r="3497" spans="1:1" x14ac:dyDescent="0.25">
      <c r="A3497" t="s">
        <v>1737</v>
      </c>
    </row>
    <row r="3498" spans="1:1" x14ac:dyDescent="0.25">
      <c r="A3498" t="s">
        <v>1738</v>
      </c>
    </row>
    <row r="3499" spans="1:1" x14ac:dyDescent="0.25">
      <c r="A3499" t="s">
        <v>2738</v>
      </c>
    </row>
    <row r="3500" spans="1:1" x14ac:dyDescent="0.25">
      <c r="A3500" t="s">
        <v>2739</v>
      </c>
    </row>
    <row r="3501" spans="1:1" x14ac:dyDescent="0.25">
      <c r="A3501" t="s">
        <v>2740</v>
      </c>
    </row>
    <row r="3502" spans="1:1" x14ac:dyDescent="0.25">
      <c r="A3502" t="s">
        <v>1753</v>
      </c>
    </row>
    <row r="3503" spans="1:1" x14ac:dyDescent="0.25">
      <c r="A3503" t="s">
        <v>1740</v>
      </c>
    </row>
    <row r="3504" spans="1:1" x14ac:dyDescent="0.25">
      <c r="A3504" t="s">
        <v>1741</v>
      </c>
    </row>
    <row r="3505" spans="1:1" x14ac:dyDescent="0.25">
      <c r="A3505" t="s">
        <v>2741</v>
      </c>
    </row>
    <row r="3506" spans="1:1" x14ac:dyDescent="0.25">
      <c r="A3506" t="s">
        <v>2742</v>
      </c>
    </row>
    <row r="3507" spans="1:1" x14ac:dyDescent="0.25">
      <c r="A3507" t="s">
        <v>1744</v>
      </c>
    </row>
    <row r="3509" spans="1:1" x14ac:dyDescent="0.25">
      <c r="A3509" t="s">
        <v>1737</v>
      </c>
    </row>
    <row r="3510" spans="1:1" x14ac:dyDescent="0.25">
      <c r="A3510" t="s">
        <v>1738</v>
      </c>
    </row>
    <row r="3511" spans="1:1" x14ac:dyDescent="0.25">
      <c r="A3511" t="s">
        <v>2743</v>
      </c>
    </row>
    <row r="3512" spans="1:1" x14ac:dyDescent="0.25">
      <c r="A3512" t="s">
        <v>2744</v>
      </c>
    </row>
    <row r="3513" spans="1:1" x14ac:dyDescent="0.25">
      <c r="A3513" t="s">
        <v>2740</v>
      </c>
    </row>
    <row r="3514" spans="1:1" x14ac:dyDescent="0.25">
      <c r="A3514" t="s">
        <v>1753</v>
      </c>
    </row>
    <row r="3515" spans="1:1" x14ac:dyDescent="0.25">
      <c r="A3515" t="s">
        <v>1740</v>
      </c>
    </row>
    <row r="3516" spans="1:1" x14ac:dyDescent="0.25">
      <c r="A3516" t="s">
        <v>1741</v>
      </c>
    </row>
    <row r="3517" spans="1:1" x14ac:dyDescent="0.25">
      <c r="A3517" t="s">
        <v>2741</v>
      </c>
    </row>
    <row r="3518" spans="1:1" x14ac:dyDescent="0.25">
      <c r="A3518" t="s">
        <v>2745</v>
      </c>
    </row>
    <row r="3519" spans="1:1" x14ac:dyDescent="0.25">
      <c r="A3519" t="s">
        <v>1744</v>
      </c>
    </row>
    <row r="3521" spans="1:1" x14ac:dyDescent="0.25">
      <c r="A3521" t="s">
        <v>1737</v>
      </c>
    </row>
    <row r="3522" spans="1:1" x14ac:dyDescent="0.25">
      <c r="A3522" t="s">
        <v>1738</v>
      </c>
    </row>
    <row r="3523" spans="1:1" x14ac:dyDescent="0.25">
      <c r="A3523" t="s">
        <v>2746</v>
      </c>
    </row>
    <row r="3524" spans="1:1" x14ac:dyDescent="0.25">
      <c r="A3524" t="s">
        <v>2747</v>
      </c>
    </row>
    <row r="3525" spans="1:1" x14ac:dyDescent="0.25">
      <c r="A3525" t="s">
        <v>2740</v>
      </c>
    </row>
    <row r="3526" spans="1:1" x14ac:dyDescent="0.25">
      <c r="A3526" t="s">
        <v>1753</v>
      </c>
    </row>
    <row r="3527" spans="1:1" x14ac:dyDescent="0.25">
      <c r="A3527" t="s">
        <v>1741</v>
      </c>
    </row>
    <row r="3528" spans="1:1" x14ac:dyDescent="0.25">
      <c r="A3528" t="s">
        <v>2748</v>
      </c>
    </row>
    <row r="3529" spans="1:1" x14ac:dyDescent="0.25">
      <c r="A3529" t="s">
        <v>2749</v>
      </c>
    </row>
    <row r="3530" spans="1:1" x14ac:dyDescent="0.25">
      <c r="A3530" t="s">
        <v>1744</v>
      </c>
    </row>
    <row r="3532" spans="1:1" x14ac:dyDescent="0.25">
      <c r="A3532" t="s">
        <v>1737</v>
      </c>
    </row>
    <row r="3533" spans="1:1" x14ac:dyDescent="0.25">
      <c r="A3533" t="s">
        <v>1738</v>
      </c>
    </row>
    <row r="3534" spans="1:1" x14ac:dyDescent="0.25">
      <c r="A3534" t="s">
        <v>2750</v>
      </c>
    </row>
    <row r="3535" spans="1:1" x14ac:dyDescent="0.25">
      <c r="A3535" t="s">
        <v>2751</v>
      </c>
    </row>
    <row r="3536" spans="1:1" x14ac:dyDescent="0.25">
      <c r="A3536" t="s">
        <v>2740</v>
      </c>
    </row>
    <row r="3537" spans="1:1" x14ac:dyDescent="0.25">
      <c r="A3537" t="s">
        <v>1753</v>
      </c>
    </row>
    <row r="3538" spans="1:1" x14ac:dyDescent="0.25">
      <c r="A3538" t="s">
        <v>1740</v>
      </c>
    </row>
    <row r="3539" spans="1:1" x14ac:dyDescent="0.25">
      <c r="A3539" t="s">
        <v>1741</v>
      </c>
    </row>
    <row r="3540" spans="1:1" x14ac:dyDescent="0.25">
      <c r="A3540" t="s">
        <v>2741</v>
      </c>
    </row>
    <row r="3541" spans="1:1" x14ac:dyDescent="0.25">
      <c r="A3541" t="s">
        <v>2752</v>
      </c>
    </row>
    <row r="3542" spans="1:1" x14ac:dyDescent="0.25">
      <c r="A3542" t="s">
        <v>1744</v>
      </c>
    </row>
    <row r="3544" spans="1:1" x14ac:dyDescent="0.25">
      <c r="A3544" t="s">
        <v>1737</v>
      </c>
    </row>
    <row r="3545" spans="1:1" x14ac:dyDescent="0.25">
      <c r="A3545" t="s">
        <v>1738</v>
      </c>
    </row>
    <row r="3546" spans="1:1" x14ac:dyDescent="0.25">
      <c r="A3546" t="s">
        <v>2753</v>
      </c>
    </row>
    <row r="3547" spans="1:1" x14ac:dyDescent="0.25">
      <c r="A3547" t="s">
        <v>2754</v>
      </c>
    </row>
    <row r="3548" spans="1:1" x14ac:dyDescent="0.25">
      <c r="A3548" t="s">
        <v>2740</v>
      </c>
    </row>
    <row r="3549" spans="1:1" x14ac:dyDescent="0.25">
      <c r="A3549" t="s">
        <v>1753</v>
      </c>
    </row>
    <row r="3550" spans="1:1" x14ac:dyDescent="0.25">
      <c r="A3550" t="s">
        <v>1741</v>
      </c>
    </row>
    <row r="3551" spans="1:1" x14ac:dyDescent="0.25">
      <c r="A3551" t="s">
        <v>2755</v>
      </c>
    </row>
    <row r="3552" spans="1:1" x14ac:dyDescent="0.25">
      <c r="A3552" t="s">
        <v>2756</v>
      </c>
    </row>
    <row r="3553" spans="1:1" x14ac:dyDescent="0.25">
      <c r="A3553" t="s">
        <v>1744</v>
      </c>
    </row>
    <row r="3555" spans="1:1" x14ac:dyDescent="0.25">
      <c r="A3555" t="s">
        <v>1737</v>
      </c>
    </row>
    <row r="3556" spans="1:1" x14ac:dyDescent="0.25">
      <c r="A3556" t="s">
        <v>1738</v>
      </c>
    </row>
    <row r="3557" spans="1:1" x14ac:dyDescent="0.25">
      <c r="A3557" t="s">
        <v>2757</v>
      </c>
    </row>
    <row r="3558" spans="1:1" x14ac:dyDescent="0.25">
      <c r="A3558" t="s">
        <v>2758</v>
      </c>
    </row>
    <row r="3559" spans="1:1" x14ac:dyDescent="0.25">
      <c r="A3559" t="s">
        <v>2740</v>
      </c>
    </row>
    <row r="3560" spans="1:1" x14ac:dyDescent="0.25">
      <c r="A3560" t="s">
        <v>1753</v>
      </c>
    </row>
    <row r="3561" spans="1:1" x14ac:dyDescent="0.25">
      <c r="A3561" t="s">
        <v>1741</v>
      </c>
    </row>
    <row r="3562" spans="1:1" x14ac:dyDescent="0.25">
      <c r="A3562" t="s">
        <v>2759</v>
      </c>
    </row>
    <row r="3563" spans="1:1" x14ac:dyDescent="0.25">
      <c r="A3563" t="s">
        <v>2760</v>
      </c>
    </row>
    <row r="3564" spans="1:1" x14ac:dyDescent="0.25">
      <c r="A3564" t="s">
        <v>1744</v>
      </c>
    </row>
    <row r="3566" spans="1:1" x14ac:dyDescent="0.25">
      <c r="A3566" t="s">
        <v>4722</v>
      </c>
    </row>
    <row r="3567" spans="1:1" x14ac:dyDescent="0.25">
      <c r="A3567" t="s">
        <v>4723</v>
      </c>
    </row>
    <row r="3568" spans="1:1" x14ac:dyDescent="0.25">
      <c r="A3568" t="s">
        <v>5515</v>
      </c>
    </row>
    <row r="3569" spans="1:1" x14ac:dyDescent="0.25">
      <c r="A3569" t="s">
        <v>5516</v>
      </c>
    </row>
    <row r="3570" spans="1:1" x14ac:dyDescent="0.25">
      <c r="A3570" t="s">
        <v>5517</v>
      </c>
    </row>
    <row r="3571" spans="1:1" x14ac:dyDescent="0.25">
      <c r="A3571" t="s">
        <v>4727</v>
      </c>
    </row>
    <row r="3572" spans="1:1" x14ac:dyDescent="0.25">
      <c r="A3572" t="s">
        <v>4742</v>
      </c>
    </row>
    <row r="3573" spans="1:1" x14ac:dyDescent="0.25">
      <c r="A3573" t="s">
        <v>4728</v>
      </c>
    </row>
    <row r="3574" spans="1:1" x14ac:dyDescent="0.25">
      <c r="A3574" t="s">
        <v>5518</v>
      </c>
    </row>
    <row r="3575" spans="1:1" x14ac:dyDescent="0.25">
      <c r="A3575" t="s">
        <v>5519</v>
      </c>
    </row>
    <row r="3576" spans="1:1" x14ac:dyDescent="0.25">
      <c r="A3576" t="s">
        <v>4731</v>
      </c>
    </row>
    <row r="3578" spans="1:1" x14ac:dyDescent="0.25">
      <c r="A3578" t="s">
        <v>4722</v>
      </c>
    </row>
    <row r="3579" spans="1:1" x14ac:dyDescent="0.25">
      <c r="A3579" t="s">
        <v>4723</v>
      </c>
    </row>
    <row r="3580" spans="1:1" x14ac:dyDescent="0.25">
      <c r="A3580" t="s">
        <v>5520</v>
      </c>
    </row>
    <row r="3581" spans="1:1" x14ac:dyDescent="0.25">
      <c r="A3581" t="s">
        <v>5521</v>
      </c>
    </row>
    <row r="3582" spans="1:1" x14ac:dyDescent="0.25">
      <c r="A3582" t="s">
        <v>5517</v>
      </c>
    </row>
    <row r="3583" spans="1:1" x14ac:dyDescent="0.25">
      <c r="A3583" t="s">
        <v>4727</v>
      </c>
    </row>
    <row r="3584" spans="1:1" x14ac:dyDescent="0.25">
      <c r="A3584" t="s">
        <v>4742</v>
      </c>
    </row>
    <row r="3585" spans="1:1" x14ac:dyDescent="0.25">
      <c r="A3585" t="s">
        <v>4728</v>
      </c>
    </row>
    <row r="3586" spans="1:1" x14ac:dyDescent="0.25">
      <c r="A3586" t="s">
        <v>5522</v>
      </c>
    </row>
    <row r="3587" spans="1:1" x14ac:dyDescent="0.25">
      <c r="A3587" t="s">
        <v>5523</v>
      </c>
    </row>
    <row r="3588" spans="1:1" x14ac:dyDescent="0.25">
      <c r="A3588" t="s">
        <v>4731</v>
      </c>
    </row>
    <row r="3590" spans="1:1" x14ac:dyDescent="0.25">
      <c r="A3590" t="s">
        <v>1737</v>
      </c>
    </row>
    <row r="3591" spans="1:1" x14ac:dyDescent="0.25">
      <c r="A3591" t="s">
        <v>1738</v>
      </c>
    </row>
    <row r="3592" spans="1:1" x14ac:dyDescent="0.25">
      <c r="A3592" t="s">
        <v>2769</v>
      </c>
    </row>
    <row r="3593" spans="1:1" x14ac:dyDescent="0.25">
      <c r="A3593" t="s">
        <v>2770</v>
      </c>
    </row>
    <row r="3594" spans="1:1" x14ac:dyDescent="0.25">
      <c r="A3594" t="s">
        <v>2740</v>
      </c>
    </row>
    <row r="3595" spans="1:1" x14ac:dyDescent="0.25">
      <c r="A3595" t="s">
        <v>1753</v>
      </c>
    </row>
    <row r="3596" spans="1:1" x14ac:dyDescent="0.25">
      <c r="A3596" t="s">
        <v>1740</v>
      </c>
    </row>
    <row r="3597" spans="1:1" x14ac:dyDescent="0.25">
      <c r="A3597" t="s">
        <v>1741</v>
      </c>
    </row>
    <row r="3598" spans="1:1" x14ac:dyDescent="0.25">
      <c r="A3598" t="s">
        <v>2767</v>
      </c>
    </row>
    <row r="3599" spans="1:1" x14ac:dyDescent="0.25">
      <c r="A3599" t="s">
        <v>2771</v>
      </c>
    </row>
    <row r="3600" spans="1:1" x14ac:dyDescent="0.25">
      <c r="A3600" t="s">
        <v>1744</v>
      </c>
    </row>
    <row r="3602" spans="1:1" x14ac:dyDescent="0.25">
      <c r="A3602" t="s">
        <v>1737</v>
      </c>
    </row>
    <row r="3603" spans="1:1" x14ac:dyDescent="0.25">
      <c r="A3603" t="s">
        <v>1738</v>
      </c>
    </row>
    <row r="3604" spans="1:1" x14ac:dyDescent="0.25">
      <c r="A3604" t="s">
        <v>2772</v>
      </c>
    </row>
    <row r="3605" spans="1:1" x14ac:dyDescent="0.25">
      <c r="A3605" t="s">
        <v>2773</v>
      </c>
    </row>
    <row r="3606" spans="1:1" x14ac:dyDescent="0.25">
      <c r="A3606" t="s">
        <v>2740</v>
      </c>
    </row>
    <row r="3607" spans="1:1" x14ac:dyDescent="0.25">
      <c r="A3607" t="s">
        <v>1753</v>
      </c>
    </row>
    <row r="3608" spans="1:1" x14ac:dyDescent="0.25">
      <c r="A3608" t="s">
        <v>1740</v>
      </c>
    </row>
    <row r="3609" spans="1:1" x14ac:dyDescent="0.25">
      <c r="A3609" t="s">
        <v>1741</v>
      </c>
    </row>
    <row r="3610" spans="1:1" x14ac:dyDescent="0.25">
      <c r="A3610" t="s">
        <v>2767</v>
      </c>
    </row>
    <row r="3611" spans="1:1" x14ac:dyDescent="0.25">
      <c r="A3611" t="s">
        <v>2774</v>
      </c>
    </row>
    <row r="3612" spans="1:1" x14ac:dyDescent="0.25">
      <c r="A3612" t="s">
        <v>1744</v>
      </c>
    </row>
    <row r="3614" spans="1:1" x14ac:dyDescent="0.25">
      <c r="A3614" t="s">
        <v>4722</v>
      </c>
    </row>
    <row r="3615" spans="1:1" x14ac:dyDescent="0.25">
      <c r="A3615" t="s">
        <v>4723</v>
      </c>
    </row>
    <row r="3616" spans="1:1" x14ac:dyDescent="0.25">
      <c r="A3616" t="s">
        <v>5524</v>
      </c>
    </row>
    <row r="3617" spans="1:1" x14ac:dyDescent="0.25">
      <c r="A3617" t="s">
        <v>5525</v>
      </c>
    </row>
    <row r="3618" spans="1:1" x14ac:dyDescent="0.25">
      <c r="A3618" t="s">
        <v>5517</v>
      </c>
    </row>
    <row r="3619" spans="1:1" x14ac:dyDescent="0.25">
      <c r="A3619" t="s">
        <v>4727</v>
      </c>
    </row>
    <row r="3620" spans="1:1" x14ac:dyDescent="0.25">
      <c r="A3620" t="s">
        <v>4742</v>
      </c>
    </row>
    <row r="3621" spans="1:1" x14ac:dyDescent="0.25">
      <c r="A3621" t="s">
        <v>4728</v>
      </c>
    </row>
    <row r="3622" spans="1:1" x14ac:dyDescent="0.25">
      <c r="A3622" t="s">
        <v>5518</v>
      </c>
    </row>
    <row r="3623" spans="1:1" x14ac:dyDescent="0.25">
      <c r="A3623" t="s">
        <v>5526</v>
      </c>
    </row>
    <row r="3624" spans="1:1" x14ac:dyDescent="0.25">
      <c r="A3624" t="s">
        <v>4731</v>
      </c>
    </row>
    <row r="3626" spans="1:1" x14ac:dyDescent="0.25">
      <c r="A3626" t="s">
        <v>1737</v>
      </c>
    </row>
    <row r="3627" spans="1:1" x14ac:dyDescent="0.25">
      <c r="A3627" t="s">
        <v>1738</v>
      </c>
    </row>
    <row r="3628" spans="1:1" x14ac:dyDescent="0.25">
      <c r="A3628" t="s">
        <v>2778</v>
      </c>
    </row>
    <row r="3629" spans="1:1" x14ac:dyDescent="0.25">
      <c r="A3629" t="s">
        <v>2779</v>
      </c>
    </row>
    <row r="3630" spans="1:1" x14ac:dyDescent="0.25">
      <c r="A3630" t="s">
        <v>2740</v>
      </c>
    </row>
    <row r="3631" spans="1:1" x14ac:dyDescent="0.25">
      <c r="A3631" t="s">
        <v>1753</v>
      </c>
    </row>
    <row r="3632" spans="1:1" x14ac:dyDescent="0.25">
      <c r="A3632" t="s">
        <v>1741</v>
      </c>
    </row>
    <row r="3633" spans="1:1" x14ac:dyDescent="0.25">
      <c r="A3633" t="s">
        <v>2780</v>
      </c>
    </row>
    <row r="3634" spans="1:1" x14ac:dyDescent="0.25">
      <c r="A3634" t="s">
        <v>2781</v>
      </c>
    </row>
    <row r="3635" spans="1:1" x14ac:dyDescent="0.25">
      <c r="A3635" t="s">
        <v>1744</v>
      </c>
    </row>
    <row r="3637" spans="1:1" x14ac:dyDescent="0.25">
      <c r="A3637" t="s">
        <v>1737</v>
      </c>
    </row>
    <row r="3638" spans="1:1" x14ac:dyDescent="0.25">
      <c r="A3638" t="s">
        <v>1738</v>
      </c>
    </row>
    <row r="3639" spans="1:1" x14ac:dyDescent="0.25">
      <c r="A3639" t="s">
        <v>2782</v>
      </c>
    </row>
    <row r="3640" spans="1:1" x14ac:dyDescent="0.25">
      <c r="A3640" t="s">
        <v>2783</v>
      </c>
    </row>
    <row r="3641" spans="1:1" x14ac:dyDescent="0.25">
      <c r="A3641" t="s">
        <v>2740</v>
      </c>
    </row>
    <row r="3642" spans="1:1" x14ac:dyDescent="0.25">
      <c r="A3642" t="s">
        <v>1753</v>
      </c>
    </row>
    <row r="3643" spans="1:1" x14ac:dyDescent="0.25">
      <c r="A3643" t="s">
        <v>1740</v>
      </c>
    </row>
    <row r="3644" spans="1:1" x14ac:dyDescent="0.25">
      <c r="A3644" t="s">
        <v>1741</v>
      </c>
    </row>
    <row r="3645" spans="1:1" x14ac:dyDescent="0.25">
      <c r="A3645" t="s">
        <v>2741</v>
      </c>
    </row>
    <row r="3646" spans="1:1" x14ac:dyDescent="0.25">
      <c r="A3646" t="s">
        <v>2784</v>
      </c>
    </row>
    <row r="3647" spans="1:1" x14ac:dyDescent="0.25">
      <c r="A3647" t="s">
        <v>1744</v>
      </c>
    </row>
    <row r="3649" spans="1:1" x14ac:dyDescent="0.25">
      <c r="A3649" t="s">
        <v>1737</v>
      </c>
    </row>
    <row r="3650" spans="1:1" x14ac:dyDescent="0.25">
      <c r="A3650" t="s">
        <v>1738</v>
      </c>
    </row>
    <row r="3651" spans="1:1" x14ac:dyDescent="0.25">
      <c r="A3651" t="s">
        <v>2785</v>
      </c>
    </row>
    <row r="3652" spans="1:1" x14ac:dyDescent="0.25">
      <c r="A3652" t="s">
        <v>2786</v>
      </c>
    </row>
    <row r="3653" spans="1:1" x14ac:dyDescent="0.25">
      <c r="A3653" t="s">
        <v>2740</v>
      </c>
    </row>
    <row r="3654" spans="1:1" x14ac:dyDescent="0.25">
      <c r="A3654" t="s">
        <v>1753</v>
      </c>
    </row>
    <row r="3655" spans="1:1" x14ac:dyDescent="0.25">
      <c r="A3655" t="s">
        <v>1741</v>
      </c>
    </row>
    <row r="3656" spans="1:1" x14ac:dyDescent="0.25">
      <c r="A3656" t="s">
        <v>2759</v>
      </c>
    </row>
    <row r="3657" spans="1:1" x14ac:dyDescent="0.25">
      <c r="A3657" t="s">
        <v>2787</v>
      </c>
    </row>
    <row r="3658" spans="1:1" x14ac:dyDescent="0.25">
      <c r="A3658" t="s">
        <v>1744</v>
      </c>
    </row>
    <row r="3660" spans="1:1" x14ac:dyDescent="0.25">
      <c r="A3660" t="s">
        <v>1737</v>
      </c>
    </row>
    <row r="3661" spans="1:1" x14ac:dyDescent="0.25">
      <c r="A3661" t="s">
        <v>1738</v>
      </c>
    </row>
    <row r="3662" spans="1:1" x14ac:dyDescent="0.25">
      <c r="A3662" t="s">
        <v>2788</v>
      </c>
    </row>
    <row r="3663" spans="1:1" x14ac:dyDescent="0.25">
      <c r="A3663" t="s">
        <v>2789</v>
      </c>
    </row>
    <row r="3664" spans="1:1" x14ac:dyDescent="0.25">
      <c r="A3664" t="s">
        <v>2740</v>
      </c>
    </row>
    <row r="3665" spans="1:1" x14ac:dyDescent="0.25">
      <c r="A3665" t="s">
        <v>1753</v>
      </c>
    </row>
    <row r="3666" spans="1:1" x14ac:dyDescent="0.25">
      <c r="A3666" t="s">
        <v>1741</v>
      </c>
    </row>
    <row r="3667" spans="1:1" x14ac:dyDescent="0.25">
      <c r="A3667" t="s">
        <v>2790</v>
      </c>
    </row>
    <row r="3668" spans="1:1" x14ac:dyDescent="0.25">
      <c r="A3668" t="s">
        <v>2791</v>
      </c>
    </row>
    <row r="3669" spans="1:1" x14ac:dyDescent="0.25">
      <c r="A3669" t="s">
        <v>1744</v>
      </c>
    </row>
    <row r="3671" spans="1:1" x14ac:dyDescent="0.25">
      <c r="A3671" t="s">
        <v>1737</v>
      </c>
    </row>
    <row r="3672" spans="1:1" x14ac:dyDescent="0.25">
      <c r="A3672" t="s">
        <v>1738</v>
      </c>
    </row>
    <row r="3673" spans="1:1" x14ac:dyDescent="0.25">
      <c r="A3673" t="s">
        <v>2792</v>
      </c>
    </row>
    <row r="3674" spans="1:1" x14ac:dyDescent="0.25">
      <c r="A3674" t="s">
        <v>2793</v>
      </c>
    </row>
    <row r="3675" spans="1:1" x14ac:dyDescent="0.25">
      <c r="A3675" t="s">
        <v>2740</v>
      </c>
    </row>
    <row r="3676" spans="1:1" x14ac:dyDescent="0.25">
      <c r="A3676" t="s">
        <v>1753</v>
      </c>
    </row>
    <row r="3677" spans="1:1" x14ac:dyDescent="0.25">
      <c r="A3677" t="s">
        <v>1741</v>
      </c>
    </row>
    <row r="3678" spans="1:1" x14ac:dyDescent="0.25">
      <c r="A3678" t="s">
        <v>2794</v>
      </c>
    </row>
    <row r="3679" spans="1:1" x14ac:dyDescent="0.25">
      <c r="A3679" t="s">
        <v>2795</v>
      </c>
    </row>
    <row r="3680" spans="1:1" x14ac:dyDescent="0.25">
      <c r="A3680" t="s">
        <v>1744</v>
      </c>
    </row>
    <row r="3682" spans="1:1" x14ac:dyDescent="0.25">
      <c r="A3682" t="s">
        <v>1737</v>
      </c>
    </row>
    <row r="3683" spans="1:1" x14ac:dyDescent="0.25">
      <c r="A3683" t="s">
        <v>1738</v>
      </c>
    </row>
    <row r="3684" spans="1:1" x14ac:dyDescent="0.25">
      <c r="A3684" t="s">
        <v>2796</v>
      </c>
    </row>
    <row r="3685" spans="1:1" x14ac:dyDescent="0.25">
      <c r="A3685" t="s">
        <v>2797</v>
      </c>
    </row>
    <row r="3686" spans="1:1" x14ac:dyDescent="0.25">
      <c r="A3686" t="s">
        <v>2740</v>
      </c>
    </row>
    <row r="3687" spans="1:1" x14ac:dyDescent="0.25">
      <c r="A3687" t="s">
        <v>1753</v>
      </c>
    </row>
    <row r="3688" spans="1:1" x14ac:dyDescent="0.25">
      <c r="A3688" t="s">
        <v>1741</v>
      </c>
    </row>
    <row r="3689" spans="1:1" x14ac:dyDescent="0.25">
      <c r="A3689" t="s">
        <v>2798</v>
      </c>
    </row>
    <row r="3690" spans="1:1" x14ac:dyDescent="0.25">
      <c r="A3690" t="s">
        <v>2799</v>
      </c>
    </row>
    <row r="3691" spans="1:1" x14ac:dyDescent="0.25">
      <c r="A3691" t="s">
        <v>1744</v>
      </c>
    </row>
    <row r="3693" spans="1:1" x14ac:dyDescent="0.25">
      <c r="A3693" t="s">
        <v>1737</v>
      </c>
    </row>
    <row r="3694" spans="1:1" x14ac:dyDescent="0.25">
      <c r="A3694" t="s">
        <v>1738</v>
      </c>
    </row>
    <row r="3695" spans="1:1" x14ac:dyDescent="0.25">
      <c r="A3695" t="s">
        <v>2800</v>
      </c>
    </row>
    <row r="3696" spans="1:1" x14ac:dyDescent="0.25">
      <c r="A3696" t="s">
        <v>2801</v>
      </c>
    </row>
    <row r="3697" spans="1:1" x14ac:dyDescent="0.25">
      <c r="A3697" t="s">
        <v>2740</v>
      </c>
    </row>
    <row r="3698" spans="1:1" x14ac:dyDescent="0.25">
      <c r="A3698" t="s">
        <v>1753</v>
      </c>
    </row>
    <row r="3699" spans="1:1" x14ac:dyDescent="0.25">
      <c r="A3699" t="s">
        <v>1741</v>
      </c>
    </row>
    <row r="3700" spans="1:1" x14ac:dyDescent="0.25">
      <c r="A3700" t="s">
        <v>2759</v>
      </c>
    </row>
    <row r="3701" spans="1:1" x14ac:dyDescent="0.25">
      <c r="A3701" t="s">
        <v>2802</v>
      </c>
    </row>
    <row r="3702" spans="1:1" x14ac:dyDescent="0.25">
      <c r="A3702" t="s">
        <v>1744</v>
      </c>
    </row>
    <row r="3704" spans="1:1" x14ac:dyDescent="0.25">
      <c r="A3704" t="s">
        <v>1737</v>
      </c>
    </row>
    <row r="3705" spans="1:1" x14ac:dyDescent="0.25">
      <c r="A3705" t="s">
        <v>1738</v>
      </c>
    </row>
    <row r="3706" spans="1:1" x14ac:dyDescent="0.25">
      <c r="A3706" t="s">
        <v>2803</v>
      </c>
    </row>
    <row r="3707" spans="1:1" x14ac:dyDescent="0.25">
      <c r="A3707" t="s">
        <v>2804</v>
      </c>
    </row>
    <row r="3708" spans="1:1" x14ac:dyDescent="0.25">
      <c r="A3708" t="s">
        <v>2740</v>
      </c>
    </row>
    <row r="3709" spans="1:1" x14ac:dyDescent="0.25">
      <c r="A3709" t="s">
        <v>1753</v>
      </c>
    </row>
    <row r="3710" spans="1:1" x14ac:dyDescent="0.25">
      <c r="A3710" t="s">
        <v>1740</v>
      </c>
    </row>
    <row r="3711" spans="1:1" x14ac:dyDescent="0.25">
      <c r="A3711" t="s">
        <v>1741</v>
      </c>
    </row>
    <row r="3712" spans="1:1" x14ac:dyDescent="0.25">
      <c r="A3712" t="s">
        <v>2741</v>
      </c>
    </row>
    <row r="3713" spans="1:1" x14ac:dyDescent="0.25">
      <c r="A3713" t="s">
        <v>2805</v>
      </c>
    </row>
    <row r="3714" spans="1:1" x14ac:dyDescent="0.25">
      <c r="A3714" t="s">
        <v>1744</v>
      </c>
    </row>
    <row r="3716" spans="1:1" x14ac:dyDescent="0.25">
      <c r="A3716" t="s">
        <v>1737</v>
      </c>
    </row>
    <row r="3717" spans="1:1" x14ac:dyDescent="0.25">
      <c r="A3717" t="s">
        <v>1738</v>
      </c>
    </row>
    <row r="3718" spans="1:1" x14ac:dyDescent="0.25">
      <c r="A3718" t="s">
        <v>2806</v>
      </c>
    </row>
    <row r="3719" spans="1:1" x14ac:dyDescent="0.25">
      <c r="A3719" t="s">
        <v>2807</v>
      </c>
    </row>
    <row r="3720" spans="1:1" x14ac:dyDescent="0.25">
      <c r="A3720" t="s">
        <v>2740</v>
      </c>
    </row>
    <row r="3721" spans="1:1" x14ac:dyDescent="0.25">
      <c r="A3721" t="s">
        <v>1753</v>
      </c>
    </row>
    <row r="3722" spans="1:1" x14ac:dyDescent="0.25">
      <c r="A3722" t="s">
        <v>1741</v>
      </c>
    </row>
    <row r="3723" spans="1:1" x14ac:dyDescent="0.25">
      <c r="A3723" t="s">
        <v>2759</v>
      </c>
    </row>
    <row r="3724" spans="1:1" x14ac:dyDescent="0.25">
      <c r="A3724" t="s">
        <v>2808</v>
      </c>
    </row>
    <row r="3725" spans="1:1" x14ac:dyDescent="0.25">
      <c r="A3725" t="s">
        <v>1744</v>
      </c>
    </row>
    <row r="3727" spans="1:1" x14ac:dyDescent="0.25">
      <c r="A3727" t="s">
        <v>1737</v>
      </c>
    </row>
    <row r="3728" spans="1:1" x14ac:dyDescent="0.25">
      <c r="A3728" t="s">
        <v>1738</v>
      </c>
    </row>
    <row r="3729" spans="1:1" x14ac:dyDescent="0.25">
      <c r="A3729" t="s">
        <v>2809</v>
      </c>
    </row>
    <row r="3730" spans="1:1" x14ac:dyDescent="0.25">
      <c r="A3730" t="s">
        <v>2810</v>
      </c>
    </row>
    <row r="3731" spans="1:1" x14ac:dyDescent="0.25">
      <c r="A3731" t="s">
        <v>2740</v>
      </c>
    </row>
    <row r="3732" spans="1:1" x14ac:dyDescent="0.25">
      <c r="A3732" t="s">
        <v>1753</v>
      </c>
    </row>
    <row r="3733" spans="1:1" x14ac:dyDescent="0.25">
      <c r="A3733" t="s">
        <v>1740</v>
      </c>
    </row>
    <row r="3734" spans="1:1" x14ac:dyDescent="0.25">
      <c r="A3734" t="s">
        <v>1741</v>
      </c>
    </row>
    <row r="3735" spans="1:1" x14ac:dyDescent="0.25">
      <c r="A3735" t="s">
        <v>2741</v>
      </c>
    </row>
    <row r="3736" spans="1:1" x14ac:dyDescent="0.25">
      <c r="A3736" t="s">
        <v>2811</v>
      </c>
    </row>
    <row r="3737" spans="1:1" x14ac:dyDescent="0.25">
      <c r="A3737" t="s">
        <v>1744</v>
      </c>
    </row>
    <row r="3739" spans="1:1" x14ac:dyDescent="0.25">
      <c r="A3739" t="s">
        <v>1737</v>
      </c>
    </row>
    <row r="3740" spans="1:1" x14ac:dyDescent="0.25">
      <c r="A3740" t="s">
        <v>1738</v>
      </c>
    </row>
    <row r="3741" spans="1:1" x14ac:dyDescent="0.25">
      <c r="A3741" t="s">
        <v>2812</v>
      </c>
    </row>
    <row r="3742" spans="1:1" x14ac:dyDescent="0.25">
      <c r="A3742" t="s">
        <v>2813</v>
      </c>
    </row>
    <row r="3743" spans="1:1" x14ac:dyDescent="0.25">
      <c r="A3743" t="s">
        <v>2740</v>
      </c>
    </row>
    <row r="3744" spans="1:1" x14ac:dyDescent="0.25">
      <c r="A3744" t="s">
        <v>1753</v>
      </c>
    </row>
    <row r="3745" spans="1:1" x14ac:dyDescent="0.25">
      <c r="A3745" t="s">
        <v>1740</v>
      </c>
    </row>
    <row r="3746" spans="1:1" x14ac:dyDescent="0.25">
      <c r="A3746" t="s">
        <v>1741</v>
      </c>
    </row>
    <row r="3747" spans="1:1" x14ac:dyDescent="0.25">
      <c r="A3747" t="s">
        <v>2741</v>
      </c>
    </row>
    <row r="3748" spans="1:1" x14ac:dyDescent="0.25">
      <c r="A3748" t="s">
        <v>2814</v>
      </c>
    </row>
    <row r="3749" spans="1:1" x14ac:dyDescent="0.25">
      <c r="A3749" t="s">
        <v>1744</v>
      </c>
    </row>
    <row r="3751" spans="1:1" x14ac:dyDescent="0.25">
      <c r="A3751" t="s">
        <v>1737</v>
      </c>
    </row>
    <row r="3752" spans="1:1" x14ac:dyDescent="0.25">
      <c r="A3752" t="s">
        <v>1738</v>
      </c>
    </row>
    <row r="3753" spans="1:1" x14ac:dyDescent="0.25">
      <c r="A3753" t="s">
        <v>2815</v>
      </c>
    </row>
    <row r="3754" spans="1:1" x14ac:dyDescent="0.25">
      <c r="A3754" t="s">
        <v>2816</v>
      </c>
    </row>
    <row r="3755" spans="1:1" x14ac:dyDescent="0.25">
      <c r="A3755" t="s">
        <v>2740</v>
      </c>
    </row>
    <row r="3756" spans="1:1" x14ac:dyDescent="0.25">
      <c r="A3756" t="s">
        <v>1753</v>
      </c>
    </row>
    <row r="3757" spans="1:1" x14ac:dyDescent="0.25">
      <c r="A3757" t="s">
        <v>1741</v>
      </c>
    </row>
    <row r="3758" spans="1:1" x14ac:dyDescent="0.25">
      <c r="A3758" t="s">
        <v>2759</v>
      </c>
    </row>
    <row r="3759" spans="1:1" x14ac:dyDescent="0.25">
      <c r="A3759" t="s">
        <v>2817</v>
      </c>
    </row>
    <row r="3760" spans="1:1" x14ac:dyDescent="0.25">
      <c r="A3760" t="s">
        <v>1744</v>
      </c>
    </row>
    <row r="3762" spans="1:1" x14ac:dyDescent="0.25">
      <c r="A3762" t="s">
        <v>1737</v>
      </c>
    </row>
    <row r="3763" spans="1:1" x14ac:dyDescent="0.25">
      <c r="A3763" t="s">
        <v>1738</v>
      </c>
    </row>
    <row r="3764" spans="1:1" x14ac:dyDescent="0.25">
      <c r="A3764" t="s">
        <v>2818</v>
      </c>
    </row>
    <row r="3765" spans="1:1" x14ac:dyDescent="0.25">
      <c r="A3765" t="s">
        <v>2819</v>
      </c>
    </row>
    <row r="3766" spans="1:1" x14ac:dyDescent="0.25">
      <c r="A3766" t="s">
        <v>2740</v>
      </c>
    </row>
    <row r="3767" spans="1:1" x14ac:dyDescent="0.25">
      <c r="A3767" t="s">
        <v>1753</v>
      </c>
    </row>
    <row r="3768" spans="1:1" x14ac:dyDescent="0.25">
      <c r="A3768" t="s">
        <v>1741</v>
      </c>
    </row>
    <row r="3769" spans="1:1" x14ac:dyDescent="0.25">
      <c r="A3769" t="s">
        <v>2759</v>
      </c>
    </row>
    <row r="3770" spans="1:1" x14ac:dyDescent="0.25">
      <c r="A3770" t="s">
        <v>2820</v>
      </c>
    </row>
    <row r="3771" spans="1:1" x14ac:dyDescent="0.25">
      <c r="A3771" t="s">
        <v>1744</v>
      </c>
    </row>
    <row r="3773" spans="1:1" x14ac:dyDescent="0.25">
      <c r="A3773" t="s">
        <v>1737</v>
      </c>
    </row>
    <row r="3774" spans="1:1" x14ac:dyDescent="0.25">
      <c r="A3774" t="s">
        <v>1738</v>
      </c>
    </row>
    <row r="3775" spans="1:1" x14ac:dyDescent="0.25">
      <c r="A3775" t="s">
        <v>2821</v>
      </c>
    </row>
    <row r="3776" spans="1:1" x14ac:dyDescent="0.25">
      <c r="A3776" t="s">
        <v>2822</v>
      </c>
    </row>
    <row r="3777" spans="1:1" x14ac:dyDescent="0.25">
      <c r="A3777" t="s">
        <v>2740</v>
      </c>
    </row>
    <row r="3778" spans="1:1" x14ac:dyDescent="0.25">
      <c r="A3778" t="s">
        <v>1753</v>
      </c>
    </row>
    <row r="3779" spans="1:1" x14ac:dyDescent="0.25">
      <c r="A3779" t="s">
        <v>1741</v>
      </c>
    </row>
    <row r="3780" spans="1:1" x14ac:dyDescent="0.25">
      <c r="A3780" t="s">
        <v>2759</v>
      </c>
    </row>
    <row r="3781" spans="1:1" x14ac:dyDescent="0.25">
      <c r="A3781" t="s">
        <v>2823</v>
      </c>
    </row>
    <row r="3782" spans="1:1" x14ac:dyDescent="0.25">
      <c r="A3782" t="s">
        <v>1744</v>
      </c>
    </row>
    <row r="3784" spans="1:1" x14ac:dyDescent="0.25">
      <c r="A3784" t="s">
        <v>1737</v>
      </c>
    </row>
    <row r="3785" spans="1:1" x14ac:dyDescent="0.25">
      <c r="A3785" t="s">
        <v>1738</v>
      </c>
    </row>
    <row r="3786" spans="1:1" x14ac:dyDescent="0.25">
      <c r="A3786" t="s">
        <v>2824</v>
      </c>
    </row>
    <row r="3787" spans="1:1" x14ac:dyDescent="0.25">
      <c r="A3787" t="s">
        <v>2825</v>
      </c>
    </row>
    <row r="3788" spans="1:1" x14ac:dyDescent="0.25">
      <c r="A3788" t="s">
        <v>2740</v>
      </c>
    </row>
    <row r="3789" spans="1:1" x14ac:dyDescent="0.25">
      <c r="A3789" t="s">
        <v>1753</v>
      </c>
    </row>
    <row r="3790" spans="1:1" x14ac:dyDescent="0.25">
      <c r="A3790" t="s">
        <v>1741</v>
      </c>
    </row>
    <row r="3791" spans="1:1" x14ac:dyDescent="0.25">
      <c r="A3791" t="s">
        <v>2826</v>
      </c>
    </row>
    <row r="3792" spans="1:1" x14ac:dyDescent="0.25">
      <c r="A3792" t="s">
        <v>2827</v>
      </c>
    </row>
    <row r="3793" spans="1:1" x14ac:dyDescent="0.25">
      <c r="A3793" t="s">
        <v>1744</v>
      </c>
    </row>
    <row r="3795" spans="1:1" x14ac:dyDescent="0.25">
      <c r="A3795" t="s">
        <v>1737</v>
      </c>
    </row>
    <row r="3796" spans="1:1" x14ac:dyDescent="0.25">
      <c r="A3796" t="s">
        <v>1738</v>
      </c>
    </row>
    <row r="3797" spans="1:1" x14ac:dyDescent="0.25">
      <c r="A3797" t="s">
        <v>2828</v>
      </c>
    </row>
    <row r="3798" spans="1:1" x14ac:dyDescent="0.25">
      <c r="A3798" t="s">
        <v>2829</v>
      </c>
    </row>
    <row r="3799" spans="1:1" x14ac:dyDescent="0.25">
      <c r="A3799" t="s">
        <v>2740</v>
      </c>
    </row>
    <row r="3800" spans="1:1" x14ac:dyDescent="0.25">
      <c r="A3800" t="s">
        <v>1753</v>
      </c>
    </row>
    <row r="3801" spans="1:1" x14ac:dyDescent="0.25">
      <c r="A3801" t="s">
        <v>1741</v>
      </c>
    </row>
    <row r="3802" spans="1:1" x14ac:dyDescent="0.25">
      <c r="A3802" t="s">
        <v>2830</v>
      </c>
    </row>
    <row r="3803" spans="1:1" x14ac:dyDescent="0.25">
      <c r="A3803" t="s">
        <v>2831</v>
      </c>
    </row>
    <row r="3804" spans="1:1" x14ac:dyDescent="0.25">
      <c r="A3804" t="s">
        <v>1744</v>
      </c>
    </row>
    <row r="3806" spans="1:1" x14ac:dyDescent="0.25">
      <c r="A3806" t="s">
        <v>1737</v>
      </c>
    </row>
    <row r="3807" spans="1:1" x14ac:dyDescent="0.25">
      <c r="A3807" t="s">
        <v>1738</v>
      </c>
    </row>
    <row r="3808" spans="1:1" x14ac:dyDescent="0.25">
      <c r="A3808" t="s">
        <v>2832</v>
      </c>
    </row>
    <row r="3809" spans="1:1" x14ac:dyDescent="0.25">
      <c r="A3809" t="s">
        <v>2833</v>
      </c>
    </row>
    <row r="3810" spans="1:1" x14ac:dyDescent="0.25">
      <c r="A3810" t="s">
        <v>2740</v>
      </c>
    </row>
    <row r="3811" spans="1:1" x14ac:dyDescent="0.25">
      <c r="A3811" t="s">
        <v>1753</v>
      </c>
    </row>
    <row r="3812" spans="1:1" x14ac:dyDescent="0.25">
      <c r="A3812" t="s">
        <v>1741</v>
      </c>
    </row>
    <row r="3813" spans="1:1" x14ac:dyDescent="0.25">
      <c r="A3813" t="s">
        <v>2759</v>
      </c>
    </row>
    <row r="3814" spans="1:1" x14ac:dyDescent="0.25">
      <c r="A3814" t="s">
        <v>2834</v>
      </c>
    </row>
    <row r="3815" spans="1:1" x14ac:dyDescent="0.25">
      <c r="A3815" t="s">
        <v>1744</v>
      </c>
    </row>
    <row r="3817" spans="1:1" x14ac:dyDescent="0.25">
      <c r="A3817" t="s">
        <v>1737</v>
      </c>
    </row>
    <row r="3818" spans="1:1" x14ac:dyDescent="0.25">
      <c r="A3818" t="s">
        <v>1738</v>
      </c>
    </row>
    <row r="3819" spans="1:1" x14ac:dyDescent="0.25">
      <c r="A3819" t="s">
        <v>2835</v>
      </c>
    </row>
    <row r="3820" spans="1:1" x14ac:dyDescent="0.25">
      <c r="A3820" t="s">
        <v>2836</v>
      </c>
    </row>
    <row r="3821" spans="1:1" x14ac:dyDescent="0.25">
      <c r="A3821" t="s">
        <v>2740</v>
      </c>
    </row>
    <row r="3822" spans="1:1" x14ac:dyDescent="0.25">
      <c r="A3822" t="s">
        <v>1753</v>
      </c>
    </row>
    <row r="3823" spans="1:1" x14ac:dyDescent="0.25">
      <c r="A3823" t="s">
        <v>1741</v>
      </c>
    </row>
    <row r="3824" spans="1:1" x14ac:dyDescent="0.25">
      <c r="A3824" t="s">
        <v>2837</v>
      </c>
    </row>
    <row r="3825" spans="1:1" x14ac:dyDescent="0.25">
      <c r="A3825" t="s">
        <v>2838</v>
      </c>
    </row>
    <row r="3826" spans="1:1" x14ac:dyDescent="0.25">
      <c r="A3826" t="s">
        <v>1744</v>
      </c>
    </row>
    <row r="3828" spans="1:1" x14ac:dyDescent="0.25">
      <c r="A3828" t="s">
        <v>1737</v>
      </c>
    </row>
    <row r="3829" spans="1:1" x14ac:dyDescent="0.25">
      <c r="A3829" t="s">
        <v>1738</v>
      </c>
    </row>
    <row r="3830" spans="1:1" x14ac:dyDescent="0.25">
      <c r="A3830" t="s">
        <v>2839</v>
      </c>
    </row>
    <row r="3831" spans="1:1" x14ac:dyDescent="0.25">
      <c r="A3831" t="s">
        <v>2840</v>
      </c>
    </row>
    <row r="3832" spans="1:1" x14ac:dyDescent="0.25">
      <c r="A3832" t="s">
        <v>2740</v>
      </c>
    </row>
    <row r="3833" spans="1:1" x14ac:dyDescent="0.25">
      <c r="A3833" t="s">
        <v>1753</v>
      </c>
    </row>
    <row r="3834" spans="1:1" x14ac:dyDescent="0.25">
      <c r="A3834" t="s">
        <v>1741</v>
      </c>
    </row>
    <row r="3835" spans="1:1" x14ac:dyDescent="0.25">
      <c r="A3835" t="s">
        <v>2759</v>
      </c>
    </row>
    <row r="3836" spans="1:1" x14ac:dyDescent="0.25">
      <c r="A3836" t="s">
        <v>2841</v>
      </c>
    </row>
    <row r="3837" spans="1:1" x14ac:dyDescent="0.25">
      <c r="A3837" t="s">
        <v>1744</v>
      </c>
    </row>
    <row r="3839" spans="1:1" x14ac:dyDescent="0.25">
      <c r="A3839" t="s">
        <v>1737</v>
      </c>
    </row>
    <row r="3840" spans="1:1" x14ac:dyDescent="0.25">
      <c r="A3840" t="s">
        <v>1738</v>
      </c>
    </row>
    <row r="3841" spans="1:1" x14ac:dyDescent="0.25">
      <c r="A3841" t="s">
        <v>2842</v>
      </c>
    </row>
    <row r="3842" spans="1:1" x14ac:dyDescent="0.25">
      <c r="A3842" t="s">
        <v>2843</v>
      </c>
    </row>
    <row r="3843" spans="1:1" x14ac:dyDescent="0.25">
      <c r="A3843" t="s">
        <v>2740</v>
      </c>
    </row>
    <row r="3844" spans="1:1" x14ac:dyDescent="0.25">
      <c r="A3844" t="s">
        <v>1753</v>
      </c>
    </row>
    <row r="3845" spans="1:1" x14ac:dyDescent="0.25">
      <c r="A3845" t="s">
        <v>1741</v>
      </c>
    </row>
    <row r="3846" spans="1:1" x14ac:dyDescent="0.25">
      <c r="A3846" t="s">
        <v>2844</v>
      </c>
    </row>
    <row r="3847" spans="1:1" x14ac:dyDescent="0.25">
      <c r="A3847" t="s">
        <v>2845</v>
      </c>
    </row>
    <row r="3848" spans="1:1" x14ac:dyDescent="0.25">
      <c r="A3848" t="s">
        <v>1744</v>
      </c>
    </row>
    <row r="3850" spans="1:1" x14ac:dyDescent="0.25">
      <c r="A3850" t="s">
        <v>1737</v>
      </c>
    </row>
    <row r="3851" spans="1:1" x14ac:dyDescent="0.25">
      <c r="A3851" t="s">
        <v>1738</v>
      </c>
    </row>
    <row r="3852" spans="1:1" x14ac:dyDescent="0.25">
      <c r="A3852" t="s">
        <v>2846</v>
      </c>
    </row>
    <row r="3853" spans="1:1" x14ac:dyDescent="0.25">
      <c r="A3853" t="s">
        <v>2847</v>
      </c>
    </row>
    <row r="3854" spans="1:1" x14ac:dyDescent="0.25">
      <c r="A3854" t="s">
        <v>2740</v>
      </c>
    </row>
    <row r="3855" spans="1:1" x14ac:dyDescent="0.25">
      <c r="A3855" t="s">
        <v>1753</v>
      </c>
    </row>
    <row r="3856" spans="1:1" x14ac:dyDescent="0.25">
      <c r="A3856" t="s">
        <v>1741</v>
      </c>
    </row>
    <row r="3857" spans="1:1" x14ac:dyDescent="0.25">
      <c r="A3857" t="s">
        <v>2848</v>
      </c>
    </row>
    <row r="3858" spans="1:1" x14ac:dyDescent="0.25">
      <c r="A3858" t="s">
        <v>2849</v>
      </c>
    </row>
    <row r="3859" spans="1:1" x14ac:dyDescent="0.25">
      <c r="A3859" t="s">
        <v>1744</v>
      </c>
    </row>
    <row r="3861" spans="1:1" x14ac:dyDescent="0.25">
      <c r="A3861" t="s">
        <v>1737</v>
      </c>
    </row>
    <row r="3862" spans="1:1" x14ac:dyDescent="0.25">
      <c r="A3862" t="s">
        <v>1738</v>
      </c>
    </row>
    <row r="3863" spans="1:1" x14ac:dyDescent="0.25">
      <c r="A3863" t="s">
        <v>2850</v>
      </c>
    </row>
    <row r="3864" spans="1:1" x14ac:dyDescent="0.25">
      <c r="A3864" t="s">
        <v>2851</v>
      </c>
    </row>
    <row r="3865" spans="1:1" x14ac:dyDescent="0.25">
      <c r="A3865" t="s">
        <v>2740</v>
      </c>
    </row>
    <row r="3866" spans="1:1" x14ac:dyDescent="0.25">
      <c r="A3866" t="s">
        <v>1753</v>
      </c>
    </row>
    <row r="3867" spans="1:1" x14ac:dyDescent="0.25">
      <c r="A3867" t="s">
        <v>1741</v>
      </c>
    </row>
    <row r="3868" spans="1:1" x14ac:dyDescent="0.25">
      <c r="A3868" t="s">
        <v>2780</v>
      </c>
    </row>
    <row r="3869" spans="1:1" x14ac:dyDescent="0.25">
      <c r="A3869" t="s">
        <v>2852</v>
      </c>
    </row>
    <row r="3870" spans="1:1" x14ac:dyDescent="0.25">
      <c r="A3870" t="s">
        <v>1744</v>
      </c>
    </row>
    <row r="3872" spans="1:1" x14ac:dyDescent="0.25">
      <c r="A3872" t="s">
        <v>1737</v>
      </c>
    </row>
    <row r="3873" spans="1:1" x14ac:dyDescent="0.25">
      <c r="A3873" t="s">
        <v>1738</v>
      </c>
    </row>
    <row r="3874" spans="1:1" x14ac:dyDescent="0.25">
      <c r="A3874" t="s">
        <v>2853</v>
      </c>
    </row>
    <row r="3875" spans="1:1" x14ac:dyDescent="0.25">
      <c r="A3875" t="s">
        <v>2854</v>
      </c>
    </row>
    <row r="3876" spans="1:1" x14ac:dyDescent="0.25">
      <c r="A3876" t="s">
        <v>2740</v>
      </c>
    </row>
    <row r="3877" spans="1:1" x14ac:dyDescent="0.25">
      <c r="A3877" t="s">
        <v>1753</v>
      </c>
    </row>
    <row r="3878" spans="1:1" x14ac:dyDescent="0.25">
      <c r="A3878" t="s">
        <v>1741</v>
      </c>
    </row>
    <row r="3879" spans="1:1" x14ac:dyDescent="0.25">
      <c r="A3879" t="s">
        <v>2759</v>
      </c>
    </row>
    <row r="3880" spans="1:1" x14ac:dyDescent="0.25">
      <c r="A3880" t="s">
        <v>2855</v>
      </c>
    </row>
    <row r="3881" spans="1:1" x14ac:dyDescent="0.25">
      <c r="A3881" t="s">
        <v>1744</v>
      </c>
    </row>
    <row r="3883" spans="1:1" x14ac:dyDescent="0.25">
      <c r="A3883" t="s">
        <v>1737</v>
      </c>
    </row>
    <row r="3884" spans="1:1" x14ac:dyDescent="0.25">
      <c r="A3884" t="s">
        <v>1738</v>
      </c>
    </row>
    <row r="3885" spans="1:1" x14ac:dyDescent="0.25">
      <c r="A3885" t="s">
        <v>2856</v>
      </c>
    </row>
    <row r="3886" spans="1:1" x14ac:dyDescent="0.25">
      <c r="A3886" t="s">
        <v>2857</v>
      </c>
    </row>
    <row r="3887" spans="1:1" x14ac:dyDescent="0.25">
      <c r="A3887" t="s">
        <v>2740</v>
      </c>
    </row>
    <row r="3888" spans="1:1" x14ac:dyDescent="0.25">
      <c r="A3888" t="s">
        <v>1753</v>
      </c>
    </row>
    <row r="3889" spans="1:1" x14ac:dyDescent="0.25">
      <c r="A3889" t="s">
        <v>1741</v>
      </c>
    </row>
    <row r="3890" spans="1:1" x14ac:dyDescent="0.25">
      <c r="A3890" t="s">
        <v>2858</v>
      </c>
    </row>
    <row r="3891" spans="1:1" x14ac:dyDescent="0.25">
      <c r="A3891" t="s">
        <v>2859</v>
      </c>
    </row>
    <row r="3892" spans="1:1" x14ac:dyDescent="0.25">
      <c r="A3892" t="s">
        <v>1744</v>
      </c>
    </row>
    <row r="3894" spans="1:1" x14ac:dyDescent="0.25">
      <c r="A3894" t="s">
        <v>1737</v>
      </c>
    </row>
    <row r="3895" spans="1:1" x14ac:dyDescent="0.25">
      <c r="A3895" t="s">
        <v>1738</v>
      </c>
    </row>
    <row r="3896" spans="1:1" x14ac:dyDescent="0.25">
      <c r="A3896" t="s">
        <v>2860</v>
      </c>
    </row>
    <row r="3897" spans="1:1" x14ac:dyDescent="0.25">
      <c r="A3897" t="s">
        <v>2861</v>
      </c>
    </row>
    <row r="3898" spans="1:1" x14ac:dyDescent="0.25">
      <c r="A3898" t="s">
        <v>2740</v>
      </c>
    </row>
    <row r="3899" spans="1:1" x14ac:dyDescent="0.25">
      <c r="A3899" t="s">
        <v>1753</v>
      </c>
    </row>
    <row r="3900" spans="1:1" x14ac:dyDescent="0.25">
      <c r="A3900" t="s">
        <v>1741</v>
      </c>
    </row>
    <row r="3901" spans="1:1" x14ac:dyDescent="0.25">
      <c r="A3901" t="s">
        <v>2759</v>
      </c>
    </row>
    <row r="3902" spans="1:1" x14ac:dyDescent="0.25">
      <c r="A3902" t="s">
        <v>2862</v>
      </c>
    </row>
    <row r="3903" spans="1:1" x14ac:dyDescent="0.25">
      <c r="A3903" t="s">
        <v>1744</v>
      </c>
    </row>
    <row r="3905" spans="1:1" x14ac:dyDescent="0.25">
      <c r="A3905" t="s">
        <v>4722</v>
      </c>
    </row>
    <row r="3906" spans="1:1" x14ac:dyDescent="0.25">
      <c r="A3906" t="s">
        <v>4723</v>
      </c>
    </row>
    <row r="3907" spans="1:1" x14ac:dyDescent="0.25">
      <c r="A3907" t="s">
        <v>5527</v>
      </c>
    </row>
    <row r="3908" spans="1:1" x14ac:dyDescent="0.25">
      <c r="A3908" t="s">
        <v>5528</v>
      </c>
    </row>
    <row r="3909" spans="1:1" x14ac:dyDescent="0.25">
      <c r="A3909" t="s">
        <v>5529</v>
      </c>
    </row>
    <row r="3910" spans="1:1" x14ac:dyDescent="0.25">
      <c r="A3910" t="s">
        <v>4727</v>
      </c>
    </row>
    <row r="3911" spans="1:1" x14ac:dyDescent="0.25">
      <c r="A3911" t="s">
        <v>4728</v>
      </c>
    </row>
    <row r="3912" spans="1:1" x14ac:dyDescent="0.25">
      <c r="A3912" t="s">
        <v>5530</v>
      </c>
    </row>
    <row r="3913" spans="1:1" x14ac:dyDescent="0.25">
      <c r="A3913" t="s">
        <v>5531</v>
      </c>
    </row>
    <row r="3914" spans="1:1" x14ac:dyDescent="0.25">
      <c r="A3914" t="s">
        <v>4731</v>
      </c>
    </row>
    <row r="3916" spans="1:1" x14ac:dyDescent="0.25">
      <c r="A3916" t="s">
        <v>4722</v>
      </c>
    </row>
    <row r="3917" spans="1:1" x14ac:dyDescent="0.25">
      <c r="A3917" t="s">
        <v>4723</v>
      </c>
    </row>
    <row r="3918" spans="1:1" x14ac:dyDescent="0.25">
      <c r="A3918" t="s">
        <v>5532</v>
      </c>
    </row>
    <row r="3919" spans="1:1" x14ac:dyDescent="0.25">
      <c r="A3919" t="s">
        <v>5533</v>
      </c>
    </row>
    <row r="3920" spans="1:1" x14ac:dyDescent="0.25">
      <c r="A3920" t="s">
        <v>5534</v>
      </c>
    </row>
    <row r="3921" spans="1:1" x14ac:dyDescent="0.25">
      <c r="A3921" t="s">
        <v>4727</v>
      </c>
    </row>
    <row r="3922" spans="1:1" x14ac:dyDescent="0.25">
      <c r="A3922" t="s">
        <v>4728</v>
      </c>
    </row>
    <row r="3923" spans="1:1" x14ac:dyDescent="0.25">
      <c r="A3923" t="s">
        <v>5535</v>
      </c>
    </row>
    <row r="3924" spans="1:1" x14ac:dyDescent="0.25">
      <c r="A3924" t="s">
        <v>5536</v>
      </c>
    </row>
    <row r="3925" spans="1:1" x14ac:dyDescent="0.25">
      <c r="A3925" t="s">
        <v>4731</v>
      </c>
    </row>
    <row r="3927" spans="1:1" x14ac:dyDescent="0.25">
      <c r="A3927" t="s">
        <v>4722</v>
      </c>
    </row>
    <row r="3928" spans="1:1" x14ac:dyDescent="0.25">
      <c r="A3928" t="s">
        <v>4723</v>
      </c>
    </row>
    <row r="3929" spans="1:1" x14ac:dyDescent="0.25">
      <c r="A3929" t="s">
        <v>5537</v>
      </c>
    </row>
    <row r="3930" spans="1:1" x14ac:dyDescent="0.25">
      <c r="A3930" t="s">
        <v>5538</v>
      </c>
    </row>
    <row r="3931" spans="1:1" x14ac:dyDescent="0.25">
      <c r="A3931" t="s">
        <v>5195</v>
      </c>
    </row>
    <row r="3932" spans="1:1" x14ac:dyDescent="0.25">
      <c r="A3932" t="s">
        <v>4727</v>
      </c>
    </row>
    <row r="3933" spans="1:1" x14ac:dyDescent="0.25">
      <c r="A3933" t="s">
        <v>4728</v>
      </c>
    </row>
    <row r="3934" spans="1:1" x14ac:dyDescent="0.25">
      <c r="A3934" t="s">
        <v>5539</v>
      </c>
    </row>
    <row r="3935" spans="1:1" x14ac:dyDescent="0.25">
      <c r="A3935" t="s">
        <v>5540</v>
      </c>
    </row>
    <row r="3936" spans="1:1" x14ac:dyDescent="0.25">
      <c r="A3936" t="s">
        <v>4731</v>
      </c>
    </row>
    <row r="3938" spans="1:1" x14ac:dyDescent="0.25">
      <c r="A3938" t="s">
        <v>1737</v>
      </c>
    </row>
    <row r="3939" spans="1:1" x14ac:dyDescent="0.25">
      <c r="A3939" t="s">
        <v>1738</v>
      </c>
    </row>
    <row r="3940" spans="1:1" x14ac:dyDescent="0.25">
      <c r="A3940" t="s">
        <v>2876</v>
      </c>
    </row>
    <row r="3941" spans="1:1" x14ac:dyDescent="0.25">
      <c r="A3941" t="s">
        <v>2877</v>
      </c>
    </row>
    <row r="3942" spans="1:1" x14ac:dyDescent="0.25">
      <c r="A3942" t="s">
        <v>2006</v>
      </c>
    </row>
    <row r="3943" spans="1:1" x14ac:dyDescent="0.25">
      <c r="A3943" t="s">
        <v>1753</v>
      </c>
    </row>
    <row r="3944" spans="1:1" x14ac:dyDescent="0.25">
      <c r="A3944" t="s">
        <v>1741</v>
      </c>
    </row>
    <row r="3945" spans="1:1" x14ac:dyDescent="0.25">
      <c r="A3945" t="s">
        <v>1887</v>
      </c>
    </row>
    <row r="3946" spans="1:1" x14ac:dyDescent="0.25">
      <c r="A3946" t="s">
        <v>2878</v>
      </c>
    </row>
    <row r="3947" spans="1:1" x14ac:dyDescent="0.25">
      <c r="A3947" t="s">
        <v>1744</v>
      </c>
    </row>
    <row r="3949" spans="1:1" x14ac:dyDescent="0.25">
      <c r="A3949" t="s">
        <v>1737</v>
      </c>
    </row>
    <row r="3950" spans="1:1" x14ac:dyDescent="0.25">
      <c r="A3950" t="s">
        <v>1738</v>
      </c>
    </row>
    <row r="3951" spans="1:1" x14ac:dyDescent="0.25">
      <c r="A3951" t="s">
        <v>2879</v>
      </c>
    </row>
    <row r="3952" spans="1:1" x14ac:dyDescent="0.25">
      <c r="A3952" t="s">
        <v>2880</v>
      </c>
    </row>
    <row r="3953" spans="1:1" x14ac:dyDescent="0.25">
      <c r="A3953" t="s">
        <v>2002</v>
      </c>
    </row>
    <row r="3954" spans="1:1" x14ac:dyDescent="0.25">
      <c r="A3954" t="s">
        <v>1753</v>
      </c>
    </row>
    <row r="3955" spans="1:1" x14ac:dyDescent="0.25">
      <c r="A3955" t="s">
        <v>1741</v>
      </c>
    </row>
    <row r="3956" spans="1:1" x14ac:dyDescent="0.25">
      <c r="A3956" t="s">
        <v>1762</v>
      </c>
    </row>
    <row r="3957" spans="1:1" x14ac:dyDescent="0.25">
      <c r="A3957" t="s">
        <v>2881</v>
      </c>
    </row>
    <row r="3958" spans="1:1" x14ac:dyDescent="0.25">
      <c r="A3958" t="s">
        <v>1744</v>
      </c>
    </row>
    <row r="3960" spans="1:1" x14ac:dyDescent="0.25">
      <c r="A3960" t="s">
        <v>4722</v>
      </c>
    </row>
    <row r="3961" spans="1:1" x14ac:dyDescent="0.25">
      <c r="A3961" t="s">
        <v>4723</v>
      </c>
    </row>
    <row r="3962" spans="1:1" x14ac:dyDescent="0.25">
      <c r="A3962" t="s">
        <v>5541</v>
      </c>
    </row>
    <row r="3963" spans="1:1" x14ac:dyDescent="0.25">
      <c r="A3963" t="s">
        <v>5542</v>
      </c>
    </row>
    <row r="3964" spans="1:1" x14ac:dyDescent="0.25">
      <c r="A3964" t="s">
        <v>5131</v>
      </c>
    </row>
    <row r="3965" spans="1:1" x14ac:dyDescent="0.25">
      <c r="A3965" t="s">
        <v>4727</v>
      </c>
    </row>
    <row r="3966" spans="1:1" x14ac:dyDescent="0.25">
      <c r="A3966" t="s">
        <v>4728</v>
      </c>
    </row>
    <row r="3967" spans="1:1" x14ac:dyDescent="0.25">
      <c r="A3967" t="s">
        <v>4729</v>
      </c>
    </row>
    <row r="3968" spans="1:1" x14ac:dyDescent="0.25">
      <c r="A3968" t="s">
        <v>5543</v>
      </c>
    </row>
    <row r="3969" spans="1:1" x14ac:dyDescent="0.25">
      <c r="A3969" t="s">
        <v>4731</v>
      </c>
    </row>
    <row r="3971" spans="1:1" x14ac:dyDescent="0.25">
      <c r="A3971" t="s">
        <v>4722</v>
      </c>
    </row>
    <row r="3972" spans="1:1" x14ac:dyDescent="0.25">
      <c r="A3972" t="s">
        <v>4723</v>
      </c>
    </row>
    <row r="3973" spans="1:1" x14ac:dyDescent="0.25">
      <c r="A3973" t="s">
        <v>5544</v>
      </c>
    </row>
    <row r="3974" spans="1:1" x14ac:dyDescent="0.25">
      <c r="A3974" t="s">
        <v>5545</v>
      </c>
    </row>
    <row r="3975" spans="1:1" x14ac:dyDescent="0.25">
      <c r="A3975" t="s">
        <v>5546</v>
      </c>
    </row>
    <row r="3976" spans="1:1" x14ac:dyDescent="0.25">
      <c r="A3976" t="s">
        <v>4727</v>
      </c>
    </row>
    <row r="3977" spans="1:1" x14ac:dyDescent="0.25">
      <c r="A3977" t="s">
        <v>4728</v>
      </c>
    </row>
    <row r="3978" spans="1:1" x14ac:dyDescent="0.25">
      <c r="A3978" t="s">
        <v>4729</v>
      </c>
    </row>
    <row r="3979" spans="1:1" x14ac:dyDescent="0.25">
      <c r="A3979" t="s">
        <v>5547</v>
      </c>
    </row>
    <row r="3980" spans="1:1" x14ac:dyDescent="0.25">
      <c r="A3980" t="s">
        <v>4731</v>
      </c>
    </row>
    <row r="3982" spans="1:1" x14ac:dyDescent="0.25">
      <c r="A3982" t="s">
        <v>1737</v>
      </c>
    </row>
    <row r="3983" spans="1:1" x14ac:dyDescent="0.25">
      <c r="A3983" t="s">
        <v>1738</v>
      </c>
    </row>
    <row r="3984" spans="1:1" x14ac:dyDescent="0.25">
      <c r="A3984" t="s">
        <v>2889</v>
      </c>
    </row>
    <row r="3985" spans="1:1" x14ac:dyDescent="0.25">
      <c r="A3985" t="s">
        <v>2890</v>
      </c>
    </row>
    <row r="3986" spans="1:1" x14ac:dyDescent="0.25">
      <c r="A3986" t="s">
        <v>2002</v>
      </c>
    </row>
    <row r="3987" spans="1:1" x14ac:dyDescent="0.25">
      <c r="A3987" t="s">
        <v>1753</v>
      </c>
    </row>
    <row r="3988" spans="1:1" x14ac:dyDescent="0.25">
      <c r="A3988" t="s">
        <v>1741</v>
      </c>
    </row>
    <row r="3989" spans="1:1" x14ac:dyDescent="0.25">
      <c r="A3989" t="s">
        <v>1887</v>
      </c>
    </row>
    <row r="3990" spans="1:1" x14ac:dyDescent="0.25">
      <c r="A3990" t="s">
        <v>2891</v>
      </c>
    </row>
    <row r="3991" spans="1:1" x14ac:dyDescent="0.25">
      <c r="A3991" t="s">
        <v>1744</v>
      </c>
    </row>
    <row r="3993" spans="1:1" x14ac:dyDescent="0.25">
      <c r="A3993" t="s">
        <v>4722</v>
      </c>
    </row>
    <row r="3994" spans="1:1" x14ac:dyDescent="0.25">
      <c r="A3994" t="s">
        <v>4723</v>
      </c>
    </row>
    <row r="3995" spans="1:1" x14ac:dyDescent="0.25">
      <c r="A3995" t="s">
        <v>5548</v>
      </c>
    </row>
    <row r="3996" spans="1:1" x14ac:dyDescent="0.25">
      <c r="A3996" t="s">
        <v>5549</v>
      </c>
    </row>
    <row r="3997" spans="1:1" x14ac:dyDescent="0.25">
      <c r="A3997" t="s">
        <v>5550</v>
      </c>
    </row>
    <row r="3998" spans="1:1" x14ac:dyDescent="0.25">
      <c r="A3998" t="s">
        <v>4727</v>
      </c>
    </row>
    <row r="3999" spans="1:1" x14ac:dyDescent="0.25">
      <c r="A3999" t="s">
        <v>4728</v>
      </c>
    </row>
    <row r="4000" spans="1:1" x14ac:dyDescent="0.25">
      <c r="A4000" t="s">
        <v>5539</v>
      </c>
    </row>
    <row r="4001" spans="1:1" x14ac:dyDescent="0.25">
      <c r="A4001" t="s">
        <v>5551</v>
      </c>
    </row>
    <row r="4002" spans="1:1" x14ac:dyDescent="0.25">
      <c r="A4002" t="s">
        <v>4731</v>
      </c>
    </row>
    <row r="4004" spans="1:1" x14ac:dyDescent="0.25">
      <c r="A4004" t="s">
        <v>4722</v>
      </c>
    </row>
    <row r="4005" spans="1:1" x14ac:dyDescent="0.25">
      <c r="A4005" t="s">
        <v>4723</v>
      </c>
    </row>
    <row r="4006" spans="1:1" x14ac:dyDescent="0.25">
      <c r="A4006" t="s">
        <v>5552</v>
      </c>
    </row>
    <row r="4007" spans="1:1" x14ac:dyDescent="0.25">
      <c r="A4007" t="s">
        <v>5553</v>
      </c>
    </row>
    <row r="4008" spans="1:1" x14ac:dyDescent="0.25">
      <c r="A4008" t="s">
        <v>5554</v>
      </c>
    </row>
    <row r="4009" spans="1:1" x14ac:dyDescent="0.25">
      <c r="A4009" t="s">
        <v>4727</v>
      </c>
    </row>
    <row r="4010" spans="1:1" x14ac:dyDescent="0.25">
      <c r="A4010" t="s">
        <v>4728</v>
      </c>
    </row>
    <row r="4011" spans="1:1" x14ac:dyDescent="0.25">
      <c r="A4011" t="s">
        <v>5555</v>
      </c>
    </row>
    <row r="4012" spans="1:1" x14ac:dyDescent="0.25">
      <c r="A4012" t="s">
        <v>5556</v>
      </c>
    </row>
    <row r="4013" spans="1:1" x14ac:dyDescent="0.25">
      <c r="A4013" t="s">
        <v>4731</v>
      </c>
    </row>
    <row r="4015" spans="1:1" x14ac:dyDescent="0.25">
      <c r="A4015" t="s">
        <v>4722</v>
      </c>
    </row>
    <row r="4016" spans="1:1" x14ac:dyDescent="0.25">
      <c r="A4016" t="s">
        <v>4723</v>
      </c>
    </row>
    <row r="4017" spans="1:1" x14ac:dyDescent="0.25">
      <c r="A4017" t="s">
        <v>5557</v>
      </c>
    </row>
    <row r="4018" spans="1:1" x14ac:dyDescent="0.25">
      <c r="A4018" t="s">
        <v>5558</v>
      </c>
    </row>
    <row r="4019" spans="1:1" x14ac:dyDescent="0.25">
      <c r="A4019" t="s">
        <v>5554</v>
      </c>
    </row>
    <row r="4020" spans="1:1" x14ac:dyDescent="0.25">
      <c r="A4020" t="s">
        <v>4727</v>
      </c>
    </row>
    <row r="4021" spans="1:1" x14ac:dyDescent="0.25">
      <c r="A4021" t="s">
        <v>4728</v>
      </c>
    </row>
    <row r="4022" spans="1:1" x14ac:dyDescent="0.25">
      <c r="A4022" t="s">
        <v>5559</v>
      </c>
    </row>
    <row r="4023" spans="1:1" x14ac:dyDescent="0.25">
      <c r="A4023" t="s">
        <v>5560</v>
      </c>
    </row>
    <row r="4024" spans="1:1" x14ac:dyDescent="0.25">
      <c r="A4024" t="s">
        <v>4731</v>
      </c>
    </row>
    <row r="4026" spans="1:1" x14ac:dyDescent="0.25">
      <c r="A4026" t="s">
        <v>1737</v>
      </c>
    </row>
    <row r="4027" spans="1:1" x14ac:dyDescent="0.25">
      <c r="A4027" t="s">
        <v>1738</v>
      </c>
    </row>
    <row r="4028" spans="1:1" x14ac:dyDescent="0.25">
      <c r="A4028" t="s">
        <v>2905</v>
      </c>
    </row>
    <row r="4029" spans="1:1" x14ac:dyDescent="0.25">
      <c r="A4029" t="s">
        <v>2906</v>
      </c>
    </row>
    <row r="4030" spans="1:1" x14ac:dyDescent="0.25">
      <c r="A4030" t="s">
        <v>2002</v>
      </c>
    </row>
    <row r="4031" spans="1:1" x14ac:dyDescent="0.25">
      <c r="A4031" t="s">
        <v>1753</v>
      </c>
    </row>
    <row r="4032" spans="1:1" x14ac:dyDescent="0.25">
      <c r="A4032" t="s">
        <v>1741</v>
      </c>
    </row>
    <row r="4033" spans="1:1" x14ac:dyDescent="0.25">
      <c r="A4033" t="s">
        <v>1762</v>
      </c>
    </row>
    <row r="4034" spans="1:1" x14ac:dyDescent="0.25">
      <c r="A4034" t="s">
        <v>2907</v>
      </c>
    </row>
    <row r="4035" spans="1:1" x14ac:dyDescent="0.25">
      <c r="A4035" t="s">
        <v>1744</v>
      </c>
    </row>
    <row r="4037" spans="1:1" x14ac:dyDescent="0.25">
      <c r="A4037" t="s">
        <v>1737</v>
      </c>
    </row>
    <row r="4038" spans="1:1" x14ac:dyDescent="0.25">
      <c r="A4038" t="s">
        <v>1738</v>
      </c>
    </row>
    <row r="4039" spans="1:1" x14ac:dyDescent="0.25">
      <c r="A4039" t="s">
        <v>2908</v>
      </c>
    </row>
    <row r="4040" spans="1:1" x14ac:dyDescent="0.25">
      <c r="A4040" t="s">
        <v>2909</v>
      </c>
    </row>
    <row r="4041" spans="1:1" x14ac:dyDescent="0.25">
      <c r="A4041" t="s">
        <v>2670</v>
      </c>
    </row>
    <row r="4042" spans="1:1" x14ac:dyDescent="0.25">
      <c r="A4042" t="s">
        <v>1753</v>
      </c>
    </row>
    <row r="4043" spans="1:1" x14ac:dyDescent="0.25">
      <c r="A4043" t="s">
        <v>1741</v>
      </c>
    </row>
    <row r="4044" spans="1:1" x14ac:dyDescent="0.25">
      <c r="A4044" t="s">
        <v>1778</v>
      </c>
    </row>
    <row r="4045" spans="1:1" x14ac:dyDescent="0.25">
      <c r="A4045" t="s">
        <v>2910</v>
      </c>
    </row>
    <row r="4046" spans="1:1" x14ac:dyDescent="0.25">
      <c r="A4046" t="s">
        <v>1744</v>
      </c>
    </row>
    <row r="4048" spans="1:1" x14ac:dyDescent="0.25">
      <c r="A4048" t="s">
        <v>4722</v>
      </c>
    </row>
    <row r="4049" spans="1:1" x14ac:dyDescent="0.25">
      <c r="A4049" t="s">
        <v>4723</v>
      </c>
    </row>
    <row r="4050" spans="1:1" x14ac:dyDescent="0.25">
      <c r="A4050" t="s">
        <v>5561</v>
      </c>
    </row>
    <row r="4051" spans="1:1" x14ac:dyDescent="0.25">
      <c r="A4051" t="s">
        <v>5562</v>
      </c>
    </row>
    <row r="4052" spans="1:1" x14ac:dyDescent="0.25">
      <c r="A4052" t="s">
        <v>5563</v>
      </c>
    </row>
    <row r="4053" spans="1:1" x14ac:dyDescent="0.25">
      <c r="A4053" t="s">
        <v>4727</v>
      </c>
    </row>
    <row r="4054" spans="1:1" x14ac:dyDescent="0.25">
      <c r="A4054" t="s">
        <v>4728</v>
      </c>
    </row>
    <row r="4055" spans="1:1" x14ac:dyDescent="0.25">
      <c r="A4055" t="s">
        <v>4729</v>
      </c>
    </row>
    <row r="4056" spans="1:1" x14ac:dyDescent="0.25">
      <c r="A4056" t="s">
        <v>5564</v>
      </c>
    </row>
    <row r="4057" spans="1:1" x14ac:dyDescent="0.25">
      <c r="A4057" t="s">
        <v>4731</v>
      </c>
    </row>
    <row r="4059" spans="1:1" x14ac:dyDescent="0.25">
      <c r="A4059" t="s">
        <v>4722</v>
      </c>
    </row>
    <row r="4060" spans="1:1" x14ac:dyDescent="0.25">
      <c r="A4060" t="s">
        <v>4723</v>
      </c>
    </row>
    <row r="4061" spans="1:1" x14ac:dyDescent="0.25">
      <c r="A4061" t="s">
        <v>5565</v>
      </c>
    </row>
    <row r="4062" spans="1:1" x14ac:dyDescent="0.25">
      <c r="A4062" t="s">
        <v>5566</v>
      </c>
    </row>
    <row r="4063" spans="1:1" x14ac:dyDescent="0.25">
      <c r="A4063" t="s">
        <v>5070</v>
      </c>
    </row>
    <row r="4064" spans="1:1" x14ac:dyDescent="0.25">
      <c r="A4064" t="s">
        <v>4727</v>
      </c>
    </row>
    <row r="4065" spans="1:1" x14ac:dyDescent="0.25">
      <c r="A4065" t="s">
        <v>4728</v>
      </c>
    </row>
    <row r="4066" spans="1:1" x14ac:dyDescent="0.25">
      <c r="A4066" t="s">
        <v>5567</v>
      </c>
    </row>
    <row r="4067" spans="1:1" x14ac:dyDescent="0.25">
      <c r="A4067" t="s">
        <v>5568</v>
      </c>
    </row>
    <row r="4068" spans="1:1" x14ac:dyDescent="0.25">
      <c r="A4068" t="s">
        <v>4731</v>
      </c>
    </row>
    <row r="4070" spans="1:1" x14ac:dyDescent="0.25">
      <c r="A4070" t="s">
        <v>4722</v>
      </c>
    </row>
    <row r="4071" spans="1:1" x14ac:dyDescent="0.25">
      <c r="A4071" t="s">
        <v>4723</v>
      </c>
    </row>
    <row r="4072" spans="1:1" x14ac:dyDescent="0.25">
      <c r="A4072" t="s">
        <v>5569</v>
      </c>
    </row>
    <row r="4073" spans="1:1" x14ac:dyDescent="0.25">
      <c r="A4073" t="s">
        <v>5570</v>
      </c>
    </row>
    <row r="4074" spans="1:1" x14ac:dyDescent="0.25">
      <c r="A4074" t="s">
        <v>4734</v>
      </c>
    </row>
    <row r="4075" spans="1:1" x14ac:dyDescent="0.25">
      <c r="A4075" t="s">
        <v>4727</v>
      </c>
    </row>
    <row r="4076" spans="1:1" x14ac:dyDescent="0.25">
      <c r="A4076" t="s">
        <v>4728</v>
      </c>
    </row>
    <row r="4077" spans="1:1" x14ac:dyDescent="0.25">
      <c r="A4077" t="s">
        <v>4994</v>
      </c>
    </row>
    <row r="4078" spans="1:1" x14ac:dyDescent="0.25">
      <c r="A4078" t="s">
        <v>5571</v>
      </c>
    </row>
    <row r="4079" spans="1:1" x14ac:dyDescent="0.25">
      <c r="A4079" t="s">
        <v>4731</v>
      </c>
    </row>
    <row r="4081" spans="1:1" x14ac:dyDescent="0.25">
      <c r="A4081" t="s">
        <v>4722</v>
      </c>
    </row>
    <row r="4082" spans="1:1" x14ac:dyDescent="0.25">
      <c r="A4082" t="s">
        <v>4723</v>
      </c>
    </row>
    <row r="4083" spans="1:1" x14ac:dyDescent="0.25">
      <c r="A4083" t="s">
        <v>5572</v>
      </c>
    </row>
    <row r="4084" spans="1:1" x14ac:dyDescent="0.25">
      <c r="A4084" t="s">
        <v>5573</v>
      </c>
    </row>
    <row r="4085" spans="1:1" x14ac:dyDescent="0.25">
      <c r="A4085" t="s">
        <v>4734</v>
      </c>
    </row>
    <row r="4086" spans="1:1" x14ac:dyDescent="0.25">
      <c r="A4086" t="s">
        <v>4727</v>
      </c>
    </row>
    <row r="4087" spans="1:1" x14ac:dyDescent="0.25">
      <c r="A4087" t="s">
        <v>4728</v>
      </c>
    </row>
    <row r="4088" spans="1:1" x14ac:dyDescent="0.25">
      <c r="A4088" t="s">
        <v>4900</v>
      </c>
    </row>
    <row r="4089" spans="1:1" x14ac:dyDescent="0.25">
      <c r="A4089" t="s">
        <v>5574</v>
      </c>
    </row>
    <row r="4090" spans="1:1" x14ac:dyDescent="0.25">
      <c r="A4090" t="s">
        <v>4731</v>
      </c>
    </row>
    <row r="4092" spans="1:1" x14ac:dyDescent="0.25">
      <c r="A4092" t="s">
        <v>4722</v>
      </c>
    </row>
    <row r="4093" spans="1:1" x14ac:dyDescent="0.25">
      <c r="A4093" t="s">
        <v>4723</v>
      </c>
    </row>
    <row r="4094" spans="1:1" x14ac:dyDescent="0.25">
      <c r="A4094" t="s">
        <v>5575</v>
      </c>
    </row>
    <row r="4095" spans="1:1" x14ac:dyDescent="0.25">
      <c r="A4095" t="s">
        <v>5576</v>
      </c>
    </row>
    <row r="4096" spans="1:1" x14ac:dyDescent="0.25">
      <c r="A4096" t="s">
        <v>5131</v>
      </c>
    </row>
    <row r="4097" spans="1:1" x14ac:dyDescent="0.25">
      <c r="A4097" t="s">
        <v>4727</v>
      </c>
    </row>
    <row r="4098" spans="1:1" x14ac:dyDescent="0.25">
      <c r="A4098" t="s">
        <v>4728</v>
      </c>
    </row>
    <row r="4099" spans="1:1" x14ac:dyDescent="0.25">
      <c r="A4099" t="s">
        <v>4792</v>
      </c>
    </row>
    <row r="4100" spans="1:1" x14ac:dyDescent="0.25">
      <c r="A4100" t="s">
        <v>5577</v>
      </c>
    </row>
    <row r="4101" spans="1:1" x14ac:dyDescent="0.25">
      <c r="A4101" t="s">
        <v>4731</v>
      </c>
    </row>
    <row r="4103" spans="1:1" x14ac:dyDescent="0.25">
      <c r="A4103" t="s">
        <v>4722</v>
      </c>
    </row>
    <row r="4104" spans="1:1" x14ac:dyDescent="0.25">
      <c r="A4104" t="s">
        <v>4723</v>
      </c>
    </row>
    <row r="4105" spans="1:1" x14ac:dyDescent="0.25">
      <c r="A4105" t="s">
        <v>5578</v>
      </c>
    </row>
    <row r="4106" spans="1:1" x14ac:dyDescent="0.25">
      <c r="A4106" t="s">
        <v>5579</v>
      </c>
    </row>
    <row r="4107" spans="1:1" x14ac:dyDescent="0.25">
      <c r="A4107" t="s">
        <v>5225</v>
      </c>
    </row>
    <row r="4108" spans="1:1" x14ac:dyDescent="0.25">
      <c r="A4108" t="s">
        <v>4727</v>
      </c>
    </row>
    <row r="4109" spans="1:1" x14ac:dyDescent="0.25">
      <c r="A4109" t="s">
        <v>4728</v>
      </c>
    </row>
    <row r="4110" spans="1:1" x14ac:dyDescent="0.25">
      <c r="A4110" t="s">
        <v>4792</v>
      </c>
    </row>
    <row r="4111" spans="1:1" x14ac:dyDescent="0.25">
      <c r="A4111" t="s">
        <v>5580</v>
      </c>
    </row>
    <row r="4112" spans="1:1" x14ac:dyDescent="0.25">
      <c r="A4112" t="s">
        <v>4731</v>
      </c>
    </row>
    <row r="4114" spans="1:1" x14ac:dyDescent="0.25">
      <c r="A4114" t="s">
        <v>4722</v>
      </c>
    </row>
    <row r="4115" spans="1:1" x14ac:dyDescent="0.25">
      <c r="A4115" t="s">
        <v>4723</v>
      </c>
    </row>
    <row r="4116" spans="1:1" x14ac:dyDescent="0.25">
      <c r="A4116" t="s">
        <v>5581</v>
      </c>
    </row>
    <row r="4117" spans="1:1" x14ac:dyDescent="0.25">
      <c r="A4117" t="s">
        <v>5582</v>
      </c>
    </row>
    <row r="4118" spans="1:1" x14ac:dyDescent="0.25">
      <c r="A4118" t="s">
        <v>5070</v>
      </c>
    </row>
    <row r="4119" spans="1:1" x14ac:dyDescent="0.25">
      <c r="A4119" t="s">
        <v>4727</v>
      </c>
    </row>
    <row r="4120" spans="1:1" x14ac:dyDescent="0.25">
      <c r="A4120" t="s">
        <v>4728</v>
      </c>
    </row>
    <row r="4121" spans="1:1" x14ac:dyDescent="0.25">
      <c r="A4121" t="s">
        <v>5583</v>
      </c>
    </row>
    <row r="4122" spans="1:1" x14ac:dyDescent="0.25">
      <c r="A4122" t="s">
        <v>5584</v>
      </c>
    </row>
    <row r="4123" spans="1:1" x14ac:dyDescent="0.25">
      <c r="A4123" t="s">
        <v>4731</v>
      </c>
    </row>
    <row r="4125" spans="1:1" x14ac:dyDescent="0.25">
      <c r="A4125" t="s">
        <v>4722</v>
      </c>
    </row>
    <row r="4126" spans="1:1" x14ac:dyDescent="0.25">
      <c r="A4126" t="s">
        <v>4723</v>
      </c>
    </row>
    <row r="4127" spans="1:1" x14ac:dyDescent="0.25">
      <c r="A4127" t="s">
        <v>5585</v>
      </c>
    </row>
    <row r="4128" spans="1:1" x14ac:dyDescent="0.25">
      <c r="A4128" t="s">
        <v>5586</v>
      </c>
    </row>
    <row r="4129" spans="1:1" x14ac:dyDescent="0.25">
      <c r="A4129" t="s">
        <v>5587</v>
      </c>
    </row>
    <row r="4130" spans="1:1" x14ac:dyDescent="0.25">
      <c r="A4130" t="s">
        <v>4727</v>
      </c>
    </row>
    <row r="4131" spans="1:1" x14ac:dyDescent="0.25">
      <c r="A4131" t="s">
        <v>4728</v>
      </c>
    </row>
    <row r="4132" spans="1:1" x14ac:dyDescent="0.25">
      <c r="A4132" t="s">
        <v>5588</v>
      </c>
    </row>
    <row r="4133" spans="1:1" x14ac:dyDescent="0.25">
      <c r="A4133" t="s">
        <v>5589</v>
      </c>
    </row>
    <row r="4134" spans="1:1" x14ac:dyDescent="0.25">
      <c r="A4134" t="s">
        <v>4731</v>
      </c>
    </row>
    <row r="4136" spans="1:1" x14ac:dyDescent="0.25">
      <c r="A4136" t="s">
        <v>1737</v>
      </c>
    </row>
    <row r="4137" spans="1:1" x14ac:dyDescent="0.25">
      <c r="A4137" t="s">
        <v>1738</v>
      </c>
    </row>
    <row r="4138" spans="1:1" x14ac:dyDescent="0.25">
      <c r="A4138" t="s">
        <v>2939</v>
      </c>
    </row>
    <row r="4139" spans="1:1" x14ac:dyDescent="0.25">
      <c r="A4139" t="s">
        <v>2940</v>
      </c>
    </row>
    <row r="4140" spans="1:1" x14ac:dyDescent="0.25">
      <c r="A4140" t="s">
        <v>2209</v>
      </c>
    </row>
    <row r="4141" spans="1:1" x14ac:dyDescent="0.25">
      <c r="A4141" t="s">
        <v>1753</v>
      </c>
    </row>
    <row r="4142" spans="1:1" x14ac:dyDescent="0.25">
      <c r="A4142" t="s">
        <v>1741</v>
      </c>
    </row>
    <row r="4143" spans="1:1" x14ac:dyDescent="0.25">
      <c r="A4143" t="s">
        <v>2530</v>
      </c>
    </row>
    <row r="4144" spans="1:1" x14ac:dyDescent="0.25">
      <c r="A4144" t="s">
        <v>2941</v>
      </c>
    </row>
    <row r="4145" spans="1:1" x14ac:dyDescent="0.25">
      <c r="A4145" t="s">
        <v>1744</v>
      </c>
    </row>
    <row r="4147" spans="1:1" x14ac:dyDescent="0.25">
      <c r="A4147" t="s">
        <v>4722</v>
      </c>
    </row>
    <row r="4148" spans="1:1" x14ac:dyDescent="0.25">
      <c r="A4148" t="s">
        <v>4723</v>
      </c>
    </row>
    <row r="4149" spans="1:1" x14ac:dyDescent="0.25">
      <c r="A4149" t="s">
        <v>5590</v>
      </c>
    </row>
    <row r="4150" spans="1:1" x14ac:dyDescent="0.25">
      <c r="A4150" t="s">
        <v>5591</v>
      </c>
    </row>
    <row r="4151" spans="1:1" x14ac:dyDescent="0.25">
      <c r="A4151" t="s">
        <v>5326</v>
      </c>
    </row>
    <row r="4152" spans="1:1" x14ac:dyDescent="0.25">
      <c r="A4152" t="s">
        <v>4727</v>
      </c>
    </row>
    <row r="4153" spans="1:1" x14ac:dyDescent="0.25">
      <c r="A4153" t="s">
        <v>4728</v>
      </c>
    </row>
    <row r="4154" spans="1:1" x14ac:dyDescent="0.25">
      <c r="A4154" t="s">
        <v>4900</v>
      </c>
    </row>
    <row r="4155" spans="1:1" x14ac:dyDescent="0.25">
      <c r="A4155" t="s">
        <v>5592</v>
      </c>
    </row>
    <row r="4156" spans="1:1" x14ac:dyDescent="0.25">
      <c r="A4156" t="s">
        <v>4731</v>
      </c>
    </row>
    <row r="4158" spans="1:1" x14ac:dyDescent="0.25">
      <c r="A4158" t="s">
        <v>1737</v>
      </c>
    </row>
    <row r="4159" spans="1:1" x14ac:dyDescent="0.25">
      <c r="A4159" t="s">
        <v>1738</v>
      </c>
    </row>
    <row r="4160" spans="1:1" x14ac:dyDescent="0.25">
      <c r="A4160" t="s">
        <v>2945</v>
      </c>
    </row>
    <row r="4161" spans="1:1" x14ac:dyDescent="0.25">
      <c r="A4161" t="s">
        <v>2946</v>
      </c>
    </row>
    <row r="4162" spans="1:1" x14ac:dyDescent="0.25">
      <c r="A4162" t="s">
        <v>2209</v>
      </c>
    </row>
    <row r="4163" spans="1:1" x14ac:dyDescent="0.25">
      <c r="A4163" t="s">
        <v>1753</v>
      </c>
    </row>
    <row r="4164" spans="1:1" x14ac:dyDescent="0.25">
      <c r="A4164" t="s">
        <v>1741</v>
      </c>
    </row>
    <row r="4165" spans="1:1" x14ac:dyDescent="0.25">
      <c r="A4165" t="s">
        <v>1995</v>
      </c>
    </row>
    <row r="4166" spans="1:1" x14ac:dyDescent="0.25">
      <c r="A4166" t="s">
        <v>2947</v>
      </c>
    </row>
    <row r="4167" spans="1:1" x14ac:dyDescent="0.25">
      <c r="A4167" t="s">
        <v>1744</v>
      </c>
    </row>
    <row r="4169" spans="1:1" x14ac:dyDescent="0.25">
      <c r="A4169" t="s">
        <v>4722</v>
      </c>
    </row>
    <row r="4170" spans="1:1" x14ac:dyDescent="0.25">
      <c r="A4170" t="s">
        <v>4723</v>
      </c>
    </row>
    <row r="4171" spans="1:1" x14ac:dyDescent="0.25">
      <c r="A4171" t="s">
        <v>5593</v>
      </c>
    </row>
    <row r="4172" spans="1:1" x14ac:dyDescent="0.25">
      <c r="A4172" t="s">
        <v>5594</v>
      </c>
    </row>
    <row r="4173" spans="1:1" x14ac:dyDescent="0.25">
      <c r="A4173" t="s">
        <v>5070</v>
      </c>
    </row>
    <row r="4174" spans="1:1" x14ac:dyDescent="0.25">
      <c r="A4174" t="s">
        <v>4727</v>
      </c>
    </row>
    <row r="4175" spans="1:1" x14ac:dyDescent="0.25">
      <c r="A4175" t="s">
        <v>4728</v>
      </c>
    </row>
    <row r="4176" spans="1:1" x14ac:dyDescent="0.25">
      <c r="A4176" t="s">
        <v>5567</v>
      </c>
    </row>
    <row r="4177" spans="1:1" x14ac:dyDescent="0.25">
      <c r="A4177" t="s">
        <v>5595</v>
      </c>
    </row>
    <row r="4178" spans="1:1" x14ac:dyDescent="0.25">
      <c r="A4178" t="s">
        <v>4731</v>
      </c>
    </row>
    <row r="4180" spans="1:1" x14ac:dyDescent="0.25">
      <c r="A4180" t="s">
        <v>1737</v>
      </c>
    </row>
    <row r="4181" spans="1:1" x14ac:dyDescent="0.25">
      <c r="A4181" t="s">
        <v>1738</v>
      </c>
    </row>
    <row r="4182" spans="1:1" x14ac:dyDescent="0.25">
      <c r="A4182" t="s">
        <v>2951</v>
      </c>
    </row>
    <row r="4183" spans="1:1" x14ac:dyDescent="0.25">
      <c r="A4183" t="s">
        <v>2952</v>
      </c>
    </row>
    <row r="4184" spans="1:1" x14ac:dyDescent="0.25">
      <c r="A4184" t="s">
        <v>1752</v>
      </c>
    </row>
    <row r="4185" spans="1:1" x14ac:dyDescent="0.25">
      <c r="A4185" t="s">
        <v>1753</v>
      </c>
    </row>
    <row r="4186" spans="1:1" x14ac:dyDescent="0.25">
      <c r="A4186" t="s">
        <v>1741</v>
      </c>
    </row>
    <row r="4187" spans="1:1" x14ac:dyDescent="0.25">
      <c r="A4187" t="s">
        <v>1762</v>
      </c>
    </row>
    <row r="4188" spans="1:1" x14ac:dyDescent="0.25">
      <c r="A4188" t="s">
        <v>2953</v>
      </c>
    </row>
    <row r="4189" spans="1:1" x14ac:dyDescent="0.25">
      <c r="A4189" t="s">
        <v>1744</v>
      </c>
    </row>
    <row r="4191" spans="1:1" x14ac:dyDescent="0.25">
      <c r="A4191" t="s">
        <v>1737</v>
      </c>
    </row>
    <row r="4192" spans="1:1" x14ac:dyDescent="0.25">
      <c r="A4192" t="s">
        <v>1738</v>
      </c>
    </row>
    <row r="4193" spans="1:1" x14ac:dyDescent="0.25">
      <c r="A4193" t="s">
        <v>2954</v>
      </c>
    </row>
    <row r="4194" spans="1:1" x14ac:dyDescent="0.25">
      <c r="A4194" t="s">
        <v>2955</v>
      </c>
    </row>
    <row r="4195" spans="1:1" x14ac:dyDescent="0.25">
      <c r="A4195" t="s">
        <v>2670</v>
      </c>
    </row>
    <row r="4196" spans="1:1" x14ac:dyDescent="0.25">
      <c r="A4196" t="s">
        <v>1753</v>
      </c>
    </row>
    <row r="4197" spans="1:1" x14ac:dyDescent="0.25">
      <c r="A4197" t="s">
        <v>2956</v>
      </c>
    </row>
    <row r="4198" spans="1:1" x14ac:dyDescent="0.25">
      <c r="A4198" t="s">
        <v>1741</v>
      </c>
    </row>
    <row r="4199" spans="1:1" x14ac:dyDescent="0.25">
      <c r="A4199" t="s">
        <v>2957</v>
      </c>
    </row>
    <row r="4200" spans="1:1" x14ac:dyDescent="0.25">
      <c r="A4200" t="s">
        <v>2958</v>
      </c>
    </row>
    <row r="4201" spans="1:1" x14ac:dyDescent="0.25">
      <c r="A4201" t="s">
        <v>1744</v>
      </c>
    </row>
    <row r="4203" spans="1:1" x14ac:dyDescent="0.25">
      <c r="A4203" t="s">
        <v>1737</v>
      </c>
    </row>
    <row r="4204" spans="1:1" x14ac:dyDescent="0.25">
      <c r="A4204" t="s">
        <v>1738</v>
      </c>
    </row>
    <row r="4205" spans="1:1" x14ac:dyDescent="0.25">
      <c r="A4205" t="s">
        <v>2959</v>
      </c>
    </row>
    <row r="4206" spans="1:1" x14ac:dyDescent="0.25">
      <c r="A4206" t="s">
        <v>2960</v>
      </c>
    </row>
    <row r="4207" spans="1:1" x14ac:dyDescent="0.25">
      <c r="A4207" t="s">
        <v>2670</v>
      </c>
    </row>
    <row r="4208" spans="1:1" x14ac:dyDescent="0.25">
      <c r="A4208" t="s">
        <v>1753</v>
      </c>
    </row>
    <row r="4209" spans="1:1" x14ac:dyDescent="0.25">
      <c r="A4209" t="s">
        <v>1741</v>
      </c>
    </row>
    <row r="4210" spans="1:1" x14ac:dyDescent="0.25">
      <c r="A4210" t="s">
        <v>2961</v>
      </c>
    </row>
    <row r="4211" spans="1:1" x14ac:dyDescent="0.25">
      <c r="A4211" t="s">
        <v>2910</v>
      </c>
    </row>
    <row r="4212" spans="1:1" x14ac:dyDescent="0.25">
      <c r="A4212" t="s">
        <v>1744</v>
      </c>
    </row>
    <row r="4214" spans="1:1" x14ac:dyDescent="0.25">
      <c r="A4214" t="s">
        <v>1737</v>
      </c>
    </row>
    <row r="4215" spans="1:1" x14ac:dyDescent="0.25">
      <c r="A4215" t="s">
        <v>1738</v>
      </c>
    </row>
    <row r="4216" spans="1:1" x14ac:dyDescent="0.25">
      <c r="A4216" t="s">
        <v>2962</v>
      </c>
    </row>
    <row r="4217" spans="1:1" x14ac:dyDescent="0.25">
      <c r="A4217" t="s">
        <v>2963</v>
      </c>
    </row>
    <row r="4218" spans="1:1" x14ac:dyDescent="0.25">
      <c r="A4218" t="s">
        <v>2006</v>
      </c>
    </row>
    <row r="4219" spans="1:1" x14ac:dyDescent="0.25">
      <c r="A4219" t="s">
        <v>1753</v>
      </c>
    </row>
    <row r="4220" spans="1:1" x14ac:dyDescent="0.25">
      <c r="A4220" t="s">
        <v>1741</v>
      </c>
    </row>
    <row r="4221" spans="1:1" x14ac:dyDescent="0.25">
      <c r="A4221" t="s">
        <v>1762</v>
      </c>
    </row>
    <row r="4222" spans="1:1" x14ac:dyDescent="0.25">
      <c r="A4222" t="s">
        <v>2964</v>
      </c>
    </row>
    <row r="4223" spans="1:1" x14ac:dyDescent="0.25">
      <c r="A4223" t="s">
        <v>1744</v>
      </c>
    </row>
    <row r="4225" spans="1:1" x14ac:dyDescent="0.25">
      <c r="A4225" t="s">
        <v>1737</v>
      </c>
    </row>
    <row r="4226" spans="1:1" x14ac:dyDescent="0.25">
      <c r="A4226" t="s">
        <v>1738</v>
      </c>
    </row>
    <row r="4227" spans="1:1" x14ac:dyDescent="0.25">
      <c r="A4227" t="s">
        <v>2965</v>
      </c>
    </row>
    <row r="4228" spans="1:1" x14ac:dyDescent="0.25">
      <c r="A4228" t="s">
        <v>2966</v>
      </c>
    </row>
    <row r="4229" spans="1:1" x14ac:dyDescent="0.25">
      <c r="A4229" t="s">
        <v>2376</v>
      </c>
    </row>
    <row r="4230" spans="1:1" x14ac:dyDescent="0.25">
      <c r="A4230" t="s">
        <v>1753</v>
      </c>
    </row>
    <row r="4231" spans="1:1" x14ac:dyDescent="0.25">
      <c r="A4231" t="s">
        <v>1741</v>
      </c>
    </row>
    <row r="4232" spans="1:1" x14ac:dyDescent="0.25">
      <c r="A4232" t="s">
        <v>1762</v>
      </c>
    </row>
    <row r="4233" spans="1:1" x14ac:dyDescent="0.25">
      <c r="A4233" t="s">
        <v>2967</v>
      </c>
    </row>
    <row r="4234" spans="1:1" x14ac:dyDescent="0.25">
      <c r="A4234" t="s">
        <v>1744</v>
      </c>
    </row>
    <row r="4236" spans="1:1" x14ac:dyDescent="0.25">
      <c r="A4236" t="s">
        <v>4722</v>
      </c>
    </row>
    <row r="4237" spans="1:1" x14ac:dyDescent="0.25">
      <c r="A4237" t="s">
        <v>4723</v>
      </c>
    </row>
    <row r="4238" spans="1:1" x14ac:dyDescent="0.25">
      <c r="A4238" t="s">
        <v>5596</v>
      </c>
    </row>
    <row r="4239" spans="1:1" x14ac:dyDescent="0.25">
      <c r="A4239" t="s">
        <v>5597</v>
      </c>
    </row>
    <row r="4240" spans="1:1" x14ac:dyDescent="0.25">
      <c r="A4240" t="s">
        <v>4726</v>
      </c>
    </row>
    <row r="4241" spans="1:1" x14ac:dyDescent="0.25">
      <c r="A4241" t="s">
        <v>4727</v>
      </c>
    </row>
    <row r="4242" spans="1:1" x14ac:dyDescent="0.25">
      <c r="A4242" t="s">
        <v>4728</v>
      </c>
    </row>
    <row r="4243" spans="1:1" x14ac:dyDescent="0.25">
      <c r="A4243" t="s">
        <v>4729</v>
      </c>
    </row>
    <row r="4244" spans="1:1" x14ac:dyDescent="0.25">
      <c r="A4244" t="s">
        <v>5598</v>
      </c>
    </row>
    <row r="4245" spans="1:1" x14ac:dyDescent="0.25">
      <c r="A4245" t="s">
        <v>4731</v>
      </c>
    </row>
    <row r="4247" spans="1:1" x14ac:dyDescent="0.25">
      <c r="A4247" t="s">
        <v>4722</v>
      </c>
    </row>
    <row r="4248" spans="1:1" x14ac:dyDescent="0.25">
      <c r="A4248" t="s">
        <v>4723</v>
      </c>
    </row>
    <row r="4249" spans="1:1" x14ac:dyDescent="0.25">
      <c r="A4249" t="s">
        <v>5599</v>
      </c>
    </row>
    <row r="4250" spans="1:1" x14ac:dyDescent="0.25">
      <c r="A4250" t="s">
        <v>5600</v>
      </c>
    </row>
    <row r="4251" spans="1:1" x14ac:dyDescent="0.25">
      <c r="A4251" t="s">
        <v>5601</v>
      </c>
    </row>
    <row r="4252" spans="1:1" x14ac:dyDescent="0.25">
      <c r="A4252" t="s">
        <v>4727</v>
      </c>
    </row>
    <row r="4253" spans="1:1" x14ac:dyDescent="0.25">
      <c r="A4253" t="s">
        <v>4728</v>
      </c>
    </row>
    <row r="4254" spans="1:1" x14ac:dyDescent="0.25">
      <c r="A4254" t="s">
        <v>4900</v>
      </c>
    </row>
    <row r="4255" spans="1:1" x14ac:dyDescent="0.25">
      <c r="A4255" t="s">
        <v>5602</v>
      </c>
    </row>
    <row r="4256" spans="1:1" x14ac:dyDescent="0.25">
      <c r="A4256" t="s">
        <v>4731</v>
      </c>
    </row>
    <row r="4258" spans="1:1" x14ac:dyDescent="0.25">
      <c r="A4258" t="s">
        <v>4722</v>
      </c>
    </row>
    <row r="4259" spans="1:1" x14ac:dyDescent="0.25">
      <c r="A4259" t="s">
        <v>4723</v>
      </c>
    </row>
    <row r="4260" spans="1:1" x14ac:dyDescent="0.25">
      <c r="A4260" t="s">
        <v>5603</v>
      </c>
    </row>
    <row r="4261" spans="1:1" x14ac:dyDescent="0.25">
      <c r="A4261" t="s">
        <v>5604</v>
      </c>
    </row>
    <row r="4262" spans="1:1" x14ac:dyDescent="0.25">
      <c r="A4262" t="s">
        <v>5131</v>
      </c>
    </row>
    <row r="4263" spans="1:1" x14ac:dyDescent="0.25">
      <c r="A4263" t="s">
        <v>4727</v>
      </c>
    </row>
    <row r="4264" spans="1:1" x14ac:dyDescent="0.25">
      <c r="A4264" t="s">
        <v>4728</v>
      </c>
    </row>
    <row r="4265" spans="1:1" x14ac:dyDescent="0.25">
      <c r="A4265" t="s">
        <v>4792</v>
      </c>
    </row>
    <row r="4266" spans="1:1" x14ac:dyDescent="0.25">
      <c r="A4266" t="s">
        <v>5605</v>
      </c>
    </row>
    <row r="4267" spans="1:1" x14ac:dyDescent="0.25">
      <c r="A4267" t="s">
        <v>4731</v>
      </c>
    </row>
    <row r="4269" spans="1:1" x14ac:dyDescent="0.25">
      <c r="A4269" t="s">
        <v>4722</v>
      </c>
    </row>
    <row r="4270" spans="1:1" x14ac:dyDescent="0.25">
      <c r="A4270" t="s">
        <v>4723</v>
      </c>
    </row>
    <row r="4271" spans="1:1" x14ac:dyDescent="0.25">
      <c r="A4271" t="s">
        <v>5606</v>
      </c>
    </row>
    <row r="4272" spans="1:1" x14ac:dyDescent="0.25">
      <c r="A4272" t="s">
        <v>5607</v>
      </c>
    </row>
    <row r="4273" spans="1:1" x14ac:dyDescent="0.25">
      <c r="A4273" t="s">
        <v>5608</v>
      </c>
    </row>
    <row r="4274" spans="1:1" x14ac:dyDescent="0.25">
      <c r="A4274" t="s">
        <v>4727</v>
      </c>
    </row>
    <row r="4275" spans="1:1" x14ac:dyDescent="0.25">
      <c r="A4275" t="s">
        <v>4728</v>
      </c>
    </row>
    <row r="4276" spans="1:1" x14ac:dyDescent="0.25">
      <c r="A4276" t="s">
        <v>4729</v>
      </c>
    </row>
    <row r="4277" spans="1:1" x14ac:dyDescent="0.25">
      <c r="A4277" t="s">
        <v>5609</v>
      </c>
    </row>
    <row r="4278" spans="1:1" x14ac:dyDescent="0.25">
      <c r="A4278" t="s">
        <v>4731</v>
      </c>
    </row>
    <row r="4280" spans="1:1" x14ac:dyDescent="0.25">
      <c r="A4280" t="s">
        <v>1737</v>
      </c>
    </row>
    <row r="4281" spans="1:1" x14ac:dyDescent="0.25">
      <c r="A4281" t="s">
        <v>1738</v>
      </c>
    </row>
    <row r="4282" spans="1:1" x14ac:dyDescent="0.25">
      <c r="A4282" t="s">
        <v>2981</v>
      </c>
    </row>
    <row r="4283" spans="1:1" x14ac:dyDescent="0.25">
      <c r="A4283" t="s">
        <v>2982</v>
      </c>
    </row>
    <row r="4284" spans="1:1" x14ac:dyDescent="0.25">
      <c r="A4284" t="s">
        <v>2515</v>
      </c>
    </row>
    <row r="4285" spans="1:1" x14ac:dyDescent="0.25">
      <c r="A4285" t="s">
        <v>1753</v>
      </c>
    </row>
    <row r="4286" spans="1:1" x14ac:dyDescent="0.25">
      <c r="A4286" t="s">
        <v>1741</v>
      </c>
    </row>
    <row r="4287" spans="1:1" x14ac:dyDescent="0.25">
      <c r="A4287" t="s">
        <v>1762</v>
      </c>
    </row>
    <row r="4288" spans="1:1" x14ac:dyDescent="0.25">
      <c r="A4288" t="s">
        <v>2983</v>
      </c>
    </row>
    <row r="4289" spans="1:1" x14ac:dyDescent="0.25">
      <c r="A4289" t="s">
        <v>1744</v>
      </c>
    </row>
    <row r="4291" spans="1:1" x14ac:dyDescent="0.25">
      <c r="A4291" t="s">
        <v>1737</v>
      </c>
    </row>
    <row r="4292" spans="1:1" x14ac:dyDescent="0.25">
      <c r="A4292" t="s">
        <v>1738</v>
      </c>
    </row>
    <row r="4293" spans="1:1" x14ac:dyDescent="0.25">
      <c r="A4293" t="s">
        <v>2984</v>
      </c>
    </row>
    <row r="4294" spans="1:1" x14ac:dyDescent="0.25">
      <c r="A4294" t="s">
        <v>2985</v>
      </c>
    </row>
    <row r="4295" spans="1:1" x14ac:dyDescent="0.25">
      <c r="A4295" t="s">
        <v>2973</v>
      </c>
    </row>
    <row r="4296" spans="1:1" x14ac:dyDescent="0.25">
      <c r="A4296" t="s">
        <v>1753</v>
      </c>
    </row>
    <row r="4297" spans="1:1" x14ac:dyDescent="0.25">
      <c r="A4297" t="s">
        <v>1741</v>
      </c>
    </row>
    <row r="4298" spans="1:1" x14ac:dyDescent="0.25">
      <c r="A4298" t="s">
        <v>1762</v>
      </c>
    </row>
    <row r="4299" spans="1:1" x14ac:dyDescent="0.25">
      <c r="A4299" t="s">
        <v>2986</v>
      </c>
    </row>
    <row r="4300" spans="1:1" x14ac:dyDescent="0.25">
      <c r="A4300" t="s">
        <v>1744</v>
      </c>
    </row>
    <row r="4302" spans="1:1" x14ac:dyDescent="0.25">
      <c r="A4302" t="s">
        <v>4722</v>
      </c>
    </row>
    <row r="4303" spans="1:1" x14ac:dyDescent="0.25">
      <c r="A4303" t="s">
        <v>4723</v>
      </c>
    </row>
    <row r="4304" spans="1:1" x14ac:dyDescent="0.25">
      <c r="A4304" t="s">
        <v>5610</v>
      </c>
    </row>
    <row r="4305" spans="1:1" x14ac:dyDescent="0.25">
      <c r="A4305" t="s">
        <v>5611</v>
      </c>
    </row>
    <row r="4306" spans="1:1" x14ac:dyDescent="0.25">
      <c r="A4306" t="s">
        <v>5601</v>
      </c>
    </row>
    <row r="4307" spans="1:1" x14ac:dyDescent="0.25">
      <c r="A4307" t="s">
        <v>4727</v>
      </c>
    </row>
    <row r="4308" spans="1:1" x14ac:dyDescent="0.25">
      <c r="A4308" t="s">
        <v>4728</v>
      </c>
    </row>
    <row r="4309" spans="1:1" x14ac:dyDescent="0.25">
      <c r="A4309" t="s">
        <v>4729</v>
      </c>
    </row>
    <row r="4310" spans="1:1" x14ac:dyDescent="0.25">
      <c r="A4310" t="s">
        <v>5612</v>
      </c>
    </row>
    <row r="4311" spans="1:1" x14ac:dyDescent="0.25">
      <c r="A4311" t="s">
        <v>4731</v>
      </c>
    </row>
    <row r="4313" spans="1:1" x14ac:dyDescent="0.25">
      <c r="A4313" t="s">
        <v>1737</v>
      </c>
    </row>
    <row r="4314" spans="1:1" x14ac:dyDescent="0.25">
      <c r="A4314" t="s">
        <v>1738</v>
      </c>
    </row>
    <row r="4315" spans="1:1" x14ac:dyDescent="0.25">
      <c r="A4315" t="s">
        <v>2990</v>
      </c>
    </row>
    <row r="4316" spans="1:1" x14ac:dyDescent="0.25">
      <c r="A4316" t="s">
        <v>2991</v>
      </c>
    </row>
    <row r="4317" spans="1:1" x14ac:dyDescent="0.25">
      <c r="A4317" t="s">
        <v>2992</v>
      </c>
    </row>
    <row r="4318" spans="1:1" x14ac:dyDescent="0.25">
      <c r="A4318" t="s">
        <v>1753</v>
      </c>
    </row>
    <row r="4319" spans="1:1" x14ac:dyDescent="0.25">
      <c r="A4319" t="s">
        <v>1741</v>
      </c>
    </row>
    <row r="4320" spans="1:1" x14ac:dyDescent="0.25">
      <c r="A4320" t="s">
        <v>1762</v>
      </c>
    </row>
    <row r="4321" spans="1:1" x14ac:dyDescent="0.25">
      <c r="A4321" t="s">
        <v>2993</v>
      </c>
    </row>
    <row r="4322" spans="1:1" x14ac:dyDescent="0.25">
      <c r="A4322" t="s">
        <v>1744</v>
      </c>
    </row>
    <row r="4324" spans="1:1" x14ac:dyDescent="0.25">
      <c r="A4324" t="s">
        <v>4722</v>
      </c>
    </row>
    <row r="4325" spans="1:1" x14ac:dyDescent="0.25">
      <c r="A4325" t="s">
        <v>4723</v>
      </c>
    </row>
    <row r="4326" spans="1:1" x14ac:dyDescent="0.25">
      <c r="A4326" t="s">
        <v>5613</v>
      </c>
    </row>
    <row r="4327" spans="1:1" x14ac:dyDescent="0.25">
      <c r="A4327" t="s">
        <v>5614</v>
      </c>
    </row>
    <row r="4328" spans="1:1" x14ac:dyDescent="0.25">
      <c r="A4328" t="s">
        <v>4734</v>
      </c>
    </row>
    <row r="4329" spans="1:1" x14ac:dyDescent="0.25">
      <c r="A4329" t="s">
        <v>4727</v>
      </c>
    </row>
    <row r="4330" spans="1:1" x14ac:dyDescent="0.25">
      <c r="A4330" t="s">
        <v>4728</v>
      </c>
    </row>
    <row r="4331" spans="1:1" x14ac:dyDescent="0.25">
      <c r="A4331" t="s">
        <v>4729</v>
      </c>
    </row>
    <row r="4332" spans="1:1" x14ac:dyDescent="0.25">
      <c r="A4332" t="s">
        <v>5615</v>
      </c>
    </row>
    <row r="4333" spans="1:1" x14ac:dyDescent="0.25">
      <c r="A4333" t="s">
        <v>4731</v>
      </c>
    </row>
    <row r="4335" spans="1:1" x14ac:dyDescent="0.25">
      <c r="A4335" t="s">
        <v>1737</v>
      </c>
    </row>
    <row r="4336" spans="1:1" x14ac:dyDescent="0.25">
      <c r="A4336" t="s">
        <v>1738</v>
      </c>
    </row>
    <row r="4337" spans="1:1" x14ac:dyDescent="0.25">
      <c r="A4337" t="s">
        <v>2997</v>
      </c>
    </row>
    <row r="4338" spans="1:1" x14ac:dyDescent="0.25">
      <c r="A4338" t="s">
        <v>2998</v>
      </c>
    </row>
    <row r="4339" spans="1:1" x14ac:dyDescent="0.25">
      <c r="A4339" t="s">
        <v>2041</v>
      </c>
    </row>
    <row r="4340" spans="1:1" x14ac:dyDescent="0.25">
      <c r="A4340" t="s">
        <v>1753</v>
      </c>
    </row>
    <row r="4341" spans="1:1" x14ac:dyDescent="0.25">
      <c r="A4341" t="s">
        <v>1741</v>
      </c>
    </row>
    <row r="4342" spans="1:1" x14ac:dyDescent="0.25">
      <c r="A4342" t="s">
        <v>1887</v>
      </c>
    </row>
    <row r="4343" spans="1:1" x14ac:dyDescent="0.25">
      <c r="A4343" t="s">
        <v>2999</v>
      </c>
    </row>
    <row r="4344" spans="1:1" x14ac:dyDescent="0.25">
      <c r="A4344" t="s">
        <v>1744</v>
      </c>
    </row>
    <row r="4346" spans="1:1" x14ac:dyDescent="0.25">
      <c r="A4346" t="s">
        <v>1737</v>
      </c>
    </row>
    <row r="4347" spans="1:1" x14ac:dyDescent="0.25">
      <c r="A4347" t="s">
        <v>1738</v>
      </c>
    </row>
    <row r="4348" spans="1:1" x14ac:dyDescent="0.25">
      <c r="A4348" t="s">
        <v>3000</v>
      </c>
    </row>
    <row r="4349" spans="1:1" x14ac:dyDescent="0.25">
      <c r="A4349" t="s">
        <v>3001</v>
      </c>
    </row>
    <row r="4350" spans="1:1" x14ac:dyDescent="0.25">
      <c r="A4350" t="s">
        <v>2209</v>
      </c>
    </row>
    <row r="4351" spans="1:1" x14ac:dyDescent="0.25">
      <c r="A4351" t="s">
        <v>1753</v>
      </c>
    </row>
    <row r="4352" spans="1:1" x14ac:dyDescent="0.25">
      <c r="A4352" t="s">
        <v>1741</v>
      </c>
    </row>
    <row r="4353" spans="1:1" x14ac:dyDescent="0.25">
      <c r="A4353" t="s">
        <v>1762</v>
      </c>
    </row>
    <row r="4354" spans="1:1" x14ac:dyDescent="0.25">
      <c r="A4354" t="s">
        <v>3002</v>
      </c>
    </row>
    <row r="4355" spans="1:1" x14ac:dyDescent="0.25">
      <c r="A4355" t="s">
        <v>1744</v>
      </c>
    </row>
    <row r="4357" spans="1:1" x14ac:dyDescent="0.25">
      <c r="A4357" t="s">
        <v>1737</v>
      </c>
    </row>
    <row r="4358" spans="1:1" x14ac:dyDescent="0.25">
      <c r="A4358" t="s">
        <v>1738</v>
      </c>
    </row>
    <row r="4359" spans="1:1" x14ac:dyDescent="0.25">
      <c r="A4359" t="s">
        <v>3003</v>
      </c>
    </row>
    <row r="4360" spans="1:1" x14ac:dyDescent="0.25">
      <c r="A4360" t="s">
        <v>3004</v>
      </c>
    </row>
    <row r="4361" spans="1:1" x14ac:dyDescent="0.25">
      <c r="A4361" t="s">
        <v>2209</v>
      </c>
    </row>
    <row r="4362" spans="1:1" x14ac:dyDescent="0.25">
      <c r="A4362" t="s">
        <v>1753</v>
      </c>
    </row>
    <row r="4363" spans="1:1" x14ac:dyDescent="0.25">
      <c r="A4363" t="s">
        <v>1741</v>
      </c>
    </row>
    <row r="4364" spans="1:1" x14ac:dyDescent="0.25">
      <c r="A4364" t="s">
        <v>1762</v>
      </c>
    </row>
    <row r="4365" spans="1:1" x14ac:dyDescent="0.25">
      <c r="A4365" t="s">
        <v>3005</v>
      </c>
    </row>
    <row r="4366" spans="1:1" x14ac:dyDescent="0.25">
      <c r="A4366" t="s">
        <v>1744</v>
      </c>
    </row>
    <row r="4368" spans="1:1" x14ac:dyDescent="0.25">
      <c r="A4368" t="s">
        <v>1737</v>
      </c>
    </row>
    <row r="4369" spans="1:1" x14ac:dyDescent="0.25">
      <c r="A4369" t="s">
        <v>1738</v>
      </c>
    </row>
    <row r="4370" spans="1:1" x14ac:dyDescent="0.25">
      <c r="A4370" t="s">
        <v>3006</v>
      </c>
    </row>
    <row r="4371" spans="1:1" x14ac:dyDescent="0.25">
      <c r="A4371" t="s">
        <v>3007</v>
      </c>
    </row>
    <row r="4372" spans="1:1" x14ac:dyDescent="0.25">
      <c r="A4372" t="s">
        <v>2209</v>
      </c>
    </row>
    <row r="4373" spans="1:1" x14ac:dyDescent="0.25">
      <c r="A4373" t="s">
        <v>1753</v>
      </c>
    </row>
    <row r="4374" spans="1:1" x14ac:dyDescent="0.25">
      <c r="A4374" t="s">
        <v>1741</v>
      </c>
    </row>
    <row r="4375" spans="1:1" x14ac:dyDescent="0.25">
      <c r="A4375" t="s">
        <v>1762</v>
      </c>
    </row>
    <row r="4376" spans="1:1" x14ac:dyDescent="0.25">
      <c r="A4376" t="s">
        <v>3008</v>
      </c>
    </row>
    <row r="4377" spans="1:1" x14ac:dyDescent="0.25">
      <c r="A4377" t="s">
        <v>1744</v>
      </c>
    </row>
    <row r="4379" spans="1:1" x14ac:dyDescent="0.25">
      <c r="A4379" t="s">
        <v>1737</v>
      </c>
    </row>
    <row r="4380" spans="1:1" x14ac:dyDescent="0.25">
      <c r="A4380" t="s">
        <v>1738</v>
      </c>
    </row>
    <row r="4381" spans="1:1" x14ac:dyDescent="0.25">
      <c r="A4381" t="s">
        <v>3009</v>
      </c>
    </row>
    <row r="4382" spans="1:1" x14ac:dyDescent="0.25">
      <c r="A4382" t="s">
        <v>3010</v>
      </c>
    </row>
    <row r="4383" spans="1:1" x14ac:dyDescent="0.25">
      <c r="A4383" t="s">
        <v>1986</v>
      </c>
    </row>
    <row r="4384" spans="1:1" x14ac:dyDescent="0.25">
      <c r="A4384" t="s">
        <v>1753</v>
      </c>
    </row>
    <row r="4385" spans="1:1" x14ac:dyDescent="0.25">
      <c r="A4385" t="s">
        <v>1741</v>
      </c>
    </row>
    <row r="4386" spans="1:1" x14ac:dyDescent="0.25">
      <c r="A4386" t="s">
        <v>1887</v>
      </c>
    </row>
    <row r="4387" spans="1:1" x14ac:dyDescent="0.25">
      <c r="A4387" t="s">
        <v>3011</v>
      </c>
    </row>
    <row r="4388" spans="1:1" x14ac:dyDescent="0.25">
      <c r="A4388" t="s">
        <v>1744</v>
      </c>
    </row>
    <row r="4390" spans="1:1" x14ac:dyDescent="0.25">
      <c r="A4390" t="s">
        <v>1737</v>
      </c>
    </row>
    <row r="4391" spans="1:1" x14ac:dyDescent="0.25">
      <c r="A4391" t="s">
        <v>1738</v>
      </c>
    </row>
    <row r="4392" spans="1:1" x14ac:dyDescent="0.25">
      <c r="A4392" t="s">
        <v>3012</v>
      </c>
    </row>
    <row r="4393" spans="1:1" x14ac:dyDescent="0.25">
      <c r="A4393" t="s">
        <v>3013</v>
      </c>
    </row>
    <row r="4394" spans="1:1" x14ac:dyDescent="0.25">
      <c r="A4394" t="s">
        <v>1752</v>
      </c>
    </row>
    <row r="4395" spans="1:1" x14ac:dyDescent="0.25">
      <c r="A4395" t="s">
        <v>1753</v>
      </c>
    </row>
    <row r="4396" spans="1:1" x14ac:dyDescent="0.25">
      <c r="A4396" t="s">
        <v>1740</v>
      </c>
    </row>
    <row r="4397" spans="1:1" x14ac:dyDescent="0.25">
      <c r="A4397" t="s">
        <v>1741</v>
      </c>
    </row>
    <row r="4398" spans="1:1" x14ac:dyDescent="0.25">
      <c r="A4398" t="s">
        <v>3014</v>
      </c>
    </row>
    <row r="4399" spans="1:1" x14ac:dyDescent="0.25">
      <c r="A4399" t="s">
        <v>3015</v>
      </c>
    </row>
    <row r="4400" spans="1:1" x14ac:dyDescent="0.25">
      <c r="A4400" t="s">
        <v>1744</v>
      </c>
    </row>
    <row r="4402" spans="1:1" x14ac:dyDescent="0.25">
      <c r="A4402" t="s">
        <v>1737</v>
      </c>
    </row>
    <row r="4403" spans="1:1" x14ac:dyDescent="0.25">
      <c r="A4403" t="s">
        <v>1738</v>
      </c>
    </row>
    <row r="4404" spans="1:1" x14ac:dyDescent="0.25">
      <c r="A4404" t="s">
        <v>3016</v>
      </c>
    </row>
    <row r="4405" spans="1:1" x14ac:dyDescent="0.25">
      <c r="A4405" t="s">
        <v>3017</v>
      </c>
    </row>
    <row r="4406" spans="1:1" x14ac:dyDescent="0.25">
      <c r="A4406" t="s">
        <v>2209</v>
      </c>
    </row>
    <row r="4407" spans="1:1" x14ac:dyDescent="0.25">
      <c r="A4407" t="s">
        <v>1753</v>
      </c>
    </row>
    <row r="4408" spans="1:1" x14ac:dyDescent="0.25">
      <c r="A4408" t="s">
        <v>1741</v>
      </c>
    </row>
    <row r="4409" spans="1:1" x14ac:dyDescent="0.25">
      <c r="A4409" t="s">
        <v>1762</v>
      </c>
    </row>
    <row r="4410" spans="1:1" x14ac:dyDescent="0.25">
      <c r="A4410" t="s">
        <v>3018</v>
      </c>
    </row>
    <row r="4411" spans="1:1" x14ac:dyDescent="0.25">
      <c r="A4411" t="s">
        <v>1744</v>
      </c>
    </row>
    <row r="4413" spans="1:1" x14ac:dyDescent="0.25">
      <c r="A4413" t="s">
        <v>4722</v>
      </c>
    </row>
    <row r="4414" spans="1:1" x14ac:dyDescent="0.25">
      <c r="A4414" t="s">
        <v>4723</v>
      </c>
    </row>
    <row r="4415" spans="1:1" x14ac:dyDescent="0.25">
      <c r="A4415" t="s">
        <v>5616</v>
      </c>
    </row>
    <row r="4416" spans="1:1" x14ac:dyDescent="0.25">
      <c r="A4416" t="s">
        <v>5617</v>
      </c>
    </row>
    <row r="4417" spans="1:1" x14ac:dyDescent="0.25">
      <c r="A4417" t="s">
        <v>5225</v>
      </c>
    </row>
    <row r="4418" spans="1:1" x14ac:dyDescent="0.25">
      <c r="A4418" t="s">
        <v>4727</v>
      </c>
    </row>
    <row r="4419" spans="1:1" x14ac:dyDescent="0.25">
      <c r="A4419" t="s">
        <v>4728</v>
      </c>
    </row>
    <row r="4420" spans="1:1" x14ac:dyDescent="0.25">
      <c r="A4420" t="s">
        <v>4729</v>
      </c>
    </row>
    <row r="4421" spans="1:1" x14ac:dyDescent="0.25">
      <c r="A4421" t="s">
        <v>5618</v>
      </c>
    </row>
    <row r="4422" spans="1:1" x14ac:dyDescent="0.25">
      <c r="A4422" t="s">
        <v>4731</v>
      </c>
    </row>
    <row r="4424" spans="1:1" x14ac:dyDescent="0.25">
      <c r="A4424" t="s">
        <v>4722</v>
      </c>
    </row>
    <row r="4425" spans="1:1" x14ac:dyDescent="0.25">
      <c r="A4425" t="s">
        <v>4723</v>
      </c>
    </row>
    <row r="4426" spans="1:1" x14ac:dyDescent="0.25">
      <c r="A4426" t="s">
        <v>5619</v>
      </c>
    </row>
    <row r="4427" spans="1:1" x14ac:dyDescent="0.25">
      <c r="A4427" t="s">
        <v>5620</v>
      </c>
    </row>
    <row r="4428" spans="1:1" x14ac:dyDescent="0.25">
      <c r="A4428" t="s">
        <v>5621</v>
      </c>
    </row>
    <row r="4429" spans="1:1" x14ac:dyDescent="0.25">
      <c r="A4429" t="s">
        <v>4727</v>
      </c>
    </row>
    <row r="4430" spans="1:1" x14ac:dyDescent="0.25">
      <c r="A4430" t="s">
        <v>4742</v>
      </c>
    </row>
    <row r="4431" spans="1:1" x14ac:dyDescent="0.25">
      <c r="A4431" t="s">
        <v>4728</v>
      </c>
    </row>
    <row r="4432" spans="1:1" x14ac:dyDescent="0.25">
      <c r="A4432" t="s">
        <v>5622</v>
      </c>
    </row>
    <row r="4433" spans="1:1" x14ac:dyDescent="0.25">
      <c r="A4433" t="s">
        <v>5623</v>
      </c>
    </row>
    <row r="4434" spans="1:1" x14ac:dyDescent="0.25">
      <c r="A4434" t="s">
        <v>4731</v>
      </c>
    </row>
    <row r="4436" spans="1:1" x14ac:dyDescent="0.25">
      <c r="A4436" t="s">
        <v>4722</v>
      </c>
    </row>
    <row r="4437" spans="1:1" x14ac:dyDescent="0.25">
      <c r="A4437" t="s">
        <v>4723</v>
      </c>
    </row>
    <row r="4438" spans="1:1" x14ac:dyDescent="0.25">
      <c r="A4438" t="s">
        <v>5624</v>
      </c>
    </row>
    <row r="4439" spans="1:1" x14ac:dyDescent="0.25">
      <c r="A4439" t="s">
        <v>5625</v>
      </c>
    </row>
    <row r="4440" spans="1:1" x14ac:dyDescent="0.25">
      <c r="A4440" t="s">
        <v>5626</v>
      </c>
    </row>
    <row r="4441" spans="1:1" x14ac:dyDescent="0.25">
      <c r="A4441" t="s">
        <v>4727</v>
      </c>
    </row>
    <row r="4442" spans="1:1" x14ac:dyDescent="0.25">
      <c r="A4442" t="s">
        <v>4742</v>
      </c>
    </row>
    <row r="4443" spans="1:1" x14ac:dyDescent="0.25">
      <c r="A4443" t="s">
        <v>4728</v>
      </c>
    </row>
    <row r="4444" spans="1:1" x14ac:dyDescent="0.25">
      <c r="A4444" t="s">
        <v>5627</v>
      </c>
    </row>
    <row r="4445" spans="1:1" x14ac:dyDescent="0.25">
      <c r="A4445" t="s">
        <v>5628</v>
      </c>
    </row>
    <row r="4446" spans="1:1" x14ac:dyDescent="0.25">
      <c r="A4446" t="s">
        <v>4731</v>
      </c>
    </row>
    <row r="4448" spans="1:1" x14ac:dyDescent="0.25">
      <c r="A4448" t="s">
        <v>4722</v>
      </c>
    </row>
    <row r="4449" spans="1:1" x14ac:dyDescent="0.25">
      <c r="A4449" t="s">
        <v>4723</v>
      </c>
    </row>
    <row r="4450" spans="1:1" x14ac:dyDescent="0.25">
      <c r="A4450" t="s">
        <v>5629</v>
      </c>
    </row>
    <row r="4451" spans="1:1" x14ac:dyDescent="0.25">
      <c r="A4451" t="s">
        <v>5630</v>
      </c>
    </row>
    <row r="4452" spans="1:1" x14ac:dyDescent="0.25">
      <c r="A4452" t="s">
        <v>5626</v>
      </c>
    </row>
    <row r="4453" spans="1:1" x14ac:dyDescent="0.25">
      <c r="A4453" t="s">
        <v>4727</v>
      </c>
    </row>
    <row r="4454" spans="1:1" x14ac:dyDescent="0.25">
      <c r="A4454" t="s">
        <v>4742</v>
      </c>
    </row>
    <row r="4455" spans="1:1" x14ac:dyDescent="0.25">
      <c r="A4455" t="s">
        <v>4728</v>
      </c>
    </row>
    <row r="4456" spans="1:1" x14ac:dyDescent="0.25">
      <c r="A4456" t="s">
        <v>5631</v>
      </c>
    </row>
    <row r="4457" spans="1:1" x14ac:dyDescent="0.25">
      <c r="A4457" t="s">
        <v>5632</v>
      </c>
    </row>
    <row r="4458" spans="1:1" x14ac:dyDescent="0.25">
      <c r="A4458" t="s">
        <v>4731</v>
      </c>
    </row>
    <row r="4460" spans="1:1" x14ac:dyDescent="0.25">
      <c r="A4460" t="s">
        <v>1737</v>
      </c>
    </row>
    <row r="4461" spans="1:1" x14ac:dyDescent="0.25">
      <c r="A4461" t="s">
        <v>1738</v>
      </c>
    </row>
    <row r="4462" spans="1:1" x14ac:dyDescent="0.25">
      <c r="A4462" t="s">
        <v>3036</v>
      </c>
    </row>
    <row r="4463" spans="1:1" x14ac:dyDescent="0.25">
      <c r="A4463" t="s">
        <v>3037</v>
      </c>
    </row>
    <row r="4464" spans="1:1" x14ac:dyDescent="0.25">
      <c r="A4464" t="s">
        <v>1752</v>
      </c>
    </row>
    <row r="4465" spans="1:1" x14ac:dyDescent="0.25">
      <c r="A4465" t="s">
        <v>1753</v>
      </c>
    </row>
    <row r="4466" spans="1:1" x14ac:dyDescent="0.25">
      <c r="A4466" t="s">
        <v>1740</v>
      </c>
    </row>
    <row r="4467" spans="1:1" x14ac:dyDescent="0.25">
      <c r="A4467" t="s">
        <v>1741</v>
      </c>
    </row>
    <row r="4468" spans="1:1" x14ac:dyDescent="0.25">
      <c r="A4468" t="s">
        <v>3038</v>
      </c>
    </row>
    <row r="4469" spans="1:1" x14ac:dyDescent="0.25">
      <c r="A4469" t="s">
        <v>3039</v>
      </c>
    </row>
    <row r="4470" spans="1:1" x14ac:dyDescent="0.25">
      <c r="A4470" t="s">
        <v>1744</v>
      </c>
    </row>
    <row r="4472" spans="1:1" x14ac:dyDescent="0.25">
      <c r="A4472" t="s">
        <v>4722</v>
      </c>
    </row>
    <row r="4473" spans="1:1" x14ac:dyDescent="0.25">
      <c r="A4473" t="s">
        <v>4723</v>
      </c>
    </row>
    <row r="4474" spans="1:1" x14ac:dyDescent="0.25">
      <c r="A4474" t="s">
        <v>5633</v>
      </c>
    </row>
    <row r="4475" spans="1:1" x14ac:dyDescent="0.25">
      <c r="A4475" t="s">
        <v>5634</v>
      </c>
    </row>
    <row r="4476" spans="1:1" x14ac:dyDescent="0.25">
      <c r="A4476" t="s">
        <v>5621</v>
      </c>
    </row>
    <row r="4477" spans="1:1" x14ac:dyDescent="0.25">
      <c r="A4477" t="s">
        <v>4727</v>
      </c>
    </row>
    <row r="4478" spans="1:1" x14ac:dyDescent="0.25">
      <c r="A4478" t="s">
        <v>4742</v>
      </c>
    </row>
    <row r="4479" spans="1:1" x14ac:dyDescent="0.25">
      <c r="A4479" t="s">
        <v>4728</v>
      </c>
    </row>
    <row r="4480" spans="1:1" x14ac:dyDescent="0.25">
      <c r="A4480" t="s">
        <v>5635</v>
      </c>
    </row>
    <row r="4481" spans="1:1" x14ac:dyDescent="0.25">
      <c r="A4481" t="s">
        <v>5636</v>
      </c>
    </row>
    <row r="4482" spans="1:1" x14ac:dyDescent="0.25">
      <c r="A4482" t="s">
        <v>4731</v>
      </c>
    </row>
    <row r="4484" spans="1:1" x14ac:dyDescent="0.25">
      <c r="A4484" t="s">
        <v>1737</v>
      </c>
    </row>
    <row r="4485" spans="1:1" x14ac:dyDescent="0.25">
      <c r="A4485" t="s">
        <v>1738</v>
      </c>
    </row>
    <row r="4486" spans="1:1" x14ac:dyDescent="0.25">
      <c r="A4486" t="s">
        <v>3044</v>
      </c>
    </row>
    <row r="4487" spans="1:1" x14ac:dyDescent="0.25">
      <c r="A4487" t="s">
        <v>3045</v>
      </c>
    </row>
    <row r="4488" spans="1:1" x14ac:dyDescent="0.25">
      <c r="A4488" t="s">
        <v>2209</v>
      </c>
    </row>
    <row r="4489" spans="1:1" x14ac:dyDescent="0.25">
      <c r="A4489" t="s">
        <v>1753</v>
      </c>
    </row>
    <row r="4490" spans="1:1" x14ac:dyDescent="0.25">
      <c r="A4490" t="s">
        <v>1741</v>
      </c>
    </row>
    <row r="4491" spans="1:1" x14ac:dyDescent="0.25">
      <c r="A4491" t="s">
        <v>1762</v>
      </c>
    </row>
    <row r="4492" spans="1:1" x14ac:dyDescent="0.25">
      <c r="A4492" t="s">
        <v>3046</v>
      </c>
    </row>
    <row r="4493" spans="1:1" x14ac:dyDescent="0.25">
      <c r="A4493" t="s">
        <v>1744</v>
      </c>
    </row>
    <row r="4495" spans="1:1" x14ac:dyDescent="0.25">
      <c r="A4495" t="s">
        <v>1737</v>
      </c>
    </row>
    <row r="4496" spans="1:1" x14ac:dyDescent="0.25">
      <c r="A4496" t="s">
        <v>1738</v>
      </c>
    </row>
    <row r="4497" spans="1:1" x14ac:dyDescent="0.25">
      <c r="A4497" t="s">
        <v>3047</v>
      </c>
    </row>
    <row r="4498" spans="1:1" x14ac:dyDescent="0.25">
      <c r="A4498" t="s">
        <v>3048</v>
      </c>
    </row>
    <row r="4499" spans="1:1" x14ac:dyDescent="0.25">
      <c r="A4499" t="s">
        <v>2209</v>
      </c>
    </row>
    <row r="4500" spans="1:1" x14ac:dyDescent="0.25">
      <c r="A4500" t="s">
        <v>1753</v>
      </c>
    </row>
    <row r="4501" spans="1:1" x14ac:dyDescent="0.25">
      <c r="A4501" t="s">
        <v>1741</v>
      </c>
    </row>
    <row r="4502" spans="1:1" x14ac:dyDescent="0.25">
      <c r="A4502" t="s">
        <v>1887</v>
      </c>
    </row>
    <row r="4503" spans="1:1" x14ac:dyDescent="0.25">
      <c r="A4503" t="s">
        <v>3049</v>
      </c>
    </row>
    <row r="4504" spans="1:1" x14ac:dyDescent="0.25">
      <c r="A4504" t="s">
        <v>1744</v>
      </c>
    </row>
    <row r="4506" spans="1:1" x14ac:dyDescent="0.25">
      <c r="A4506" t="s">
        <v>4722</v>
      </c>
    </row>
    <row r="4507" spans="1:1" x14ac:dyDescent="0.25">
      <c r="A4507" t="s">
        <v>4723</v>
      </c>
    </row>
    <row r="4508" spans="1:1" x14ac:dyDescent="0.25">
      <c r="A4508" t="s">
        <v>5637</v>
      </c>
    </row>
    <row r="4509" spans="1:1" x14ac:dyDescent="0.25">
      <c r="A4509" t="s">
        <v>5638</v>
      </c>
    </row>
    <row r="4510" spans="1:1" x14ac:dyDescent="0.25">
      <c r="A4510" t="s">
        <v>5188</v>
      </c>
    </row>
    <row r="4511" spans="1:1" x14ac:dyDescent="0.25">
      <c r="A4511" t="s">
        <v>4727</v>
      </c>
    </row>
    <row r="4512" spans="1:1" x14ac:dyDescent="0.25">
      <c r="A4512" t="s">
        <v>4742</v>
      </c>
    </row>
    <row r="4513" spans="1:1" x14ac:dyDescent="0.25">
      <c r="A4513" t="s">
        <v>4728</v>
      </c>
    </row>
    <row r="4514" spans="1:1" x14ac:dyDescent="0.25">
      <c r="A4514" t="s">
        <v>5639</v>
      </c>
    </row>
    <row r="4515" spans="1:1" x14ac:dyDescent="0.25">
      <c r="A4515" t="s">
        <v>5640</v>
      </c>
    </row>
    <row r="4516" spans="1:1" x14ac:dyDescent="0.25">
      <c r="A4516" t="s">
        <v>4731</v>
      </c>
    </row>
    <row r="4518" spans="1:1" x14ac:dyDescent="0.25">
      <c r="A4518" t="s">
        <v>1737</v>
      </c>
    </row>
    <row r="4519" spans="1:1" x14ac:dyDescent="0.25">
      <c r="A4519" t="s">
        <v>1738</v>
      </c>
    </row>
    <row r="4520" spans="1:1" x14ac:dyDescent="0.25">
      <c r="A4520" t="s">
        <v>3054</v>
      </c>
    </row>
    <row r="4521" spans="1:1" x14ac:dyDescent="0.25">
      <c r="A4521" t="s">
        <v>3055</v>
      </c>
    </row>
    <row r="4522" spans="1:1" x14ac:dyDescent="0.25">
      <c r="A4522" t="s">
        <v>2209</v>
      </c>
    </row>
    <row r="4523" spans="1:1" x14ac:dyDescent="0.25">
      <c r="A4523" t="s">
        <v>1753</v>
      </c>
    </row>
    <row r="4524" spans="1:1" x14ac:dyDescent="0.25">
      <c r="A4524" t="s">
        <v>1741</v>
      </c>
    </row>
    <row r="4525" spans="1:1" x14ac:dyDescent="0.25">
      <c r="A4525" t="s">
        <v>1762</v>
      </c>
    </row>
    <row r="4526" spans="1:1" x14ac:dyDescent="0.25">
      <c r="A4526" t="s">
        <v>3056</v>
      </c>
    </row>
    <row r="4527" spans="1:1" x14ac:dyDescent="0.25">
      <c r="A4527" t="s">
        <v>1744</v>
      </c>
    </row>
    <row r="4529" spans="1:1" x14ac:dyDescent="0.25">
      <c r="A4529" t="s">
        <v>1737</v>
      </c>
    </row>
    <row r="4530" spans="1:1" x14ac:dyDescent="0.25">
      <c r="A4530" t="s">
        <v>1738</v>
      </c>
    </row>
    <row r="4531" spans="1:1" x14ac:dyDescent="0.25">
      <c r="A4531" t="s">
        <v>3057</v>
      </c>
    </row>
    <row r="4532" spans="1:1" x14ac:dyDescent="0.25">
      <c r="A4532" t="s">
        <v>3058</v>
      </c>
    </row>
    <row r="4533" spans="1:1" x14ac:dyDescent="0.25">
      <c r="A4533" t="s">
        <v>2937</v>
      </c>
    </row>
    <row r="4534" spans="1:1" x14ac:dyDescent="0.25">
      <c r="A4534" t="s">
        <v>1753</v>
      </c>
    </row>
    <row r="4535" spans="1:1" x14ac:dyDescent="0.25">
      <c r="A4535" t="s">
        <v>1741</v>
      </c>
    </row>
    <row r="4536" spans="1:1" x14ac:dyDescent="0.25">
      <c r="A4536" t="s">
        <v>1762</v>
      </c>
    </row>
    <row r="4537" spans="1:1" x14ac:dyDescent="0.25">
      <c r="A4537" t="s">
        <v>3059</v>
      </c>
    </row>
    <row r="4538" spans="1:1" x14ac:dyDescent="0.25">
      <c r="A4538" t="s">
        <v>1744</v>
      </c>
    </row>
    <row r="4540" spans="1:1" x14ac:dyDescent="0.25">
      <c r="A4540" t="s">
        <v>4722</v>
      </c>
    </row>
    <row r="4541" spans="1:1" x14ac:dyDescent="0.25">
      <c r="A4541" t="s">
        <v>4723</v>
      </c>
    </row>
    <row r="4542" spans="1:1" x14ac:dyDescent="0.25">
      <c r="A4542" t="s">
        <v>5641</v>
      </c>
    </row>
    <row r="4543" spans="1:1" x14ac:dyDescent="0.25">
      <c r="A4543" t="s">
        <v>5642</v>
      </c>
    </row>
    <row r="4544" spans="1:1" x14ac:dyDescent="0.25">
      <c r="A4544" t="s">
        <v>5225</v>
      </c>
    </row>
    <row r="4545" spans="1:1" x14ac:dyDescent="0.25">
      <c r="A4545" t="s">
        <v>4727</v>
      </c>
    </row>
    <row r="4546" spans="1:1" x14ac:dyDescent="0.25">
      <c r="A4546" t="s">
        <v>4728</v>
      </c>
    </row>
    <row r="4547" spans="1:1" x14ac:dyDescent="0.25">
      <c r="A4547" t="s">
        <v>4900</v>
      </c>
    </row>
    <row r="4548" spans="1:1" x14ac:dyDescent="0.25">
      <c r="A4548" t="s">
        <v>5643</v>
      </c>
    </row>
    <row r="4549" spans="1:1" x14ac:dyDescent="0.25">
      <c r="A4549" t="s">
        <v>4731</v>
      </c>
    </row>
    <row r="4551" spans="1:1" x14ac:dyDescent="0.25">
      <c r="A4551" t="s">
        <v>4722</v>
      </c>
    </row>
    <row r="4552" spans="1:1" x14ac:dyDescent="0.25">
      <c r="A4552" t="s">
        <v>4723</v>
      </c>
    </row>
    <row r="4553" spans="1:1" x14ac:dyDescent="0.25">
      <c r="A4553" t="s">
        <v>5644</v>
      </c>
    </row>
    <row r="4554" spans="1:1" x14ac:dyDescent="0.25">
      <c r="A4554" t="s">
        <v>5645</v>
      </c>
    </row>
    <row r="4555" spans="1:1" x14ac:dyDescent="0.25">
      <c r="A4555" t="s">
        <v>4895</v>
      </c>
    </row>
    <row r="4556" spans="1:1" x14ac:dyDescent="0.25">
      <c r="A4556" t="s">
        <v>4727</v>
      </c>
    </row>
    <row r="4557" spans="1:1" x14ac:dyDescent="0.25">
      <c r="A4557" t="s">
        <v>4728</v>
      </c>
    </row>
    <row r="4558" spans="1:1" x14ac:dyDescent="0.25">
      <c r="A4558" t="s">
        <v>5646</v>
      </c>
    </row>
    <row r="4559" spans="1:1" x14ac:dyDescent="0.25">
      <c r="A4559" t="s">
        <v>5647</v>
      </c>
    </row>
    <row r="4560" spans="1:1" x14ac:dyDescent="0.25">
      <c r="A4560" t="s">
        <v>4731</v>
      </c>
    </row>
    <row r="4562" spans="1:1" x14ac:dyDescent="0.25">
      <c r="A4562" t="s">
        <v>4722</v>
      </c>
    </row>
    <row r="4563" spans="1:1" x14ac:dyDescent="0.25">
      <c r="A4563" t="s">
        <v>4723</v>
      </c>
    </row>
    <row r="4564" spans="1:1" x14ac:dyDescent="0.25">
      <c r="A4564" t="s">
        <v>5648</v>
      </c>
    </row>
    <row r="4565" spans="1:1" x14ac:dyDescent="0.25">
      <c r="A4565" t="s">
        <v>5649</v>
      </c>
    </row>
    <row r="4566" spans="1:1" x14ac:dyDescent="0.25">
      <c r="A4566" t="s">
        <v>4895</v>
      </c>
    </row>
    <row r="4567" spans="1:1" x14ac:dyDescent="0.25">
      <c r="A4567" t="s">
        <v>4727</v>
      </c>
    </row>
    <row r="4568" spans="1:1" x14ac:dyDescent="0.25">
      <c r="A4568" t="s">
        <v>4728</v>
      </c>
    </row>
    <row r="4569" spans="1:1" x14ac:dyDescent="0.25">
      <c r="A4569" t="s">
        <v>5646</v>
      </c>
    </row>
    <row r="4570" spans="1:1" x14ac:dyDescent="0.25">
      <c r="A4570" t="s">
        <v>5650</v>
      </c>
    </row>
    <row r="4571" spans="1:1" x14ac:dyDescent="0.25">
      <c r="A4571" t="s">
        <v>4731</v>
      </c>
    </row>
    <row r="4573" spans="1:1" x14ac:dyDescent="0.25">
      <c r="A4573" t="s">
        <v>4722</v>
      </c>
    </row>
    <row r="4574" spans="1:1" x14ac:dyDescent="0.25">
      <c r="A4574" t="s">
        <v>4723</v>
      </c>
    </row>
    <row r="4575" spans="1:1" x14ac:dyDescent="0.25">
      <c r="A4575" t="s">
        <v>5651</v>
      </c>
    </row>
    <row r="4576" spans="1:1" x14ac:dyDescent="0.25">
      <c r="A4576" t="s">
        <v>5652</v>
      </c>
    </row>
    <row r="4577" spans="1:1" x14ac:dyDescent="0.25">
      <c r="A4577" t="s">
        <v>4895</v>
      </c>
    </row>
    <row r="4578" spans="1:1" x14ac:dyDescent="0.25">
      <c r="A4578" t="s">
        <v>4727</v>
      </c>
    </row>
    <row r="4579" spans="1:1" x14ac:dyDescent="0.25">
      <c r="A4579" t="s">
        <v>4728</v>
      </c>
    </row>
    <row r="4580" spans="1:1" x14ac:dyDescent="0.25">
      <c r="A4580" t="s">
        <v>5646</v>
      </c>
    </row>
    <row r="4581" spans="1:1" x14ac:dyDescent="0.25">
      <c r="A4581" t="s">
        <v>5653</v>
      </c>
    </row>
    <row r="4582" spans="1:1" x14ac:dyDescent="0.25">
      <c r="A4582" t="s">
        <v>4731</v>
      </c>
    </row>
    <row r="4584" spans="1:1" x14ac:dyDescent="0.25">
      <c r="A4584" t="s">
        <v>1737</v>
      </c>
    </row>
    <row r="4585" spans="1:1" x14ac:dyDescent="0.25">
      <c r="A4585" t="s">
        <v>1738</v>
      </c>
    </row>
    <row r="4586" spans="1:1" x14ac:dyDescent="0.25">
      <c r="A4586" t="s">
        <v>3072</v>
      </c>
    </row>
    <row r="4587" spans="1:1" x14ac:dyDescent="0.25">
      <c r="A4587" t="s">
        <v>3073</v>
      </c>
    </row>
    <row r="4588" spans="1:1" x14ac:dyDescent="0.25">
      <c r="A4588" t="s">
        <v>1990</v>
      </c>
    </row>
    <row r="4589" spans="1:1" x14ac:dyDescent="0.25">
      <c r="A4589" t="s">
        <v>1753</v>
      </c>
    </row>
    <row r="4590" spans="1:1" x14ac:dyDescent="0.25">
      <c r="A4590" t="s">
        <v>1741</v>
      </c>
    </row>
    <row r="4591" spans="1:1" x14ac:dyDescent="0.25">
      <c r="A4591" t="s">
        <v>2242</v>
      </c>
    </row>
    <row r="4592" spans="1:1" x14ac:dyDescent="0.25">
      <c r="A4592" t="s">
        <v>3074</v>
      </c>
    </row>
    <row r="4593" spans="1:1" x14ac:dyDescent="0.25">
      <c r="A4593" t="s">
        <v>1744</v>
      </c>
    </row>
    <row r="4595" spans="1:1" x14ac:dyDescent="0.25">
      <c r="A4595" t="s">
        <v>4722</v>
      </c>
    </row>
    <row r="4596" spans="1:1" x14ac:dyDescent="0.25">
      <c r="A4596" t="s">
        <v>4723</v>
      </c>
    </row>
    <row r="4597" spans="1:1" x14ac:dyDescent="0.25">
      <c r="A4597" t="s">
        <v>5654</v>
      </c>
    </row>
    <row r="4598" spans="1:1" x14ac:dyDescent="0.25">
      <c r="A4598" t="s">
        <v>5655</v>
      </c>
    </row>
    <row r="4599" spans="1:1" x14ac:dyDescent="0.25">
      <c r="A4599" t="s">
        <v>4895</v>
      </c>
    </row>
    <row r="4600" spans="1:1" x14ac:dyDescent="0.25">
      <c r="A4600" t="s">
        <v>4727</v>
      </c>
    </row>
    <row r="4601" spans="1:1" x14ac:dyDescent="0.25">
      <c r="A4601" t="s">
        <v>4728</v>
      </c>
    </row>
    <row r="4602" spans="1:1" x14ac:dyDescent="0.25">
      <c r="A4602" t="s">
        <v>5646</v>
      </c>
    </row>
    <row r="4603" spans="1:1" x14ac:dyDescent="0.25">
      <c r="A4603" t="s">
        <v>5656</v>
      </c>
    </row>
    <row r="4604" spans="1:1" x14ac:dyDescent="0.25">
      <c r="A4604" t="s">
        <v>4731</v>
      </c>
    </row>
    <row r="4606" spans="1:1" x14ac:dyDescent="0.25">
      <c r="A4606" t="s">
        <v>4722</v>
      </c>
    </row>
    <row r="4607" spans="1:1" x14ac:dyDescent="0.25">
      <c r="A4607" t="s">
        <v>4723</v>
      </c>
    </row>
    <row r="4608" spans="1:1" x14ac:dyDescent="0.25">
      <c r="A4608" t="s">
        <v>5657</v>
      </c>
    </row>
    <row r="4609" spans="1:1" x14ac:dyDescent="0.25">
      <c r="A4609" t="s">
        <v>5658</v>
      </c>
    </row>
    <row r="4610" spans="1:1" x14ac:dyDescent="0.25">
      <c r="A4610" t="s">
        <v>4895</v>
      </c>
    </row>
    <row r="4611" spans="1:1" x14ac:dyDescent="0.25">
      <c r="A4611" t="s">
        <v>4727</v>
      </c>
    </row>
    <row r="4612" spans="1:1" x14ac:dyDescent="0.25">
      <c r="A4612" t="s">
        <v>4728</v>
      </c>
    </row>
    <row r="4613" spans="1:1" x14ac:dyDescent="0.25">
      <c r="A4613" t="s">
        <v>5646</v>
      </c>
    </row>
    <row r="4614" spans="1:1" x14ac:dyDescent="0.25">
      <c r="A4614" t="s">
        <v>5659</v>
      </c>
    </row>
    <row r="4615" spans="1:1" x14ac:dyDescent="0.25">
      <c r="A4615" t="s">
        <v>4731</v>
      </c>
    </row>
    <row r="4617" spans="1:1" x14ac:dyDescent="0.25">
      <c r="A4617" t="s">
        <v>4722</v>
      </c>
    </row>
    <row r="4618" spans="1:1" x14ac:dyDescent="0.25">
      <c r="A4618" t="s">
        <v>4723</v>
      </c>
    </row>
    <row r="4619" spans="1:1" x14ac:dyDescent="0.25">
      <c r="A4619" t="s">
        <v>5660</v>
      </c>
    </row>
    <row r="4620" spans="1:1" x14ac:dyDescent="0.25">
      <c r="A4620" t="s">
        <v>5661</v>
      </c>
    </row>
    <row r="4621" spans="1:1" x14ac:dyDescent="0.25">
      <c r="A4621" t="s">
        <v>4895</v>
      </c>
    </row>
    <row r="4622" spans="1:1" x14ac:dyDescent="0.25">
      <c r="A4622" t="s">
        <v>4727</v>
      </c>
    </row>
    <row r="4623" spans="1:1" x14ac:dyDescent="0.25">
      <c r="A4623" t="s">
        <v>4728</v>
      </c>
    </row>
    <row r="4624" spans="1:1" x14ac:dyDescent="0.25">
      <c r="A4624" t="s">
        <v>5646</v>
      </c>
    </row>
    <row r="4625" spans="1:1" x14ac:dyDescent="0.25">
      <c r="A4625" t="s">
        <v>5662</v>
      </c>
    </row>
    <row r="4626" spans="1:1" x14ac:dyDescent="0.25">
      <c r="A4626" t="s">
        <v>4731</v>
      </c>
    </row>
    <row r="4628" spans="1:1" x14ac:dyDescent="0.25">
      <c r="A4628" t="s">
        <v>1737</v>
      </c>
    </row>
    <row r="4629" spans="1:1" x14ac:dyDescent="0.25">
      <c r="A4629" t="s">
        <v>1738</v>
      </c>
    </row>
    <row r="4630" spans="1:1" x14ac:dyDescent="0.25">
      <c r="A4630" t="s">
        <v>3084</v>
      </c>
    </row>
    <row r="4631" spans="1:1" x14ac:dyDescent="0.25">
      <c r="A4631" t="s">
        <v>3085</v>
      </c>
    </row>
    <row r="4632" spans="1:1" x14ac:dyDescent="0.25">
      <c r="A4632" t="s">
        <v>1990</v>
      </c>
    </row>
    <row r="4633" spans="1:1" x14ac:dyDescent="0.25">
      <c r="A4633" t="s">
        <v>1753</v>
      </c>
    </row>
    <row r="4634" spans="1:1" x14ac:dyDescent="0.25">
      <c r="A4634" t="s">
        <v>1741</v>
      </c>
    </row>
    <row r="4635" spans="1:1" x14ac:dyDescent="0.25">
      <c r="A4635" t="s">
        <v>2242</v>
      </c>
    </row>
    <row r="4636" spans="1:1" x14ac:dyDescent="0.25">
      <c r="A4636" t="s">
        <v>3086</v>
      </c>
    </row>
    <row r="4637" spans="1:1" x14ac:dyDescent="0.25">
      <c r="A4637" t="s">
        <v>1744</v>
      </c>
    </row>
    <row r="4639" spans="1:1" x14ac:dyDescent="0.25">
      <c r="A4639" t="s">
        <v>1737</v>
      </c>
    </row>
    <row r="4640" spans="1:1" x14ac:dyDescent="0.25">
      <c r="A4640" t="s">
        <v>1738</v>
      </c>
    </row>
    <row r="4641" spans="1:1" x14ac:dyDescent="0.25">
      <c r="A4641" t="s">
        <v>3087</v>
      </c>
    </row>
    <row r="4642" spans="1:1" x14ac:dyDescent="0.25">
      <c r="A4642" t="s">
        <v>3088</v>
      </c>
    </row>
    <row r="4643" spans="1:1" x14ac:dyDescent="0.25">
      <c r="A4643" t="s">
        <v>1990</v>
      </c>
    </row>
    <row r="4644" spans="1:1" x14ac:dyDescent="0.25">
      <c r="A4644" t="s">
        <v>1753</v>
      </c>
    </row>
    <row r="4645" spans="1:1" x14ac:dyDescent="0.25">
      <c r="A4645" t="s">
        <v>1741</v>
      </c>
    </row>
    <row r="4646" spans="1:1" x14ac:dyDescent="0.25">
      <c r="A4646" t="s">
        <v>2242</v>
      </c>
    </row>
    <row r="4647" spans="1:1" x14ac:dyDescent="0.25">
      <c r="A4647" t="s">
        <v>3089</v>
      </c>
    </row>
    <row r="4648" spans="1:1" x14ac:dyDescent="0.25">
      <c r="A4648" t="s">
        <v>1744</v>
      </c>
    </row>
    <row r="4650" spans="1:1" x14ac:dyDescent="0.25">
      <c r="A4650" t="s">
        <v>4722</v>
      </c>
    </row>
    <row r="4651" spans="1:1" x14ac:dyDescent="0.25">
      <c r="A4651" t="s">
        <v>4723</v>
      </c>
    </row>
    <row r="4652" spans="1:1" x14ac:dyDescent="0.25">
      <c r="A4652" t="s">
        <v>5663</v>
      </c>
    </row>
    <row r="4653" spans="1:1" x14ac:dyDescent="0.25">
      <c r="A4653" t="s">
        <v>5664</v>
      </c>
    </row>
    <row r="4654" spans="1:1" x14ac:dyDescent="0.25">
      <c r="A4654" t="s">
        <v>4895</v>
      </c>
    </row>
    <row r="4655" spans="1:1" x14ac:dyDescent="0.25">
      <c r="A4655" t="s">
        <v>4727</v>
      </c>
    </row>
    <row r="4656" spans="1:1" x14ac:dyDescent="0.25">
      <c r="A4656" t="s">
        <v>4728</v>
      </c>
    </row>
    <row r="4657" spans="1:1" x14ac:dyDescent="0.25">
      <c r="A4657" t="s">
        <v>5646</v>
      </c>
    </row>
    <row r="4658" spans="1:1" x14ac:dyDescent="0.25">
      <c r="A4658" t="s">
        <v>5665</v>
      </c>
    </row>
    <row r="4659" spans="1:1" x14ac:dyDescent="0.25">
      <c r="A4659" t="s">
        <v>4731</v>
      </c>
    </row>
    <row r="4661" spans="1:1" x14ac:dyDescent="0.25">
      <c r="A4661" t="s">
        <v>1737</v>
      </c>
    </row>
    <row r="4662" spans="1:1" x14ac:dyDescent="0.25">
      <c r="A4662" t="s">
        <v>1738</v>
      </c>
    </row>
    <row r="4663" spans="1:1" x14ac:dyDescent="0.25">
      <c r="A4663" t="s">
        <v>3093</v>
      </c>
    </row>
    <row r="4664" spans="1:1" x14ac:dyDescent="0.25">
      <c r="A4664" t="s">
        <v>3094</v>
      </c>
    </row>
    <row r="4665" spans="1:1" x14ac:dyDescent="0.25">
      <c r="A4665" t="s">
        <v>1990</v>
      </c>
    </row>
    <row r="4666" spans="1:1" x14ac:dyDescent="0.25">
      <c r="A4666" t="s">
        <v>1753</v>
      </c>
    </row>
    <row r="4667" spans="1:1" x14ac:dyDescent="0.25">
      <c r="A4667" t="s">
        <v>1741</v>
      </c>
    </row>
    <row r="4668" spans="1:1" x14ac:dyDescent="0.25">
      <c r="A4668" t="s">
        <v>2242</v>
      </c>
    </row>
    <row r="4669" spans="1:1" x14ac:dyDescent="0.25">
      <c r="A4669" t="s">
        <v>3095</v>
      </c>
    </row>
    <row r="4670" spans="1:1" x14ac:dyDescent="0.25">
      <c r="A4670" t="s">
        <v>1744</v>
      </c>
    </row>
    <row r="4672" spans="1:1" x14ac:dyDescent="0.25">
      <c r="A4672" t="s">
        <v>1737</v>
      </c>
    </row>
    <row r="4673" spans="1:1" x14ac:dyDescent="0.25">
      <c r="A4673" t="s">
        <v>1738</v>
      </c>
    </row>
    <row r="4674" spans="1:1" x14ac:dyDescent="0.25">
      <c r="A4674" t="s">
        <v>3096</v>
      </c>
    </row>
    <row r="4675" spans="1:1" x14ac:dyDescent="0.25">
      <c r="A4675" t="s">
        <v>3097</v>
      </c>
    </row>
    <row r="4676" spans="1:1" x14ac:dyDescent="0.25">
      <c r="A4676" t="s">
        <v>1990</v>
      </c>
    </row>
    <row r="4677" spans="1:1" x14ac:dyDescent="0.25">
      <c r="A4677" t="s">
        <v>1753</v>
      </c>
    </row>
    <row r="4678" spans="1:1" x14ac:dyDescent="0.25">
      <c r="A4678" t="s">
        <v>1741</v>
      </c>
    </row>
    <row r="4679" spans="1:1" x14ac:dyDescent="0.25">
      <c r="A4679" t="s">
        <v>2242</v>
      </c>
    </row>
    <row r="4680" spans="1:1" x14ac:dyDescent="0.25">
      <c r="A4680" t="s">
        <v>3098</v>
      </c>
    </row>
    <row r="4681" spans="1:1" x14ac:dyDescent="0.25">
      <c r="A4681" t="s">
        <v>1744</v>
      </c>
    </row>
    <row r="4683" spans="1:1" x14ac:dyDescent="0.25">
      <c r="A4683" t="s">
        <v>4722</v>
      </c>
    </row>
    <row r="4684" spans="1:1" x14ac:dyDescent="0.25">
      <c r="A4684" t="s">
        <v>4723</v>
      </c>
    </row>
    <row r="4685" spans="1:1" x14ac:dyDescent="0.25">
      <c r="A4685" t="s">
        <v>5666</v>
      </c>
    </row>
    <row r="4686" spans="1:1" x14ac:dyDescent="0.25">
      <c r="A4686" t="s">
        <v>5667</v>
      </c>
    </row>
    <row r="4687" spans="1:1" x14ac:dyDescent="0.25">
      <c r="A4687" t="s">
        <v>4895</v>
      </c>
    </row>
    <row r="4688" spans="1:1" x14ac:dyDescent="0.25">
      <c r="A4688" t="s">
        <v>4727</v>
      </c>
    </row>
    <row r="4689" spans="1:1" x14ac:dyDescent="0.25">
      <c r="A4689" t="s">
        <v>4728</v>
      </c>
    </row>
    <row r="4690" spans="1:1" x14ac:dyDescent="0.25">
      <c r="A4690" t="s">
        <v>5646</v>
      </c>
    </row>
    <row r="4691" spans="1:1" x14ac:dyDescent="0.25">
      <c r="A4691" t="s">
        <v>5668</v>
      </c>
    </row>
    <row r="4692" spans="1:1" x14ac:dyDescent="0.25">
      <c r="A4692" t="s">
        <v>4731</v>
      </c>
    </row>
    <row r="4694" spans="1:1" x14ac:dyDescent="0.25">
      <c r="A4694" t="s">
        <v>1737</v>
      </c>
    </row>
    <row r="4695" spans="1:1" x14ac:dyDescent="0.25">
      <c r="A4695" t="s">
        <v>1738</v>
      </c>
    </row>
    <row r="4696" spans="1:1" x14ac:dyDescent="0.25">
      <c r="A4696" t="s">
        <v>3102</v>
      </c>
    </row>
    <row r="4697" spans="1:1" x14ac:dyDescent="0.25">
      <c r="A4697" t="s">
        <v>3103</v>
      </c>
    </row>
    <row r="4698" spans="1:1" x14ac:dyDescent="0.25">
      <c r="A4698" t="s">
        <v>1990</v>
      </c>
    </row>
    <row r="4699" spans="1:1" x14ac:dyDescent="0.25">
      <c r="A4699" t="s">
        <v>1753</v>
      </c>
    </row>
    <row r="4700" spans="1:1" x14ac:dyDescent="0.25">
      <c r="A4700" t="s">
        <v>1741</v>
      </c>
    </row>
    <row r="4701" spans="1:1" x14ac:dyDescent="0.25">
      <c r="A4701" t="s">
        <v>2242</v>
      </c>
    </row>
    <row r="4702" spans="1:1" x14ac:dyDescent="0.25">
      <c r="A4702" t="s">
        <v>3104</v>
      </c>
    </row>
    <row r="4703" spans="1:1" x14ac:dyDescent="0.25">
      <c r="A4703" t="s">
        <v>1744</v>
      </c>
    </row>
    <row r="4705" spans="1:1" x14ac:dyDescent="0.25">
      <c r="A4705" t="s">
        <v>1737</v>
      </c>
    </row>
    <row r="4706" spans="1:1" x14ac:dyDescent="0.25">
      <c r="A4706" t="s">
        <v>1738</v>
      </c>
    </row>
    <row r="4707" spans="1:1" x14ac:dyDescent="0.25">
      <c r="A4707" t="s">
        <v>3105</v>
      </c>
    </row>
    <row r="4708" spans="1:1" x14ac:dyDescent="0.25">
      <c r="A4708" t="s">
        <v>3106</v>
      </c>
    </row>
    <row r="4709" spans="1:1" x14ac:dyDescent="0.25">
      <c r="A4709" t="s">
        <v>1990</v>
      </c>
    </row>
    <row r="4710" spans="1:1" x14ac:dyDescent="0.25">
      <c r="A4710" t="s">
        <v>1753</v>
      </c>
    </row>
    <row r="4711" spans="1:1" x14ac:dyDescent="0.25">
      <c r="A4711" t="s">
        <v>1741</v>
      </c>
    </row>
    <row r="4712" spans="1:1" x14ac:dyDescent="0.25">
      <c r="A4712" t="s">
        <v>2242</v>
      </c>
    </row>
    <row r="4713" spans="1:1" x14ac:dyDescent="0.25">
      <c r="A4713" t="s">
        <v>3107</v>
      </c>
    </row>
    <row r="4714" spans="1:1" x14ac:dyDescent="0.25">
      <c r="A4714" t="s">
        <v>1744</v>
      </c>
    </row>
    <row r="4716" spans="1:1" x14ac:dyDescent="0.25">
      <c r="A4716" t="s">
        <v>1737</v>
      </c>
    </row>
    <row r="4717" spans="1:1" x14ac:dyDescent="0.25">
      <c r="A4717" t="s">
        <v>1738</v>
      </c>
    </row>
    <row r="4718" spans="1:1" x14ac:dyDescent="0.25">
      <c r="A4718" t="s">
        <v>3108</v>
      </c>
    </row>
    <row r="4719" spans="1:1" x14ac:dyDescent="0.25">
      <c r="A4719" t="s">
        <v>3109</v>
      </c>
    </row>
    <row r="4720" spans="1:1" x14ac:dyDescent="0.25">
      <c r="A4720" t="s">
        <v>1990</v>
      </c>
    </row>
    <row r="4721" spans="1:1" x14ac:dyDescent="0.25">
      <c r="A4721" t="s">
        <v>1753</v>
      </c>
    </row>
    <row r="4722" spans="1:1" x14ac:dyDescent="0.25">
      <c r="A4722" t="s">
        <v>1741</v>
      </c>
    </row>
    <row r="4723" spans="1:1" x14ac:dyDescent="0.25">
      <c r="A4723" t="s">
        <v>2242</v>
      </c>
    </row>
    <row r="4724" spans="1:1" x14ac:dyDescent="0.25">
      <c r="A4724" t="s">
        <v>3110</v>
      </c>
    </row>
    <row r="4725" spans="1:1" x14ac:dyDescent="0.25">
      <c r="A4725" t="s">
        <v>1744</v>
      </c>
    </row>
    <row r="4727" spans="1:1" x14ac:dyDescent="0.25">
      <c r="A4727" t="s">
        <v>1737</v>
      </c>
    </row>
    <row r="4728" spans="1:1" x14ac:dyDescent="0.25">
      <c r="A4728" t="s">
        <v>1738</v>
      </c>
    </row>
    <row r="4729" spans="1:1" x14ac:dyDescent="0.25">
      <c r="A4729" t="s">
        <v>3111</v>
      </c>
    </row>
    <row r="4730" spans="1:1" x14ac:dyDescent="0.25">
      <c r="A4730" t="s">
        <v>3112</v>
      </c>
    </row>
    <row r="4731" spans="1:1" x14ac:dyDescent="0.25">
      <c r="A4731" t="s">
        <v>1990</v>
      </c>
    </row>
    <row r="4732" spans="1:1" x14ac:dyDescent="0.25">
      <c r="A4732" t="s">
        <v>1753</v>
      </c>
    </row>
    <row r="4733" spans="1:1" x14ac:dyDescent="0.25">
      <c r="A4733" t="s">
        <v>1741</v>
      </c>
    </row>
    <row r="4734" spans="1:1" x14ac:dyDescent="0.25">
      <c r="A4734" t="s">
        <v>2242</v>
      </c>
    </row>
    <row r="4735" spans="1:1" x14ac:dyDescent="0.25">
      <c r="A4735" t="s">
        <v>3113</v>
      </c>
    </row>
    <row r="4736" spans="1:1" x14ac:dyDescent="0.25">
      <c r="A4736" t="s">
        <v>1744</v>
      </c>
    </row>
    <row r="4738" spans="1:1" x14ac:dyDescent="0.25">
      <c r="A4738" t="s">
        <v>4722</v>
      </c>
    </row>
    <row r="4739" spans="1:1" x14ac:dyDescent="0.25">
      <c r="A4739" t="s">
        <v>4723</v>
      </c>
    </row>
    <row r="4740" spans="1:1" x14ac:dyDescent="0.25">
      <c r="A4740" t="s">
        <v>5669</v>
      </c>
    </row>
    <row r="4741" spans="1:1" x14ac:dyDescent="0.25">
      <c r="A4741" t="s">
        <v>5670</v>
      </c>
    </row>
    <row r="4742" spans="1:1" x14ac:dyDescent="0.25">
      <c r="A4742" t="s">
        <v>4895</v>
      </c>
    </row>
    <row r="4743" spans="1:1" x14ac:dyDescent="0.25">
      <c r="A4743" t="s">
        <v>4727</v>
      </c>
    </row>
    <row r="4744" spans="1:1" x14ac:dyDescent="0.25">
      <c r="A4744" t="s">
        <v>4728</v>
      </c>
    </row>
    <row r="4745" spans="1:1" x14ac:dyDescent="0.25">
      <c r="A4745" t="s">
        <v>5646</v>
      </c>
    </row>
    <row r="4746" spans="1:1" x14ac:dyDescent="0.25">
      <c r="A4746" t="s">
        <v>5671</v>
      </c>
    </row>
    <row r="4747" spans="1:1" x14ac:dyDescent="0.25">
      <c r="A4747" t="s">
        <v>4731</v>
      </c>
    </row>
    <row r="4749" spans="1:1" x14ac:dyDescent="0.25">
      <c r="A4749" t="s">
        <v>4722</v>
      </c>
    </row>
    <row r="4750" spans="1:1" x14ac:dyDescent="0.25">
      <c r="A4750" t="s">
        <v>4723</v>
      </c>
    </row>
    <row r="4751" spans="1:1" x14ac:dyDescent="0.25">
      <c r="A4751" t="s">
        <v>5672</v>
      </c>
    </row>
    <row r="4752" spans="1:1" x14ac:dyDescent="0.25">
      <c r="A4752" t="s">
        <v>5673</v>
      </c>
    </row>
    <row r="4753" spans="1:1" x14ac:dyDescent="0.25">
      <c r="A4753" t="s">
        <v>4895</v>
      </c>
    </row>
    <row r="4754" spans="1:1" x14ac:dyDescent="0.25">
      <c r="A4754" t="s">
        <v>4727</v>
      </c>
    </row>
    <row r="4755" spans="1:1" x14ac:dyDescent="0.25">
      <c r="A4755" t="s">
        <v>4728</v>
      </c>
    </row>
    <row r="4756" spans="1:1" x14ac:dyDescent="0.25">
      <c r="A4756" t="s">
        <v>5646</v>
      </c>
    </row>
    <row r="4757" spans="1:1" x14ac:dyDescent="0.25">
      <c r="A4757" t="s">
        <v>5674</v>
      </c>
    </row>
    <row r="4758" spans="1:1" x14ac:dyDescent="0.25">
      <c r="A4758" t="s">
        <v>4731</v>
      </c>
    </row>
    <row r="4760" spans="1:1" x14ac:dyDescent="0.25">
      <c r="A4760" t="s">
        <v>4722</v>
      </c>
    </row>
    <row r="4761" spans="1:1" x14ac:dyDescent="0.25">
      <c r="A4761" t="s">
        <v>4723</v>
      </c>
    </row>
    <row r="4762" spans="1:1" x14ac:dyDescent="0.25">
      <c r="A4762" t="s">
        <v>5675</v>
      </c>
    </row>
    <row r="4763" spans="1:1" x14ac:dyDescent="0.25">
      <c r="A4763" t="s">
        <v>5676</v>
      </c>
    </row>
    <row r="4764" spans="1:1" x14ac:dyDescent="0.25">
      <c r="A4764" t="s">
        <v>5677</v>
      </c>
    </row>
    <row r="4765" spans="1:1" x14ac:dyDescent="0.25">
      <c r="A4765" t="s">
        <v>4727</v>
      </c>
    </row>
    <row r="4766" spans="1:1" x14ac:dyDescent="0.25">
      <c r="A4766" t="s">
        <v>4728</v>
      </c>
    </row>
    <row r="4767" spans="1:1" x14ac:dyDescent="0.25">
      <c r="A4767" t="s">
        <v>4729</v>
      </c>
    </row>
    <row r="4768" spans="1:1" x14ac:dyDescent="0.25">
      <c r="A4768" t="s">
        <v>5678</v>
      </c>
    </row>
    <row r="4769" spans="1:1" x14ac:dyDescent="0.25">
      <c r="A4769" t="s">
        <v>4731</v>
      </c>
    </row>
    <row r="4771" spans="1:1" x14ac:dyDescent="0.25">
      <c r="A4771" t="s">
        <v>4722</v>
      </c>
    </row>
    <row r="4772" spans="1:1" x14ac:dyDescent="0.25">
      <c r="A4772" t="s">
        <v>4723</v>
      </c>
    </row>
    <row r="4773" spans="1:1" x14ac:dyDescent="0.25">
      <c r="A4773" t="s">
        <v>5679</v>
      </c>
    </row>
    <row r="4774" spans="1:1" x14ac:dyDescent="0.25">
      <c r="A4774" t="s">
        <v>5680</v>
      </c>
    </row>
    <row r="4775" spans="1:1" x14ac:dyDescent="0.25">
      <c r="A4775" t="s">
        <v>5677</v>
      </c>
    </row>
    <row r="4776" spans="1:1" x14ac:dyDescent="0.25">
      <c r="A4776" t="s">
        <v>4727</v>
      </c>
    </row>
    <row r="4777" spans="1:1" x14ac:dyDescent="0.25">
      <c r="A4777" t="s">
        <v>4728</v>
      </c>
    </row>
    <row r="4778" spans="1:1" x14ac:dyDescent="0.25">
      <c r="A4778" t="s">
        <v>4729</v>
      </c>
    </row>
    <row r="4779" spans="1:1" x14ac:dyDescent="0.25">
      <c r="A4779" t="s">
        <v>5681</v>
      </c>
    </row>
    <row r="4780" spans="1:1" x14ac:dyDescent="0.25">
      <c r="A4780" t="s">
        <v>4731</v>
      </c>
    </row>
    <row r="4782" spans="1:1" x14ac:dyDescent="0.25">
      <c r="A4782" t="s">
        <v>4722</v>
      </c>
    </row>
    <row r="4783" spans="1:1" x14ac:dyDescent="0.25">
      <c r="A4783" t="s">
        <v>4723</v>
      </c>
    </row>
    <row r="4784" spans="1:1" x14ac:dyDescent="0.25">
      <c r="A4784" t="s">
        <v>5682</v>
      </c>
    </row>
    <row r="4785" spans="1:1" x14ac:dyDescent="0.25">
      <c r="A4785" t="s">
        <v>5683</v>
      </c>
    </row>
    <row r="4786" spans="1:1" x14ac:dyDescent="0.25">
      <c r="A4786" t="s">
        <v>5677</v>
      </c>
    </row>
    <row r="4787" spans="1:1" x14ac:dyDescent="0.25">
      <c r="A4787" t="s">
        <v>4727</v>
      </c>
    </row>
    <row r="4788" spans="1:1" x14ac:dyDescent="0.25">
      <c r="A4788" t="s">
        <v>4728</v>
      </c>
    </row>
    <row r="4789" spans="1:1" x14ac:dyDescent="0.25">
      <c r="A4789" t="s">
        <v>4729</v>
      </c>
    </row>
    <row r="4790" spans="1:1" x14ac:dyDescent="0.25">
      <c r="A4790" t="s">
        <v>5684</v>
      </c>
    </row>
    <row r="4791" spans="1:1" x14ac:dyDescent="0.25">
      <c r="A4791" t="s">
        <v>4731</v>
      </c>
    </row>
    <row r="4793" spans="1:1" x14ac:dyDescent="0.25">
      <c r="A4793" t="s">
        <v>4722</v>
      </c>
    </row>
    <row r="4794" spans="1:1" x14ac:dyDescent="0.25">
      <c r="A4794" t="s">
        <v>4723</v>
      </c>
    </row>
    <row r="4795" spans="1:1" x14ac:dyDescent="0.25">
      <c r="A4795" t="s">
        <v>5685</v>
      </c>
    </row>
    <row r="4796" spans="1:1" x14ac:dyDescent="0.25">
      <c r="A4796" t="s">
        <v>5686</v>
      </c>
    </row>
    <row r="4797" spans="1:1" x14ac:dyDescent="0.25">
      <c r="A4797" t="s">
        <v>5037</v>
      </c>
    </row>
    <row r="4798" spans="1:1" x14ac:dyDescent="0.25">
      <c r="A4798" t="s">
        <v>4727</v>
      </c>
    </row>
    <row r="4799" spans="1:1" x14ac:dyDescent="0.25">
      <c r="A4799" t="s">
        <v>4728</v>
      </c>
    </row>
    <row r="4800" spans="1:1" x14ac:dyDescent="0.25">
      <c r="A4800" t="s">
        <v>5687</v>
      </c>
    </row>
    <row r="4801" spans="1:1" x14ac:dyDescent="0.25">
      <c r="A4801" t="s">
        <v>5688</v>
      </c>
    </row>
    <row r="4802" spans="1:1" x14ac:dyDescent="0.25">
      <c r="A4802" t="s">
        <v>4731</v>
      </c>
    </row>
    <row r="4804" spans="1:1" x14ac:dyDescent="0.25">
      <c r="A4804" t="s">
        <v>4722</v>
      </c>
    </row>
    <row r="4805" spans="1:1" x14ac:dyDescent="0.25">
      <c r="A4805" t="s">
        <v>4723</v>
      </c>
    </row>
    <row r="4806" spans="1:1" x14ac:dyDescent="0.25">
      <c r="A4806" t="s">
        <v>5689</v>
      </c>
    </row>
    <row r="4807" spans="1:1" x14ac:dyDescent="0.25">
      <c r="A4807" t="s">
        <v>5690</v>
      </c>
    </row>
    <row r="4808" spans="1:1" x14ac:dyDescent="0.25">
      <c r="A4808" t="s">
        <v>5220</v>
      </c>
    </row>
    <row r="4809" spans="1:1" x14ac:dyDescent="0.25">
      <c r="A4809" t="s">
        <v>4727</v>
      </c>
    </row>
    <row r="4810" spans="1:1" x14ac:dyDescent="0.25">
      <c r="A4810" t="s">
        <v>4742</v>
      </c>
    </row>
    <row r="4811" spans="1:1" x14ac:dyDescent="0.25">
      <c r="A4811" t="s">
        <v>4728</v>
      </c>
    </row>
    <row r="4812" spans="1:1" x14ac:dyDescent="0.25">
      <c r="A4812" t="s">
        <v>5691</v>
      </c>
    </row>
    <row r="4813" spans="1:1" x14ac:dyDescent="0.25">
      <c r="A4813" t="s">
        <v>5692</v>
      </c>
    </row>
    <row r="4814" spans="1:1" x14ac:dyDescent="0.25">
      <c r="A4814" t="s">
        <v>4731</v>
      </c>
    </row>
    <row r="4816" spans="1:1" x14ac:dyDescent="0.25">
      <c r="A4816" t="s">
        <v>4722</v>
      </c>
    </row>
    <row r="4817" spans="1:1" x14ac:dyDescent="0.25">
      <c r="A4817" t="s">
        <v>4723</v>
      </c>
    </row>
    <row r="4818" spans="1:1" x14ac:dyDescent="0.25">
      <c r="A4818" t="s">
        <v>5693</v>
      </c>
    </row>
    <row r="4819" spans="1:1" x14ac:dyDescent="0.25">
      <c r="A4819" t="s">
        <v>5694</v>
      </c>
    </row>
    <row r="4820" spans="1:1" x14ac:dyDescent="0.25">
      <c r="A4820" t="s">
        <v>5695</v>
      </c>
    </row>
    <row r="4821" spans="1:1" x14ac:dyDescent="0.25">
      <c r="A4821" t="s">
        <v>4727</v>
      </c>
    </row>
    <row r="4822" spans="1:1" x14ac:dyDescent="0.25">
      <c r="A4822" t="s">
        <v>4728</v>
      </c>
    </row>
    <row r="4823" spans="1:1" x14ac:dyDescent="0.25">
      <c r="A4823" t="s">
        <v>4729</v>
      </c>
    </row>
    <row r="4824" spans="1:1" x14ac:dyDescent="0.25">
      <c r="A4824" t="s">
        <v>5696</v>
      </c>
    </row>
    <row r="4825" spans="1:1" x14ac:dyDescent="0.25">
      <c r="A4825" t="s">
        <v>4731</v>
      </c>
    </row>
    <row r="4827" spans="1:1" x14ac:dyDescent="0.25">
      <c r="A4827" t="s">
        <v>4722</v>
      </c>
    </row>
    <row r="4828" spans="1:1" x14ac:dyDescent="0.25">
      <c r="A4828" t="s">
        <v>4723</v>
      </c>
    </row>
    <row r="4829" spans="1:1" x14ac:dyDescent="0.25">
      <c r="A4829" t="s">
        <v>5697</v>
      </c>
    </row>
    <row r="4830" spans="1:1" x14ac:dyDescent="0.25">
      <c r="A4830" t="s">
        <v>5698</v>
      </c>
    </row>
    <row r="4831" spans="1:1" x14ac:dyDescent="0.25">
      <c r="A4831" t="s">
        <v>5695</v>
      </c>
    </row>
    <row r="4832" spans="1:1" x14ac:dyDescent="0.25">
      <c r="A4832" t="s">
        <v>4727</v>
      </c>
    </row>
    <row r="4833" spans="1:1" x14ac:dyDescent="0.25">
      <c r="A4833" t="s">
        <v>4728</v>
      </c>
    </row>
    <row r="4834" spans="1:1" x14ac:dyDescent="0.25">
      <c r="A4834" t="s">
        <v>4729</v>
      </c>
    </row>
    <row r="4835" spans="1:1" x14ac:dyDescent="0.25">
      <c r="A4835" t="s">
        <v>5699</v>
      </c>
    </row>
    <row r="4836" spans="1:1" x14ac:dyDescent="0.25">
      <c r="A4836" t="s">
        <v>4731</v>
      </c>
    </row>
    <row r="4838" spans="1:1" x14ac:dyDescent="0.25">
      <c r="A4838" t="s">
        <v>4722</v>
      </c>
    </row>
    <row r="4839" spans="1:1" x14ac:dyDescent="0.25">
      <c r="A4839" t="s">
        <v>4723</v>
      </c>
    </row>
    <row r="4840" spans="1:1" x14ac:dyDescent="0.25">
      <c r="A4840" t="s">
        <v>5700</v>
      </c>
    </row>
    <row r="4841" spans="1:1" x14ac:dyDescent="0.25">
      <c r="A4841" t="s">
        <v>5701</v>
      </c>
    </row>
    <row r="4842" spans="1:1" x14ac:dyDescent="0.25">
      <c r="A4842" t="s">
        <v>5677</v>
      </c>
    </row>
    <row r="4843" spans="1:1" x14ac:dyDescent="0.25">
      <c r="A4843" t="s">
        <v>4727</v>
      </c>
    </row>
    <row r="4844" spans="1:1" x14ac:dyDescent="0.25">
      <c r="A4844" t="s">
        <v>4728</v>
      </c>
    </row>
    <row r="4845" spans="1:1" x14ac:dyDescent="0.25">
      <c r="A4845" t="s">
        <v>4729</v>
      </c>
    </row>
    <row r="4846" spans="1:1" x14ac:dyDescent="0.25">
      <c r="A4846" t="s">
        <v>5702</v>
      </c>
    </row>
    <row r="4847" spans="1:1" x14ac:dyDescent="0.25">
      <c r="A4847" t="s">
        <v>4731</v>
      </c>
    </row>
    <row r="4849" spans="1:1" x14ac:dyDescent="0.25">
      <c r="A4849" t="s">
        <v>4722</v>
      </c>
    </row>
    <row r="4850" spans="1:1" x14ac:dyDescent="0.25">
      <c r="A4850" t="s">
        <v>4723</v>
      </c>
    </row>
    <row r="4851" spans="1:1" x14ac:dyDescent="0.25">
      <c r="A4851" t="s">
        <v>5703</v>
      </c>
    </row>
    <row r="4852" spans="1:1" x14ac:dyDescent="0.25">
      <c r="A4852" t="s">
        <v>5680</v>
      </c>
    </row>
    <row r="4853" spans="1:1" x14ac:dyDescent="0.25">
      <c r="A4853" t="s">
        <v>5677</v>
      </c>
    </row>
    <row r="4854" spans="1:1" x14ac:dyDescent="0.25">
      <c r="A4854" t="s">
        <v>4727</v>
      </c>
    </row>
    <row r="4855" spans="1:1" x14ac:dyDescent="0.25">
      <c r="A4855" t="s">
        <v>4728</v>
      </c>
    </row>
    <row r="4856" spans="1:1" x14ac:dyDescent="0.25">
      <c r="A4856" t="s">
        <v>4729</v>
      </c>
    </row>
    <row r="4857" spans="1:1" x14ac:dyDescent="0.25">
      <c r="A4857" t="s">
        <v>5704</v>
      </c>
    </row>
    <row r="4858" spans="1:1" x14ac:dyDescent="0.25">
      <c r="A4858" t="s">
        <v>4731</v>
      </c>
    </row>
    <row r="4860" spans="1:1" x14ac:dyDescent="0.25">
      <c r="A4860" t="s">
        <v>4722</v>
      </c>
    </row>
    <row r="4861" spans="1:1" x14ac:dyDescent="0.25">
      <c r="A4861" t="s">
        <v>4723</v>
      </c>
    </row>
    <row r="4862" spans="1:1" x14ac:dyDescent="0.25">
      <c r="A4862" t="s">
        <v>5705</v>
      </c>
    </row>
    <row r="4863" spans="1:1" x14ac:dyDescent="0.25">
      <c r="A4863" t="s">
        <v>5683</v>
      </c>
    </row>
    <row r="4864" spans="1:1" x14ac:dyDescent="0.25">
      <c r="A4864" t="s">
        <v>5677</v>
      </c>
    </row>
    <row r="4865" spans="1:1" x14ac:dyDescent="0.25">
      <c r="A4865" t="s">
        <v>4727</v>
      </c>
    </row>
    <row r="4866" spans="1:1" x14ac:dyDescent="0.25">
      <c r="A4866" t="s">
        <v>4728</v>
      </c>
    </row>
    <row r="4867" spans="1:1" x14ac:dyDescent="0.25">
      <c r="A4867" t="s">
        <v>4729</v>
      </c>
    </row>
    <row r="4868" spans="1:1" x14ac:dyDescent="0.25">
      <c r="A4868" t="s">
        <v>5706</v>
      </c>
    </row>
    <row r="4869" spans="1:1" x14ac:dyDescent="0.25">
      <c r="A4869" t="s">
        <v>4731</v>
      </c>
    </row>
    <row r="4871" spans="1:1" x14ac:dyDescent="0.25">
      <c r="A4871" t="s">
        <v>4722</v>
      </c>
    </row>
    <row r="4872" spans="1:1" x14ac:dyDescent="0.25">
      <c r="A4872" t="s">
        <v>4723</v>
      </c>
    </row>
    <row r="4873" spans="1:1" x14ac:dyDescent="0.25">
      <c r="A4873" t="s">
        <v>5707</v>
      </c>
    </row>
    <row r="4874" spans="1:1" x14ac:dyDescent="0.25">
      <c r="A4874" t="s">
        <v>5686</v>
      </c>
    </row>
    <row r="4875" spans="1:1" x14ac:dyDescent="0.25">
      <c r="A4875" t="s">
        <v>5037</v>
      </c>
    </row>
    <row r="4876" spans="1:1" x14ac:dyDescent="0.25">
      <c r="A4876" t="s">
        <v>4727</v>
      </c>
    </row>
    <row r="4877" spans="1:1" x14ac:dyDescent="0.25">
      <c r="A4877" t="s">
        <v>4728</v>
      </c>
    </row>
    <row r="4878" spans="1:1" x14ac:dyDescent="0.25">
      <c r="A4878" t="s">
        <v>5708</v>
      </c>
    </row>
    <row r="4879" spans="1:1" x14ac:dyDescent="0.25">
      <c r="A4879" t="s">
        <v>5709</v>
      </c>
    </row>
    <row r="4880" spans="1:1" x14ac:dyDescent="0.25">
      <c r="A4880" t="s">
        <v>4731</v>
      </c>
    </row>
    <row r="4882" spans="1:1" x14ac:dyDescent="0.25">
      <c r="A4882" t="s">
        <v>4722</v>
      </c>
    </row>
    <row r="4883" spans="1:1" x14ac:dyDescent="0.25">
      <c r="A4883" t="s">
        <v>4723</v>
      </c>
    </row>
    <row r="4884" spans="1:1" x14ac:dyDescent="0.25">
      <c r="A4884" t="s">
        <v>5710</v>
      </c>
    </row>
    <row r="4885" spans="1:1" x14ac:dyDescent="0.25">
      <c r="A4885" t="s">
        <v>5690</v>
      </c>
    </row>
    <row r="4886" spans="1:1" x14ac:dyDescent="0.25">
      <c r="A4886" t="s">
        <v>5220</v>
      </c>
    </row>
    <row r="4887" spans="1:1" x14ac:dyDescent="0.25">
      <c r="A4887" t="s">
        <v>4727</v>
      </c>
    </row>
    <row r="4888" spans="1:1" x14ac:dyDescent="0.25">
      <c r="A4888" t="s">
        <v>4742</v>
      </c>
    </row>
    <row r="4889" spans="1:1" x14ac:dyDescent="0.25">
      <c r="A4889" t="s">
        <v>4728</v>
      </c>
    </row>
    <row r="4890" spans="1:1" x14ac:dyDescent="0.25">
      <c r="A4890" t="s">
        <v>5691</v>
      </c>
    </row>
    <row r="4891" spans="1:1" x14ac:dyDescent="0.25">
      <c r="A4891" t="s">
        <v>5711</v>
      </c>
    </row>
    <row r="4892" spans="1:1" x14ac:dyDescent="0.25">
      <c r="A4892" t="s">
        <v>4731</v>
      </c>
    </row>
    <row r="4894" spans="1:1" x14ac:dyDescent="0.25">
      <c r="A4894" t="s">
        <v>4722</v>
      </c>
    </row>
    <row r="4895" spans="1:1" x14ac:dyDescent="0.25">
      <c r="A4895" t="s">
        <v>4723</v>
      </c>
    </row>
    <row r="4896" spans="1:1" x14ac:dyDescent="0.25">
      <c r="A4896" t="s">
        <v>5712</v>
      </c>
    </row>
    <row r="4897" spans="1:1" x14ac:dyDescent="0.25">
      <c r="A4897" t="s">
        <v>5694</v>
      </c>
    </row>
    <row r="4898" spans="1:1" x14ac:dyDescent="0.25">
      <c r="A4898" t="s">
        <v>5695</v>
      </c>
    </row>
    <row r="4899" spans="1:1" x14ac:dyDescent="0.25">
      <c r="A4899" t="s">
        <v>4727</v>
      </c>
    </row>
    <row r="4900" spans="1:1" x14ac:dyDescent="0.25">
      <c r="A4900" t="s">
        <v>4728</v>
      </c>
    </row>
    <row r="4901" spans="1:1" x14ac:dyDescent="0.25">
      <c r="A4901" t="s">
        <v>4729</v>
      </c>
    </row>
    <row r="4902" spans="1:1" x14ac:dyDescent="0.25">
      <c r="A4902" t="s">
        <v>5713</v>
      </c>
    </row>
    <row r="4903" spans="1:1" x14ac:dyDescent="0.25">
      <c r="A4903" t="s">
        <v>4731</v>
      </c>
    </row>
    <row r="4905" spans="1:1" x14ac:dyDescent="0.25">
      <c r="A4905" t="s">
        <v>4722</v>
      </c>
    </row>
    <row r="4906" spans="1:1" x14ac:dyDescent="0.25">
      <c r="A4906" t="s">
        <v>4723</v>
      </c>
    </row>
    <row r="4907" spans="1:1" x14ac:dyDescent="0.25">
      <c r="A4907" t="s">
        <v>5714</v>
      </c>
    </row>
    <row r="4908" spans="1:1" x14ac:dyDescent="0.25">
      <c r="A4908" t="s">
        <v>5698</v>
      </c>
    </row>
    <row r="4909" spans="1:1" x14ac:dyDescent="0.25">
      <c r="A4909" t="s">
        <v>5695</v>
      </c>
    </row>
    <row r="4910" spans="1:1" x14ac:dyDescent="0.25">
      <c r="A4910" t="s">
        <v>4727</v>
      </c>
    </row>
    <row r="4911" spans="1:1" x14ac:dyDescent="0.25">
      <c r="A4911" t="s">
        <v>4728</v>
      </c>
    </row>
    <row r="4912" spans="1:1" x14ac:dyDescent="0.25">
      <c r="A4912" t="s">
        <v>4729</v>
      </c>
    </row>
    <row r="4913" spans="1:1" x14ac:dyDescent="0.25">
      <c r="A4913" t="s">
        <v>5715</v>
      </c>
    </row>
    <row r="4914" spans="1:1" x14ac:dyDescent="0.25">
      <c r="A4914" t="s">
        <v>4731</v>
      </c>
    </row>
    <row r="4916" spans="1:1" x14ac:dyDescent="0.25">
      <c r="A4916" t="s">
        <v>4722</v>
      </c>
    </row>
    <row r="4917" spans="1:1" x14ac:dyDescent="0.25">
      <c r="A4917" t="s">
        <v>4723</v>
      </c>
    </row>
    <row r="4918" spans="1:1" x14ac:dyDescent="0.25">
      <c r="A4918" t="s">
        <v>5716</v>
      </c>
    </row>
    <row r="4919" spans="1:1" x14ac:dyDescent="0.25">
      <c r="A4919" t="s">
        <v>5717</v>
      </c>
    </row>
    <row r="4920" spans="1:1" x14ac:dyDescent="0.25">
      <c r="A4920" t="s">
        <v>5677</v>
      </c>
    </row>
    <row r="4921" spans="1:1" x14ac:dyDescent="0.25">
      <c r="A4921" t="s">
        <v>4727</v>
      </c>
    </row>
    <row r="4922" spans="1:1" x14ac:dyDescent="0.25">
      <c r="A4922" t="s">
        <v>4728</v>
      </c>
    </row>
    <row r="4923" spans="1:1" x14ac:dyDescent="0.25">
      <c r="A4923" t="s">
        <v>4729</v>
      </c>
    </row>
    <row r="4924" spans="1:1" x14ac:dyDescent="0.25">
      <c r="A4924" t="s">
        <v>5718</v>
      </c>
    </row>
    <row r="4925" spans="1:1" x14ac:dyDescent="0.25">
      <c r="A4925" t="s">
        <v>4731</v>
      </c>
    </row>
    <row r="4927" spans="1:1" x14ac:dyDescent="0.25">
      <c r="A4927" t="s">
        <v>4722</v>
      </c>
    </row>
    <row r="4928" spans="1:1" x14ac:dyDescent="0.25">
      <c r="A4928" t="s">
        <v>4723</v>
      </c>
    </row>
    <row r="4929" spans="1:1" x14ac:dyDescent="0.25">
      <c r="A4929" t="s">
        <v>5719</v>
      </c>
    </row>
    <row r="4930" spans="1:1" x14ac:dyDescent="0.25">
      <c r="A4930" t="s">
        <v>5720</v>
      </c>
    </row>
    <row r="4931" spans="1:1" x14ac:dyDescent="0.25">
      <c r="A4931" t="s">
        <v>5677</v>
      </c>
    </row>
    <row r="4932" spans="1:1" x14ac:dyDescent="0.25">
      <c r="A4932" t="s">
        <v>4727</v>
      </c>
    </row>
    <row r="4933" spans="1:1" x14ac:dyDescent="0.25">
      <c r="A4933" t="s">
        <v>4728</v>
      </c>
    </row>
    <row r="4934" spans="1:1" x14ac:dyDescent="0.25">
      <c r="A4934" t="s">
        <v>4729</v>
      </c>
    </row>
    <row r="4935" spans="1:1" x14ac:dyDescent="0.25">
      <c r="A4935" t="s">
        <v>5721</v>
      </c>
    </row>
    <row r="4936" spans="1:1" x14ac:dyDescent="0.25">
      <c r="A4936" t="s">
        <v>4731</v>
      </c>
    </row>
    <row r="4938" spans="1:1" x14ac:dyDescent="0.25">
      <c r="A4938" t="s">
        <v>4722</v>
      </c>
    </row>
    <row r="4939" spans="1:1" x14ac:dyDescent="0.25">
      <c r="A4939" t="s">
        <v>4723</v>
      </c>
    </row>
    <row r="4940" spans="1:1" x14ac:dyDescent="0.25">
      <c r="A4940" t="s">
        <v>5722</v>
      </c>
    </row>
    <row r="4941" spans="1:1" x14ac:dyDescent="0.25">
      <c r="A4941" t="s">
        <v>5683</v>
      </c>
    </row>
    <row r="4942" spans="1:1" x14ac:dyDescent="0.25">
      <c r="A4942" t="s">
        <v>5677</v>
      </c>
    </row>
    <row r="4943" spans="1:1" x14ac:dyDescent="0.25">
      <c r="A4943" t="s">
        <v>4727</v>
      </c>
    </row>
    <row r="4944" spans="1:1" x14ac:dyDescent="0.25">
      <c r="A4944" t="s">
        <v>4728</v>
      </c>
    </row>
    <row r="4945" spans="1:1" x14ac:dyDescent="0.25">
      <c r="A4945" t="s">
        <v>4729</v>
      </c>
    </row>
    <row r="4946" spans="1:1" x14ac:dyDescent="0.25">
      <c r="A4946" t="s">
        <v>5723</v>
      </c>
    </row>
    <row r="4947" spans="1:1" x14ac:dyDescent="0.25">
      <c r="A4947" t="s">
        <v>4731</v>
      </c>
    </row>
    <row r="4949" spans="1:1" x14ac:dyDescent="0.25">
      <c r="A4949" t="s">
        <v>4722</v>
      </c>
    </row>
    <row r="4950" spans="1:1" x14ac:dyDescent="0.25">
      <c r="A4950" t="s">
        <v>4723</v>
      </c>
    </row>
    <row r="4951" spans="1:1" x14ac:dyDescent="0.25">
      <c r="A4951" t="s">
        <v>5724</v>
      </c>
    </row>
    <row r="4952" spans="1:1" x14ac:dyDescent="0.25">
      <c r="A4952" t="s">
        <v>5725</v>
      </c>
    </row>
    <row r="4953" spans="1:1" x14ac:dyDescent="0.25">
      <c r="A4953" t="s">
        <v>5677</v>
      </c>
    </row>
    <row r="4954" spans="1:1" x14ac:dyDescent="0.25">
      <c r="A4954" t="s">
        <v>4727</v>
      </c>
    </row>
    <row r="4955" spans="1:1" x14ac:dyDescent="0.25">
      <c r="A4955" t="s">
        <v>4728</v>
      </c>
    </row>
    <row r="4956" spans="1:1" x14ac:dyDescent="0.25">
      <c r="A4956" t="s">
        <v>4792</v>
      </c>
    </row>
    <row r="4957" spans="1:1" x14ac:dyDescent="0.25">
      <c r="A4957" t="s">
        <v>5726</v>
      </c>
    </row>
    <row r="4958" spans="1:1" x14ac:dyDescent="0.25">
      <c r="A4958" t="s">
        <v>4731</v>
      </c>
    </row>
    <row r="4960" spans="1:1" x14ac:dyDescent="0.25">
      <c r="A4960" t="s">
        <v>4722</v>
      </c>
    </row>
    <row r="4961" spans="1:1" x14ac:dyDescent="0.25">
      <c r="A4961" t="s">
        <v>4723</v>
      </c>
    </row>
    <row r="4962" spans="1:1" x14ac:dyDescent="0.25">
      <c r="A4962" t="s">
        <v>5727</v>
      </c>
    </row>
    <row r="4963" spans="1:1" x14ac:dyDescent="0.25">
      <c r="A4963" t="s">
        <v>5728</v>
      </c>
    </row>
    <row r="4964" spans="1:1" x14ac:dyDescent="0.25">
      <c r="A4964" t="s">
        <v>5677</v>
      </c>
    </row>
    <row r="4965" spans="1:1" x14ac:dyDescent="0.25">
      <c r="A4965" t="s">
        <v>4727</v>
      </c>
    </row>
    <row r="4966" spans="1:1" x14ac:dyDescent="0.25">
      <c r="A4966" t="s">
        <v>4728</v>
      </c>
    </row>
    <row r="4967" spans="1:1" x14ac:dyDescent="0.25">
      <c r="A4967" t="s">
        <v>4792</v>
      </c>
    </row>
    <row r="4968" spans="1:1" x14ac:dyDescent="0.25">
      <c r="A4968" t="s">
        <v>5729</v>
      </c>
    </row>
    <row r="4969" spans="1:1" x14ac:dyDescent="0.25">
      <c r="A4969" t="s">
        <v>4731</v>
      </c>
    </row>
    <row r="4971" spans="1:1" x14ac:dyDescent="0.25">
      <c r="A4971" t="s">
        <v>4722</v>
      </c>
    </row>
    <row r="4972" spans="1:1" x14ac:dyDescent="0.25">
      <c r="A4972" t="s">
        <v>4723</v>
      </c>
    </row>
    <row r="4973" spans="1:1" x14ac:dyDescent="0.25">
      <c r="A4973" t="s">
        <v>5730</v>
      </c>
    </row>
    <row r="4974" spans="1:1" x14ac:dyDescent="0.25">
      <c r="A4974" t="s">
        <v>5686</v>
      </c>
    </row>
    <row r="4975" spans="1:1" x14ac:dyDescent="0.25">
      <c r="A4975" t="s">
        <v>5037</v>
      </c>
    </row>
    <row r="4976" spans="1:1" x14ac:dyDescent="0.25">
      <c r="A4976" t="s">
        <v>4727</v>
      </c>
    </row>
    <row r="4977" spans="1:1" x14ac:dyDescent="0.25">
      <c r="A4977" t="s">
        <v>4728</v>
      </c>
    </row>
    <row r="4978" spans="1:1" x14ac:dyDescent="0.25">
      <c r="A4978" t="s">
        <v>5731</v>
      </c>
    </row>
    <row r="4979" spans="1:1" x14ac:dyDescent="0.25">
      <c r="A4979" t="s">
        <v>5732</v>
      </c>
    </row>
    <row r="4980" spans="1:1" x14ac:dyDescent="0.25">
      <c r="A4980" t="s">
        <v>4731</v>
      </c>
    </row>
    <row r="4982" spans="1:1" x14ac:dyDescent="0.25">
      <c r="A4982" t="s">
        <v>4722</v>
      </c>
    </row>
    <row r="4983" spans="1:1" x14ac:dyDescent="0.25">
      <c r="A4983" t="s">
        <v>4723</v>
      </c>
    </row>
    <row r="4984" spans="1:1" x14ac:dyDescent="0.25">
      <c r="A4984" t="s">
        <v>5733</v>
      </c>
    </row>
    <row r="4985" spans="1:1" x14ac:dyDescent="0.25">
      <c r="A4985" t="s">
        <v>5690</v>
      </c>
    </row>
    <row r="4986" spans="1:1" x14ac:dyDescent="0.25">
      <c r="A4986" t="s">
        <v>5220</v>
      </c>
    </row>
    <row r="4987" spans="1:1" x14ac:dyDescent="0.25">
      <c r="A4987" t="s">
        <v>4727</v>
      </c>
    </row>
    <row r="4988" spans="1:1" x14ac:dyDescent="0.25">
      <c r="A4988" t="s">
        <v>4742</v>
      </c>
    </row>
    <row r="4989" spans="1:1" x14ac:dyDescent="0.25">
      <c r="A4989" t="s">
        <v>4728</v>
      </c>
    </row>
    <row r="4990" spans="1:1" x14ac:dyDescent="0.25">
      <c r="A4990" t="s">
        <v>5691</v>
      </c>
    </row>
    <row r="4991" spans="1:1" x14ac:dyDescent="0.25">
      <c r="A4991" t="s">
        <v>5734</v>
      </c>
    </row>
    <row r="4992" spans="1:1" x14ac:dyDescent="0.25">
      <c r="A4992" t="s">
        <v>4731</v>
      </c>
    </row>
    <row r="4994" spans="1:1" x14ac:dyDescent="0.25">
      <c r="A4994" t="s">
        <v>4722</v>
      </c>
    </row>
    <row r="4995" spans="1:1" x14ac:dyDescent="0.25">
      <c r="A4995" t="s">
        <v>4723</v>
      </c>
    </row>
    <row r="4996" spans="1:1" x14ac:dyDescent="0.25">
      <c r="A4996" t="s">
        <v>5735</v>
      </c>
    </row>
    <row r="4997" spans="1:1" x14ac:dyDescent="0.25">
      <c r="A4997" t="s">
        <v>5694</v>
      </c>
    </row>
    <row r="4998" spans="1:1" x14ac:dyDescent="0.25">
      <c r="A4998" t="s">
        <v>5695</v>
      </c>
    </row>
    <row r="4999" spans="1:1" x14ac:dyDescent="0.25">
      <c r="A4999" t="s">
        <v>4727</v>
      </c>
    </row>
    <row r="5000" spans="1:1" x14ac:dyDescent="0.25">
      <c r="A5000" t="s">
        <v>4728</v>
      </c>
    </row>
    <row r="5001" spans="1:1" x14ac:dyDescent="0.25">
      <c r="A5001" t="s">
        <v>4729</v>
      </c>
    </row>
    <row r="5002" spans="1:1" x14ac:dyDescent="0.25">
      <c r="A5002" t="s">
        <v>5736</v>
      </c>
    </row>
    <row r="5003" spans="1:1" x14ac:dyDescent="0.25">
      <c r="A5003" t="s">
        <v>4731</v>
      </c>
    </row>
    <row r="5005" spans="1:1" x14ac:dyDescent="0.25">
      <c r="A5005" t="s">
        <v>4722</v>
      </c>
    </row>
    <row r="5006" spans="1:1" x14ac:dyDescent="0.25">
      <c r="A5006" t="s">
        <v>4723</v>
      </c>
    </row>
    <row r="5007" spans="1:1" x14ac:dyDescent="0.25">
      <c r="A5007" t="s">
        <v>5737</v>
      </c>
    </row>
    <row r="5008" spans="1:1" x14ac:dyDescent="0.25">
      <c r="A5008" t="s">
        <v>5698</v>
      </c>
    </row>
    <row r="5009" spans="1:1" x14ac:dyDescent="0.25">
      <c r="A5009" t="s">
        <v>5695</v>
      </c>
    </row>
    <row r="5010" spans="1:1" x14ac:dyDescent="0.25">
      <c r="A5010" t="s">
        <v>4727</v>
      </c>
    </row>
    <row r="5011" spans="1:1" x14ac:dyDescent="0.25">
      <c r="A5011" t="s">
        <v>4728</v>
      </c>
    </row>
    <row r="5012" spans="1:1" x14ac:dyDescent="0.25">
      <c r="A5012" t="s">
        <v>4729</v>
      </c>
    </row>
    <row r="5013" spans="1:1" x14ac:dyDescent="0.25">
      <c r="A5013" t="s">
        <v>5738</v>
      </c>
    </row>
    <row r="5014" spans="1:1" x14ac:dyDescent="0.25">
      <c r="A5014" t="s">
        <v>4731</v>
      </c>
    </row>
    <row r="5016" spans="1:1" x14ac:dyDescent="0.25">
      <c r="A5016" t="s">
        <v>3184</v>
      </c>
    </row>
    <row r="5017" spans="1:1" x14ac:dyDescent="0.25">
      <c r="A5017" t="s">
        <v>3185</v>
      </c>
    </row>
    <row r="5018" spans="1:1" x14ac:dyDescent="0.25">
      <c r="A5018" t="s">
        <v>3186</v>
      </c>
    </row>
    <row r="5019" spans="1:1" x14ac:dyDescent="0.25">
      <c r="A5019" t="s">
        <v>3187</v>
      </c>
    </row>
    <row r="5020" spans="1:1" x14ac:dyDescent="0.25">
      <c r="A5020" t="s">
        <v>3188</v>
      </c>
    </row>
    <row r="5021" spans="1:1" x14ac:dyDescent="0.25">
      <c r="A5021" t="s">
        <v>3189</v>
      </c>
    </row>
    <row r="5022" spans="1:1" x14ac:dyDescent="0.25">
      <c r="A5022" t="s">
        <v>3190</v>
      </c>
    </row>
    <row r="5023" spans="1:1" x14ac:dyDescent="0.25">
      <c r="A5023" t="s">
        <v>3191</v>
      </c>
    </row>
    <row r="5024" spans="1:1" x14ac:dyDescent="0.25">
      <c r="A5024" t="s">
        <v>3192</v>
      </c>
    </row>
    <row r="5025" spans="1:1" x14ac:dyDescent="0.25">
      <c r="A5025" t="s">
        <v>3193</v>
      </c>
    </row>
    <row r="5026" spans="1:1" x14ac:dyDescent="0.25">
      <c r="A5026" t="s">
        <v>3194</v>
      </c>
    </row>
    <row r="5028" spans="1:1" x14ac:dyDescent="0.25">
      <c r="A5028" t="s">
        <v>3184</v>
      </c>
    </row>
    <row r="5029" spans="1:1" x14ac:dyDescent="0.25">
      <c r="A5029" t="s">
        <v>3185</v>
      </c>
    </row>
    <row r="5030" spans="1:1" x14ac:dyDescent="0.25">
      <c r="A5030" t="s">
        <v>3195</v>
      </c>
    </row>
    <row r="5031" spans="1:1" x14ac:dyDescent="0.25">
      <c r="A5031" t="s">
        <v>3196</v>
      </c>
    </row>
    <row r="5032" spans="1:1" x14ac:dyDescent="0.25">
      <c r="A5032" t="s">
        <v>3188</v>
      </c>
    </row>
    <row r="5033" spans="1:1" x14ac:dyDescent="0.25">
      <c r="A5033" t="s">
        <v>3189</v>
      </c>
    </row>
    <row r="5034" spans="1:1" x14ac:dyDescent="0.25">
      <c r="A5034" t="s">
        <v>3190</v>
      </c>
    </row>
    <row r="5035" spans="1:1" x14ac:dyDescent="0.25">
      <c r="A5035" t="s">
        <v>3191</v>
      </c>
    </row>
    <row r="5036" spans="1:1" x14ac:dyDescent="0.25">
      <c r="A5036" t="s">
        <v>3197</v>
      </c>
    </row>
    <row r="5037" spans="1:1" x14ac:dyDescent="0.25">
      <c r="A5037" t="s">
        <v>3193</v>
      </c>
    </row>
    <row r="5038" spans="1:1" x14ac:dyDescent="0.25">
      <c r="A5038" t="s">
        <v>3194</v>
      </c>
    </row>
    <row r="5040" spans="1:1" x14ac:dyDescent="0.25">
      <c r="A5040" t="s">
        <v>3184</v>
      </c>
    </row>
    <row r="5041" spans="1:1" x14ac:dyDescent="0.25">
      <c r="A5041" t="s">
        <v>3185</v>
      </c>
    </row>
    <row r="5042" spans="1:1" x14ac:dyDescent="0.25">
      <c r="A5042" t="s">
        <v>3198</v>
      </c>
    </row>
    <row r="5043" spans="1:1" x14ac:dyDescent="0.25">
      <c r="A5043" t="s">
        <v>3190</v>
      </c>
    </row>
    <row r="5044" spans="1:1" x14ac:dyDescent="0.25">
      <c r="A5044" t="s">
        <v>3199</v>
      </c>
    </row>
    <row r="5045" spans="1:1" x14ac:dyDescent="0.25">
      <c r="A5045" t="s">
        <v>3200</v>
      </c>
    </row>
    <row r="5046" spans="1:1" x14ac:dyDescent="0.25">
      <c r="A5046" t="s">
        <v>3193</v>
      </c>
    </row>
    <row r="5047" spans="1:1" x14ac:dyDescent="0.25">
      <c r="A5047" t="s">
        <v>3194</v>
      </c>
    </row>
    <row r="5049" spans="1:1" x14ac:dyDescent="0.25">
      <c r="A5049" t="s">
        <v>3184</v>
      </c>
    </row>
    <row r="5050" spans="1:1" x14ac:dyDescent="0.25">
      <c r="A5050" t="s">
        <v>3185</v>
      </c>
    </row>
    <row r="5051" spans="1:1" x14ac:dyDescent="0.25">
      <c r="A5051" t="s">
        <v>3201</v>
      </c>
    </row>
    <row r="5052" spans="1:1" x14ac:dyDescent="0.25">
      <c r="A5052" t="s">
        <v>3190</v>
      </c>
    </row>
    <row r="5053" spans="1:1" x14ac:dyDescent="0.25">
      <c r="A5053" t="s">
        <v>3202</v>
      </c>
    </row>
    <row r="5054" spans="1:1" x14ac:dyDescent="0.25">
      <c r="A5054" t="s">
        <v>3203</v>
      </c>
    </row>
    <row r="5055" spans="1:1" x14ac:dyDescent="0.25">
      <c r="A5055" t="s">
        <v>3193</v>
      </c>
    </row>
    <row r="5056" spans="1:1" x14ac:dyDescent="0.25">
      <c r="A5056" t="s">
        <v>3194</v>
      </c>
    </row>
    <row r="5058" spans="1:1" x14ac:dyDescent="0.25">
      <c r="A5058" t="s">
        <v>3184</v>
      </c>
    </row>
    <row r="5059" spans="1:1" x14ac:dyDescent="0.25">
      <c r="A5059" t="s">
        <v>3185</v>
      </c>
    </row>
    <row r="5060" spans="1:1" x14ac:dyDescent="0.25">
      <c r="A5060" t="s">
        <v>3204</v>
      </c>
    </row>
    <row r="5061" spans="1:1" x14ac:dyDescent="0.25">
      <c r="A5061" t="s">
        <v>3205</v>
      </c>
    </row>
    <row r="5062" spans="1:1" x14ac:dyDescent="0.25">
      <c r="A5062" t="s">
        <v>3206</v>
      </c>
    </row>
    <row r="5063" spans="1:1" x14ac:dyDescent="0.25">
      <c r="A5063" t="s">
        <v>3207</v>
      </c>
    </row>
    <row r="5064" spans="1:1" x14ac:dyDescent="0.25">
      <c r="A5064" t="s">
        <v>3190</v>
      </c>
    </row>
    <row r="5065" spans="1:1" x14ac:dyDescent="0.25">
      <c r="A5065" t="s">
        <v>3208</v>
      </c>
    </row>
    <row r="5066" spans="1:1" x14ac:dyDescent="0.25">
      <c r="A5066" t="s">
        <v>3209</v>
      </c>
    </row>
    <row r="5067" spans="1:1" x14ac:dyDescent="0.25">
      <c r="A5067" t="s">
        <v>3210</v>
      </c>
    </row>
    <row r="5068" spans="1:1" x14ac:dyDescent="0.25">
      <c r="A5068" t="s">
        <v>3194</v>
      </c>
    </row>
    <row r="5070" spans="1:1" x14ac:dyDescent="0.25">
      <c r="A5070" t="s">
        <v>3184</v>
      </c>
    </row>
    <row r="5071" spans="1:1" x14ac:dyDescent="0.25">
      <c r="A5071" t="s">
        <v>3185</v>
      </c>
    </row>
    <row r="5072" spans="1:1" x14ac:dyDescent="0.25">
      <c r="A5072" t="s">
        <v>3211</v>
      </c>
    </row>
    <row r="5073" spans="1:1" x14ac:dyDescent="0.25">
      <c r="A5073" t="s">
        <v>3212</v>
      </c>
    </row>
    <row r="5074" spans="1:1" x14ac:dyDescent="0.25">
      <c r="A5074" t="s">
        <v>3213</v>
      </c>
    </row>
    <row r="5075" spans="1:1" x14ac:dyDescent="0.25">
      <c r="A5075" t="s">
        <v>3214</v>
      </c>
    </row>
    <row r="5076" spans="1:1" x14ac:dyDescent="0.25">
      <c r="A5076" t="s">
        <v>3190</v>
      </c>
    </row>
    <row r="5077" spans="1:1" x14ac:dyDescent="0.25">
      <c r="A5077" t="s">
        <v>3215</v>
      </c>
    </row>
    <row r="5078" spans="1:1" x14ac:dyDescent="0.25">
      <c r="A5078" t="s">
        <v>3216</v>
      </c>
    </row>
    <row r="5079" spans="1:1" x14ac:dyDescent="0.25">
      <c r="A5079" t="s">
        <v>3193</v>
      </c>
    </row>
    <row r="5080" spans="1:1" x14ac:dyDescent="0.25">
      <c r="A5080" t="s">
        <v>3194</v>
      </c>
    </row>
    <row r="5082" spans="1:1" x14ac:dyDescent="0.25">
      <c r="A5082" t="s">
        <v>3184</v>
      </c>
    </row>
    <row r="5083" spans="1:1" x14ac:dyDescent="0.25">
      <c r="A5083" t="s">
        <v>3185</v>
      </c>
    </row>
    <row r="5084" spans="1:1" x14ac:dyDescent="0.25">
      <c r="A5084" t="s">
        <v>3217</v>
      </c>
    </row>
    <row r="5085" spans="1:1" x14ac:dyDescent="0.25">
      <c r="A5085" t="s">
        <v>3218</v>
      </c>
    </row>
    <row r="5086" spans="1:1" x14ac:dyDescent="0.25">
      <c r="A5086" t="s">
        <v>3219</v>
      </c>
    </row>
    <row r="5087" spans="1:1" x14ac:dyDescent="0.25">
      <c r="A5087" t="s">
        <v>3214</v>
      </c>
    </row>
    <row r="5088" spans="1:1" x14ac:dyDescent="0.25">
      <c r="A5088" t="s">
        <v>3190</v>
      </c>
    </row>
    <row r="5089" spans="1:1" x14ac:dyDescent="0.25">
      <c r="A5089" t="s">
        <v>3220</v>
      </c>
    </row>
    <row r="5090" spans="1:1" x14ac:dyDescent="0.25">
      <c r="A5090" t="s">
        <v>3221</v>
      </c>
    </row>
    <row r="5091" spans="1:1" x14ac:dyDescent="0.25">
      <c r="A5091" t="s">
        <v>3193</v>
      </c>
    </row>
    <row r="5092" spans="1:1" x14ac:dyDescent="0.25">
      <c r="A5092" t="s">
        <v>3194</v>
      </c>
    </row>
    <row r="5094" spans="1:1" x14ac:dyDescent="0.25">
      <c r="A5094" t="s">
        <v>3184</v>
      </c>
    </row>
    <row r="5095" spans="1:1" x14ac:dyDescent="0.25">
      <c r="A5095" t="s">
        <v>3185</v>
      </c>
    </row>
    <row r="5096" spans="1:1" x14ac:dyDescent="0.25">
      <c r="A5096" t="s">
        <v>3222</v>
      </c>
    </row>
    <row r="5097" spans="1:1" x14ac:dyDescent="0.25">
      <c r="A5097" t="s">
        <v>3223</v>
      </c>
    </row>
    <row r="5098" spans="1:1" x14ac:dyDescent="0.25">
      <c r="A5098" t="s">
        <v>3224</v>
      </c>
    </row>
    <row r="5099" spans="1:1" x14ac:dyDescent="0.25">
      <c r="A5099" t="s">
        <v>3214</v>
      </c>
    </row>
    <row r="5100" spans="1:1" x14ac:dyDescent="0.25">
      <c r="A5100" t="s">
        <v>3190</v>
      </c>
    </row>
    <row r="5101" spans="1:1" x14ac:dyDescent="0.25">
      <c r="A5101" t="s">
        <v>3225</v>
      </c>
    </row>
    <row r="5102" spans="1:1" x14ac:dyDescent="0.25">
      <c r="A5102" t="s">
        <v>3226</v>
      </c>
    </row>
    <row r="5103" spans="1:1" x14ac:dyDescent="0.25">
      <c r="A5103" t="s">
        <v>3210</v>
      </c>
    </row>
    <row r="5104" spans="1:1" x14ac:dyDescent="0.25">
      <c r="A5104" t="s">
        <v>3194</v>
      </c>
    </row>
    <row r="5106" spans="1:1" x14ac:dyDescent="0.25">
      <c r="A5106" t="s">
        <v>3184</v>
      </c>
    </row>
    <row r="5107" spans="1:1" x14ac:dyDescent="0.25">
      <c r="A5107" t="s">
        <v>3185</v>
      </c>
    </row>
    <row r="5108" spans="1:1" x14ac:dyDescent="0.25">
      <c r="A5108" t="s">
        <v>3227</v>
      </c>
    </row>
    <row r="5109" spans="1:1" x14ac:dyDescent="0.25">
      <c r="A5109" t="s">
        <v>3228</v>
      </c>
    </row>
    <row r="5110" spans="1:1" x14ac:dyDescent="0.25">
      <c r="A5110" t="s">
        <v>3224</v>
      </c>
    </row>
    <row r="5111" spans="1:1" x14ac:dyDescent="0.25">
      <c r="A5111" t="s">
        <v>3214</v>
      </c>
    </row>
    <row r="5112" spans="1:1" x14ac:dyDescent="0.25">
      <c r="A5112" t="s">
        <v>3190</v>
      </c>
    </row>
    <row r="5113" spans="1:1" x14ac:dyDescent="0.25">
      <c r="A5113" t="s">
        <v>3225</v>
      </c>
    </row>
    <row r="5114" spans="1:1" x14ac:dyDescent="0.25">
      <c r="A5114" t="s">
        <v>3229</v>
      </c>
    </row>
    <row r="5115" spans="1:1" x14ac:dyDescent="0.25">
      <c r="A5115" t="s">
        <v>3210</v>
      </c>
    </row>
    <row r="5116" spans="1:1" x14ac:dyDescent="0.25">
      <c r="A5116" t="s">
        <v>3194</v>
      </c>
    </row>
    <row r="5118" spans="1:1" x14ac:dyDescent="0.25">
      <c r="A5118" t="s">
        <v>3184</v>
      </c>
    </row>
    <row r="5119" spans="1:1" x14ac:dyDescent="0.25">
      <c r="A5119" t="s">
        <v>3230</v>
      </c>
    </row>
    <row r="5120" spans="1:1" x14ac:dyDescent="0.25">
      <c r="A5120" t="s">
        <v>3231</v>
      </c>
    </row>
    <row r="5121" spans="1:1" x14ac:dyDescent="0.25">
      <c r="A5121" t="s">
        <v>3232</v>
      </c>
    </row>
    <row r="5122" spans="1:1" x14ac:dyDescent="0.25">
      <c r="A5122" t="s">
        <v>3233</v>
      </c>
    </row>
    <row r="5123" spans="1:1" x14ac:dyDescent="0.25">
      <c r="A5123" t="s">
        <v>3207</v>
      </c>
    </row>
    <row r="5124" spans="1:1" x14ac:dyDescent="0.25">
      <c r="A5124" t="s">
        <v>3234</v>
      </c>
    </row>
    <row r="5125" spans="1:1" x14ac:dyDescent="0.25">
      <c r="A5125" t="s">
        <v>3235</v>
      </c>
    </row>
    <row r="5126" spans="1:1" x14ac:dyDescent="0.25">
      <c r="A5126" t="s">
        <v>3236</v>
      </c>
    </row>
    <row r="5127" spans="1:1" x14ac:dyDescent="0.25">
      <c r="A5127" t="s">
        <v>3237</v>
      </c>
    </row>
    <row r="5128" spans="1:1" x14ac:dyDescent="0.25">
      <c r="A5128" t="s">
        <v>3194</v>
      </c>
    </row>
    <row r="5130" spans="1:1" x14ac:dyDescent="0.25">
      <c r="A5130" t="s">
        <v>3184</v>
      </c>
    </row>
    <row r="5131" spans="1:1" x14ac:dyDescent="0.25">
      <c r="A5131" t="s">
        <v>3238</v>
      </c>
    </row>
    <row r="5132" spans="1:1" x14ac:dyDescent="0.25">
      <c r="A5132" t="s">
        <v>3239</v>
      </c>
    </row>
    <row r="5133" spans="1:1" x14ac:dyDescent="0.25">
      <c r="A5133" t="s">
        <v>3240</v>
      </c>
    </row>
    <row r="5134" spans="1:1" x14ac:dyDescent="0.25">
      <c r="A5134" t="s">
        <v>3241</v>
      </c>
    </row>
    <row r="5135" spans="1:1" x14ac:dyDescent="0.25">
      <c r="A5135" t="s">
        <v>3214</v>
      </c>
    </row>
    <row r="5136" spans="1:1" x14ac:dyDescent="0.25">
      <c r="A5136" t="s">
        <v>3242</v>
      </c>
    </row>
    <row r="5137" spans="1:1" x14ac:dyDescent="0.25">
      <c r="A5137" t="s">
        <v>3243</v>
      </c>
    </row>
    <row r="5138" spans="1:1" x14ac:dyDescent="0.25">
      <c r="A5138" t="s">
        <v>3194</v>
      </c>
    </row>
    <row r="5140" spans="1:1" x14ac:dyDescent="0.25">
      <c r="A5140" t="s">
        <v>3184</v>
      </c>
    </row>
    <row r="5141" spans="1:1" x14ac:dyDescent="0.25">
      <c r="A5141" t="s">
        <v>3185</v>
      </c>
    </row>
    <row r="5142" spans="1:1" x14ac:dyDescent="0.25">
      <c r="A5142" t="s">
        <v>3244</v>
      </c>
    </row>
    <row r="5143" spans="1:1" x14ac:dyDescent="0.25">
      <c r="A5143" t="s">
        <v>3245</v>
      </c>
    </row>
    <row r="5144" spans="1:1" x14ac:dyDescent="0.25">
      <c r="A5144" t="s">
        <v>3246</v>
      </c>
    </row>
    <row r="5145" spans="1:1" x14ac:dyDescent="0.25">
      <c r="A5145" t="s">
        <v>3214</v>
      </c>
    </row>
    <row r="5146" spans="1:1" x14ac:dyDescent="0.25">
      <c r="A5146" t="s">
        <v>3190</v>
      </c>
    </row>
    <row r="5147" spans="1:1" x14ac:dyDescent="0.25">
      <c r="A5147" t="s">
        <v>3247</v>
      </c>
    </row>
    <row r="5148" spans="1:1" x14ac:dyDescent="0.25">
      <c r="A5148" t="s">
        <v>3248</v>
      </c>
    </row>
    <row r="5149" spans="1:1" x14ac:dyDescent="0.25">
      <c r="A5149" t="s">
        <v>3193</v>
      </c>
    </row>
    <row r="5150" spans="1:1" x14ac:dyDescent="0.25">
      <c r="A5150" t="s">
        <v>3249</v>
      </c>
    </row>
    <row r="5151" spans="1:1" x14ac:dyDescent="0.25">
      <c r="A5151" t="s">
        <v>3194</v>
      </c>
    </row>
    <row r="5153" spans="1:1" x14ac:dyDescent="0.25">
      <c r="A5153" t="s">
        <v>3184</v>
      </c>
    </row>
    <row r="5154" spans="1:1" x14ac:dyDescent="0.25">
      <c r="A5154" t="s">
        <v>3185</v>
      </c>
    </row>
    <row r="5155" spans="1:1" x14ac:dyDescent="0.25">
      <c r="A5155" t="s">
        <v>3250</v>
      </c>
    </row>
    <row r="5156" spans="1:1" x14ac:dyDescent="0.25">
      <c r="A5156" t="s">
        <v>3251</v>
      </c>
    </row>
    <row r="5157" spans="1:1" x14ac:dyDescent="0.25">
      <c r="A5157" t="s">
        <v>3252</v>
      </c>
    </row>
    <row r="5158" spans="1:1" x14ac:dyDescent="0.25">
      <c r="A5158" t="s">
        <v>3214</v>
      </c>
    </row>
    <row r="5159" spans="1:1" x14ac:dyDescent="0.25">
      <c r="A5159" t="s">
        <v>3190</v>
      </c>
    </row>
    <row r="5160" spans="1:1" x14ac:dyDescent="0.25">
      <c r="A5160" t="s">
        <v>3247</v>
      </c>
    </row>
    <row r="5161" spans="1:1" x14ac:dyDescent="0.25">
      <c r="A5161" t="s">
        <v>3253</v>
      </c>
    </row>
    <row r="5162" spans="1:1" x14ac:dyDescent="0.25">
      <c r="A5162" t="s">
        <v>3249</v>
      </c>
    </row>
    <row r="5163" spans="1:1" x14ac:dyDescent="0.25">
      <c r="A5163" t="s">
        <v>3193</v>
      </c>
    </row>
    <row r="5164" spans="1:1" x14ac:dyDescent="0.25">
      <c r="A5164" t="s">
        <v>3194</v>
      </c>
    </row>
    <row r="5166" spans="1:1" x14ac:dyDescent="0.25">
      <c r="A5166" t="s">
        <v>3184</v>
      </c>
    </row>
    <row r="5167" spans="1:1" x14ac:dyDescent="0.25">
      <c r="A5167" t="s">
        <v>3185</v>
      </c>
    </row>
    <row r="5168" spans="1:1" x14ac:dyDescent="0.25">
      <c r="A5168" t="s">
        <v>3254</v>
      </c>
    </row>
    <row r="5169" spans="1:1" x14ac:dyDescent="0.25">
      <c r="A5169" t="s">
        <v>3255</v>
      </c>
    </row>
    <row r="5170" spans="1:1" x14ac:dyDescent="0.25">
      <c r="A5170" t="s">
        <v>3256</v>
      </c>
    </row>
    <row r="5171" spans="1:1" x14ac:dyDescent="0.25">
      <c r="A5171" t="s">
        <v>3214</v>
      </c>
    </row>
    <row r="5172" spans="1:1" x14ac:dyDescent="0.25">
      <c r="A5172" t="s">
        <v>3190</v>
      </c>
    </row>
    <row r="5173" spans="1:1" x14ac:dyDescent="0.25">
      <c r="A5173" t="s">
        <v>3257</v>
      </c>
    </row>
    <row r="5174" spans="1:1" x14ac:dyDescent="0.25">
      <c r="A5174" t="s">
        <v>3258</v>
      </c>
    </row>
    <row r="5175" spans="1:1" x14ac:dyDescent="0.25">
      <c r="A5175" t="s">
        <v>3193</v>
      </c>
    </row>
    <row r="5176" spans="1:1" x14ac:dyDescent="0.25">
      <c r="A5176" t="s">
        <v>3194</v>
      </c>
    </row>
    <row r="5178" spans="1:1" x14ac:dyDescent="0.25">
      <c r="A5178" t="s">
        <v>3184</v>
      </c>
    </row>
    <row r="5179" spans="1:1" x14ac:dyDescent="0.25">
      <c r="A5179" t="s">
        <v>3185</v>
      </c>
    </row>
    <row r="5180" spans="1:1" x14ac:dyDescent="0.25">
      <c r="A5180" t="s">
        <v>3259</v>
      </c>
    </row>
    <row r="5181" spans="1:1" x14ac:dyDescent="0.25">
      <c r="A5181" t="s">
        <v>3260</v>
      </c>
    </row>
    <row r="5182" spans="1:1" x14ac:dyDescent="0.25">
      <c r="A5182" t="s">
        <v>3256</v>
      </c>
    </row>
    <row r="5183" spans="1:1" x14ac:dyDescent="0.25">
      <c r="A5183" t="s">
        <v>3214</v>
      </c>
    </row>
    <row r="5184" spans="1:1" x14ac:dyDescent="0.25">
      <c r="A5184" t="s">
        <v>3190</v>
      </c>
    </row>
    <row r="5185" spans="1:1" x14ac:dyDescent="0.25">
      <c r="A5185" t="s">
        <v>3261</v>
      </c>
    </row>
    <row r="5186" spans="1:1" x14ac:dyDescent="0.25">
      <c r="A5186" t="s">
        <v>3262</v>
      </c>
    </row>
    <row r="5187" spans="1:1" x14ac:dyDescent="0.25">
      <c r="A5187" t="s">
        <v>3193</v>
      </c>
    </row>
    <row r="5188" spans="1:1" x14ac:dyDescent="0.25">
      <c r="A5188" t="s">
        <v>3194</v>
      </c>
    </row>
    <row r="5190" spans="1:1" x14ac:dyDescent="0.25">
      <c r="A5190" t="s">
        <v>3184</v>
      </c>
    </row>
    <row r="5191" spans="1:1" x14ac:dyDescent="0.25">
      <c r="A5191" t="s">
        <v>3185</v>
      </c>
    </row>
    <row r="5192" spans="1:1" x14ac:dyDescent="0.25">
      <c r="A5192" t="s">
        <v>3263</v>
      </c>
    </row>
    <row r="5193" spans="1:1" x14ac:dyDescent="0.25">
      <c r="A5193" t="s">
        <v>3264</v>
      </c>
    </row>
    <row r="5194" spans="1:1" x14ac:dyDescent="0.25">
      <c r="A5194" t="s">
        <v>3265</v>
      </c>
    </row>
    <row r="5195" spans="1:1" x14ac:dyDescent="0.25">
      <c r="A5195" t="s">
        <v>3214</v>
      </c>
    </row>
    <row r="5196" spans="1:1" x14ac:dyDescent="0.25">
      <c r="A5196" t="s">
        <v>3190</v>
      </c>
    </row>
    <row r="5197" spans="1:1" x14ac:dyDescent="0.25">
      <c r="A5197" t="s">
        <v>3266</v>
      </c>
    </row>
    <row r="5198" spans="1:1" x14ac:dyDescent="0.25">
      <c r="A5198" t="s">
        <v>3267</v>
      </c>
    </row>
    <row r="5199" spans="1:1" x14ac:dyDescent="0.25">
      <c r="A5199" t="s">
        <v>3193</v>
      </c>
    </row>
    <row r="5200" spans="1:1" x14ac:dyDescent="0.25">
      <c r="A5200" t="s">
        <v>3194</v>
      </c>
    </row>
    <row r="5202" spans="1:1" x14ac:dyDescent="0.25">
      <c r="A5202" t="s">
        <v>3184</v>
      </c>
    </row>
    <row r="5203" spans="1:1" x14ac:dyDescent="0.25">
      <c r="A5203" t="s">
        <v>3185</v>
      </c>
    </row>
    <row r="5204" spans="1:1" x14ac:dyDescent="0.25">
      <c r="A5204" t="s">
        <v>3268</v>
      </c>
    </row>
    <row r="5205" spans="1:1" x14ac:dyDescent="0.25">
      <c r="A5205" t="s">
        <v>3269</v>
      </c>
    </row>
    <row r="5206" spans="1:1" x14ac:dyDescent="0.25">
      <c r="A5206" t="s">
        <v>3270</v>
      </c>
    </row>
    <row r="5207" spans="1:1" x14ac:dyDescent="0.25">
      <c r="A5207" t="s">
        <v>3214</v>
      </c>
    </row>
    <row r="5208" spans="1:1" x14ac:dyDescent="0.25">
      <c r="A5208" t="s">
        <v>3190</v>
      </c>
    </row>
    <row r="5209" spans="1:1" x14ac:dyDescent="0.25">
      <c r="A5209" t="s">
        <v>3215</v>
      </c>
    </row>
    <row r="5210" spans="1:1" x14ac:dyDescent="0.25">
      <c r="A5210" t="s">
        <v>3271</v>
      </c>
    </row>
    <row r="5211" spans="1:1" x14ac:dyDescent="0.25">
      <c r="A5211" t="s">
        <v>3193</v>
      </c>
    </row>
    <row r="5212" spans="1:1" x14ac:dyDescent="0.25">
      <c r="A5212" t="s">
        <v>3194</v>
      </c>
    </row>
    <row r="5214" spans="1:1" x14ac:dyDescent="0.25">
      <c r="A5214" t="s">
        <v>3184</v>
      </c>
    </row>
    <row r="5215" spans="1:1" x14ac:dyDescent="0.25">
      <c r="A5215" t="s">
        <v>3185</v>
      </c>
    </row>
    <row r="5216" spans="1:1" x14ac:dyDescent="0.25">
      <c r="A5216" t="s">
        <v>3272</v>
      </c>
    </row>
    <row r="5217" spans="1:1" x14ac:dyDescent="0.25">
      <c r="A5217" t="s">
        <v>3273</v>
      </c>
    </row>
    <row r="5218" spans="1:1" x14ac:dyDescent="0.25">
      <c r="A5218" t="s">
        <v>3224</v>
      </c>
    </row>
    <row r="5219" spans="1:1" x14ac:dyDescent="0.25">
      <c r="A5219" t="s">
        <v>3214</v>
      </c>
    </row>
    <row r="5220" spans="1:1" x14ac:dyDescent="0.25">
      <c r="A5220" t="s">
        <v>3190</v>
      </c>
    </row>
    <row r="5221" spans="1:1" x14ac:dyDescent="0.25">
      <c r="A5221" t="s">
        <v>3274</v>
      </c>
    </row>
    <row r="5222" spans="1:1" x14ac:dyDescent="0.25">
      <c r="A5222" t="s">
        <v>3275</v>
      </c>
    </row>
    <row r="5223" spans="1:1" x14ac:dyDescent="0.25">
      <c r="A5223" t="s">
        <v>3210</v>
      </c>
    </row>
    <row r="5224" spans="1:1" x14ac:dyDescent="0.25">
      <c r="A5224" t="s">
        <v>3194</v>
      </c>
    </row>
    <row r="5226" spans="1:1" x14ac:dyDescent="0.25">
      <c r="A5226" t="s">
        <v>3184</v>
      </c>
    </row>
    <row r="5227" spans="1:1" x14ac:dyDescent="0.25">
      <c r="A5227" t="s">
        <v>3185</v>
      </c>
    </row>
    <row r="5228" spans="1:1" x14ac:dyDescent="0.25">
      <c r="A5228" t="s">
        <v>3276</v>
      </c>
    </row>
    <row r="5229" spans="1:1" x14ac:dyDescent="0.25">
      <c r="A5229" t="s">
        <v>3277</v>
      </c>
    </row>
    <row r="5230" spans="1:1" x14ac:dyDescent="0.25">
      <c r="A5230" t="s">
        <v>3278</v>
      </c>
    </row>
    <row r="5231" spans="1:1" x14ac:dyDescent="0.25">
      <c r="A5231" t="s">
        <v>3214</v>
      </c>
    </row>
    <row r="5232" spans="1:1" x14ac:dyDescent="0.25">
      <c r="A5232" t="s">
        <v>3190</v>
      </c>
    </row>
    <row r="5233" spans="1:1" x14ac:dyDescent="0.25">
      <c r="A5233" t="s">
        <v>3266</v>
      </c>
    </row>
    <row r="5234" spans="1:1" x14ac:dyDescent="0.25">
      <c r="A5234" t="s">
        <v>3279</v>
      </c>
    </row>
    <row r="5235" spans="1:1" x14ac:dyDescent="0.25">
      <c r="A5235" t="s">
        <v>3193</v>
      </c>
    </row>
    <row r="5236" spans="1:1" x14ac:dyDescent="0.25">
      <c r="A5236" t="s">
        <v>3194</v>
      </c>
    </row>
    <row r="5238" spans="1:1" x14ac:dyDescent="0.25">
      <c r="A5238" t="s">
        <v>3184</v>
      </c>
    </row>
    <row r="5239" spans="1:1" x14ac:dyDescent="0.25">
      <c r="A5239" t="s">
        <v>3185</v>
      </c>
    </row>
    <row r="5240" spans="1:1" x14ac:dyDescent="0.25">
      <c r="A5240" t="s">
        <v>3280</v>
      </c>
    </row>
    <row r="5241" spans="1:1" x14ac:dyDescent="0.25">
      <c r="A5241" t="s">
        <v>3281</v>
      </c>
    </row>
    <row r="5242" spans="1:1" x14ac:dyDescent="0.25">
      <c r="A5242" t="s">
        <v>3282</v>
      </c>
    </row>
    <row r="5243" spans="1:1" x14ac:dyDescent="0.25">
      <c r="A5243" t="s">
        <v>3207</v>
      </c>
    </row>
    <row r="5244" spans="1:1" x14ac:dyDescent="0.25">
      <c r="A5244" t="s">
        <v>3190</v>
      </c>
    </row>
    <row r="5245" spans="1:1" x14ac:dyDescent="0.25">
      <c r="A5245" t="s">
        <v>3283</v>
      </c>
    </row>
    <row r="5246" spans="1:1" x14ac:dyDescent="0.25">
      <c r="A5246" t="s">
        <v>3284</v>
      </c>
    </row>
    <row r="5247" spans="1:1" x14ac:dyDescent="0.25">
      <c r="A5247" t="s">
        <v>3193</v>
      </c>
    </row>
    <row r="5248" spans="1:1" x14ac:dyDescent="0.25">
      <c r="A5248" t="s">
        <v>3194</v>
      </c>
    </row>
    <row r="5250" spans="1:1" x14ac:dyDescent="0.25">
      <c r="A5250" t="s">
        <v>3184</v>
      </c>
    </row>
    <row r="5251" spans="1:1" x14ac:dyDescent="0.25">
      <c r="A5251" t="s">
        <v>3185</v>
      </c>
    </row>
    <row r="5252" spans="1:1" x14ac:dyDescent="0.25">
      <c r="A5252" t="s">
        <v>3285</v>
      </c>
    </row>
    <row r="5253" spans="1:1" x14ac:dyDescent="0.25">
      <c r="A5253" t="s">
        <v>3286</v>
      </c>
    </row>
    <row r="5254" spans="1:1" x14ac:dyDescent="0.25">
      <c r="A5254" t="s">
        <v>3282</v>
      </c>
    </row>
    <row r="5255" spans="1:1" x14ac:dyDescent="0.25">
      <c r="A5255" t="s">
        <v>3207</v>
      </c>
    </row>
    <row r="5256" spans="1:1" x14ac:dyDescent="0.25">
      <c r="A5256" t="s">
        <v>3190</v>
      </c>
    </row>
    <row r="5257" spans="1:1" x14ac:dyDescent="0.25">
      <c r="A5257" t="s">
        <v>3283</v>
      </c>
    </row>
    <row r="5258" spans="1:1" x14ac:dyDescent="0.25">
      <c r="A5258" t="s">
        <v>3287</v>
      </c>
    </row>
    <row r="5259" spans="1:1" x14ac:dyDescent="0.25">
      <c r="A5259" t="s">
        <v>3193</v>
      </c>
    </row>
    <row r="5260" spans="1:1" x14ac:dyDescent="0.25">
      <c r="A5260" t="s">
        <v>3194</v>
      </c>
    </row>
    <row r="5262" spans="1:1" x14ac:dyDescent="0.25">
      <c r="A5262" t="s">
        <v>3184</v>
      </c>
    </row>
    <row r="5263" spans="1:1" x14ac:dyDescent="0.25">
      <c r="A5263" t="s">
        <v>3185</v>
      </c>
    </row>
    <row r="5264" spans="1:1" x14ac:dyDescent="0.25">
      <c r="A5264" t="s">
        <v>3288</v>
      </c>
    </row>
    <row r="5265" spans="1:1" x14ac:dyDescent="0.25">
      <c r="A5265" t="s">
        <v>3289</v>
      </c>
    </row>
    <row r="5266" spans="1:1" x14ac:dyDescent="0.25">
      <c r="A5266" t="s">
        <v>3282</v>
      </c>
    </row>
    <row r="5267" spans="1:1" x14ac:dyDescent="0.25">
      <c r="A5267" t="s">
        <v>3207</v>
      </c>
    </row>
    <row r="5268" spans="1:1" x14ac:dyDescent="0.25">
      <c r="A5268" t="s">
        <v>3190</v>
      </c>
    </row>
    <row r="5269" spans="1:1" x14ac:dyDescent="0.25">
      <c r="A5269" t="s">
        <v>3283</v>
      </c>
    </row>
    <row r="5270" spans="1:1" x14ac:dyDescent="0.25">
      <c r="A5270" t="s">
        <v>3290</v>
      </c>
    </row>
    <row r="5271" spans="1:1" x14ac:dyDescent="0.25">
      <c r="A5271" t="s">
        <v>3193</v>
      </c>
    </row>
    <row r="5272" spans="1:1" x14ac:dyDescent="0.25">
      <c r="A5272" t="s">
        <v>3194</v>
      </c>
    </row>
    <row r="5274" spans="1:1" x14ac:dyDescent="0.25">
      <c r="A5274" t="s">
        <v>3184</v>
      </c>
    </row>
    <row r="5275" spans="1:1" x14ac:dyDescent="0.25">
      <c r="A5275" t="s">
        <v>3185</v>
      </c>
    </row>
    <row r="5276" spans="1:1" x14ac:dyDescent="0.25">
      <c r="A5276" t="s">
        <v>3291</v>
      </c>
    </row>
    <row r="5277" spans="1:1" x14ac:dyDescent="0.25">
      <c r="A5277" t="s">
        <v>3292</v>
      </c>
    </row>
    <row r="5278" spans="1:1" x14ac:dyDescent="0.25">
      <c r="A5278" t="s">
        <v>3282</v>
      </c>
    </row>
    <row r="5279" spans="1:1" x14ac:dyDescent="0.25">
      <c r="A5279" t="s">
        <v>3207</v>
      </c>
    </row>
    <row r="5280" spans="1:1" x14ac:dyDescent="0.25">
      <c r="A5280" t="s">
        <v>3190</v>
      </c>
    </row>
    <row r="5281" spans="1:1" x14ac:dyDescent="0.25">
      <c r="A5281" t="s">
        <v>3283</v>
      </c>
    </row>
    <row r="5282" spans="1:1" x14ac:dyDescent="0.25">
      <c r="A5282" t="s">
        <v>3293</v>
      </c>
    </row>
    <row r="5283" spans="1:1" x14ac:dyDescent="0.25">
      <c r="A5283" t="s">
        <v>3193</v>
      </c>
    </row>
    <row r="5284" spans="1:1" x14ac:dyDescent="0.25">
      <c r="A5284" t="s">
        <v>3194</v>
      </c>
    </row>
    <row r="5286" spans="1:1" x14ac:dyDescent="0.25">
      <c r="A5286" t="s">
        <v>3184</v>
      </c>
    </row>
    <row r="5287" spans="1:1" x14ac:dyDescent="0.25">
      <c r="A5287" t="s">
        <v>3185</v>
      </c>
    </row>
    <row r="5288" spans="1:1" x14ac:dyDescent="0.25">
      <c r="A5288" t="s">
        <v>3294</v>
      </c>
    </row>
    <row r="5289" spans="1:1" x14ac:dyDescent="0.25">
      <c r="A5289" t="s">
        <v>3295</v>
      </c>
    </row>
    <row r="5290" spans="1:1" x14ac:dyDescent="0.25">
      <c r="A5290" t="s">
        <v>3282</v>
      </c>
    </row>
    <row r="5291" spans="1:1" x14ac:dyDescent="0.25">
      <c r="A5291" t="s">
        <v>3207</v>
      </c>
    </row>
    <row r="5292" spans="1:1" x14ac:dyDescent="0.25">
      <c r="A5292" t="s">
        <v>3190</v>
      </c>
    </row>
    <row r="5293" spans="1:1" x14ac:dyDescent="0.25">
      <c r="A5293" t="s">
        <v>3283</v>
      </c>
    </row>
    <row r="5294" spans="1:1" x14ac:dyDescent="0.25">
      <c r="A5294" t="s">
        <v>3296</v>
      </c>
    </row>
    <row r="5295" spans="1:1" x14ac:dyDescent="0.25">
      <c r="A5295" t="s">
        <v>3193</v>
      </c>
    </row>
    <row r="5296" spans="1:1" x14ac:dyDescent="0.25">
      <c r="A5296" t="s">
        <v>3194</v>
      </c>
    </row>
    <row r="5298" spans="1:1" x14ac:dyDescent="0.25">
      <c r="A5298" t="s">
        <v>3184</v>
      </c>
    </row>
    <row r="5299" spans="1:1" x14ac:dyDescent="0.25">
      <c r="A5299" t="s">
        <v>3185</v>
      </c>
    </row>
    <row r="5300" spans="1:1" x14ac:dyDescent="0.25">
      <c r="A5300" t="s">
        <v>3297</v>
      </c>
    </row>
    <row r="5301" spans="1:1" x14ac:dyDescent="0.25">
      <c r="A5301" t="s">
        <v>3298</v>
      </c>
    </row>
    <row r="5302" spans="1:1" x14ac:dyDescent="0.25">
      <c r="A5302" t="s">
        <v>3282</v>
      </c>
    </row>
    <row r="5303" spans="1:1" x14ac:dyDescent="0.25">
      <c r="A5303" t="s">
        <v>3207</v>
      </c>
    </row>
    <row r="5304" spans="1:1" x14ac:dyDescent="0.25">
      <c r="A5304" t="s">
        <v>3190</v>
      </c>
    </row>
    <row r="5305" spans="1:1" x14ac:dyDescent="0.25">
      <c r="A5305" t="s">
        <v>3283</v>
      </c>
    </row>
    <row r="5306" spans="1:1" x14ac:dyDescent="0.25">
      <c r="A5306" t="s">
        <v>3299</v>
      </c>
    </row>
    <row r="5307" spans="1:1" x14ac:dyDescent="0.25">
      <c r="A5307" t="s">
        <v>3193</v>
      </c>
    </row>
    <row r="5308" spans="1:1" x14ac:dyDescent="0.25">
      <c r="A5308" t="s">
        <v>3194</v>
      </c>
    </row>
    <row r="5310" spans="1:1" x14ac:dyDescent="0.25">
      <c r="A5310" t="s">
        <v>3184</v>
      </c>
    </row>
    <row r="5311" spans="1:1" x14ac:dyDescent="0.25">
      <c r="A5311" t="s">
        <v>3185</v>
      </c>
    </row>
    <row r="5312" spans="1:1" x14ac:dyDescent="0.25">
      <c r="A5312" t="s">
        <v>3300</v>
      </c>
    </row>
    <row r="5313" spans="1:1" x14ac:dyDescent="0.25">
      <c r="A5313" t="s">
        <v>3301</v>
      </c>
    </row>
    <row r="5314" spans="1:1" x14ac:dyDescent="0.25">
      <c r="A5314" t="s">
        <v>3302</v>
      </c>
    </row>
    <row r="5315" spans="1:1" x14ac:dyDescent="0.25">
      <c r="A5315" t="s">
        <v>3207</v>
      </c>
    </row>
    <row r="5316" spans="1:1" x14ac:dyDescent="0.25">
      <c r="A5316" t="s">
        <v>3190</v>
      </c>
    </row>
    <row r="5317" spans="1:1" x14ac:dyDescent="0.25">
      <c r="A5317" t="s">
        <v>3303</v>
      </c>
    </row>
    <row r="5318" spans="1:1" x14ac:dyDescent="0.25">
      <c r="A5318" t="s">
        <v>3304</v>
      </c>
    </row>
    <row r="5319" spans="1:1" x14ac:dyDescent="0.25">
      <c r="A5319" t="s">
        <v>3210</v>
      </c>
    </row>
    <row r="5320" spans="1:1" x14ac:dyDescent="0.25">
      <c r="A5320" t="s">
        <v>3194</v>
      </c>
    </row>
    <row r="5322" spans="1:1" x14ac:dyDescent="0.25">
      <c r="A5322" t="s">
        <v>3184</v>
      </c>
    </row>
    <row r="5323" spans="1:1" x14ac:dyDescent="0.25">
      <c r="A5323" t="s">
        <v>3185</v>
      </c>
    </row>
    <row r="5324" spans="1:1" x14ac:dyDescent="0.25">
      <c r="A5324" t="s">
        <v>3305</v>
      </c>
    </row>
    <row r="5325" spans="1:1" x14ac:dyDescent="0.25">
      <c r="A5325" t="s">
        <v>3306</v>
      </c>
    </row>
    <row r="5326" spans="1:1" x14ac:dyDescent="0.25">
      <c r="A5326" t="s">
        <v>3307</v>
      </c>
    </row>
    <row r="5327" spans="1:1" x14ac:dyDescent="0.25">
      <c r="A5327" t="s">
        <v>3207</v>
      </c>
    </row>
    <row r="5328" spans="1:1" x14ac:dyDescent="0.25">
      <c r="A5328" t="s">
        <v>3190</v>
      </c>
    </row>
    <row r="5329" spans="1:1" x14ac:dyDescent="0.25">
      <c r="A5329" t="s">
        <v>3283</v>
      </c>
    </row>
    <row r="5330" spans="1:1" x14ac:dyDescent="0.25">
      <c r="A5330" t="s">
        <v>3308</v>
      </c>
    </row>
    <row r="5331" spans="1:1" x14ac:dyDescent="0.25">
      <c r="A5331" t="s">
        <v>3193</v>
      </c>
    </row>
    <row r="5332" spans="1:1" x14ac:dyDescent="0.25">
      <c r="A5332" t="s">
        <v>3194</v>
      </c>
    </row>
    <row r="5334" spans="1:1" x14ac:dyDescent="0.25">
      <c r="A5334" t="s">
        <v>3184</v>
      </c>
    </row>
    <row r="5335" spans="1:1" x14ac:dyDescent="0.25">
      <c r="A5335" t="s">
        <v>3185</v>
      </c>
    </row>
    <row r="5336" spans="1:1" x14ac:dyDescent="0.25">
      <c r="A5336" t="s">
        <v>3309</v>
      </c>
    </row>
    <row r="5337" spans="1:1" x14ac:dyDescent="0.25">
      <c r="A5337" t="s">
        <v>3310</v>
      </c>
    </row>
    <row r="5338" spans="1:1" x14ac:dyDescent="0.25">
      <c r="A5338" t="s">
        <v>3307</v>
      </c>
    </row>
    <row r="5339" spans="1:1" x14ac:dyDescent="0.25">
      <c r="A5339" t="s">
        <v>3207</v>
      </c>
    </row>
    <row r="5340" spans="1:1" x14ac:dyDescent="0.25">
      <c r="A5340" t="s">
        <v>3190</v>
      </c>
    </row>
    <row r="5341" spans="1:1" x14ac:dyDescent="0.25">
      <c r="A5341" t="s">
        <v>3243</v>
      </c>
    </row>
    <row r="5342" spans="1:1" x14ac:dyDescent="0.25">
      <c r="A5342" t="s">
        <v>3311</v>
      </c>
    </row>
    <row r="5343" spans="1:1" x14ac:dyDescent="0.25">
      <c r="A5343" t="s">
        <v>3210</v>
      </c>
    </row>
    <row r="5344" spans="1:1" x14ac:dyDescent="0.25">
      <c r="A5344" t="s">
        <v>3194</v>
      </c>
    </row>
    <row r="5346" spans="1:1" x14ac:dyDescent="0.25">
      <c r="A5346" t="s">
        <v>3184</v>
      </c>
    </row>
    <row r="5347" spans="1:1" x14ac:dyDescent="0.25">
      <c r="A5347" t="s">
        <v>3185</v>
      </c>
    </row>
    <row r="5348" spans="1:1" x14ac:dyDescent="0.25">
      <c r="A5348" t="s">
        <v>3312</v>
      </c>
    </row>
    <row r="5349" spans="1:1" x14ac:dyDescent="0.25">
      <c r="A5349" t="s">
        <v>3313</v>
      </c>
    </row>
    <row r="5350" spans="1:1" x14ac:dyDescent="0.25">
      <c r="A5350" t="s">
        <v>3282</v>
      </c>
    </row>
    <row r="5351" spans="1:1" x14ac:dyDescent="0.25">
      <c r="A5351" t="s">
        <v>3207</v>
      </c>
    </row>
    <row r="5352" spans="1:1" x14ac:dyDescent="0.25">
      <c r="A5352" t="s">
        <v>3190</v>
      </c>
    </row>
    <row r="5353" spans="1:1" x14ac:dyDescent="0.25">
      <c r="A5353" t="s">
        <v>3283</v>
      </c>
    </row>
    <row r="5354" spans="1:1" x14ac:dyDescent="0.25">
      <c r="A5354" t="s">
        <v>3314</v>
      </c>
    </row>
    <row r="5355" spans="1:1" x14ac:dyDescent="0.25">
      <c r="A5355" t="s">
        <v>3193</v>
      </c>
    </row>
    <row r="5356" spans="1:1" x14ac:dyDescent="0.25">
      <c r="A5356" t="s">
        <v>3194</v>
      </c>
    </row>
    <row r="5358" spans="1:1" x14ac:dyDescent="0.25">
      <c r="A5358" t="s">
        <v>3184</v>
      </c>
    </row>
    <row r="5359" spans="1:1" x14ac:dyDescent="0.25">
      <c r="A5359" t="s">
        <v>3185</v>
      </c>
    </row>
    <row r="5360" spans="1:1" x14ac:dyDescent="0.25">
      <c r="A5360" t="s">
        <v>3315</v>
      </c>
    </row>
    <row r="5361" spans="1:1" x14ac:dyDescent="0.25">
      <c r="A5361" t="s">
        <v>3316</v>
      </c>
    </row>
    <row r="5362" spans="1:1" x14ac:dyDescent="0.25">
      <c r="A5362" t="s">
        <v>3282</v>
      </c>
    </row>
    <row r="5363" spans="1:1" x14ac:dyDescent="0.25">
      <c r="A5363" t="s">
        <v>3207</v>
      </c>
    </row>
    <row r="5364" spans="1:1" x14ac:dyDescent="0.25">
      <c r="A5364" t="s">
        <v>3190</v>
      </c>
    </row>
    <row r="5365" spans="1:1" x14ac:dyDescent="0.25">
      <c r="A5365" t="s">
        <v>3283</v>
      </c>
    </row>
    <row r="5366" spans="1:1" x14ac:dyDescent="0.25">
      <c r="A5366" t="s">
        <v>3317</v>
      </c>
    </row>
    <row r="5367" spans="1:1" x14ac:dyDescent="0.25">
      <c r="A5367" t="s">
        <v>3193</v>
      </c>
    </row>
    <row r="5368" spans="1:1" x14ac:dyDescent="0.25">
      <c r="A5368" t="s">
        <v>3194</v>
      </c>
    </row>
    <row r="5370" spans="1:1" x14ac:dyDescent="0.25">
      <c r="A5370" t="s">
        <v>3184</v>
      </c>
    </row>
    <row r="5371" spans="1:1" x14ac:dyDescent="0.25">
      <c r="A5371" t="s">
        <v>3185</v>
      </c>
    </row>
    <row r="5372" spans="1:1" x14ac:dyDescent="0.25">
      <c r="A5372" t="s">
        <v>3318</v>
      </c>
    </row>
    <row r="5373" spans="1:1" x14ac:dyDescent="0.25">
      <c r="A5373" t="s">
        <v>3319</v>
      </c>
    </row>
    <row r="5374" spans="1:1" x14ac:dyDescent="0.25">
      <c r="A5374" t="s">
        <v>3282</v>
      </c>
    </row>
    <row r="5375" spans="1:1" x14ac:dyDescent="0.25">
      <c r="A5375" t="s">
        <v>3207</v>
      </c>
    </row>
    <row r="5376" spans="1:1" x14ac:dyDescent="0.25">
      <c r="A5376" t="s">
        <v>3190</v>
      </c>
    </row>
    <row r="5377" spans="1:1" x14ac:dyDescent="0.25">
      <c r="A5377" t="s">
        <v>3283</v>
      </c>
    </row>
    <row r="5378" spans="1:1" x14ac:dyDescent="0.25">
      <c r="A5378" t="s">
        <v>3320</v>
      </c>
    </row>
    <row r="5379" spans="1:1" x14ac:dyDescent="0.25">
      <c r="A5379" t="s">
        <v>3193</v>
      </c>
    </row>
    <row r="5380" spans="1:1" x14ac:dyDescent="0.25">
      <c r="A5380" t="s">
        <v>3194</v>
      </c>
    </row>
    <row r="5382" spans="1:1" x14ac:dyDescent="0.25">
      <c r="A5382" t="s">
        <v>3184</v>
      </c>
    </row>
    <row r="5383" spans="1:1" x14ac:dyDescent="0.25">
      <c r="A5383" t="s">
        <v>3185</v>
      </c>
    </row>
    <row r="5384" spans="1:1" x14ac:dyDescent="0.25">
      <c r="A5384" t="s">
        <v>3321</v>
      </c>
    </row>
    <row r="5385" spans="1:1" x14ac:dyDescent="0.25">
      <c r="A5385" t="s">
        <v>3322</v>
      </c>
    </row>
    <row r="5386" spans="1:1" x14ac:dyDescent="0.25">
      <c r="A5386" t="s">
        <v>3282</v>
      </c>
    </row>
    <row r="5387" spans="1:1" x14ac:dyDescent="0.25">
      <c r="A5387" t="s">
        <v>3207</v>
      </c>
    </row>
    <row r="5388" spans="1:1" x14ac:dyDescent="0.25">
      <c r="A5388" t="s">
        <v>3190</v>
      </c>
    </row>
    <row r="5389" spans="1:1" x14ac:dyDescent="0.25">
      <c r="A5389" t="s">
        <v>3283</v>
      </c>
    </row>
    <row r="5390" spans="1:1" x14ac:dyDescent="0.25">
      <c r="A5390" t="s">
        <v>3323</v>
      </c>
    </row>
    <row r="5391" spans="1:1" x14ac:dyDescent="0.25">
      <c r="A5391" t="s">
        <v>3193</v>
      </c>
    </row>
    <row r="5392" spans="1:1" x14ac:dyDescent="0.25">
      <c r="A5392" t="s">
        <v>3194</v>
      </c>
    </row>
    <row r="5394" spans="1:1" x14ac:dyDescent="0.25">
      <c r="A5394" t="s">
        <v>3184</v>
      </c>
    </row>
    <row r="5395" spans="1:1" x14ac:dyDescent="0.25">
      <c r="A5395" t="s">
        <v>3185</v>
      </c>
    </row>
    <row r="5396" spans="1:1" x14ac:dyDescent="0.25">
      <c r="A5396" t="s">
        <v>3324</v>
      </c>
    </row>
    <row r="5397" spans="1:1" x14ac:dyDescent="0.25">
      <c r="A5397" t="s">
        <v>3325</v>
      </c>
    </row>
    <row r="5398" spans="1:1" x14ac:dyDescent="0.25">
      <c r="A5398" t="s">
        <v>3282</v>
      </c>
    </row>
    <row r="5399" spans="1:1" x14ac:dyDescent="0.25">
      <c r="A5399" t="s">
        <v>3207</v>
      </c>
    </row>
    <row r="5400" spans="1:1" x14ac:dyDescent="0.25">
      <c r="A5400" t="s">
        <v>3190</v>
      </c>
    </row>
    <row r="5401" spans="1:1" x14ac:dyDescent="0.25">
      <c r="A5401" t="s">
        <v>3283</v>
      </c>
    </row>
    <row r="5402" spans="1:1" x14ac:dyDescent="0.25">
      <c r="A5402" t="s">
        <v>3326</v>
      </c>
    </row>
    <row r="5403" spans="1:1" x14ac:dyDescent="0.25">
      <c r="A5403" t="s">
        <v>3193</v>
      </c>
    </row>
    <row r="5404" spans="1:1" x14ac:dyDescent="0.25">
      <c r="A5404" t="s">
        <v>3194</v>
      </c>
    </row>
    <row r="5406" spans="1:1" x14ac:dyDescent="0.25">
      <c r="A5406" t="s">
        <v>3184</v>
      </c>
    </row>
    <row r="5407" spans="1:1" x14ac:dyDescent="0.25">
      <c r="A5407" t="s">
        <v>3185</v>
      </c>
    </row>
    <row r="5408" spans="1:1" x14ac:dyDescent="0.25">
      <c r="A5408" t="s">
        <v>3327</v>
      </c>
    </row>
    <row r="5409" spans="1:1" x14ac:dyDescent="0.25">
      <c r="A5409" t="s">
        <v>3328</v>
      </c>
    </row>
    <row r="5410" spans="1:1" x14ac:dyDescent="0.25">
      <c r="A5410" t="s">
        <v>3282</v>
      </c>
    </row>
    <row r="5411" spans="1:1" x14ac:dyDescent="0.25">
      <c r="A5411" t="s">
        <v>3207</v>
      </c>
    </row>
    <row r="5412" spans="1:1" x14ac:dyDescent="0.25">
      <c r="A5412" t="s">
        <v>3190</v>
      </c>
    </row>
    <row r="5413" spans="1:1" x14ac:dyDescent="0.25">
      <c r="A5413" t="s">
        <v>3283</v>
      </c>
    </row>
    <row r="5414" spans="1:1" x14ac:dyDescent="0.25">
      <c r="A5414" t="s">
        <v>3329</v>
      </c>
    </row>
    <row r="5415" spans="1:1" x14ac:dyDescent="0.25">
      <c r="A5415" t="s">
        <v>3193</v>
      </c>
    </row>
    <row r="5416" spans="1:1" x14ac:dyDescent="0.25">
      <c r="A5416" t="s">
        <v>3194</v>
      </c>
    </row>
    <row r="5418" spans="1:1" x14ac:dyDescent="0.25">
      <c r="A5418" t="s">
        <v>3184</v>
      </c>
    </row>
    <row r="5419" spans="1:1" x14ac:dyDescent="0.25">
      <c r="A5419" t="s">
        <v>3185</v>
      </c>
    </row>
    <row r="5420" spans="1:1" x14ac:dyDescent="0.25">
      <c r="A5420" t="s">
        <v>3330</v>
      </c>
    </row>
    <row r="5421" spans="1:1" x14ac:dyDescent="0.25">
      <c r="A5421" t="s">
        <v>3331</v>
      </c>
    </row>
    <row r="5422" spans="1:1" x14ac:dyDescent="0.25">
      <c r="A5422" t="s">
        <v>3282</v>
      </c>
    </row>
    <row r="5423" spans="1:1" x14ac:dyDescent="0.25">
      <c r="A5423" t="s">
        <v>3207</v>
      </c>
    </row>
    <row r="5424" spans="1:1" x14ac:dyDescent="0.25">
      <c r="A5424" t="s">
        <v>3190</v>
      </c>
    </row>
    <row r="5425" spans="1:1" x14ac:dyDescent="0.25">
      <c r="A5425" t="s">
        <v>3332</v>
      </c>
    </row>
    <row r="5426" spans="1:1" x14ac:dyDescent="0.25">
      <c r="A5426" t="s">
        <v>3333</v>
      </c>
    </row>
    <row r="5427" spans="1:1" x14ac:dyDescent="0.25">
      <c r="A5427" t="s">
        <v>3193</v>
      </c>
    </row>
    <row r="5428" spans="1:1" x14ac:dyDescent="0.25">
      <c r="A5428" t="s">
        <v>3194</v>
      </c>
    </row>
    <row r="5430" spans="1:1" x14ac:dyDescent="0.25">
      <c r="A5430" t="s">
        <v>3184</v>
      </c>
    </row>
    <row r="5431" spans="1:1" x14ac:dyDescent="0.25">
      <c r="A5431" t="s">
        <v>3185</v>
      </c>
    </row>
    <row r="5432" spans="1:1" x14ac:dyDescent="0.25">
      <c r="A5432" t="s">
        <v>3334</v>
      </c>
    </row>
    <row r="5433" spans="1:1" x14ac:dyDescent="0.25">
      <c r="A5433" t="s">
        <v>3335</v>
      </c>
    </row>
    <row r="5434" spans="1:1" x14ac:dyDescent="0.25">
      <c r="A5434" t="s">
        <v>3282</v>
      </c>
    </row>
    <row r="5435" spans="1:1" x14ac:dyDescent="0.25">
      <c r="A5435" t="s">
        <v>3207</v>
      </c>
    </row>
    <row r="5436" spans="1:1" x14ac:dyDescent="0.25">
      <c r="A5436" t="s">
        <v>3190</v>
      </c>
    </row>
    <row r="5437" spans="1:1" x14ac:dyDescent="0.25">
      <c r="A5437" t="s">
        <v>3332</v>
      </c>
    </row>
    <row r="5438" spans="1:1" x14ac:dyDescent="0.25">
      <c r="A5438" t="s">
        <v>3336</v>
      </c>
    </row>
    <row r="5439" spans="1:1" x14ac:dyDescent="0.25">
      <c r="A5439" t="s">
        <v>3193</v>
      </c>
    </row>
    <row r="5440" spans="1:1" x14ac:dyDescent="0.25">
      <c r="A5440" t="s">
        <v>3194</v>
      </c>
    </row>
    <row r="5442" spans="1:1" x14ac:dyDescent="0.25">
      <c r="A5442" t="s">
        <v>3184</v>
      </c>
    </row>
    <row r="5443" spans="1:1" x14ac:dyDescent="0.25">
      <c r="A5443" t="s">
        <v>3185</v>
      </c>
    </row>
    <row r="5444" spans="1:1" x14ac:dyDescent="0.25">
      <c r="A5444" t="s">
        <v>3337</v>
      </c>
    </row>
    <row r="5445" spans="1:1" x14ac:dyDescent="0.25">
      <c r="A5445" t="s">
        <v>3338</v>
      </c>
    </row>
    <row r="5446" spans="1:1" x14ac:dyDescent="0.25">
      <c r="A5446" t="s">
        <v>3282</v>
      </c>
    </row>
    <row r="5447" spans="1:1" x14ac:dyDescent="0.25">
      <c r="A5447" t="s">
        <v>3207</v>
      </c>
    </row>
    <row r="5448" spans="1:1" x14ac:dyDescent="0.25">
      <c r="A5448" t="s">
        <v>3190</v>
      </c>
    </row>
    <row r="5449" spans="1:1" x14ac:dyDescent="0.25">
      <c r="A5449" t="s">
        <v>3332</v>
      </c>
    </row>
    <row r="5450" spans="1:1" x14ac:dyDescent="0.25">
      <c r="A5450" t="s">
        <v>3339</v>
      </c>
    </row>
    <row r="5451" spans="1:1" x14ac:dyDescent="0.25">
      <c r="A5451" t="s">
        <v>3193</v>
      </c>
    </row>
    <row r="5452" spans="1:1" x14ac:dyDescent="0.25">
      <c r="A5452" t="s">
        <v>3194</v>
      </c>
    </row>
    <row r="5454" spans="1:1" x14ac:dyDescent="0.25">
      <c r="A5454" t="s">
        <v>3184</v>
      </c>
    </row>
    <row r="5455" spans="1:1" x14ac:dyDescent="0.25">
      <c r="A5455" t="s">
        <v>3185</v>
      </c>
    </row>
    <row r="5456" spans="1:1" x14ac:dyDescent="0.25">
      <c r="A5456" t="s">
        <v>3340</v>
      </c>
    </row>
    <row r="5457" spans="1:1" x14ac:dyDescent="0.25">
      <c r="A5457" t="s">
        <v>3341</v>
      </c>
    </row>
    <row r="5458" spans="1:1" x14ac:dyDescent="0.25">
      <c r="A5458" t="s">
        <v>3307</v>
      </c>
    </row>
    <row r="5459" spans="1:1" x14ac:dyDescent="0.25">
      <c r="A5459" t="s">
        <v>3207</v>
      </c>
    </row>
    <row r="5460" spans="1:1" x14ac:dyDescent="0.25">
      <c r="A5460" t="s">
        <v>3190</v>
      </c>
    </row>
    <row r="5461" spans="1:1" x14ac:dyDescent="0.25">
      <c r="A5461" t="s">
        <v>3342</v>
      </c>
    </row>
    <row r="5462" spans="1:1" x14ac:dyDescent="0.25">
      <c r="A5462" t="s">
        <v>3343</v>
      </c>
    </row>
    <row r="5463" spans="1:1" x14ac:dyDescent="0.25">
      <c r="A5463" t="s">
        <v>3193</v>
      </c>
    </row>
    <row r="5464" spans="1:1" x14ac:dyDescent="0.25">
      <c r="A5464" t="s">
        <v>3194</v>
      </c>
    </row>
    <row r="5466" spans="1:1" x14ac:dyDescent="0.25">
      <c r="A5466" t="s">
        <v>3184</v>
      </c>
    </row>
    <row r="5467" spans="1:1" x14ac:dyDescent="0.25">
      <c r="A5467" t="s">
        <v>3185</v>
      </c>
    </row>
    <row r="5468" spans="1:1" x14ac:dyDescent="0.25">
      <c r="A5468" t="s">
        <v>3344</v>
      </c>
    </row>
    <row r="5469" spans="1:1" x14ac:dyDescent="0.25">
      <c r="A5469" t="s">
        <v>3345</v>
      </c>
    </row>
    <row r="5470" spans="1:1" x14ac:dyDescent="0.25">
      <c r="A5470" t="s">
        <v>3307</v>
      </c>
    </row>
    <row r="5471" spans="1:1" x14ac:dyDescent="0.25">
      <c r="A5471" t="s">
        <v>3207</v>
      </c>
    </row>
    <row r="5472" spans="1:1" x14ac:dyDescent="0.25">
      <c r="A5472" t="s">
        <v>3190</v>
      </c>
    </row>
    <row r="5473" spans="1:1" x14ac:dyDescent="0.25">
      <c r="A5473" t="s">
        <v>3243</v>
      </c>
    </row>
    <row r="5474" spans="1:1" x14ac:dyDescent="0.25">
      <c r="A5474" t="s">
        <v>3311</v>
      </c>
    </row>
    <row r="5475" spans="1:1" x14ac:dyDescent="0.25">
      <c r="A5475" t="s">
        <v>3210</v>
      </c>
    </row>
    <row r="5476" spans="1:1" x14ac:dyDescent="0.25">
      <c r="A5476" t="s">
        <v>3194</v>
      </c>
    </row>
    <row r="5477" spans="1:1" x14ac:dyDescent="0.25">
      <c r="A5477" t="s">
        <v>3346</v>
      </c>
    </row>
    <row r="5479" spans="1:1" x14ac:dyDescent="0.25">
      <c r="A5479" t="s">
        <v>3347</v>
      </c>
    </row>
    <row r="5480" spans="1:1" x14ac:dyDescent="0.25">
      <c r="A5480" t="s">
        <v>3348</v>
      </c>
    </row>
    <row r="5481" spans="1:1" x14ac:dyDescent="0.25">
      <c r="A5481" t="s">
        <v>3349</v>
      </c>
    </row>
    <row r="5482" spans="1:1" x14ac:dyDescent="0.25">
      <c r="A5482" t="s">
        <v>1753</v>
      </c>
    </row>
    <row r="5483" spans="1:1" x14ac:dyDescent="0.25">
      <c r="A5483" t="s">
        <v>3350</v>
      </c>
    </row>
    <row r="5484" spans="1:1" x14ac:dyDescent="0.25">
      <c r="A5484" t="s">
        <v>3351</v>
      </c>
    </row>
    <row r="5485" spans="1:1" x14ac:dyDescent="0.25">
      <c r="A5485" t="s">
        <v>3352</v>
      </c>
    </row>
    <row r="5487" spans="1:1" x14ac:dyDescent="0.25">
      <c r="A5487" t="s">
        <v>3353</v>
      </c>
    </row>
    <row r="5488" spans="1:1" x14ac:dyDescent="0.25">
      <c r="A5488" t="s">
        <v>3354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AUDIT FILE COMPARISON REPORT</vt:lpstr>
      <vt:lpstr>Current</vt:lpstr>
      <vt:lpstr>All_Potential</vt:lpstr>
      <vt:lpstr>Already Pass Not Assessed</vt:lpstr>
      <vt:lpstr>NewAudit</vt:lpstr>
      <vt:lpstr>CurrentAudit</vt:lpstr>
      <vt:lpstr>CombinedAudit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Simpson</dc:creator>
  <cp:lastModifiedBy>Brian Simpson</cp:lastModifiedBy>
  <dcterms:created xsi:type="dcterms:W3CDTF">2026-04-20T15:04:03Z</dcterms:created>
  <dcterms:modified xsi:type="dcterms:W3CDTF">2026-04-20T18:59:20Z</dcterms:modified>
</cp:coreProperties>
</file>