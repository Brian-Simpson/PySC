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PySC\"/>
    </mc:Choice>
  </mc:AlternateContent>
  <xr:revisionPtr revIDLastSave="0" documentId="13_ncr:1_{44A6B6B2-9A8B-436A-9A13-065F8E40BC0F}" xr6:coauthVersionLast="47" xr6:coauthVersionMax="47" xr10:uidLastSave="{00000000-0000-0000-0000-000000000000}"/>
  <bookViews>
    <workbookView xWindow="-57720" yWindow="-120" windowWidth="29040" windowHeight="15720" tabRatio="416" activeTab="3" xr2:uid="{6F6359DF-F377-4C97-B429-A265A5786DEF}"/>
  </bookViews>
  <sheets>
    <sheet name="OG" sheetId="1" r:id="rId1"/>
    <sheet name="new" sheetId="11" r:id="rId2"/>
    <sheet name="ProdResults" sheetId="2" r:id="rId3"/>
    <sheet name="NewResults" sheetId="10" r:id="rId4"/>
    <sheet name="ProdAudit" sheetId="5" r:id="rId5"/>
    <sheet name="NewAudit" sheetId="9" r:id="rId6"/>
  </sheets>
  <definedNames>
    <definedName name="_xlnm._FilterDatabase" localSheetId="4" hidden="1">ProdAudit!$A$1:$A$738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2" l="1"/>
  <c r="J7" i="2"/>
  <c r="J17" i="2"/>
  <c r="J12" i="2"/>
  <c r="J18" i="2"/>
  <c r="J4" i="2"/>
  <c r="J6" i="2"/>
  <c r="J3" i="2"/>
  <c r="J14" i="2"/>
  <c r="J15" i="2"/>
  <c r="J9" i="2"/>
  <c r="J2" i="2"/>
  <c r="J16" i="2"/>
  <c r="J5" i="2"/>
  <c r="J8" i="2"/>
  <c r="J13" i="2"/>
  <c r="J10" i="2"/>
  <c r="J11" i="2"/>
  <c r="F3" i="10"/>
  <c r="F4" i="10"/>
  <c r="F5" i="10"/>
  <c r="F6" i="10"/>
  <c r="F7" i="10"/>
  <c r="F8" i="10"/>
  <c r="F9" i="10"/>
  <c r="F10" i="10"/>
  <c r="F11" i="10"/>
  <c r="F12" i="10"/>
  <c r="F13" i="10"/>
  <c r="F14" i="10"/>
  <c r="F15" i="10"/>
  <c r="F16" i="10"/>
  <c r="F17" i="10"/>
  <c r="F18" i="10"/>
  <c r="F19" i="10"/>
  <c r="F20" i="10"/>
  <c r="F2" i="10"/>
  <c r="E3" i="10"/>
  <c r="E4" i="10"/>
  <c r="E5" i="10"/>
  <c r="E6" i="10"/>
  <c r="E7" i="10"/>
  <c r="E8" i="10"/>
  <c r="E9" i="10"/>
  <c r="E10" i="10"/>
  <c r="E11" i="10"/>
  <c r="E12" i="10"/>
  <c r="E13" i="10"/>
  <c r="E14" i="10"/>
  <c r="E15" i="10"/>
  <c r="E16" i="10"/>
  <c r="E17" i="10"/>
  <c r="E18" i="10"/>
  <c r="E19" i="10"/>
  <c r="E20" i="10"/>
  <c r="E2" i="10"/>
  <c r="D3" i="10"/>
  <c r="D4" i="10"/>
  <c r="D5" i="10"/>
  <c r="D6" i="10"/>
  <c r="D7" i="10"/>
  <c r="D8" i="10"/>
  <c r="D9" i="10"/>
  <c r="D10" i="10"/>
  <c r="D11" i="10"/>
  <c r="D12" i="10"/>
  <c r="D13" i="10"/>
  <c r="D14" i="10"/>
  <c r="D15" i="10"/>
  <c r="D16" i="10"/>
  <c r="D17" i="10"/>
  <c r="D18" i="10"/>
  <c r="D19" i="10"/>
  <c r="D20" i="10"/>
  <c r="D2" i="10"/>
  <c r="B2" i="2"/>
  <c r="A2" i="2" s="1"/>
  <c r="B19" i="2"/>
  <c r="A19" i="2" s="1"/>
  <c r="B17" i="2"/>
  <c r="A17" i="2" s="1"/>
  <c r="B11" i="2"/>
  <c r="A11" i="2" s="1"/>
  <c r="A10" i="2"/>
  <c r="B10" i="2"/>
  <c r="B16" i="2"/>
  <c r="A16" i="2" s="1"/>
  <c r="B7" i="2"/>
  <c r="A7" i="2" s="1"/>
  <c r="B13" i="2"/>
  <c r="A13" i="2" s="1"/>
  <c r="B8" i="2"/>
  <c r="A8" i="2" s="1"/>
  <c r="B5" i="2"/>
  <c r="A5" i="2" s="1"/>
  <c r="B9" i="2"/>
  <c r="A9" i="2" s="1"/>
  <c r="B15" i="2"/>
  <c r="A15" i="2" s="1"/>
  <c r="B14" i="2"/>
  <c r="A14" i="2" s="1"/>
  <c r="B3" i="2"/>
  <c r="A3" i="2" s="1"/>
  <c r="B6" i="2"/>
  <c r="A6" i="2" s="1"/>
  <c r="B4" i="2"/>
  <c r="A4" i="2" s="1"/>
  <c r="B18" i="2"/>
  <c r="A18" i="2" s="1"/>
  <c r="B12" i="2"/>
  <c r="A12" i="2" s="1"/>
</calcChain>
</file>

<file path=xl/sharedStrings.xml><?xml version="1.0" encoding="utf-8"?>
<sst xmlns="http://schemas.openxmlformats.org/spreadsheetml/2006/main" count="3596" uniqueCount="1074">
  <si>
    <t>asset.agent_name</t>
  </si>
  <si>
    <t>asset.display_fqdn</t>
  </si>
  <si>
    <t>asset.display_mac_address</t>
  </si>
  <si>
    <t>asset.fqdns</t>
  </si>
  <si>
    <t>asset.host_name</t>
  </si>
  <si>
    <t>asset.id</t>
  </si>
  <si>
    <t>asset.ip_addresses</t>
  </si>
  <si>
    <t>asset.name</t>
  </si>
  <si>
    <t>asset.netbios_name</t>
  </si>
  <si>
    <t>asset.operating_systems</t>
  </si>
  <si>
    <t>asset.system_type</t>
  </si>
  <si>
    <t>asset.tags</t>
  </si>
  <si>
    <t>compliance.audit_description</t>
  </si>
  <si>
    <t>compliance.audit_file</t>
  </si>
  <si>
    <t>compliance.audit_name</t>
  </si>
  <si>
    <t>compliance.audit_see_also</t>
  </si>
  <si>
    <t>compliance.audit_solution</t>
  </si>
  <si>
    <t>compliance.benchmark</t>
  </si>
  <si>
    <t>compliance.benchmark_name</t>
  </si>
  <si>
    <t>compliance.benchmark_version</t>
  </si>
  <si>
    <t>compliance.control_id</t>
  </si>
  <si>
    <t>compliance.db_type</t>
  </si>
  <si>
    <t>compliance.full_id</t>
  </si>
  <si>
    <t>compliance.functional_id</t>
  </si>
  <si>
    <t>compliance.info</t>
  </si>
  <si>
    <t>compliance.informational_id</t>
  </si>
  <si>
    <t>compliance.policy_expectation</t>
  </si>
  <si>
    <t>compliance.profile_name</t>
  </si>
  <si>
    <t>compliance.references</t>
  </si>
  <si>
    <t>compliance_check_id</t>
  </si>
  <si>
    <t>compliance_result</t>
  </si>
  <si>
    <t>definition.id</t>
  </si>
  <si>
    <t>definition.name</t>
  </si>
  <si>
    <t>definition.output</t>
  </si>
  <si>
    <t>definition.references</t>
  </si>
  <si>
    <t>definition.synopsis</t>
  </si>
  <si>
    <t>error_value</t>
  </si>
  <si>
    <t>first_seen</t>
  </si>
  <si>
    <t>id</t>
  </si>
  <si>
    <t>last_fixed</t>
  </si>
  <si>
    <t>last_observed</t>
  </si>
  <si>
    <t>metadata_id</t>
  </si>
  <si>
    <t>original_compliance_result</t>
  </si>
  <si>
    <t>result_modification</t>
  </si>
  <si>
    <t>result_modification_rule.comment</t>
  </si>
  <si>
    <t>result_modification_rule.expires_at</t>
  </si>
  <si>
    <t>uname_output</t>
  </si>
  <si>
    <t>switch</t>
  </si>
  <si>
    <t>Baseline_NetIOS_AuditFile.audit</t>
  </si>
  <si>
    <t>IA - NetIOS - Set 'transport input ssh' for 'line vty' connections</t>
  </si>
  <si>
    <t>See cooresponding HTH Standards and Policies</t>
  </si>
  <si>
    <t>Custom</t>
  </si>
  <si>
    <t>fc7d129759d9f57ea2d27562bc370f1841da9be8948a844c64ad25b5b3b94cf8</t>
  </si>
  <si>
    <t>2aa136725f5510f5f62486fb633ee02d4e66c932eeed7c11f2e079e42d146f2d</t>
  </si>
  <si>
    <t>0dbae36c60</t>
  </si>
  <si>
    <t>Selects the Secure Shell (SSH) protocol.</t>
  </si>
  <si>
    <t>700e00becf5a1f67c1be1611a52776fb801aa3277e660e5466b718f295c762e7</t>
  </si>
  <si>
    <t>CONFIG_CHECK
item: transport input ssh *$
context: line vty .+</t>
  </si>
  <si>
    <t>[{framework=NIST 800-53r5, control=IA-2(1)}]</t>
  </si>
  <si>
    <t>PASSED</t>
  </si>
  <si>
    <t>Cisco IOS Compliance Checks</t>
  </si>
  <si>
    <t>Compliance checks for Cisco IOS devices.</t>
  </si>
  <si>
    <t>2025-10-28T02:17:28.235Z</t>
  </si>
  <si>
    <t>0a0fab99baa5dda49f77758672f816ab2b75f3e73c5cb11b61ad071a67a86571</t>
  </si>
  <si>
    <t>NONE</t>
  </si>
  <si>
    <t>CM - NetIOS - Set 'username secret' for all local users</t>
  </si>
  <si>
    <t>94a9a4f5e94e2a64e01e9489ac522ccab78025054dd41d49a11cea0c32a905c1</t>
  </si>
  <si>
    <t>564f760d9e14639616e90cc48b88b6dd1e4010c1d460afdf4e3ffa24a129b9f1</t>
  </si>
  <si>
    <t>cac121a4ea</t>
  </si>
  <si>
    <t>Use the username secret command to configure a username and MD5-encrypted user password.</t>
  </si>
  <si>
    <t>4ad2dc9047359b2a3e07616f94077e7a8b7075dcd94b2c42909230bf05465978</t>
  </si>
  <si>
    <t>CONFIG_CHECK
item: username [^ ]+
regex: username .+ secret [^ ]+</t>
  </si>
  <si>
    <t>[{framework=NIST 800-53r5, control=CM-6 CM-7 SC-23}]</t>
  </si>
  <si>
    <t>username netadmin privilege 15 secret 9 $14$1XkZ$gmLGl0Mzf06WM.$AzZYFZowY00uDNDPjRfK7FTwXhKPIrun7yjMdTBuhcg &lt;----</t>
  </si>
  <si>
    <t>5df302254cb6db68076ba8f3cc11de258abbb55432d20acdec8be38421eeddab</t>
  </si>
  <si>
    <t>AC - NetIOS - Set 'privilege 1' for local users - 'All users have encrypted passwords'</t>
  </si>
  <si>
    <t>bf0f7bb158b066f3bb2818ab8b7fe33dcd4f18ea49f2cd1745921a3211a34c39</t>
  </si>
  <si>
    <t>0cfef084bc9e9716b178bdac06bb8cc8f3f015fc646e4d0a22624b8ac5c0e00e</t>
  </si>
  <si>
    <t>1a25ad5f76</t>
  </si>
  <si>
    <t>Sets the privilege level for the user.</t>
  </si>
  <si>
    <t>04c5515417b1a166b23a6f60730064fe57faf4e53dd90113d731ca73a3aea18e</t>
  </si>
  <si>
    <t>CONFIG_CHECK
item: username .+ secret [5|8|9] .+</t>
  </si>
  <si>
    <t>[{framework=NIST 800-53r5, control=AC-6 AC-6(5)}]</t>
  </si>
  <si>
    <t>4108a2698c9323d7b8e2af922b2fdfa8ae0414c68bae61ecb20c026deb06cba5</t>
  </si>
  <si>
    <t>CM - NetIOS - Set 'password' for 'enable secret'</t>
  </si>
  <si>
    <t>14d939f3cd9a600d2649c8fb77fb92c81827b7d04727aa43fddbe5b638ae45a7</t>
  </si>
  <si>
    <t>094421ec0277d7f92a6eac717b5625e52825cf34191646b01771bba594844049</t>
  </si>
  <si>
    <t>b036c44021</t>
  </si>
  <si>
    <t>Use the enable secret command to provide an additional layer of security over the enable password.</t>
  </si>
  <si>
    <t>88c95adbda137c219bc7d8d74f0b5de2d05a113515771c20de37aaaac18b680e</t>
  </si>
  <si>
    <t>CONFIG_CHECK
item: enable secret [^ ]+</t>
  </si>
  <si>
    <t>enable secret 9 $14$f8oS$y48e1e2tpB7bzk$kW1KZlj7dn3ZhZ/jD11xwodzlUeSHdq1fatGoEb1n4E &lt;----</t>
  </si>
  <si>
    <t>de3b9808512c93595b47cab05f4c1c0e88cc6f423764bd4a43724871a34532bb</t>
  </si>
  <si>
    <t>AC - NetIOS - Authentication - line tty</t>
  </si>
  <si>
    <t>aefa03d73468bce61daf2ccfd2326b4481da1f733df55761c5dd39d618958ab7</t>
  </si>
  <si>
    <t>aad801fd0767ca2149683d8b87f508d7f3862b17de2b0a266d165c5bc77c3845</t>
  </si>
  <si>
    <t>b54c76b38c</t>
  </si>
  <si>
    <t>Authenticates users who access the router or switch using the TTY port.</t>
  </si>
  <si>
    <t>b5188d1680cd1f872a7caab802db50bd5b581a41ca67f94d35af3421523d568f</t>
  </si>
  <si>
    <t>[{framework=NIST 800-53r5, control=AC-2(1)}]</t>
  </si>
  <si>
    <t>947c0125bf7b59550f627028a65acaf9b8865866fb25972a05db89754d35f839</t>
  </si>
  <si>
    <t>AC - NetIOS - Set 'exec-timeout' to less than or equal to 10 minutes 'line vty'as CONFIG_CHECK_NOT</t>
  </si>
  <si>
    <t>655bb3e628c11c5704fcc0d636f20dbd572dda2094b8f76523e010a013a9167e</t>
  </si>
  <si>
    <t>b7288d5757ff67bf596c56cee7dfb898f01b40d6a4aa80a9435cd1c33bc6caec</t>
  </si>
  <si>
    <t>f47d241ba8</t>
  </si>
  <si>
    <t>If no input is detected during the interval, the EXEC facility resumes the current connection.</t>
  </si>
  <si>
    <t>88e00c381570279a5eb7d4802d9b1b1754c846e96e6d73978f046aa2759e752d</t>
  </si>
  <si>
    <t>CONFIG_CHECK_NOT
item: exec-timeout (10|[1-9])$
context: line vty .+</t>
  </si>
  <si>
    <t>[{framework=NIST 800-53r5, control=AC-11}]</t>
  </si>
  <si>
    <t>line vty 0 4
 authorization commands 0 VTY
 authorization commands 1 VTY
 authorization commands 15 VTY
 authorization exec VTY
 login authentication VTY
 transport input ssh
 transport output telnet ssh
Expected configuration: 
exec-timeout (10|[1-9])$
line vty 5 15
 authorization commands 0 VTY
 authorization commands 1 VTY
 authorization commands 15 VTY
 authorization exec VTY
 login authentication VTY
 transport input ssh
 transport output telnet ssh
Expected configuration: 
exec-timeout (10|[1-9])$</t>
  </si>
  <si>
    <t>a0988a85ef105ba14a7da626f5d41efc5f9a03ac6e07745b4cd9bdffea70e1ae</t>
  </si>
  <si>
    <t>PASSED - TARGET OS MATCHES BASELINE - IOS</t>
  </si>
  <si>
    <t>HTH</t>
  </si>
  <si>
    <t>b5fc18ab7596192497c063a9f6420cb8d133326edc70bff4844278a0735061f7</t>
  </si>
  <si>
    <t>37306217dd5708f03a3db8fba30edb12b2863b4e3b922553b8580f9c37f194cf</t>
  </si>
  <si>
    <t>82aebc6eba</t>
  </si>
  <si>
    <t>e3b0c44298fc1c149afbf4c8996fb92427ae41e4649b934ca495991b7852b855</t>
  </si>
  <si>
    <t>9a9e57b683d0821c91e506670cbfafd30ee156eef15df71571aaa4bc8ce24417</t>
  </si>
  <si>
    <t>CM - NetIOS - Enable 'service password-encryption</t>
  </si>
  <si>
    <t>96781bf1705fac9545e6d3d52b5e99399faa465e36e2903200d9ef231fc56975</t>
  </si>
  <si>
    <t>442644a29cce06eaf23d0511f2a8bb685845011e2286c0a4437f28be9b51620b</t>
  </si>
  <si>
    <t>7a2f3f64d2</t>
  </si>
  <si>
    <t>When password encryption is enabled, the encrypted form of the passwords is displayed when a more system:running-config command is entered.</t>
  </si>
  <si>
    <t>f50a9ea29d8cc1f9f336f79d55ca73567e25a8251b18bfd961a0d4bfab21c75b</t>
  </si>
  <si>
    <t>CONFIG_CHECK
item: service password-encryption</t>
  </si>
  <si>
    <t>service password-encryption &lt;----</t>
  </si>
  <si>
    <t>6b007dfcba9e2f4107229b9a0745abd9eb72c7b8211a1530a6456cfa91dbcbd3</t>
  </si>
  <si>
    <t>AC - NetIOS - Set 'exec-timeout' to less than or equal to 10 minutes 'line console 0'as CONFIG_CHECK_NOT</t>
  </si>
  <si>
    <t>e22d478d99716c92d8e0b50622698af9fb76b044d23364a9b1ef79811d19731e</t>
  </si>
  <si>
    <t>ce011070eb81b433619ba51842f88d78f710dcf000db2661b08880c61e576d7d</t>
  </si>
  <si>
    <t>0a154829ce</t>
  </si>
  <si>
    <t>CONFIG_CHECK_NOT
item: exec-timeout (10|[1-9])$
context: line con 0</t>
  </si>
  <si>
    <t>line con 0
 stopbits 1
Expected configuration: 
exec-timeout (10|[1-9])$</t>
  </si>
  <si>
    <t>25c7dcf9b2a6a6127b76b9dac5aeec633b94b3a2d4e6c1a24ff3c2ac1688a1fa</t>
  </si>
  <si>
    <t>AC - NetIOS - Set 'exec-timeout' to less than or equal to 10 minutes for 'line aux 0'as CONFIG_CHECK_NOT</t>
  </si>
  <si>
    <t>03851f55d96fa8c6c6fcd0ee3f1d1faaf5e73325a105f29be7013e8501dc9d8d</t>
  </si>
  <si>
    <t>2fd08cf0e5821903e4d299f34f33aed6392f15f50868f51adf14914c90b7313b</t>
  </si>
  <si>
    <t>38932179b6</t>
  </si>
  <si>
    <t>CONFIG_CHECK_NOT
item: exec-timeout (10|[1-9])$
context: line aux 0</t>
  </si>
  <si>
    <t>line aux 0
 no exec
 transport output none
 stopbits 1
Expected configuration: 
exec-timeout (10|[1-9])$</t>
  </si>
  <si>
    <t>fe23ede88fdaacfa0265d6bf112421798edb3eccc6dd419a0bb0200d9bc31e2a</t>
  </si>
  <si>
    <t>AC - NetIOS - Authentication -  Enable 'aaa authentication login'</t>
  </si>
  <si>
    <t>a82bdd409430b9149737a2dab882b6d6c526090b2f9c82ddb8d2b9152d3607b4</t>
  </si>
  <si>
    <t>667b2d0666cacdae5e10bf663c8bb6ecaf7e7bad649df23a31340afdfc4f6a12</t>
  </si>
  <si>
    <t>d0830cb8ac</t>
  </si>
  <si>
    <t>Sets authentication, authorization and accounting (AAA) authentication at login.'</t>
  </si>
  <si>
    <t>0660036b883faa8e5d2a363c446220b1c4ab1365e0efc818adb3d5589b9f124a</t>
  </si>
  <si>
    <t>CONFIG_CHECK
item: aaa authentication login</t>
  </si>
  <si>
    <t>aaa authentication login default group HTH-ISE local-case &lt;----
aaa authentication login HTH-ISE local-case &lt;----</t>
  </si>
  <si>
    <t>dfaedd4a2a45ac182df242f885c29a422de178a93761a4610cc2cab7361dd3a1</t>
  </si>
  <si>
    <t>AC - NetIOS - Authentication - line con 0</t>
  </si>
  <si>
    <t>bdd4238f073aefccab3f9677f72fd2405841f6deb04406e0f79a3585249e4038</t>
  </si>
  <si>
    <t>c4bc41d14ce2445b8d740699c7b48583e905b839a9afc3b56425404b290586f0</t>
  </si>
  <si>
    <t>Authenticates users who access the router or switch using the serial console port.</t>
  </si>
  <si>
    <t>0a9942010ba2277da7a1b9dc5bd35feb23f679b64ae35b059dc301d4b6c0990b</t>
  </si>
  <si>
    <t>b9d52d56e814004af1adeb184501f876283624e367d43cab5b90c2766f0f941c</t>
  </si>
  <si>
    <t>AC - NetIOS - Authentication - line vty</t>
  </si>
  <si>
    <t>3e383eb639ed59460072b1be802216f4120ff2dbba2e822b0f08bdd6aefc0f62</t>
  </si>
  <si>
    <t>f59e38b16b30a1dc0b31f13cdc5a4629ad7dde9c262f5b07dd6392a4bb350674</t>
  </si>
  <si>
    <t>Authenticates users who access the router or switch remotely through the VTY port.</t>
  </si>
  <si>
    <t>e3e7bc900a4f9d88f5c5a58924bfff502c06fc2c547e987f162066acd5af2008</t>
  </si>
  <si>
    <t>f200a96fe6ca812f2d0eda2fc74c5af09c3bf805bb6b3e4bb5bb0c7130154585</t>
  </si>
  <si>
    <t>AC - NetIOS - Banner - Enabled</t>
  </si>
  <si>
    <t>686cc112aaf09ff0d15b699c87f85bb83240b39e0ac35850763ab7a148679bbb</t>
  </si>
  <si>
    <t>685829ae8f02860cca324ae1fe10715c0d82f33ff517cf6248e596e7ba7dd7e7</t>
  </si>
  <si>
    <t>a4983dcedb</t>
  </si>
  <si>
    <t>Follow the banner login command with one or more blank spaces and a delimiting character of your choice.</t>
  </si>
  <si>
    <t>10834cc2e6843539e59024f205584797e0260f1a10ba1696a17a5cfd5a9ef282</t>
  </si>
  <si>
    <t>BANNER_CHECK
item: banner login
content: !! WARNING !!
is_substring: 1</t>
  </si>
  <si>
    <t>[{framework=NIST 800-53r5, control=AC-2}]</t>
  </si>
  <si>
    <t xml:space="preserve">'
___,,___
,d8888888888b,_
_,d889'        8888b,
_,d8888'          8888888b,
_,d8889'           888888888888b,_
_,d8889'             888888889'688888, /b
_,d8889'               88888889'     `6888d 6,_
,d88886'              _d888889'           ,8d  b888b,  d\
,d889'888,             d8889'               8d   9888888Y  )
,d889'   `88,          ,d88'                 d8    `,88aa88 9
d889'      `88,        ,88'                   `8b     )88a88'
d88'         `88       ,88                   88 `8b,_ d888888
d89            88,      88                  d888b  `88`_  8888
88             88b      88                 d888888 8: (6`) 88')
88             8888b,   88                d888aaa8888, `   'Y'
88b          ,888888888888                 `d88aa `88888b ,d8
`88b       ,88886 `88888888                 d88a  d8a88` `8/
`q8b    ,88'`888  `888'"`88          d8b  d8888,` 88/ 9)_6
88  ,88"   `88  88p    `88        d88888888888bd8( Z~/
88b 8p      88 68'      `88      88888888' `688889`
`88 8        `8 8,       `88    888 `8888,   `qp'
8 8,        `q 8b       `88  88"    `888b
q8 8b        "888        `8888'
"888                     `q88b
"888'
XXXXXXXXXXXXXXXXXXXXXXXXXXXXXXXXXXXXXXXXXXXXXXXXXXXXXXXXXXXXXXXXXXXXX  
XX                         !! WARNING !! &lt;----
                           XX  
XX    Access to this system is restricted to authorized users.     XX  
XX   All users expressly consent to the monitoring and recording   XX  
XX       of all activity. System violations are subject to         XX  
XX    disciplinary action. Evidence of criminal activity may be    XX  
XX   reported to corporate security and local, state and federal   XX  
XX    law enforcement agencies. By using this system the user      XX  
XX            accepts these terms and conditions.                  XX  
XXXXXXXXXXXXXXXXXXXXXXXXXXXXXXXXXXXXXXXXXXXXXXXXXXXXXXXXXXXXXXXXXXXXX
</t>
  </si>
  <si>
    <t>7983dd6575fbb781bf4d77361e924fd6def5fb21b44e4dfd4ed9bbda9949c8be</t>
  </si>
  <si>
    <t>AC - NetIOS - Authentication -  Enable 'aaa authentication enable default'</t>
  </si>
  <si>
    <t>e5a1c123b1da61a9f1e164a9450ae05aa02e6ef0c43ba2ac646ca68259b9f695</t>
  </si>
  <si>
    <t>52c10fe244b56ff29876c5849d12981fe4b66392a08ada9eb61356a88403a0e4</t>
  </si>
  <si>
    <t>8a631af8d5</t>
  </si>
  <si>
    <t>Authenticates users who access privileged EXEC mode when they use the enable command.</t>
  </si>
  <si>
    <t>21112c0e2908c9fce2ccfd51a7e01e2250299f02c7e9e44877e84154769d63e4</t>
  </si>
  <si>
    <t>CONFIG_CHECK
item: aaa authentication enable</t>
  </si>
  <si>
    <t>aaa authentication enable default group HTH-ISE enable &lt;----</t>
  </si>
  <si>
    <t>3e360c8c338c41391daf9aa3957dffa4a70f9b57609899268dc862e7e3251fc0</t>
  </si>
  <si>
    <t>AU - NetIOS - NTP Server Configured</t>
  </si>
  <si>
    <t>fb2e745af836b6c5d454253619c65cc180003d58ef21ad853939c3a0b15f5c10</t>
  </si>
  <si>
    <t>f3735f3a03452bb8ec5e7c4ea2f7039a2d873ca07c42adad67f57af78aec4043</t>
  </si>
  <si>
    <t>2cd0f04a57</t>
  </si>
  <si>
    <t>10.248.232.10 was configured.</t>
  </si>
  <si>
    <t>d430366dace3242ad734f5ef230df00f88317e995d9522fb810936ccd11e4664</t>
  </si>
  <si>
    <t>[{framework=NIST 800-53, control=AU-7 AU-8}]</t>
  </si>
  <si>
    <t>1c70dc74fd319e65ff6e3960cda7d3cd09a84518da368754e926eaffe13c78b9</t>
  </si>
  <si>
    <t>AU - NetIOS - NTP Server Configured (2)</t>
  </si>
  <si>
    <t>08ccbded2cb12ecbf558c1de7144c5bd0b61eebf9939a00aa6f1326e7f74fdbe</t>
  </si>
  <si>
    <t>2cd4b11493b69b239d9a33f558cedef95680ede88f67c0494956da689e8fa202</t>
  </si>
  <si>
    <t>b83ec6cd1d</t>
  </si>
  <si>
    <t>Check to confirm 10.248.232.210 was configured.</t>
  </si>
  <si>
    <t>0c43137cd3f65587623c2f692daacec5cce0bd83297ef87547cf8ee580497829</t>
  </si>
  <si>
    <t>CONFIG_CHECK
item: ^(sntp|ntp) server.*10.248.232.210
regex: ^(sntp|ntp)[\s]+server([\s]+vrf[\s]+[a-zA-Z0-9_\-]+)?[\s]*10.248.232.210.*$</t>
  </si>
  <si>
    <t>ntp server 10.248.232.210 &lt;----</t>
  </si>
  <si>
    <t>ee7b54fb3c773d3832640144a2df74434488a63abf66a1be1164fe475bc1bb40</t>
  </si>
  <si>
    <t>AC - NetIOS - Set 'exec-timeout' less than or equal to 10 minutes 'line tty'as CONFIG_CHECK_NOT</t>
  </si>
  <si>
    <t>ada5a8bf6cfeaf75ec962e9cfb51ce006a44c9b3a23c6a2fdd20dadb29d56881</t>
  </si>
  <si>
    <t>723bf2c17b45b096e59191f7c694b8034412481e510dce43b68e0014e03709d2</t>
  </si>
  <si>
    <t>16b050ed5d</t>
  </si>
  <si>
    <t>CONFIG_CHECK_NOT
item: exec-timeout (10|[1-9])$
context: line tty .+</t>
  </si>
  <si>
    <t>line tty .+ not found in the configuration file</t>
  </si>
  <si>
    <t>5cf57d6a29515b67ee9cee1945904781769b982036a1b2f3cf45ae9f12163133</t>
  </si>
  <si>
    <t>AC - NetIOS - Authentication -  Enable 'aaa new-model'</t>
  </si>
  <si>
    <t>5648965a69fdae3f7c83dc8c9e238ba169925cef0bb1aa011df3cd4527afc0e6</t>
  </si>
  <si>
    <t>3bf2e801ae793b9bb20ef93b8790251e1d1cfffbeeeb259d435d99f73e7dd76b</t>
  </si>
  <si>
    <t>5b2cc3b739</t>
  </si>
  <si>
    <t>This command enables the AAA access control system.</t>
  </si>
  <si>
    <t>db7b1af768ef8d4f2c0414181dfba7bf43d90cf3e76c2662abf5c7672bfc01d0</t>
  </si>
  <si>
    <t>CONFIG_CHECK
item: aaa new-model</t>
  </si>
  <si>
    <t>aaa new-model &lt;----</t>
  </si>
  <si>
    <t>1bf6923969825c753219c6e47b51c20b5061a2404c67bfa3a330d5696c21cbd6</t>
  </si>
  <si>
    <t>Plugin ID</t>
  </si>
  <si>
    <t>CVE</t>
  </si>
  <si>
    <t>CVSS</t>
  </si>
  <si>
    <t>Risk</t>
  </si>
  <si>
    <t>Host</t>
  </si>
  <si>
    <t>Protocol</t>
  </si>
  <si>
    <t>Port</t>
  </si>
  <si>
    <t>Name</t>
  </si>
  <si>
    <t>Synopsis</t>
  </si>
  <si>
    <t>Description</t>
  </si>
  <si>
    <t>Solution</t>
  </si>
  <si>
    <t>See Also</t>
  </si>
  <si>
    <t>Plugin Output</t>
  </si>
  <si>
    <t>Asset UUID</t>
  </si>
  <si>
    <t>Vulnerability State</t>
  </si>
  <si>
    <t>IP Address</t>
  </si>
  <si>
    <t>FQDN</t>
  </si>
  <si>
    <t>NetBios</t>
  </si>
  <si>
    <t>OS</t>
  </si>
  <si>
    <t>MAC Address</t>
  </si>
  <si>
    <t>Plugin Family</t>
  </si>
  <si>
    <t>CVSS Base Score</t>
  </si>
  <si>
    <t>CVSS Temporal Score</t>
  </si>
  <si>
    <t>CVSS Temporal Vector</t>
  </si>
  <si>
    <t>CVSS Vector</t>
  </si>
  <si>
    <t>CVSS3 Base Score</t>
  </si>
  <si>
    <t>CVSS3 Temporal Score</t>
  </si>
  <si>
    <t>CVSS3 Temporal Vector</t>
  </si>
  <si>
    <t>CVSS3 Vector</t>
  </si>
  <si>
    <t>System Type</t>
  </si>
  <si>
    <t>Host Start</t>
  </si>
  <si>
    <t>Host End</t>
  </si>
  <si>
    <t>Vulnerability Priority Rating (VPR)</t>
  </si>
  <si>
    <t>First Found</t>
  </si>
  <si>
    <t>Last Found</t>
  </si>
  <si>
    <t>Host Scan Schedule ID</t>
  </si>
  <si>
    <t>Host Scan ID</t>
  </si>
  <si>
    <t>Indexed At</t>
  </si>
  <si>
    <t>Last Authenticated Results Date</t>
  </si>
  <si>
    <t>Last Unauthenticated Results Date</t>
  </si>
  <si>
    <t>Tracked</t>
  </si>
  <si>
    <t>Risk Factor</t>
  </si>
  <si>
    <t>Severity</t>
  </si>
  <si>
    <t>Original Severity</t>
  </si>
  <si>
    <t>Modification</t>
  </si>
  <si>
    <t>Plugin Family ID</t>
  </si>
  <si>
    <t>Plugin Type</t>
  </si>
  <si>
    <t>Plugin Version</t>
  </si>
  <si>
    <t>Service</t>
  </si>
  <si>
    <t>Plugin Modification Date</t>
  </si>
  <si>
    <t>Plugin Publication Date</t>
  </si>
  <si>
    <t>Checks for Malware</t>
  </si>
  <si>
    <t>Exploit Available</t>
  </si>
  <si>
    <t>Exploited by Malware</t>
  </si>
  <si>
    <t>Exploited by Nessus</t>
  </si>
  <si>
    <t>CANVAS</t>
  </si>
  <si>
    <t>D2 Elliot</t>
  </si>
  <si>
    <t>Metasploit</t>
  </si>
  <si>
    <t>Core Exploits</t>
  </si>
  <si>
    <t>ExploitHub</t>
  </si>
  <si>
    <t>Default Account</t>
  </si>
  <si>
    <t>Patch Available</t>
  </si>
  <si>
    <t>In The News</t>
  </si>
  <si>
    <t>Unsupported By Vendor</t>
  </si>
  <si>
    <t>Last Fixed</t>
  </si>
  <si>
    <t>None</t>
  </si>
  <si>
    <t>hth2-ipflex-hth2-cube1.hilltop.systems</t>
  </si>
  <si>
    <t>TCP</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</si>
  <si>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</si>
  <si>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</si>
  <si>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</si>
  <si>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</si>
  <si>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listening":[{"port":22,"protocol":"TCP","interfaces":null,"all_interfaces":false,"service_name":"ssh","plugin_output":null},{"port":5060,"protocol":"TCP","interfaces":null,"all_interfaces":false,"service_name":null,"plugin_output":null},{"port":5061,"protocol":"TCP","interfaces":null,"all_interfaces":false,"service_name":null,"plugin_output":null},{"port":1720,"protocol":"TCP","interfaces":null,"all_interfaces":false,"service_name":null,"plugin_output":null}],"closed":{"TCP":{"discrete":[7,9,11,13,15,27,29,31,33,35,333,702,721,723,744,767,808,810,860,871,873,898,927,950,953,975,1005,1008,1010,1040,1042,1045,1139,1178,1192,1194,2030,2155,2207,2213,2260,2273,3802,3885,3900,3939,3959,3994,4045,4105,4111,4114,4138,4154,4160,4242,4274,4300,4321,4333,4369,4400,4480,4500,4555,4557,4559,4672,4711,4752,4827,4885,4888,4894,4899,4950,4983,4998,5031,5042,5069,5071,5081,5093,5108,5137,5145,5154,5165,5168,5232,5236,5269,5272,5282,5347,5435,5444,5465,5485,5510,5530,5540,5550,5566,5569,5666,5688,5690,5720,5727,5755,5757,5771,5813,5882,6060,6080,6085,6123,6129,6200,6253,6255,6270,6300,6343,6373,6382,6389,6400,6443,6471,6514,6543,6558,6566,6588,6623,6628,6631,6680,6714,6723,6831,6850,6891,6939,7030,7070,7080,7111,7121,7144,7161,7170,7174,7205,7269,7273,7283,7300,7320,7323,7326,7395,7437,7461,7464,7491,7505,7560,7566,7570,7575,7580,7585,7588,7597,7624,7666,7743,7781,7786,7875,7902,7913,7938,7955,7967,8019,8022,8028,8030,8044,8060,8074,8077,8098,8100,8118,8216,8245,8300,8302,8351,8383,8390,8431,8450,8473,8484,8500,8530,8649,8733,8804,8866,8875,8880,8954,8987,8989,9006,9009,9043,9050,9080,9131,9152,9287,9292,9321,9346,9374,9400,9418,9433,9443,9495,9500,9600,9612,9704,9747,9753,9797,9872,9909,9911,10012,10051,10128,10168,10252,10260,10288,10607,10626,10628,10666,10752,10990,11111,11201,11211,11223,11367,11371,11600,11720,11751,11965,11967,12076,12109,12168,12172,12174,12223,12321,12468,12701,13160,13666,13724,14141,14145,14149,14194,14237,14942,15000,15104,15126,15345,15363,15858,16384,16959,16969,16991,17007,17185,17219,17300,17990,18000,18190,18241,18264,18463,18769,18888,19191,19194,19226,19283,19315,19398,19638,19726,20005,20020,20031,20034,20168,20200,20670,21071,21227,21317,21490,21544,21554,21590,21700,21800,22222,22273,22289,22305,22321,22370,22555,22800,22951,23456,23945,24242,24249,24386,24554,24922,25378,25544,25793,25867,25901,25903,26000,26208,27017,27345,27374,27504,27665,27960,27999,28001,28017,29559,29891,30303,30999,31300,31337,31339,31416,31457,31554,31556,31620,31765,32000,32123,32261,32666,32896,33270,33331,33434,33911,34012,34249,34324,34567,34952,36079,36794,36865,37475,37651,38037,38201,39681,40001,40412,41002,41080,41111,41443,41508,42800,43118,44337,44818,45000,45054,45678,45966,47000,47557,47624,47806,47808,47891,48556,49400,50013,50123,50505,50776,51051,51210,53001,54345,57341,59595,60008,60177,60179,61446,62078,65000,65301,65534],"ranges":[[1,5],[17,21],[23,25],[37,39],[41,59],[61,224],[242,248],[256,268],[280,287],[308,322],[344,700],[704,707],[709,711],[729,731],[740,742],[747,754],[758,765],[769,777],[780,783],[786,787],[799,801],[828,830],[847,848],[886,888],[900,904],[911,913],[989,1002],[1023,1027],[1029,1036],[1047,1112],[1114,1117],[1119,1120],[1122,1127],[1154,1155],[1161,1162],[1168,1170],[1180,1181],[1183,1188],[1199,1231],[1233,1286],[1288,1719],[1721,1774],[1776,2028],[2032,2035],[2037,2038],[2040,2065],[2067,2083],[2086,2087],[2089,2152],[2159,2167],[2170,2177],[2180,2181],[2190,2191],[2199,2202],[2220,2224],[2232,2246],[2248,2255],[2279,2289],[2294,2311],[2313,2371],[2381,2425],[2427,2681],[2683,2824],[2826,2854],[2856,2924],[2926,3096],[3098,3299],[3302,3321],[3326,3366],[3372,3403],[3405,3545],[3547,3707],[3709,3765],[3767,3770],[3772,3800],[3845,3871],[3875,3876],[3928,3929],[3970,3971],[3984,3987],[3999,4036],[4040,4042],[4080,4081],[4096,4100],[4132,4134],[4141,4145],[4199,4201],[4343,4351],[4353,4358],[4442,4457],[4545,4547],[4567,4569],[4600,4601],[4658,4662],[4800,4802],[4837,4839],[4848,4849],[4868,4869],[4987,4989],[5000,5011],[5020,5025],[5050,5057],[5064,5066],[5099,5102],[5150,5152],[5177,5178],[5190,5193],[5200,5203],[5222,5223],[5225,5226],[5250,5251],[5264,5265],[5300,5311],[5314,5315],[5351,5355],[5400,5432],[5454,5456],[5461,5463],[5500,5504],[5520,5521],[5553,5556],[5595,5605],[5631,5632],[5673,5680],[5713,5717],[5729,5730],[5741,5742],[5745,5746],[5766,5768],[5800,5803],[5858,5859],[5888,5889],[5900,5903],[5968,5969],[5977,5979],[5985,5991],[5997,6010],[6050,6051],[6064,6073],[6100,6112],[6141,6150],[6175,6177],[6321,6322],[6346,6347],[6455,6456],[6500,6503],[6505,6510],[6547,6550],[6580,6582],[6620,6621],[6665,6670],[6672,6673],[6699,6701],[6767,6768],[6776,6778],[6788,6790],[6841,6842],[6881,6889],[6900,6901],[6961,6966],[6969,6970],[6998,7015],[7020,7021],[7099,7101],[7200,7201],[7210,7211],[7280,7281],[7391,7392],[7426,7431],[7500,7501],[7510,7511],[7544,7545],[7626,7627],[7633,7634],[7648,7649],[7674,7676],[7775,7779],[7797,7798],[7800,7801],[7845,7846],[7932,7933],[7979,7980],[7999,8005],[8007,8010],[8032,8033],[8080,8083],[8088,8090],[8115,8116],[8121,8123],[8129,8132],[8160,8161],[8180,8194],[8199,8201],[8204,8208],[8224,8225],[8310,8311],[8376,8380],[8400,8403],[8416,8417],[8443,8445],[8554,8555],[8763,8765],[8786,8787],[8834,8836],[8863,8864],[8887,8894],[8900,8901],[8910,8911],[8999,9002],[9020,9026],[9090,9091],[9099,9103],[9110,9111],[9160,9164],[9200,9207],[9210,9211],[9216,9217],[9281,9285],[9343,9344],[9390,9393],[9396,9397],[9535,9537],[9593,9595],[9800,9802],[9875,9876],[9888,9889],[9898,9901],[9950,9952],[9990,10005],[10007,10008],[10080,10083],[10101,10103],[10113,10116],[10202,10204],[10616,10617],[11000,11001],[11319,11321],[11999,12006],[12345,12346],[12361,12362],[12753,12754],[13223,13224],[13701,13702],[13705,13706],[13708,13718],[13720,13722],[13782,13783],[13818,13822],[14001,14002],[14033,14034],[14936,14937],[16360,16361],[16367,16368],[16660,16661],[17770,17772],[18181,18187],[19410,19412],[19540,19541],[20000,20001],[20011,20012],[20202,20203],[20221,20222],[20999,21000],[21064,21065],[21845,21849],[22000,22003],[24000,24006],[24345,24347],[24677,24678],[25000,25009],[26260,26264],[27000,27010],[30001,30002],[30100,30102],[31785,31787],[32768,32780],[32786,32787],[33567,33568],[38292,38293],[40841,40843],[41794,41795],[42508,42510],[43188,43190],[44321,44322],[44333,44334],[44442,44443],[48000,48003],[50000,50004],[54320,54321],[61439,61441]]},"UDP":{"discrete":[5,7,9,11,13,15,27,29,31,33,35,333,702,737,744,767,808,810,860,873,953,1008,1010,1012,1023,1040,1045,1194,2030,2213,2260,2273,3802,3885,3900,3939,3959,4045,4092,4111,4114,4138,4154,4160,4300,4321,4369,4555,4559,4665,4672,4747,4752,4827,4885,4894,4899,4983,5042,5069,5071,5081,5093,5099,5101,5137,5145,5154,5165,5222,5232,5236,5269,5272,5282,5321,5435,5465,5540,5566,5688,5720,5755,5757,5771,5813,5859,5888,6085,6123,6253,6257,6284,6300,6343,6382,6389,6455,6471,6543,6558,6566,6623,6628,6631,6660,6688,6699,6701,6714,6831,6850,6888,6969,7030,7070,7121,7174,7395,7437,7491,7501,7560,7566,7570,7588,7624,7627,7633,7666,7743,7781,7786,7789,7913,7967,8008,8010,8022,8088,8100,8118,8351,8450,8473,8733,8804,8880,8954,9006,9009,9080,9131,9217,9287,9292,9321,9346,9359,9370,9374,9418,9500,9535,9600,9612,9747,9753,9872,9888,9909,9911,9943,9945,10067,10128,10167,10252,10260,10288,10990,11111,11201,11367,11371,11600,11720,11751,11967,12109,12168,12172,12223,12345,12753,13160,13724,14001,14141,14145,14149,14238,15000,15345,15363,16991,17007,17185,17219,18000,18241,18463,18769,19191,19194,19283,19315,19398,20202,20222,20670,20999,21300,21544,21554,21590,21800,22273,22370,22555,22800,22951,24242,24249,24386,24554,24922,25445,25793,25901,25903,26000,26208,26274,26740,26900,27000,27010,27345,27374,27444,27500,27504,27901,27910,27999,28070,28431,28910,29760,30303,31333,31335,31416,31457,31620,31666,31765,32896,33331,33434,34249,36865,37475,38037,38201,38293,39213,39681,41111,41170,44818,45000,45054,45678,45966,47000,47262,47557,47624,47806,47808,48556,50505,50776,54321,56768,60177,60179,65000],"ranges":[[1,3],[17,25],[37,39],[41,59],[61,99],[101,224],[242,248],[256,268],[280,287],[308,322],[344,700],[704,707],[709,711],[729,731],[740,742],[747,754],[758,765],[769,777],[779,783],[786,787],[800,801],[828,829],[847,848],[886,888],[900,903],[911,913],[989,1001],[1025,1028],[1030,1036],[1047,1108],[1110,1112],[1114,1117],[1119,1120],[1122,1126],[1154,1155],[1161,1162],[1167,1170],[1180,1181],[1183,1188],[1199,1231],[1233,1286],[1288,1774],[1776,2002],[2004,2028],[2032,2035],[2037,2038],[2040,2065],[2067,2083],[2086,2087],[2089,2152],[2159,2167],[2170,2177],[2180,2181],[2190,2191],[2200,2202],[2220,2223],[2232,2246],[2248,2255],[2279,2289],[2294,2311],[2313,2371],[2381,2824],[2826,2854],[2856,3096],[3098,3403],[3405,3453],[3455,3545],[3547,3564],[3566,3707],[3709,3765],[3767,3800],[3845,3867],[3869,3871],[3875,3876],[3928,3929],[3970,3971],[3984,3987],[3996,3998],[4000,4036],[4040,4042],[4096,4100],[4132,4134],[4141,4145],[4199,4201],[4343,4351],[4353,4358],[4442,4457],[4500,4501],[4545,4547],[4567,4568],[4600,4601],[4658,4661],[4800,4802],[4837,4839],[4848,4849],[4868,4869],[4987,4989],[5000,5008],[5010,5011],[5020,5025],[5050,5052],[5055,5057],[5060,5061],[5064,5066],[5150,5152],[5190,5193],[5200,5203],[5225,5226],[5250,5251],[5264,5265],[5300,5311],[5314,5315],[5351,5355],[5400,5432],[5454,5456],[5461,5463],[5500,5504],[5553,5555],[5599,5605],[5631,5632],[5673,5679],[5713,5717],[5729,5730],[5741,5742],[5745,5746],[5766,5768],[5881,5882],[5968,5969],[5985,5991],[5999,6073],[6100,6112],[6141,6149],[6321,6322],[6346,6347],[6400,6402],[6404,6406],[6500,6503],[6505,6510],[6547,6550],[6580,6582],[6620,6621],[6665,6670],[6672,6673],[6767,6768],[6788,6790],[6841,6842],[6961,6966],[6998,7015],[7020,7021],[7099,7100],[7200,7201],[7280,7281],[7300,7308],[7391,7392],[7426,7431],[7510,7511],[7544,7545],[7648,7651],[7674,7676],[7776,7779],[7797,7798],[7845,7846],[7932,7933],[7979,7980],[7999,8002],[8032,8033],[8080,8081],[8115,8116],[8121,8122],[8130,8132],[8160,8161],[8199,8201],[8204,8208],[8376,8380],[8400,8403],[8416,8417],[8443,8444],[8554,8555],[8763,8765],[8786,8787],[8888,8894],[8900,8901],[8910,8911],[8999,9002],[9020,9026],[9090,9091],[9100,9103],[9160,9164],[9200,9207],[9210,9211],[9281,9285],[9343,9344],[9396,9397],[9593,9595],[9800,9802],[9875,9876],[9898,9901],[9950,9952],[9990,10012],[10080,10081],[10101,10103],[10113,10116],[11000,11001],[11319,11321],[12000,12006],[13223,13224],[13324,13325],[13720,13722],[13782,13783],[13818,13822],[14033,14034],[14936,14937],[16360,16361],[16367,16368],[17770,17772],[18181,18187],[18888,18889],[19410,19412],[19540,19541],[20000,20001],[20011,20012],[21845,21849],[22000,22001],[24000,24006],[24677,24678],[25000,25009],[26260,26264],[27015,27050],[27960,27961],[30001,30002],[31337,31339],[31789,31791],[32768,32780],[32786,32787],[40421,40426],[40841,40843],[41794,41795],[42508,42510],[43188,43190],[44321,44322],[48000,48003]]}}}</t>
  </si>
  <si>
    <t>549e7be8-1405-4274-a37c-56853449b396</t>
  </si>
  <si>
    <t>New</t>
  </si>
  <si>
    <t>10.2.166.4</t>
  </si>
  <si>
    <t>A4:6C:2A:B4:73:81
A4:6C:2A:B4:73:82
A4:6C:2A:B4:73:80</t>
  </si>
  <si>
    <t>Port scanners</t>
  </si>
  <si>
    <t>null</t>
  </si>
  <si>
    <t>template-80295fee-c9f5-bb4f-0422-3f46012f5e2bba99a3058425a248</t>
  </si>
  <si>
    <t>remote</t>
  </si>
  <si>
    <t>ssh</t>
  </si>
  <si>
    <t>2025-07-14T00:00:00Z</t>
  </si>
  <si>
    <t>2009-02-04T00:00:00Z</t>
  </si>
  <si>
    <t>Nessus Scan Information</t>
  </si>
  <si>
    <t>This plugin displays information about the Nessus scan.</t>
  </si>
  <si>
    <t>N/A</t>
  </si>
  <si>
    <t>Settings</t>
  </si>
  <si>
    <t>summary</t>
  </si>
  <si>
    <t>2026-03-04T00:00:00Z</t>
  </si>
  <si>
    <t>2005-08-26T00:00:00Z</t>
  </si>
  <si>
    <t>Enumerate IPv4 Interfaces via SSH</t>
  </si>
  <si>
    <t>Nessus was able to enumerate the IPv4 interfaces on the remote host.</t>
  </si>
  <si>
    <t>Nessus was able to enumerate the network interfaces configured with IPv4 addresses by connecting to the remote host via SSH using the supplied credentials.</t>
  </si>
  <si>
    <t>Disable any unused IPv4 interfaces.</t>
  </si>
  <si>
    <t xml:space="preserve">
The following IPv4 addresses are set on the remote host :
 - 3.3.5.7 (on interface GigabitEthernet0/2)
 - 3.3.5.1 (on interface Embedded-Service-Engine0/0)
</t>
  </si>
  <si>
    <t>General</t>
  </si>
  <si>
    <t>local</t>
  </si>
  <si>
    <t>2025-09-24T00:00:00Z</t>
  </si>
  <si>
    <t>2007-05-11T00:00:00Z</t>
  </si>
  <si>
    <t>Device Hostname</t>
  </si>
  <si>
    <t>It was possible to determine the remote system hostname.</t>
  </si>
  <si>
    <t>This plugin reports a device's hostname collected via SSH or WMI.</t>
  </si>
  <si>
    <t xml:space="preserve">
  Hostname : HTH2-IPFLEX-HTH2-CUBE1.hilltop.systems
    HTH2-IPFLEX-HTH2-CUBE1.hilltop.systems (Cisco)</t>
  </si>
  <si>
    <t>2011-06-30T00:00:00Z</t>
  </si>
  <si>
    <t>Target Credential Status by Authentication Protocol - Valid Credentials Provided</t>
  </si>
  <si>
    <t>Valid credentials were provided for an available authentication protocol.</t>
  </si>
  <si>
    <t xml:space="preserve">
Nessus was able to log in to the remote host via the following :
User:       'HTH-SVC-TenablNetEng'
Port:       22
Proto:      SSH
Method:     keyboard-interactive
Escalation: cisco_enable
</t>
  </si>
  <si>
    <t>2024-03-25T00:00:00Z</t>
  </si>
  <si>
    <t>2020-10-15T00:00:00Z</t>
  </si>
  <si>
    <t>tcp</t>
  </si>
  <si>
    <t>Policy Compliance</t>
  </si>
  <si>
    <t>2010-05-17T00:00:00Z</t>
  </si>
  <si>
    <t>High</t>
  </si>
  <si>
    <t>wc-harwd-sa-3202-image</t>
  </si>
  <si>
    <t>{"listening":[{"port":22,"protocol":"TCP","interfaces":null,"all_interfaces":false,"service_name":"ssh","plugin_output":null}],"closed":{"TCP":{"discrete":[7,9,11,13,15,27,29,31,33,35,333,702,721,723,744,767,808,810,860,871,873,898,927,950,953,975,1005,1008,1010,1040,1042,1045,1139,1178,1192,1194,2030,2155,2207,2213,2260,2273,3802,3885,3900,3939,3959,3994,4045,4105,4111,4114,4138,4154,4160,4242,4274,4300,4321,4333,4369,4400,4480,4500,4555,4557,4559,4672,4711,4752,4827,4885,4888,4894,4899,4950,4983,4998,5031,5042,5069,5071,5081,5093,5108,5137,5145,5154,5165,5168,5232,5236,5269,5272,5282,5347,5435,5444,5465,5485,5510,5530,5540,5550,5566,5569,5666,5688,5690,5720,5727,5755,5757,5771,5813,5882,6060,6080,6085,6123,6129,6200,6253,6255,6270,6300,6343,6373,6382,6389,6400,6443,6471,6514,6543,6558,6566,6588,6623,6628,6631,6680,6714,6723,6831,6850,6891,6939,7030,7070,7080,7111,7121,7144,7161,7170,7174,7205,7269,7273,7283,7300,7320,7323,7326,7395,7437,7461,7464,7491,7505,7560,7566,7570,7575,7580,7585,7588,7597,7624,7666,7743,7781,7786,7875,7902,7913,7938,7955,7967,8019,8022,8028,8030,8044,8060,8074,8077,8098,8100,8118,8216,8245,8300,8302,8351,8383,8390,8431,8450,8473,8484,8500,8530,8649,8733,8804,8866,8875,8880,8954,8987,8989,9006,9009,9043,9050,9080,9131,9152,9287,9292,9321,9346,9374,9400,9418,9433,9443,9495,9500,9600,9612,9704,9747,9753,9797,9872,9909,9911,10012,10051,10128,10168,10252,10260,10288,10607,10626,10628,10666,10752,10990,11111,11201,11211,11223,11367,11371,11600,11720,11751,11965,11967,12076,12109,12168,12172,12174,12223,12321,12468,12701,13160,13666,13724,14141,14145,14149,14194,14237,14942,15000,15104,15126,15345,15363,15858,16384,16959,16969,16991,17007,17185,17219,17300,17990,18000,18190,18241,18264,18463,18769,18888,19191,19194,19226,19283,19315,19398,19638,19726,20005,20020,20031,20034,20168,20200,20670,21071,21227,21317,21490,21544,21554,21590,21700,21800,22222,22273,22289,22305,22321,22370,22555,22800,22951,23456,23945,24242,24249,24386,24554,24922,25378,25544,25793,25867,25901,25903,26000,26208,27017,27345,27374,27504,27665,27960,27999,28001,28017,29559,29891,30303,30999,31300,31337,31339,31416,31457,31554,31556,31620,31765,32000,32123,32261,32666,32896,33270,33331,33434,33911,34012,34249,34324,34567,34952,36079,36794,36865,37475,37651,38037,38201,39681,40001,40412,41002,41080,41111,41443,41508,42800,43118,44337,44818,45000,45054,45678,45966,47000,47557,47624,47806,47808,47891,48556,49400,50013,50123,50505,50776,51051,51210,53001,54345,57341,59595,60008,60177,60179,61446,62078,65000,65301,65534],"ranges":[[1,5],[17,21],[23,25],[37,39],[41,59],[61,224],[242,248],[256,268],[280,287],[308,322],[344,700],[704,707],[709,711],[729,731],[740,742],[747,754],[758,765],[769,777],[780,783],[786,787],[799,801],[828,830],[847,848],[886,888],[900,904],[911,913],[989,1002],[1023,1027],[1029,1036],[1047,1112],[1114,1117],[1119,1120],[1122,1127],[1154,1155],[1161,1162],[1168,1170],[1180,1181],[1183,1188],[1199,1231],[1233,1286],[1288,1774],[1776,2028],[2032,2035],[2037,2038],[2040,2065],[2067,2083],[2086,2087],[2089,2152],[2159,2167],[2170,2177],[2180,2181],[2190,2191],[2199,2202],[2220,2224],[2232,2246],[2248,2255],[2279,2289],[2294,2311],[2313,2371],[2381,2425],[2427,2681],[2683,2824],[2826,2854],[2856,2924],[2926,3096],[3098,3299],[3302,3321],[3326,3366],[3372,3403],[3405,3545],[3547,3707],[3709,3765],[3767,3770],[3772,3800],[3845,3871],[3875,3876],[3928,3929],[3970,3971],[3984,3987],[3999,4036],[4040,4042],[4080,4081],[4096,4100],[4132,4134],[4141,4145],[4199,4201],[4343,4351],[4353,4358],[4442,4457],[4545,4547],[4567,4569],[4600,4601],[4658,4662],[4800,4802],[4837,4839],[4848,4849],[4868,4869],[4987,4989],[5000,5011],[5020,5025],[5050,5057],[5060,5061],[5064,5066],[5099,5102],[5150,5152],[5177,5178],[5190,5193],[5200,5203],[5222,5223],[5225,5226],[5250,5251],[5264,5265],[5300,5311],[5314,5315],[5351,5355],[5400,5432],[5454,5456],[5461,5463],[5500,5504],[5520,5521],[5553,5556],[5595,5605],[5631,5632],[5673,5680],[5713,5717],[5729,5730],[5741,5742],[5745,5746],[5766,5768],[5800,5803],[5858,5859],[5888,5889],[5900,5903],[5968,5969],[5977,5979],[5985,5991],[5997,6010],[6050,6051],[6064,6073],[6100,6112],[6141,6150],[6175,6177],[6321,6322],[6346,6347],[6455,6456],[6500,6503],[6505,6510],[6547,6550],[6580,6582],[6620,6621],[6665,6670],[6672,6673],[6699,6701],[6767,6768],[6776,6778],[6788,6790],[6841,6842],[6881,6889],[6900,6901],[6961,6966],[6969,6970],[6998,7015],[7020,7021],[7099,7101],[7200,7201],[7210,7211],[7280,7281],[7391,7392],[7426,7431],[7500,7501],[7510,7511],[7544,7545],[7626,7627],[7633,7634],[7648,7649],[7674,7676],[7775,7779],[7797,7798],[7800,7801],[7845,7846],[7932,7933],[7979,7980],[7999,8005],[8007,8010],[8032,8033],[8080,8083],[8088,8090],[8115,8116],[8121,8123],[8129,8132],[8160,8161],[8180,8194],[8199,8201],[8204,8208],[8224,8225],[8310,8311],[8376,8380],[8400,8403],[8416,8417],[8443,8445],[8554,8555],[8763,8765],[8786,8787],[8834,8836],[8863,8864],[8887,8894],[8900,8901],[8910,8911],[8999,9002],[9020,9026],[9090,9091],[9099,9103],[9110,9111],[9160,9164],[9200,9207],[9210,9211],[9216,9217],[9281,9285],[9343,9344],[9390,9393],[9396,9397],[9535,9537],[9593,9595],[9800,9802],[9875,9876],[9888,9889],[9898,9901],[9950,9952],[9990,10005],[10007,10008],[10080,10083],[10101,10103],[10113,10116],[10202,10204],[10616,10617],[11000,11001],[11319,11321],[11999,12006],[12345,12346],[12361,12362],[12753,12754],[13223,13224],[13701,13702],[13705,13706],[13708,13718],[13720,13722],[13782,13783],[13818,13822],[14001,14002],[14033,14034],[14936,14937],[16360,16361],[16367,16368],[16660,16661],[17770,17772],[18181,18187],[19410,19412],[19540,19541],[20000,20001],[20011,20012],[20202,20203],[20221,20222],[20999,21000],[21064,21065],[21845,21849],[22000,22003],[24000,24006],[24345,24347],[24677,24678],[25000,25009],[26260,26264],[27000,27010],[30001,30002],[30100,30102],[31785,31787],[32768,32780],[32786,32787],[33567,33568],[38292,38293],[40841,40843],[41794,41795],[42508,42510],[43188,43190],[44321,44322],[44333,44334],[44442,44443],[48000,48003],[50000,50004],[54320,54321],[61439,61441]]},"UDP":{"discrete":[5,7,9,11,13,15,27,29,31,33,35,333,702,737,744,767,808,810,860,873,953,1008,1010,1012,1023,1040,1045,1194,2030,2213,2260,2273,3802,3885,3900,3939,3959,4045,4092,4111,4114,4138,4154,4160,4300,4321,4369,4555,4559,4665,4672,4747,4752,4827,4885,4894,4899,4983,5042,5069,5071,5081,5093,5099,5101,5137,5145,5154,5165,5222,5232,5236,5269,5272,5282,5321,5435,5465,5540,5566,5688,5720,5755,5757,5771,5813,5859,5888,6085,6123,6253,6257,6284,6300,6343,6382,6389,6455,6471,6543,6558,6566,6623,6628,6631,6660,6688,6699,6701,6714,6831,6850,6888,6969,7030,7070,7121,7174,7395,7437,7491,7501,7560,7566,7570,7588,7624,7627,7633,7666,7743,7781,7786,7789,7913,7967,8008,8010,8022,8088,8100,8118,8351,8450,8473,8733,8804,8880,8954,9006,9009,9080,9131,9217,9287,9292,9321,9346,9359,9370,9374,9418,9500,9535,9600,9612,9747,9753,9872,9888,9909,9911,9943,9945,10067,10128,10167,10252,10260,10288,10990,11111,11201,11367,11371,11600,11720,11751,11967,12109,12168,12172,12223,12345,12753,13160,13724,14001,14141,14145,14149,14238,15000,15345,15363,16991,17007,17185,17219,18000,18241,18463,18769,19191,19194,19283,19315,19398,20202,20222,20670,20999,21300,21544,21554,21590,21800,22273,22370,22555,22800,22951,24242,24249,24386,24554,24922,25445,25793,25901,25903,26000,26208,26274,26740,26900,27000,27010,27345,27374,27444,27500,27504,27901,27910,27999,28070,28431,28910,29760,30303,31333,31335,31416,31457,31620,31666,31765,32896,33331,33434,34249,36865,37475,38037,38201,38293,39213,39681,41111,41170,44818,45000,45054,45678,45966,47000,47262,47557,47624,47806,47808,48556,50505,50776,54321,56768,60177,60179,65000],"ranges":[[1,3],[17,25],[37,39],[41,59],[61,99],[101,224],[242,248],[256,268],[280,287],[308,322],[344,700],[704,707],[709,711],[729,731],[740,742],[747,754],[758,765],[769,777],[779,783],[786,787],[800,801],[828,829],[847,848],[886,888],[900,903],[911,913],[989,1001],[1025,1028],[1030,1036],[1047,1108],[1110,1112],[1114,1117],[1119,1120],[1122,1126],[1154,1155],[1161,1162],[1167,1170],[1180,1181],[1183,1188],[1199,1231],[1233,1286],[1288,1774],[1776,2002],[2004,2028],[2032,2035],[2037,2038],[2040,2065],[2067,2083],[2086,2087],[2089,2152],[2159,2167],[2170,2177],[2180,2181],[2190,2191],[2200,2202],[2220,2223],[2232,2246],[2248,2255],[2279,2289],[2294,2311],[2313,2371],[2381,2824],[2826,2854],[2856,3096],[3098,3403],[3405,3453],[3455,3545],[3547,3564],[3566,3707],[3709,3765],[3767,3800],[3845,3867],[3869,3871],[3875,3876],[3928,3929],[3970,3971],[3984,3987],[3996,3998],[4000,4036],[4040,4042],[4096,4100],[4132,4134],[4141,4145],[4199,4201],[4343,4351],[4353,4358],[4442,4457],[4500,4501],[4545,4547],[4567,4568],[4600,4601],[4658,4661],[4800,4802],[4837,4839],[4848,4849],[4868,4869],[4987,4989],[5000,5008],[5010,5011],[5020,5025],[5050,5052],[5055,5057],[5060,5061],[5064,5066],[5150,5152],[5190,5193],[5200,5203],[5225,5226],[5250,5251],[5264,5265],[5300,5311],[5314,5315],[5351,5355],[5400,5432],[5454,5456],[5461,5463],[5500,5504],[5553,5555],[5599,5605],[5631,5632],[5673,5679],[5713,5717],[5729,5730],[5741,5742],[5745,5746],[5766,5768],[5881,5882],[5968,5969],[5985,5991],[5999,6073],[6100,6112],[6141,6149],[6321,6322],[6346,6347],[6400,6402],[6404,6406],[6500,6503],[6505,6510],[6547,6550],[6580,6582],[6620,6621],[6665,6670],[6672,6673],[6767,6768],[6788,6790],[6841,6842],[6961,6966],[6998,7015],[7020,7021],[7099,7100],[7200,7201],[7280,7281],[7300,7308],[7391,7392],[7426,7431],[7510,7511],[7544,7545],[7648,7651],[7674,7676],[7776,7779],[7797,7798],[7845,7846],[7932,7933],[7979,7980],[7999,8002],[8032,8033],[8080,8081],[8115,8116],[8121,8122],[8130,8132],[8160,8161],[8199,8201],[8204,8208],[8376,8380],[8400,8403],[8416,8417],[8443,8444],[8554,8555],[8763,8765],[8786,8787],[8888,8894],[8900,8901],[8910,8911],[8999,9002],[9020,9026],[9090,9091],[9100,9103],[9160,9164],[9200,9207],[9210,9211],[9281,9285],[9343,9344],[9396,9397],[9593,9595],[9800,9802],[9875,9876],[9898,9901],[9950,9952],[9990,10012],[10080,10081],[10101,10103],[10113,10116],[11000,11001],[11319,11321],[12000,12006],[13223,13224],[13324,13325],[13720,13722],[13782,13783],[13818,13822],[14033,14034],[14936,14937],[16360,16361],[16367,16368],[17770,17772],[18181,18187],[18888,18889],[19410,19412],[19540,19541],[20000,20001],[20011,20012],[21845,21849],[22000,22001],[24000,24006],[24677,24678],[25000,25009],[26260,26264],[27015,27050],[27960,27961],[30001,30002],[31337,31339],[31789,31791],[32768,32780],[32786,32787],[40421,40426],[40841,40843],[41794,41795],[42508,42510],[43188,43190],[44321,44322],[48000,48003]]}}}</t>
  </si>
  <si>
    <t>ed63f2e6-8ee8-4077-bff4-4307d8534492</t>
  </si>
  <si>
    <t>10.132.172.254</t>
  </si>
  <si>
    <t>2C:F8:9B:C8:7E:09
2C:F8:9B:C8:7E:07
2C:F8:9B:C8:7E:08
2C:F8:9B:C8:7E:0E
2C:F8:9B:C8:7E:0F
2C:F8:9B:C8:7E:0C
2C:F8:9B:C8:7E:0D
2C:F8:9B:C8:7E:0A
2C:F8:9B:C8:7E:0B
2C:F8:9B:C8:7E:16
2C:F8:9B:C8:7E:17
2C:F8:9B:C8:7E:14
2C:F8:9B:C8:7E:15
2C:F8:9B:C8:7E:12
2C:F8:9B:C8:7E:13
2C:F8:9B:C8:7E:10
2C:F8:9B:C8:7E:11
2C:F8:9B:C8:7E:05
2C:F8:9B:C8:7E:06
2C:F8:9B:C8:7E:03
2C:F8:9B:C8:7E:47
2C:F8:9B:C8:7E:04
2C:F8:9B:C8:7E:01
2C:F8:9B:C8:7E:02
2C:F8:9B:C8:7E:00
2C:F8:9B:C8:7E:29
2C:F8:9B:C8:7E:2E
2C:F8:9B:C8:7E:2F
2C:F8:9B:C8:7E:2C
2C:F8:9B:C8:7E:2D
2C:F8:9B:C8:7E:2A
2C:F8:9B:C8:7E:2B
2C:F8:9B:C8:7E:30
2C:F8:9B:C8:7E:31
2C:F8:9B:C8:7E:73
2C:F8:9B:C8:7E:70
2C:F8:9B:C8:7E:34
2C:F8:9B:C8:7E:32
2C:F8:9B:C8:7E:33
2C:F8:9B:C8:7E:18
2C:F8:9B:C8:7E:19
2C:F8:9B:C8:7E:1F
2C:F8:9B:C8:7E:1D
2C:F8:9B:C8:7E:1E
2C:F8:9B:C8:7E:1B
2C:F8:9B:C8:7E:1C
2C:F8:9B:C8:7E:1A
2C:F8:9B:C8:7E:20
2C:F8:9B:C8:7E:27
2C:F8:9B:C8:7E:28
2C:F8:9B:C8:7E:25
2C:F8:9B:C8:7E:26
2C:F8:9B:C8:7E:23
2C:F8:9B:C8:7E:24
2C:F8:9B:C8:7E:21
2C:F8:9B:C8:7E:22</t>
  </si>
  <si>
    <t xml:space="preserve">
The following IPv4 addresses are set on the remote host :
 - 10.1.175.254 (on interface Vlan3135)
 - 10.132.172.254 (on interface Vlan3332)
</t>
  </si>
  <si>
    <t xml:space="preserve">
  Hostname : WC-HARWD-SA-3202-Image
    WC-HARWD-SA-3202-Image (Cisco)</t>
  </si>
  <si>
    <t>Desc</t>
  </si>
  <si>
    <t>LUVal</t>
  </si>
  <si>
    <t>#HTH Cisco IOS  Baseline</t>
  </si>
  <si>
    <t>&lt;check_type:"Cisco"&gt;</t>
  </si>
  <si>
    <t>&lt;if&gt;</t>
  </si>
  <si>
    <t>  &lt;condition type:"AND"&gt;</t>
  </si>
  <si>
    <t>    &lt;item&gt;</t>
  </si>
  <si>
    <t>      type        : CONFIG_CHECK</t>
  </si>
  <si>
    <t>      description : "Check if Cisco IOS is installed"</t>
  </si>
  <si>
    <t>      item        : "^version"</t>
  </si>
  <si>
    <t>    &lt;/item&gt;</t>
  </si>
  <si>
    <t>  &lt;/condition&gt;</t>
  </si>
  <si>
    <t>  &lt;then&gt;</t>
  </si>
  <si>
    <t>    &lt;report type:"PASSED"&gt;</t>
  </si>
  <si>
    <t>      description : "PASSED - TARGET OS MATCHES BASELINE - IOS"</t>
  </si>
  <si>
    <t>      see_also    : "HTH"</t>
  </si>
  <si>
    <t>    &lt;/report&gt;</t>
  </si>
  <si>
    <t>      description : "AC - NetIOS - Authentication -  Enable 'aaa new-model'"</t>
  </si>
  <si>
    <t>      info        : "This command enables the AAA access control system."</t>
  </si>
  <si>
    <t>        reference : "NIST 800-53r5|AC-2(1)"</t>
  </si>
  <si>
    <t>      see_also    : "See cooresponding HTH Standards and Policies"</t>
  </si>
  <si>
    <t>      item        : "aaa new-model"</t>
  </si>
  <si>
    <t>      description : "AC - NetIOS - Authentication -  Enable 'aaa authentication login'"</t>
  </si>
  <si>
    <t>      info        : "Sets authentication, authorization and accounting (AAA) authentication at login.'"</t>
  </si>
  <si>
    <t>      item        : "aaa authentication login"</t>
  </si>
  <si>
    <t>      description : "AC - NetIOS - Authentication -  Enable 'aaa authentication enable default'"</t>
  </si>
  <si>
    <t>      info        : "Authenticates users who access privileged EXEC mode when they use the enable command."</t>
  </si>
  <si>
    <t>      item        : "aaa authentication enable"</t>
  </si>
  <si>
    <t>  &lt;if&gt;</t>
  </si>
  <si>
    <t>    &lt;condition type:"AND"&gt;</t>
  </si>
  <si>
    <t>      &lt;item&gt;</t>
  </si>
  <si>
    <t>      description : "Check for aaa auth login default"</t>
  </si>
  <si>
    <t>      item        : "aaa authentication login default"</t>
  </si>
  <si>
    <t>      &lt;/item&gt;</t>
  </si>
  <si>
    <t>    &lt;/condition&gt;</t>
  </si>
  <si>
    <t>     &lt;then&gt;</t>
  </si>
  <si>
    <t>      &lt;report type:"PASSED"&gt;</t>
  </si>
  <si>
    <t>      description : "AC - NetIOS - Authentication - line con 0"</t>
  </si>
  <si>
    <t>      info        : "Authenticates users who access the router or switch using the serial console port."</t>
  </si>
  <si>
    <t>      &lt;/report&gt;</t>
  </si>
  <si>
    <t>      description : "AC - NetIOS - Authentication - line tty"</t>
  </si>
  <si>
    <t>      info        : "Authenticates users who access the router or switch using the TTY port."</t>
  </si>
  <si>
    <t>      description : "AC - NetIOS - Authentication - line vty"</t>
  </si>
  <si>
    <t>      info        : "Authenticates users who access the router or switch remotely through the VTY port."</t>
  </si>
  <si>
    <t>      &lt;/then&gt;</t>
  </si>
  <si>
    <t>  &lt;else&gt;</t>
  </si>
  <si>
    <t>      context     : "line con .+"</t>
  </si>
  <si>
    <t>      item        : "login authentication .+"</t>
  </si>
  <si>
    <t>    &lt;if&gt;</t>
  </si>
  <si>
    <t>      &lt;condition type:"AND"&gt;</t>
  </si>
  <si>
    <t>        &lt;item&gt;</t>
  </si>
  <si>
    <t>          type        : CONFIG_CHECK</t>
  </si>
  <si>
    <t>          description : "AC - NetIOS - Authentication - line tty"</t>
  </si>
  <si>
    <t>          item        : "line tty .+"</t>
  </si>
  <si>
    <t>        &lt;/item&gt;</t>
  </si>
  <si>
    <t>      &lt;/condition&gt;</t>
  </si>
  <si>
    <t>      &lt;then&gt;</t>
  </si>
  <si>
    <t>          info        : "Authenticates users who access the router or switch using the TTY port."</t>
  </si>
  <si>
    <t>          reference   : "NIST 800-53|AC-2(1)"</t>
  </si>
  <si>
    <t>          see_also    : "HTH"</t>
  </si>
  <si>
    <t>          context     : "line tty .+"</t>
  </si>
  <si>
    <t>          item        : "login authentication .+"</t>
  </si>
  <si>
    <t>      &lt;else&gt;</t>
  </si>
  <si>
    <t>        &lt;report type:"PASSED"&gt;</t>
  </si>
  <si>
    <t>        &lt;/report&gt;</t>
  </si>
  <si>
    <t>      &lt;/else&gt;</t>
  </si>
  <si>
    <t>    &lt;/if&gt;</t>
  </si>
  <si>
    <t>          description : "AC - NetIOS - Authentication - line vty"</t>
  </si>
  <si>
    <t>          context     : "line vty .+"</t>
  </si>
  <si>
    <t>      description : "AC - NetIOS - Set 'privilege 1' for local users - 'All users have encrypted passwords'"</t>
  </si>
  <si>
    <t>      info        : "Sets the privilege level for the user."</t>
  </si>
  <si>
    <t>        reference : "NIST 800-53r5|AC-6 AC-6(5)"</t>
  </si>
  <si>
    <t>      item        : "username .+ secret [5|8|9] .+"</t>
  </si>
  <si>
    <t>      description : "IA - NetIOS - Set 'transport input ssh' for 'line vty' connections"</t>
  </si>
  <si>
    <t>      info        : "Selects the Secure Shell (SSH) protocol."</t>
  </si>
  <si>
    <t>        reference : "NIST 800-53r5|IA-2(1)"</t>
  </si>
  <si>
    <t>      context     : "line vty .+"</t>
  </si>
  <si>
    <t>      item        : "transport input ssh *$"</t>
  </si>
  <si>
    <t>      type        : CONFIG_CHECK_NOT</t>
  </si>
  <si>
    <t>      description : "AC - NetIOS - Set 'exec-timeout' to less than or equal to 10 minutes for 'line aux 0'as CONFIG_CHECK_NOT"</t>
  </si>
  <si>
    <t>      info        : "If no input is detected during the interval, the EXEC facility resumes the current connection."</t>
  </si>
  <si>
    <t>        reference : "NIST 800-53r5|AC-11"</t>
  </si>
  <si>
    <t>      context     : "line aux 0"</t>
  </si>
  <si>
    <t>      item        : "exec-timeout (10|[1-9])$"</t>
  </si>
  <si>
    <t>      description : "AC - NetIOS - Set 'exec-timeout' to less than or equal to 10 minutes 'line console 0'as CONFIG_CHECK_NOT"</t>
  </si>
  <si>
    <t>      context     : "line con 0"</t>
  </si>
  <si>
    <t>      description : "AC - NetIOS - Set 'exec-timeout' less than or equal to 10 minutes 'line tty'as CONFIG_CHECK_NOT"</t>
  </si>
  <si>
    <t>      context     : "line tty .+"</t>
  </si>
  <si>
    <t>      description : "AC - NetIOS - Set 'exec-timeout' to less than or equal to 10 minutes 'line vty'as CONFIG_CHECK_NOT"</t>
  </si>
  <si>
    <t>      type        : BANNER_CHECK</t>
  </si>
  <si>
    <t>      description : "AC - NetIOS - Banner - Enabled"</t>
  </si>
  <si>
    <t>      info        : "Follow the banner login command with one or more blank spaces and a delimiting character of your choice."</t>
  </si>
  <si>
    <t>        reference : "NIST 800-53r5|AC-2"</t>
  </si>
  <si>
    <t>      item        : "banner login"</t>
  </si>
  <si>
    <t>      content     : "!! WARNING !!"</t>
  </si>
  <si>
    <t>      is_substring: YES</t>
  </si>
  <si>
    <t>      description : "CM - NetIOS - Set 'password' for 'enable secret'"</t>
  </si>
  <si>
    <t>      info        : "Use the enable secret command to provide an additional layer of security over the enable password."</t>
  </si>
  <si>
    <t>        reference : "NIST 800-53r5|CM-6 CM-7 SC-23"</t>
  </si>
  <si>
    <t>      item        : "enable secret [^ ]+"</t>
  </si>
  <si>
    <t>      description : "CM - NetIOS - Enable 'service password-encryption"</t>
  </si>
  <si>
    <t>      info        : "When password encryption is enabled, the encrypted form of the passwords is displayed when a more system:running-config command is entered."</t>
  </si>
  <si>
    <t>      item        : "service password-encryption"</t>
  </si>
  <si>
    <t>      description : "CM - NetIOS - Set 'username secret' for all local users"</t>
  </si>
  <si>
    <t>      info        : "Use the username secret command to configure a username and MD5-encrypted user password."</t>
  </si>
  <si>
    <t>      regex       : "username .+ secret [^ ]+"</t>
  </si>
  <si>
    <t>      item        : "username [^ ]+"</t>
  </si>
  <si>
    <t>   &lt;condition type: "AND"&gt;</t>
  </si>
  <si>
    <t>      description : "AU - NetIOS - NTP Server Configured"</t>
  </si>
  <si>
    <t>      info        : ""</t>
  </si>
  <si>
    <t>      reference   : "NIST 800-53|AU-7 AU-8"</t>
  </si>
  <si>
    <t>      regex       : "^(sntp|ntp)[\\s]+server([\\s]+vrf[\\s]+[a-zA-Z0-9_\\-]+)?[\\s]*10.248.232.10.*$"</t>
  </si>
  <si>
    <t>      item        : "^(sntp|ntp) server.*10.248.232.10"</t>
  </si>
  <si>
    <t>      info        : "10.248.232.10 was configured."</t>
  </si>
  <si>
    <t>      description : "AU - NetIOS - NTP Server Configured (2)"</t>
  </si>
  <si>
    <t>      info        : "Check to confirm 10.248.232.210 was configured."</t>
  </si>
  <si>
    <t>      regex       : "^(sntp|ntp)[\\s]+server([\\s]+vrf[\\s]+[a-zA-Z0-9_\\-]+)?[\\s]*10.248.232.210.*$"</t>
  </si>
  <si>
    <t>      item        : "^(sntp|ntp) server.*10.248.232.210"</t>
  </si>
  <si>
    <t>    &lt;/then&gt;</t>
  </si>
  <si>
    <t>  &lt;/else&gt;</t>
  </si>
  <si>
    <t> &lt;/if&gt;</t>
  </si>
  <si>
    <t>&lt;/then&gt;</t>
  </si>
  <si>
    <t>      description : "SNMP is enabled"</t>
  </si>
  <si>
    <t>      item        : "snmp-server community .+"</t>
  </si>
  <si>
    <t>      description : "CM - NetIOS - Set 'no snmp-server' to disable SNMP when unused"</t>
  </si>
  <si>
    <t>      info        : "If not in use, disable simple network management protocol (SNMP), read and write access."</t>
  </si>
  <si>
    <t>      description : "CM - NetIOS - Unset 'private' for 'snmp-server community'"</t>
  </si>
  <si>
    <t>      info        : "An SNMP community string permits read-only access to all objects."</t>
  </si>
  <si>
    <t>      item        : "snmp-server community private"</t>
  </si>
  <si>
    <t>      description : "CM - NetIOS - Unset 'public' for 'snmp-server community'"</t>
  </si>
  <si>
    <t>      item        : "snmp-server community public"</t>
  </si>
  <si>
    <t>      description : "CM - NetIOS - Do not set 'RW' for any 'snmp-server community'"</t>
  </si>
  <si>
    <t>      info        : "Specifies read-write access. Authorized management stations can both retrieve and modify MIB objects."</t>
  </si>
  <si>
    <t>      item        : "snmp-server community .+ [Rr][Ww]"</t>
  </si>
  <si>
    <t>          description : "AC - NetIOS - Set the ACL for each 'snmp-server community'"</t>
  </si>
  <si>
    <t>          info        : "This feature specifies a list of IP addresses that are allowed to use the community string to gain access to the SNMP agent."</t>
  </si>
  <si>
    <t>            reference : "NIST 800-53r5|AC-18 SC-23"</t>
  </si>
  <si>
    <t>          see_also    : "See cooresponding HTH Standards and Policies"</t>
  </si>
  <si>
    <t>          regex       : "snmp-server community .+ [Rr][Oo] 1"</t>
  </si>
  <si>
    <t>          item        : "snmp-server community .+ [Rr][Oo]"</t>
  </si>
  <si>
    <t>          description : "AC - NetIOS - Create an 'access-list' for use with SNMP - 'SNMP permit secured by ACL'"</t>
  </si>
  <si>
    <t>          info        : "You can use access lists to control the transmission of packets on an interface, control Simple Network Management Protocol (SNMP) access, and restrict the contents of routing updates."</t>
  </si>
  <si>
    <t>          regex       : "access-list 1 permit .+"</t>
  </si>
  <si>
    <t>          item        : "access-list 1 permit"</t>
  </si>
  <si>
    <t>          description : "AC - NetIOS - Create an 'access-list' for use with SNMP - 'SNMP deny secured by ACL'"</t>
  </si>
  <si>
    <t>          regex       : "access-list 1 deny[\\s]*any log"</t>
  </si>
  <si>
    <t>          item        : "access-list 1 deny"</t>
  </si>
  <si>
    <t>        &lt;if&gt;</t>
  </si>
  <si>
    <t>          &lt;condition type:"AND"&gt;</t>
  </si>
  <si>
    <t>            &lt;item&gt;</t>
  </si>
  <si>
    <t>              type        : CONFIG_CHECK</t>
  </si>
  <si>
    <t>              description : "Check for snmp-server host"</t>
  </si>
  <si>
    <t>              item        : "snmp-server host"</t>
  </si>
  <si>
    <t>            &lt;/item&gt;</t>
  </si>
  <si>
    <t>          &lt;/condition&gt;</t>
  </si>
  <si>
    <t>          &lt;then&gt;</t>
  </si>
  <si>
    <t>              description : "AC - NetIOS - Set 'snmp-server host' when using SNMP"</t>
  </si>
  <si>
    <t>              info        : "SNMP notifications can be sent as traps to authorized management systems."</t>
  </si>
  <si>
    <t>                reference : "NIST 800-53r5|AC-18 SC-23"</t>
  </si>
  <si>
    <t>              see_also    : "See cooresponding HTH Standards and Policies"</t>
  </si>
  <si>
    <t>              item        : "snmp-server host 192\.168\.0\.2 .+"</t>
  </si>
  <si>
    <t>              description : "AC - NetIOS - Set 'snmp-server enable traps snmp'"</t>
  </si>
  <si>
    <t>              item        : "snmp-server enable traps"</t>
  </si>
  <si>
    <t>          &lt;/then&gt;</t>
  </si>
  <si>
    <t>          &lt;else&gt;</t>
  </si>
  <si>
    <t>            &lt;report type:"PASSED"&gt;</t>
  </si>
  <si>
    <t>            &lt;/report&gt;</t>
  </si>
  <si>
    <t>          &lt;/else&gt;</t>
  </si>
  <si>
    <t>        &lt;/if&gt;</t>
  </si>
  <si>
    <t>          description : "CM - NetIOS - Set 'no snmp-server' to disable SNMP when unused"</t>
  </si>
  <si>
    <t>          info        : "If not in use, disable simple network management protocol (SNMP), read and write access."</t>
  </si>
  <si>
    <t>            reference : "NIST 800-53r5|CM-6 CM-7 SC-23"</t>
  </si>
  <si>
    <t>          description : "CM - NetIOS - Unset 'private' for 'snmp-server community'"</t>
  </si>
  <si>
    <t>          info        : "An SNMP community string permits read-only access to all objects."</t>
  </si>
  <si>
    <t>          description : "CM - NetIOS - Unset 'public' for 'snmp-server community'"</t>
  </si>
  <si>
    <t>          description : "CM - NetIOS - Do not set 'RW' for any 'snmp-server community'"</t>
  </si>
  <si>
    <t>          info        : "Specifies read-write access. Authorized management stations can both retrieve and modify MIB objects."</t>
  </si>
  <si>
    <t>          description : "AC - NetIOS - Set 'snmp-server host' when using SNMP"</t>
  </si>
  <si>
    <t>          info        : "SNMP notifications can be sent as traps to authorized management systems."</t>
  </si>
  <si>
    <t>          description : "AC - NetIOS - Set 'snmp-server enable traps snmp'"</t>
  </si>
  <si>
    <t>      description : "Set the 'ip domain-name'"</t>
  </si>
  <si>
    <t>      item        : "ip domain(-| )name .+"</t>
  </si>
  <si>
    <t>      description : "AC - NetIOS - Set 'modulus' to greater than or equal to 2048 for 'crypto key generate rsa'"</t>
  </si>
  <si>
    <t>      info        : "Use this command to generate RSA key pairs for your Cisco device."</t>
  </si>
  <si>
    <t>        reference : "NIST 800-53r5|AC-18 SC-23"</t>
  </si>
  <si>
    <t>      item        : "Key name:"</t>
  </si>
  <si>
    <t>      description : "AC - NetIOS - Set 'seconds' for 'ip ssh timeout'"</t>
  </si>
  <si>
    <t>      info        : "The time interval that the router waits for the SSH client to respond before disconnecting an uncompleted login attempt."</t>
  </si>
  <si>
    <t>      item        : "Authentication timeout: [1-9][0-9]+ secs; Authentication retries: .*"</t>
  </si>
  <si>
    <t>      description : "AC - NetIOS - Set maximimum value for 'ip ssh authentication-retries'"</t>
  </si>
  <si>
    <t>      info        : "The number of retries before the SSH login session disconnects."</t>
  </si>
  <si>
    <t>      item        : "Authentication timeout: .* secs; Authentication retries: [1-9]+"</t>
  </si>
  <si>
    <t>      description : "AC - NetIOS - Set version 2 for 'ip ssh version'"</t>
  </si>
  <si>
    <t>      info        : "Specify the version of Secure Shell (SSH) to be run on a router"</t>
  </si>
  <si>
    <t>      item        : "ip ssh version 2"</t>
  </si>
  <si>
    <t>      description : "AC - NetIOS - Set 'no cdp run'"</t>
  </si>
  <si>
    <t>      info        : "Disable Cisco Discovery Protocol (CDP) service at device level."</t>
  </si>
  <si>
    <t>      item        : "no cdp run"</t>
  </si>
  <si>
    <t>      description : "AC - NetIOS - Set 'no ip bootp server'"</t>
  </si>
  <si>
    <t>      info        : "Disable the Bootstrap Protocol (BOOTP) service on your routing device."</t>
  </si>
  <si>
    <t>      item        : "(no ip bootp server|ip dhcp bootp ignore)"</t>
  </si>
  <si>
    <t>      &lt;condition type:"OR"&gt;</t>
  </si>
  <si>
    <t>          description : "Check for service dhcp"</t>
  </si>
  <si>
    <t>          item        : "service dhcp"</t>
  </si>
  <si>
    <t>          description : "Check for ip dhcp pool"</t>
  </si>
  <si>
    <t>          item        : "ip dhcp pool.*"</t>
  </si>
  <si>
    <t>          description : "AC - NetIOS - Set 'no service dhcp'"</t>
  </si>
  <si>
    <t>          info        : "Disable the Dynamic Host Configuration Protocol (DHCP) server and relay agent features on your router."</t>
  </si>
  <si>
    <t>          item        : "no service dhcp"</t>
  </si>
  <si>
    <t>              description : "Check for ip dhcp pool"</t>
  </si>
  <si>
    <t>              item        : "ip dhcp pool.*"</t>
  </si>
  <si>
    <t>              type        : CONFIG_CHECK_NOT</t>
  </si>
  <si>
    <t>              description : "AC - NetIOS - Set 'no service dhcp' - dhcp pool"</t>
  </si>
  <si>
    <t>              info        : "Disable the Dynamic Host Configuration Protocol (DHCP) server and relay agent features on your router."</t>
  </si>
  <si>
    <t>          description : "Check for identd supported in config"</t>
  </si>
  <si>
    <t>          item        : ".*identd.*"</t>
  </si>
  <si>
    <t>          description : "AC - NetIOS - Set 'no ip identd'"</t>
  </si>
  <si>
    <t>          info        : "Disable the identification (identd) server."</t>
  </si>
  <si>
    <t>          item        : "no ip identd"</t>
  </si>
  <si>
    <t>      description : "AC - NetIOS - Set 'service tcp-keepalives-in'"</t>
  </si>
  <si>
    <t>      info        : "Generate keepalive packets on idle incoming network connections."</t>
  </si>
  <si>
    <t>      item        : "service tcp-keepalives-in"</t>
  </si>
  <si>
    <t>      description : "CM - NetIOS - Set 'service tcp-keepalives-out'"</t>
  </si>
  <si>
    <t>      info        : "Generate keepalive packets on idle outgoing network connections."</t>
  </si>
  <si>
    <t>        reference : "NIST 800-53r5|CM-6"</t>
  </si>
  <si>
    <t>      item        : "service tcp-keepalives-out"</t>
  </si>
  <si>
    <t>      description : "AC - NetIOS - Set 'no service pad'"</t>
  </si>
  <si>
    <t>      info        : "Disable X.25 Packet Assembler/Disassembler (PAD) service."</t>
  </si>
  <si>
    <t>      item        : "^service pad"</t>
  </si>
  <si>
    <t>      description : "AU - NetIOS - Set 'logging on'"</t>
  </si>
  <si>
    <t>      info        : "Enable logging of system messages."</t>
  </si>
  <si>
    <t>        reference : "NIST 800-53r5|AU-2 AU-7 AU-12"</t>
  </si>
  <si>
    <t>      item        : "no logging on"</t>
  </si>
  <si>
    <t>      description : "AU - NetIOS - Set 'buffer size' for 'logging buffered'"</t>
  </si>
  <si>
    <t>      info        : "Enable system message logging to a local buffer."</t>
  </si>
  <si>
    <t>        reference : "NIST 800-53r5|AU-4"</t>
  </si>
  <si>
    <t>      item        : "logging buffered.*([0-9]+)"</t>
  </si>
  <si>
    <t>      description : "AU - NetIOS - Set 'logging console critical'"</t>
  </si>
  <si>
    <t>      info        : "Verify logging to device console is enabled and limited to a rational severity level to avoid impacting system performance and management."</t>
  </si>
  <si>
    <t>        reference : "NIST 800-53r5|AU-3 AU-3(1) AU-7 AU-12"</t>
  </si>
  <si>
    <t>      item        : "logging console critical"</t>
  </si>
  <si>
    <t>      description : "AU - NetIOS - Set IP address for 'logging host'"</t>
  </si>
  <si>
    <t>      info        : "Log system messages and debug output to a remote host."</t>
  </si>
  <si>
    <t>        reference : "NIST 800-53r5|AU-6(3)"</t>
  </si>
  <si>
    <t>      item        : "logging (host )?192\.168\.2\.1"</t>
  </si>
  <si>
    <t>      description : "AU - NetIOS - Set 'logging trap informational'"</t>
  </si>
  <si>
    <t>      info        : "Limit messages logged to the syslog servers based on severity level informational."</t>
  </si>
  <si>
    <t>      regex       : "logging trap (debugging|7|informational|6)"</t>
  </si>
  <si>
    <t>      item        : "logging trap .+"</t>
  </si>
  <si>
    <t>      description : "AU - NetIOS - Set 'service timestamps debug datetime'"</t>
  </si>
  <si>
    <t>      info        : "Configure the system to apply a time stamp to debugging messages or system logging messages"</t>
  </si>
  <si>
    <t>      item        : "service timestamps debug datetime"</t>
  </si>
  <si>
    <t>      description : "AU - NetIOS - Set 'logging source interface'"</t>
  </si>
  <si>
    <t>      info        : "Specify the source IPv4 or IPv6 address of system logging packets"</t>
  </si>
  <si>
    <t>      regex       : "logging source-interface [Ll]oopback[\\s]*[0-9]+"</t>
  </si>
  <si>
    <t>      item        : "logging source-interface [Ll]oopback.*"</t>
  </si>
  <si>
    <t>      description : "AU - NetIOS - Set 'ip address' for 'ntp server'"</t>
  </si>
  <si>
    <t>      info        : "Use this command if you want to allow the system to synchronize the system software clock with the specified NTP server."</t>
  </si>
  <si>
    <t>        reference : "NIST 800-53r5|AU-7 AU-8"</t>
  </si>
  <si>
    <t>      regex       : "^(sntp|ntp)[\\s]+server([\\s]+vrf[\\s]+[a-zA-Z0-9_\\-]+)?[\\s]*192\.168\.3\.1.*$"</t>
  </si>
  <si>
    <t>      item        : "^(sntp|ntp) server.*192\.168\.3\.1"</t>
  </si>
  <si>
    <t>      description : "CM - NetIOS - Set 'no ip source-route'"</t>
  </si>
  <si>
    <t>      info        : "Disable the handling of IP datagrams with source routing header options."</t>
  </si>
  <si>
    <t>      item        : "no ip source-route"</t>
  </si>
  <si>
    <t>    &lt;report type:"WARNING"&gt;</t>
  </si>
  <si>
    <t>      description     : "WARNING - TARGET OS DOESNT MATCH BASELINE - IOS"</t>
  </si>
  <si>
    <t>      info            : "NOTE: Nessus has identified that the chosen audit does not apply to the target device."</t>
  </si>
  <si>
    <t>      see_also        : "Link to Controls"</t>
  </si>
  <si>
    <t>&lt;/if&gt;</t>
  </si>
  <si>
    <t>&lt;/check_type&gt;</t>
  </si>
  <si>
    <t>2026-05-05T00:00:00Z</t>
  </si>
  <si>
    <t>"1.0006 - NETIOS - Set 'password' for 'enable secret: [PASSED]"
Enable secret password type 5 and enable secret password type 5 must be migrated to the stronger password type 8 or 9.
See Also:
See HTH Policies and Standards
Reference:
NIST 800-53r5|AC-6(2) AC-6(5)
Policy Value:
CONFIG_CHECK
item: enable secret [^ ]+
Actual Value:
enable secret 5 $1$uhIg$.BzYCWKUy20Kl3.f78xEz/ &lt;----</t>
  </si>
  <si>
    <t>"1.0005 - NETIOS - Set 'transport input ssh' for 'line vty' connections: [PASSED]"
Selects the Secure Shell (SSH) protocol.
See Also:
See HTH Policies and Standards
Reference:
NIST 800-53r5|IA-2(1)
Policy Value:
CONFIG_CHECK
item: transport input ssh$
context: line vty .+
Actual Value:
line vty 0 4
 exec-timeout 15 0
 privilege level 15
 password 7 04681B07012A551F
 logging synchronous
 login authentication VTY-Access
 length 0
 transport input ssh &lt;----
 transport output ssh</t>
  </si>
  <si>
    <t>"1.0007 - NETIOS - Enable 'service password-encryption: [PASSED]"
When password encryption is enabled, the encrypted form of the passwords is displayed when a more system:running-config command is entered.
See Also:
See HTH Policies and Standards
Reference:
NIST 800-53r5|IA-5(1) SC-28 SC-28(1)
Policy Value:
CONFIG_CHECK
item: service password-encryption
Actual Value:
service password-encryption &lt;----</t>
  </si>
  <si>
    <t>"1.0008 - NETIOS - Set 'username secret' for all local users: [PASSED]"
Username secret password type 5 and enable secret password type 5 must be migrated to the stronger password type 8 or 9.
See Also:
See HTH Policies and Standards
Reference:
NIST 800-53r5|IA-5(1) SC-28 SC-28(1)
Policy Value:
CONFIG_CHECK
item: username [^ ]+
regex: username .+ secret [^ ]+
Actual Value:
username globaladmin privilege 15 secret 5 $1$iknv$WmqdYILsqNKDVIO.mBTZ80 &lt;----</t>
  </si>
  <si>
    <t>"1.0006 - NETIOS - Set 'password' for 'enable secret: [PASSED]"
Enable secret password type 5 and enable secret password type 5 must be migrated to the stronger password type 8 or 9.
See Also:
See HTH Policies and Standards
Reference:
NIST 800-53r5|AC-6(2) AC-6(5)
Policy Value:
CONFIG_CHECK
item: enable secret [^ ]+
Actual Value:
enable secret 9 $14$Z1NL$53wlqErEEDCDlk$td5Z8TPaISnbZwCbf7oi51kS9Y0cQas2ClrSu4JqoiY &lt;----</t>
  </si>
  <si>
    <t>"1.0008 - NETIOS - Set 'username secret' for all local users: [PASSED]"
Username secret password type 5 and enable secret password type 5 must be migrated to the stronger password type 8 or 9.
See Also:
See HTH Policies and Standards
Reference:
NIST 800-53r5|IA-5(1) SC-28 SC-28(1)
Policy Value:
CONFIG_CHECK
item: username [^ ]+
regex: username .+ secret [^ ]+
Actual Value:
username netadmin privilege 15 secret 9 $14$B0ho$7D3BRJupYDdF7.$lJeus8bA4cujy6yUAvyfwL.JoJ.DcNgIioCnBo.C3Lw &lt;----</t>
  </si>
  <si>
    <t>"1.0005 - NETIOS - Set 'transport input ssh' for 'line vty' connections: [PASSED]"
Selects the Secure Shell (SSH) protocol.
See Also:
See HTH Policies and Standards
Reference:
NIST 800-53r5|IA-2(1)
Policy Value:
CONFIG_CHECK
item: transport input ssh$
context: line vty .+
Actual Value:
line vty 0 4
 transport input ssh &lt;----
line vty 5 31
 transport input ssh &lt;----</t>
  </si>
  <si>
    <t>2c:f8:9b:c8:7e:09</t>
  </si>
  <si>
    <t>10.132.172.254, 10.1.175.254</t>
  </si>
  <si>
    <t>Cisco IOS XE 16.12.8</t>
  </si>
  <si>
    <t>[{"category":"target","value":"Auth_Network_Device"},{"category":"rem","value":"NetworkEng"},{"category":"os","value":"CiscoIOS"},{"category":"type","value":"NetworkDevice"},{"category":"target","value":"Infoblox_Auto_All_Subnet"},{"category":"test","value":"Baseline_NetIOS"},{"category":"target","value":"Remote_Check"},{"category":"status","value":"Assessed"},{"category":"exp","value":"Internal"},{"category":"static","value":"BaselineNetIOS"},{"category":"lob","value":"HTS"}]</t>
  </si>
  <si>
    <t>line vty 0 4
 transport input ssh
Expected configuration: 
exec-timeout (10|[1-9])$
line vty 5 31
 transport input ssh
Expected configuration: 
exec-timeout (10|[1-9])$</t>
  </si>
  <si>
    <t>08e45a81-fe0c-5793-8d9a-3f3f80af7c90</t>
  </si>
  <si>
    <t>2026-05-04T00:17:20.723Z</t>
  </si>
  <si>
    <t>line vty 0 4
 transport input ssh &lt;----
line vty 5 31
 transport input ssh &lt;----</t>
  </si>
  <si>
    <t>09719d68-82cf-5c03-a402-0c28cb0069dc</t>
  </si>
  <si>
    <t>19486276-370d-5599-81ad-1e68dc133677</t>
  </si>
  <si>
    <t>26c6e776-0dcc-570d-a50a-d15b1cf31338</t>
  </si>
  <si>
    <t>line aux 0
 stopbits 1
Expected configuration: 
exec-timeout (10|[1-9])$</t>
  </si>
  <si>
    <t>2fee92e7-0174-5cc9-8a9a-a282f0d218ba</t>
  </si>
  <si>
    <t>316fdd4e-f432-5765-bf40-b9460b18a415</t>
  </si>
  <si>
    <t>3363f210-c81d-510e-8f0c-da8f5c1f6521</t>
  </si>
  <si>
    <t>username netadmin privilege 15 secret 9 $14$B0ho$7D3BRJupYDdF7.$lJeus8bA4cujy6yUAvyfwL.JoJ.DcNgIioCnBo.C3Lw &lt;----</t>
  </si>
  <si>
    <t>3c5f98d9-8b59-5ff9-90a6-df046c6053e0</t>
  </si>
  <si>
    <t>476a3da5-78fc-517d-afe8-268c1ef39b18</t>
  </si>
  <si>
    <t>5c6441d5-36f7-57ec-9f1f-9809ba56039b</t>
  </si>
  <si>
    <t>7e579e07-5da8-55f7-9462-936fd0ee980e</t>
  </si>
  <si>
    <t>8d1f9715-69dd-5019-a047-96ddf4822471</t>
  </si>
  <si>
    <t>901e9e5b-7885-5189-a5e1-9a4c9e830b65</t>
  </si>
  <si>
    <t>97258393-1983-51d2-9703-17f2b8d1e7ae</t>
  </si>
  <si>
    <t>enable secret 9 $14$Z1NL$53wlqErEEDCDlk$td5Z8TPaISnbZwCbf7oi51kS9Y0cQas2ClrSu4JqoiY &lt;----</t>
  </si>
  <si>
    <t>a6b76cfc-0bec-5572-943f-d1baa10c7d53</t>
  </si>
  <si>
    <t>e045eb99-40e8-5ce7-84d4-99ae2455220c</t>
  </si>
  <si>
    <t xml:space="preserve">'
XXXXXXXXXXXXXXXXXXXXXXXXXXXXXXXXXXXXXXXXXXXXXXXXXXXXXXXXXXXXXXXXXXXXX
XX                         !! WARNING !! &lt;----
                           XX
XX    Access to this system is restricted to authorized users.     XX
XX   All users expressly consent to the monitoring and recording   XX
XX       of all activity. System violations are subject to         XX
XX    disciplinary action. Evidence of criminal activity may be    XX
XX   reported to corporate security and local, state and federal   XX
XX    law enforcement agencies. By using this system the user      XX
XX            accepts these terms and conditions.                  XX
XXXXXXXXXXXXXXXXXXXXXXXXXXXXXXXXXXXXXXXXXXXXXXXXXXXXXXXXXXXXXXXXXXXXX
</t>
  </si>
  <si>
    <t>e7c4a8f5-75b6-5960-8a5e-4d1904d68d3f</t>
  </si>
  <si>
    <t>f0523daf-a5e3-5f98-8d69-d2e00c0074f8</t>
  </si>
  <si>
    <t>ff575b33-e9b2-5b70-9401-3270b25e8959</t>
  </si>
  <si>
    <t>        type         : CONFIG_CHECK</t>
  </si>
  <si>
    <t>        description  : "Check if Cisco IOS is installed"</t>
  </si>
  <si>
    <t>        item         : "^version"</t>
  </si>
  <si>
    <t>    &lt;then&gt;</t>
  </si>
  <si>
    <t>        description  : "1.0001 - NETIOS - Enable 'aaa authentication login"</t>
  </si>
  <si>
    <t>        info         : "Sets authentication, authorization and accounting (AAA) authentication at login."</t>
  </si>
  <si>
    <t>        reference    : "NIST 800-53r5|AC-2(1)"</t>
  </si>
  <si>
    <t>        see_also     : "See HTH Policies and Standards"</t>
  </si>
  <si>
    <t>        item         : "^aaa authentication enable .+"</t>
  </si>
  <si>
    <t>        required     : YES</t>
  </si>
  <si>
    <t>        description  : "1.0002 - NETIOS - Set 'login authentication for 'line vty"</t>
  </si>
  <si>
    <t>        info         : "Authenticates users who access the router or switch remotely through the VTY port."</t>
  </si>
  <si>
    <t>        context      : "line vty .+"</t>
  </si>
  <si>
    <t>        item         : "login( authentication [A-Za-z0-9_-]+)?|no login"</t>
  </si>
  <si>
    <t>        description  : "1.0003 - NETIOS - Set 'login authentication for 'line tty"</t>
  </si>
  <si>
    <t>        context      : "line tty .+"</t>
  </si>
  <si>
    <t>        item         : "^login authentication .+"</t>
  </si>
  <si>
    <t>        required     : NO</t>
  </si>
  <si>
    <t>        type         : CONFIG_CHECK_NOT</t>
  </si>
  <si>
    <t>        description  : "1.0004 - NETIOS - Authentication - line con 0"</t>
  </si>
  <si>
    <t>        info         : "Authenticates users who access the router or switch using the serial console port."</t>
  </si>
  <si>
    <t>        see_also     : "See cooresponding HTH Standards and Policies"</t>
  </si>
  <si>
    <t>        context      : "line con 0"</t>
  </si>
  <si>
    <t>        item         : "^no login$"</t>
  </si>
  <si>
    <t>        description  : "1.0005 - NETIOS - Set 'transport input ssh' for 'line vty' connections"</t>
  </si>
  <si>
    <t>        info         : "Selects the Secure Shell (SSH) protocol."</t>
  </si>
  <si>
    <t>        reference    : "NIST 800-53r5|IA-2(1)"</t>
  </si>
  <si>
    <t>        item         : "transport input ssh$"</t>
  </si>
  <si>
    <t>        description  : "1.0006 - NETIOS - Set 'password' for 'enable secret"</t>
  </si>
  <si>
    <t>        info         : "Enable secret password type 5 and enable secret password type 5 must be migrated to the stronger password type 8 or 9."</t>
  </si>
  <si>
    <t>        reference    : "NIST 800-53r5|AC-6(2) AC-6(5)"</t>
  </si>
  <si>
    <t>        item         : "enable secret [^ ]+"</t>
  </si>
  <si>
    <t>        description  : "1.0007 - NETIOS - Enable 'service password-encryption"</t>
  </si>
  <si>
    <t>        info         : "When password encryption is enabled, the encrypted form of the passwords is displayed when a more system:running-config command is entered."</t>
  </si>
  <si>
    <t>        reference    : "NIST 800-53r5|IA-5(1) SC-28 SC-28(1)"</t>
  </si>
  <si>
    <t>        item         : "service password-encryption"</t>
  </si>
  <si>
    <t>        description  : "1.0008 - NETIOS - Set 'username secret' for all local users"</t>
  </si>
  <si>
    <t>        info         : "Username secret password type 5 and enable secret password type 5 must be migrated to the stronger password type 8 or 9."</t>
  </si>
  <si>
    <t>        item         : "username [^ ]+"</t>
  </si>
  <si>
    <t>        regex        : "username .+ secret [^ ]+"</t>
  </si>
  <si>
    <t>        description  : "1.0009 - NETIOS - Enable 'aaa new-model"</t>
  </si>
  <si>
    <t>        info         : "This command enables the AAA access control system."</t>
  </si>
  <si>
    <t>        item         : "^aaa new-model$"</t>
  </si>
  <si>
    <t>        description  : "1.0010 - NETIOS - Enable 'aaa authentication enable default"</t>
  </si>
  <si>
    <t>        info         : "Authenticates users who access privileged EXEC mode when they use the enable command."</t>
  </si>
  <si>
    <t>        item         : "^aaa authentication login .+"</t>
  </si>
  <si>
    <t>        description  : "1.0011 - NETIOS - Set 'privilege 1' Local users must not have privileged access"</t>
  </si>
  <si>
    <t>        info         : "Local accounts must not be assigned elevated privilege levels."</t>
  </si>
  <si>
    <t>        reference    : "NIST 800-53r5|IA-2(2) IA-5(1)"</t>
  </si>
  <si>
    <t>        item         : "^username\s+\S+\s+privilege\s+[2-9][0-9]?\s+secret\s+(5|8|9)\s+"</t>
  </si>
  <si>
    <t>        type         : BANNER_CHECK</t>
  </si>
  <si>
    <t>        description  : "1.0012 - NETIOS - Set the 'banner-text' for 'banner exec"</t>
  </si>
  <si>
    <t>        info         : "This command specifies a message to be displayed when an EXEC process is created (a line is activated, or an incoming connection is made to a vty)."</t>
  </si>
  <si>
    <t>        reference    : "NIST 800-53r5|AT-1 AT-2 PM-13"</t>
  </si>
  <si>
    <t>        item         : "banner exec"</t>
  </si>
  <si>
    <t>        content      : "!! WARNING !!"</t>
  </si>
  <si>
    <t>        is_substring : YES</t>
  </si>
  <si>
    <t>        description  : "1.0013 - NETIOS - Set 'exec-timeout' to less than or equal to 10 minutes for 'line aux 0"</t>
  </si>
  <si>
    <t>        info         : "If no input is detected during the interval, the EXEC facility resumes the current connection."</t>
  </si>
  <si>
    <t>        reference    : "NIST 800-53r5|AC-2(5) AC-11 AC-11(1) AC-12"</t>
  </si>
  <si>
    <t>        context      : "line aux 0"</t>
  </si>
  <si>
    <t>        item         : "exec-timeout (10|[1-9])$"</t>
  </si>
  <si>
    <t>        description  : "1.0014 - NETIOS - Set 'exec-timeout' to less than or equal to 10 minutes 'line console 0'"</t>
  </si>
  <si>
    <t>        info         : "If no input is detected during the interval, the EXEC facility resumes the current connection. If no connections exist, the EXEC facility returns the terminal to the idle state and disconnects the incoming session."</t>
  </si>
  <si>
    <t>        reference    : "NIST 800-53r5|AC-12"</t>
  </si>
  <si>
    <t>        item         : "exec-timeout (1[6-9]|[2-9][0-9])"</t>
  </si>
  <si>
    <t>        description  : "1.0015 - NETIOS - Set 'exec-timeout' to less than or equal to 10 minutes 'line vty'"</t>
  </si>
  <si>
    <t>        description  : "1.0016 - NETIOS - Set 'exec-timeout' less than or equal to 10 minutes 'line tty'"</t>
  </si>
  <si>
    <t>        reference    : "NIST 800-53r5|AC-12 CN-L3(1)"</t>
  </si>
  <si>
    <t>        description  : "1.0017 - NETIOS - Banner - Enabled"</t>
  </si>
  <si>
    <t>        info         : "Follow the banner login command with one or more blank spaces and a delimiting character of your choice."</t>
  </si>
  <si>
    <t>        reference    : "NIST 800-53r5|AC-2"</t>
  </si>
  <si>
    <t>        item         : "banner login"</t>
  </si>
  <si>
    <t>        description  : "1.0018 - NETIOS - Ensure NTP Server Configured"</t>
  </si>
  <si>
    <t>        info         : ""</t>
  </si>
  <si>
    <t>        reference    : "NIST 800-53|AU-7 AU-8"</t>
  </si>
  <si>
    <t>        see_also     : "HTH"</t>
  </si>
  <si>
    <t>        regex        : "^(sntp|ntp)[\\s]+server([\\s]+vrf[\\s]+[a-zA-Z0-9_\\-]+)?[\\s]*10.248.232.10.*$"</t>
  </si>
  <si>
    <t>        item         : "^(sntp|ntp) server.*10.248.232.10"</t>
  </si>
  <si>
    <t>        description  : "1.0019 - NETIOS - Ensure NTP Server Configured (2nd)"</t>
  </si>
  <si>
    <t>        info         : "Check to confirm 10.248.232.210 was configured."</t>
  </si>
  <si>
    <t>        regex        : "^(sntp|ntp)[\\s]+server([\\s]+vrf[\\s]+[a-zA-Z0-9_\\-]+)?[\\s]*10.248.232.210.*$"</t>
  </si>
  <si>
    <t>        item         : "^(sntp|ntp) server.*10.248.232.210"</t>
  </si>
  <si>
    <t># ##### checks are commented out for now, but may be added back in the future if needed.</t>
  </si>
  <si>
    <t>#       &lt;item&gt;</t>
  </si>
  <si>
    <t>#         type         : CONFIG_CHECK_NOT</t>
  </si>
  <si>
    <t>#         description  : "1.0020 - NETIOS - Set 'no snmp-server' to disable SNMP when unused"</t>
  </si>
  <si>
    <t>#         info         : "If not in use, disable simple network management protocol (SNMP), read and write access."</t>
  </si>
  <si>
    <t>#         reference    : "NIST 800-53r5|CM-7"</t>
  </si>
  <si>
    <t>#         see_also     : "See HTH Policies and Standards"</t>
  </si>
  <si>
    <t>#         item         : "snmp-server community .+"</t>
  </si>
  <si>
    <t>#       &lt;/item&gt;</t>
  </si>
  <si>
    <t>#         description  : "1.0021 - NETIOS - Unset 'private' for 'snmp-server community"</t>
  </si>
  <si>
    <t>#         info         : "An SNMP community string permits read-only access to all objects."</t>
  </si>
  <si>
    <t>#         item         : "snmp-server community private"</t>
  </si>
  <si>
    <t>#         description  : "1.0022 - NETIOS - Unset 'public' for 'snmp-server community"</t>
  </si>
  <si>
    <t>#         item         : "snmp-server community public"</t>
  </si>
  <si>
    <t>#         description  : "1.0023 - NETIOS - Do not set 'RW' for any 'snmp-server community"</t>
  </si>
  <si>
    <t>#         info         : "Specifies read-write access."</t>
  </si>
  <si>
    <t>#         item         : "snmp-server community .+ [Rr][Ww]"</t>
  </si>
  <si>
    <t>#         description  : "1.0024 - NETIOS - SNMP must not be enabled without a configured host"</t>
  </si>
  <si>
    <t>#         info         : "Fails only if SNMP is configured but no snmp-server host is defined."</t>
  </si>
  <si>
    <t>#         reference    : "NIST 800-53r5|AC-17(3) SI-7"</t>
  </si>
  <si>
    <t>#         item         : "snmp-server (community|group|user)(?!.*snmp-server host)"</t>
  </si>
  <si>
    <t>#         description  : "1.0025 - NETIOS - SNMP must not be enabled without traps"</t>
  </si>
  <si>
    <t>#         info         : "Fails only if SNMP is configured and traps are not enabled."</t>
  </si>
  <si>
    <t>#         see_also     : "HTH Policies and Standards"</t>
  </si>
  <si>
    <t>#         item         : "snmp-server (community|group|user)(?![\\s\\S]*snmp-server enable traps)"</t>
  </si>
  <si>
    <t>#         type         : CONFIG_CHECK</t>
  </si>
  <si>
    <t>#         description  : "1.0026 - NETIOS - Set the 'ip domain-name"</t>
  </si>
  <si>
    <t>#         info         : "Define a default domain name that the Cisco IOS software uses to complete unqualified hostnames"</t>
  </si>
  <si>
    <t>#         reference    : "NIST 800-53r5|CM-6"</t>
  </si>
  <si>
    <t>#         item         : "ip domain(-| )name .+"</t>
  </si>
  <si>
    <t>#         description  : "1.0027 - NETIOS - Set version 2 for 'ip ssh version"</t>
  </si>
  <si>
    <t>#         info         : "Specify the version of Secure Shell (SSH) to be run on a router"</t>
  </si>
  <si>
    <t>#         item         : "ip ssh version 2"</t>
  </si>
  <si>
    <t>#         description  : "1.0028 - NETIOS - CDP must be disabled globally"</t>
  </si>
  <si>
    <t>#         info         : "Fails only if CDP is enabled."</t>
  </si>
  <si>
    <t>#         item         : "^cdp run$"</t>
  </si>
  <si>
    <t>#         description  : "1.0029 - NETIOS - CDP must not be enabled on any interface (interface-level)"</t>
  </si>
  <si>
    <t>#         info         : "Fails only if CDP is enabled at the interface level or enabled manually."</t>
  </si>
  <si>
    <t>#         item         : "^cdp enable$"</t>
  </si>
  <si>
    <t>#         description  : "1.0030 - NETIOS - DHCP service must be disabled"</t>
  </si>
  <si>
    <t>#         info         : "Disable the Dynamic Host Configuration Protocol (DHCP) server and relay agent features on your router. Fails only if DHCP services are enabled on the device."</t>
  </si>
  <si>
    <t>#         item         : "^service dhcp$"</t>
  </si>
  <si>
    <t>#         description  : "1.0031 - NETIOS - Set 'service tcp-keepalives-in"</t>
  </si>
  <si>
    <t>#         info         : "Generate keepalive packets on idle incoming network connections."</t>
  </si>
  <si>
    <t>#         item         : "service tcp-keepalives-in"</t>
  </si>
  <si>
    <t>#         description  : "1.0032 - NETIOS - Set 'service tcp-keepalives-out"</t>
  </si>
  <si>
    <t>#         info         : "Generate keepalive packets on idle outgoing network connections."</t>
  </si>
  <si>
    <t>#         item         : "service tcp-keepalives-out"</t>
  </si>
  <si>
    <t>#         description  : "1.0033 - NETIOS - Console logging must not exceed critical severity level"</t>
  </si>
  <si>
    <t>#         info         : "Verify logging to device console is enabled and limited to a rational severity level to avoid impacting system performance and management."</t>
  </si>
  <si>
    <t>#         reference    : "NIST 800-53r5|AU-3 AU-3(1) AU-7 AU-12"</t>
  </si>
  <si>
    <t>#         item         : "logging console (debugging|informational|notifications|warnings)"</t>
  </si>
  <si>
    <t>#         description  : "1.0034 - NETIOS - Set 'logging trap informational"</t>
  </si>
  <si>
    <t>#         info         : "Limit messages logged to the syslog servers based on severity level informational."</t>
  </si>
  <si>
    <t>#         item         : "logging trap .+"</t>
  </si>
  <si>
    <t>#         regex        : "logging trap (debugging|7|informational|6)"</t>
  </si>
  <si>
    <t>#         description  : "1.0035 - NETIOS - Timestamps must be enabled for debug messages"</t>
  </si>
  <si>
    <t>#         info         : "Configure the system to apply a time stamp to debugging messages or system logging messages"</t>
  </si>
  <si>
    <t>#         item         : "service timestamps debug datetime"</t>
  </si>
  <si>
    <t>#         regex        : "service timestamps debug datetime( .+)?"</t>
  </si>
  <si>
    <t>#         description  : "1.0036 - NETIOS - Set 'no ip source-route"</t>
  </si>
  <si>
    <t>#         info         : "Disable the handling of IP datagrams with source routing header options."</t>
  </si>
  <si>
    <t>#         item         : "no ip source-route"</t>
  </si>
  <si>
    <t>#         description  : "1.0037 - NETIOS - HTTP management must not be enabled without connection limits"</t>
  </si>
  <si>
    <t>#         info         : "Fails only if HTTP management is enabled and max connections are not restricted."</t>
  </si>
  <si>
    <t>#         reference    : "NIST 800-53r5|AC-10"</t>
  </si>
  <si>
    <t>#         item         : "ip http (server|secure-server)(?!.*ip http max-connections)"</t>
  </si>
  <si>
    <t>#         description  : "1.0038 - NETIOS - HTTP management must not allow excessive idle timeout"</t>
  </si>
  <si>
    <t>#         info         : "Fails only if HTTP management is enabled with an idle timeout greater than 10 minutes or no timeout configured."</t>
  </si>
  <si>
    <t>#         reference    : "NIST 800-53r5|AC-2(5) AC-11 AC-12"</t>
  </si>
  <si>
    <t>#         item         : "ip http (server|secure-server)(?!.*ip http timeout-policy idle (600|[1-5][0-9]{2}|[1-9][0-9]|[1-9]))"</t>
  </si>
  <si>
    <t>#         description  : "1.0039 - NETIOS - Set 'no exec' for 'line aux 0"</t>
  </si>
  <si>
    <t>#         info         : "The 'no exec' command restricts a line to outgoing connections only."</t>
  </si>
  <si>
    <t>#         context      : "line aux .+"</t>
  </si>
  <si>
    <t>#         item         : "no exec"</t>
  </si>
  <si>
    <t>#         description  : "1.0040 - NETIOS - VTY access must not be unrestricted"</t>
  </si>
  <si>
    <t>#         info         : "Fails only if a VTY line allows SSH/Telnet without access-class or AAA authentication."</t>
  </si>
  <si>
    <t>#         context      : "line vty .+"</t>
  </si>
  <si>
    <t>#         # IF TELNET SHOULD BE PROHIBBITED item : "transport input ssh(?!.*access-class)(?!.*login authentication)"</t>
  </si>
  <si>
    <t>#         item         : "transport input (ssh|telnet)(?!.*access-class)(?!.*login authentication)"</t>
  </si>
  <si>
    <t>#         description  : "1.0041 - NETIOS - Set 'transport input none' for 'line aux 0"</t>
  </si>
  <si>
    <t>#         info         : "When you want to allow only an outgoing connection on a line, use the no exec command."</t>
  </si>
  <si>
    <t>#         reference    : "NIST 800-53r5|AC-2(5) AC-11 AC-11(1) AC-12"</t>
  </si>
  <si>
    <t>#         item         : "transport input (all|ssh|telnet)$"</t>
  </si>
  <si>
    <t>#         description  : "1.0042 - NETIOS - SNMP communities must not be configured without an ACL"</t>
  </si>
  <si>
    <t>#         info         : "Fails only if an SNMP community is defined without an access list."</t>
  </si>
  <si>
    <t>#         item         : "^snmp-server community [^ ]+ (RO|RW)$"</t>
  </si>
  <si>
    <t>#         description  : "1.0043 - NETIOS - Set the 'hostname"</t>
  </si>
  <si>
    <t>#         info         : "The hostname is used in prompts and default configuration filenames."</t>
  </si>
  <si>
    <t>#         item         : "hostname .+"</t>
  </si>
  <si>
    <t>#         regex        : "hostname Router$"</t>
  </si>
  <si>
    <t>#         description  : "1.0044 - NETIOS - SSH authentication timeout must not exceed 60 seconds"</t>
  </si>
  <si>
    <t>#         info         : "Fails only if SSH authentication timeout is configured greater than 60 seconds."</t>
  </si>
  <si>
    <t>#         item         : "^ip ssh time-out ([6-9][1-9]|[7-9][0-9]|[1-9][0-9]{2,})$"</t>
  </si>
  <si>
    <t>#         description  : "1.0045 - NETIOS - SSH authentication retries must not exceed 3"</t>
  </si>
  <si>
    <t>#         info         : "Fails only if SSH authentication retries are configured above the allowed maximum."</t>
  </si>
  <si>
    <t>#         reference    : "NIST 800-53r5|IA-2(1)"</t>
  </si>
  <si>
    <t>#         item         : "^ip ssh authentication-retries ([4-9]|[1-9][0-9]+)$"</t>
  </si>
  <si>
    <t>#         description  : "1.0046 - NETIOS - Set 'no ip bootp server"</t>
  </si>
  <si>
    <t>#         info         : "Disable the Bootstrap Protocol (BOOTP) service on your routing device."</t>
  </si>
  <si>
    <t>#         item         : "no ip bootp server"</t>
  </si>
  <si>
    <t>#         description  : "1.0047 - NETIOS - Set 'no service pad"</t>
  </si>
  <si>
    <t>#         info         : "Disable X."</t>
  </si>
  <si>
    <t>#         item         : "no service pad"</t>
  </si>
  <si>
    <t>#         description  : "1.0048 - NETIOS - Set 'logging enable"</t>
  </si>
  <si>
    <t>#         info         : "Enable logging of system messages."</t>
  </si>
  <si>
    <t>#         item         : "logging host"</t>
  </si>
  <si>
    <t>#         description  : "1.0049 - NETIOS - Set 'buffer size' for 'logging buffered"</t>
  </si>
  <si>
    <t>#         info         : "Enable system message logging to a local buffer."</t>
  </si>
  <si>
    <t>#         item         : "logging buffered"</t>
  </si>
  <si>
    <t>#         regex        : "logging buffered 64000( *|$)"</t>
  </si>
  <si>
    <t>#         description  : "1.0050 - NETIOS - Remote syslog host must be configured"</t>
  </si>
  <si>
    <t>#         info         : "Ensures system logs are sent to a remote logging system."</t>
  </si>
  <si>
    <t>#         reference    : "NIST 800-53r5|AU-6(1) AU-7 IR-4(1) SI-4 SI-4(2) SI-4(5)"</t>
  </si>
  <si>
    <t>#         item         : "^logging host .+"</t>
  </si>
  <si>
    <t>#         description  : "1.0051 - NETIOS - Syslog must not be configured with an invalid source interface"</t>
  </si>
  <si>
    <t>#         info         : "Fails only if logging source-interface is configured incorrectly."</t>
  </si>
  <si>
    <t>#         reference    : "NIST 800-53r5|AU-3 AU-7 AU-12"</t>
  </si>
  <si>
    <t>#         item         : "^logging source-interface none$"</t>
  </si>
  <si>
    <t>#         description  : "1.0052 - NETIOS - Set 'no interface tunnel"</t>
  </si>
  <si>
    <t>#         info         : "Verify no tunnel interfaces are defined."</t>
  </si>
  <si>
    <t>#         item         : "interface [Tt]unnel[0-9]+"</t>
  </si>
  <si>
    <t>#         description  : "1.0053 - NETIOS - uRPF must be enabled on routed interfaces"</t>
  </si>
  <si>
    <t>#         info         : "Fails only if a routed interface lacks uRPF."</t>
  </si>
  <si>
    <t>#         context      : "interface .+"</t>
  </si>
  <si>
    <t>#         item         : "ip address(?!.*ip verify unicast source reachable-via)"</t>
  </si>
  <si>
    <t>#         description  : "1.0054 - NETIOS - EIGRP interfaces must not operate without authentication"</t>
  </si>
  <si>
    <t>#         info         : "Fails only if an interface participates in EIGRP without authentication configured."</t>
  </si>
  <si>
    <t>#         reference    : "NIST 800-53r5|AC-18 CM-7"</t>
  </si>
  <si>
    <t>#         item         : "ip hello-interval eigrp(?!.*ip authentication mode eigrp)"</t>
  </si>
  <si>
    <t>#         description  : "1.0055 - NETIOS - Set 'aaa accounting system"</t>
  </si>
  <si>
    <t>#         info         : "Performs accounting for all system-level events not associated with users, such as reloads."</t>
  </si>
  <si>
    <t>#         reference    : "NIST 800-53r5|AU-2 AU-3 AU-3(1) AU-7 AU-12"</t>
  </si>
  <si>
    <t>#         item         : "aaa accounting system [^ ]+"</t>
  </si>
  <si>
    <t>#         description  : "1.0056 - NETIOS - Set 'login authentication for 'ip http"</t>
  </si>
  <si>
    <t>#         info         : "If account management functions are not automatically enforced, an attacker could gain privileged access to a vital element of the network security architecture"</t>
  </si>
  <si>
    <t>#         reference    : "NIST 800-53r5|AC-2(1)"</t>
  </si>
  <si>
    <t>#         item         : "^[ ]*ip http authentication (local|aaa_list_name)"</t>
  </si>
  <si>
    <t>#         description  : "1.0057 - NETIOS - Set 'aaa accounting' to log all privileged use commands using 'commands 15"</t>
  </si>
  <si>
    <t>#         info         : "Runs accounting for all commands at the specified privilege level."</t>
  </si>
  <si>
    <t>#         item         : "aaa accounting commands 15 [^ ]+"</t>
  </si>
  <si>
    <t>#         description  : "1.0058 - NETIOS - AAA accounting must be enabled"</t>
  </si>
  <si>
    <t>#         info         : "Ensures accountability for user and system actions."</t>
  </si>
  <si>
    <t>#         item         : "^aaa accounting"</t>
  </si>
  <si>
    <t>#         description  : "1.0059 - NETIOS - Set 'aaa accounting exec"</t>
  </si>
  <si>
    <t>#         info         : "Runs accounting for the EXEC shell session."</t>
  </si>
  <si>
    <t>#         item         : "aaa accounting exec [^ ]+"</t>
  </si>
  <si>
    <t>#         description  : "1.0060 - NETIOS - AAA accounting must not be absent"</t>
  </si>
  <si>
    <t>#         reference    : "NIST 800-53r5|AU-2 AU-12"</t>
  </si>
  <si>
    <t>#         item         : "^(?!.*aaa accounting).*$"</t>
  </si>
  <si>
    <t>#         description  : "1.0061 - NETIOS - HTTP management must not allow excessive idle timeout"</t>
  </si>
  <si>
    <t>#         reference    : "NIST 800-53r5|SC-10"</t>
  </si>
  <si>
    <t>#         item         : "ip http (server|secure-server)(?!.*ip http timeout-policy idle (600|[1-5][0-9]{2}|[1-9][0-9]))"</t>
  </si>
  <si>
    <t>#         description  : "1.0062 - NETIOS - HTTP management must not be enabled without connection limits"</t>
  </si>
  <si>
    <t>#         description  : "1.0063 - NETIOS - Webauth banner must exist if auth-proxy is enabled"</t>
  </si>
  <si>
    <t>#         reference    : "NIST 800-53r5|AT-1 AT-2 PM-13"</t>
  </si>
  <si>
    <t>#         item         : "ip admission auth-proxy http(?!.*auth-proxy-banner)"</t>
  </si>
  <si>
    <t>#         description  : "1.0064 - NETIOS - SNMPv3 groups must not operate without privacy"</t>
  </si>
  <si>
    <t>#         item         : "^snmp-server group .+ v3(?!.* priv)"</t>
  </si>
  <si>
    <t>#         description  : "1.0065 - NETIOS - Set maximum value for 'ip ssh authentication-retries"</t>
  </si>
  <si>
    <t>#         info         : "The number of retries before the SSH login session disconnects."</t>
  </si>
  <si>
    <t>#         item         : "ip ssh authentication-retries ([4-9]|[1-9][0-9]+)$"</t>
  </si>
  <si>
    <t>#         description  : "1.0066 - NETIOS - Set 'logging enable"</t>
  </si>
  <si>
    <t>#         context      : "archive"</t>
  </si>
  <si>
    <t>#         item         : "logging enable"</t>
  </si>
  <si>
    <t>#         description  : "1.0067 - NETIOS - Set 'login success/failure logging"</t>
  </si>
  <si>
    <t>#         info         : "Without generating audit records that are specific to the security and mission needs of the organization, it would be difficult to establish, correlate, and investigate the events relating to an incident or identify those responsible for one."</t>
  </si>
  <si>
    <t>#         item         : "login on-(failure|success) log"</t>
  </si>
  <si>
    <t>#         description  : "1.0068 - NETIOS - NTP must not be enabled without authentication"</t>
  </si>
  <si>
    <t>#         info         : "Ensure NTP authentication is enabled when NTP servers are configured."</t>
  </si>
  <si>
    <t>#         reference    : "NIST 800-53r5|AU-7 AU-8"</t>
  </si>
  <si>
    <t>#         item         : "^ntp server(?!.*ntp authenticate)"</t>
  </si>
  <si>
    <t>#         description  : "1.0069 - NETIOS - NTP authentication must not lack authentication keys"</t>
  </si>
  <si>
    <t>#         info         : "Ensure at least one NTP authentication key is defined when authentication is enabled."</t>
  </si>
  <si>
    <t>#         item         : "ntp authenticate(?!.*ntp authentication-key)"</t>
  </si>
  <si>
    <t>#         description  : "1.0070 - NETIOS - NTP authentication must not lack a trusted key"</t>
  </si>
  <si>
    <t>#         info         : "Ensure NTP uses trusted authentication keys."</t>
  </si>
  <si>
    <t>#         item         : "ntp authenticate(?!.*ntp trusted-key)"</t>
  </si>
  <si>
    <t>#         description  : "1.0071 - NETIOS - NTP must not use a non-loopback source interface"</t>
  </si>
  <si>
    <t>#         info         : "Ensure NTP packets use a stable loopback interface as the source."</t>
  </si>
  <si>
    <t>#         item         : "^ntp source (?![Ll]oopback)"</t>
  </si>
  <si>
    <t>#         description  : "1.0072 - NETIOS - TFTP must not be configured with a non-loopback source interface"</t>
  </si>
  <si>
    <t>#         info         : "Ensure TFTP packets use a stable loopback interface when TFTP is configured."</t>
  </si>
  <si>
    <t>#         reference    : "NIST 800-53r5|CA-9 SC-7 SC-7(5)"</t>
  </si>
  <si>
    <t>#         item         : "^ip tftp source-interface (?![Ll]oopback)"</t>
  </si>
  <si>
    <t>#         description  : "1.0073 - NETIOS - EIGRP interfaces must not lack authentication key-chains"</t>
  </si>
  <si>
    <t>#         info         : "Ensure all interfaces participating in EIGRP use an authentication key-chain."</t>
  </si>
  <si>
    <t>#         reference    : "NIST 800-53r5|AC-18 AC-18(1) AC-18(3) CM-7"</t>
  </si>
  <si>
    <t>#         item         : "ip hello-interval eigrp(?!.*ip authentication key-chain eigrp)"</t>
  </si>
  <si>
    <t>#         description  : "1.0074 - NETIOS - EIGRP interfaces must not operate without authentication key-chains"</t>
  </si>
  <si>
    <t>#         info         : "Ensure EIGRP authentication key-chains are applied at the interface level."</t>
  </si>
  <si>
    <t>#         description  : "1.0075 - NETIOS - EIGRP interfaces must not operate without authentication mode"</t>
  </si>
  <si>
    <t>#         info         : "Ensure EIGRP interfaces use authentication to prevent unauthorized routing updates."</t>
  </si>
  <si>
    <t>#         description  : "1.0076 - NETIOS - OSPF must not operate without authentication"</t>
  </si>
  <si>
    <t>#         info         : "Ensure OSPF routing process enables authentication."</t>
  </si>
  <si>
    <t>#         item         : "^router ospf(?!.*authentication)"</t>
  </si>
  <si>
    <t>#         description  : "1.0077 - NETIOS - OSPF interfaces must not lack message-digest authentication"</t>
  </si>
  <si>
    <t>#         info         : "Ensure OSPF interfaces use message-digest authentication keys."</t>
  </si>
  <si>
    <t>#         item         : "ip ospf area(?!.*ip ospf message-digest-key)"</t>
  </si>
  <si>
    <t>#         description  : "1.0078 - NETIOS - BGP neighbors must not be configured without authentication"</t>
  </si>
  <si>
    <t>#         info         : "Ensure BGP peers use authentication to protect routing sessions."</t>
  </si>
  <si>
    <t>#         context      : "router [Bb][Gg][Pp] .+"</t>
  </si>
  <si>
    <t>#         item         : "neighbor [^ ]+(?!.*password)"</t>
  </si>
  <si>
    <t>#         description  : "1.0079 - NETIOS - SNMPv3 LogicMon user must be configured"</t>
  </si>
  <si>
    <t>#         info         : "Ensure the LogicMon SNMPv3 user exists for monitoring."</t>
  </si>
  <si>
    <t>#         reference    : "NIST 800-53r5|AC-17(3) IA-2(1)"</t>
  </si>
  <si>
    <t>#         item         : "^snmp-server user LogicMonSNMPv3User"</t>
  </si>
  <si>
    <t>#         description  : "1.0080 - NETIOS - SNMPv3 NetBrain user must be configured"</t>
  </si>
  <si>
    <t>#         info         : "Ensure the NetBrain SNMPv3 user exists for network analysis."</t>
  </si>
  <si>
    <t>#         item         : "^snmp-server user NetbrainSNMPv3User"</t>
  </si>
  <si>
    <t>#         description  : "1.0081 - NETIOS - SNMPv3 CSNTC user must be configured"</t>
  </si>
  <si>
    <t>#         info         : "Ensure the CSNTC SNMPv3 user exists for enterprise monitoring."</t>
  </si>
  <si>
    <t>#         item         : "^snmp-server user CSNTCSNMPv3User"</t>
  </si>
  <si>
    <t>#       #&lt;!-- Logic Monitor SNMP Hosts --&gt;</t>
  </si>
  <si>
    <t>#         description  : "1.0082 - NETIOS - SNMP host LogicMonitor 55 must be configured"</t>
  </si>
  <si>
    <t>#         info         : "Ensure LogicMonitor SNMP server 55 is configured."</t>
  </si>
  <si>
    <t>#         item         : "^snmp-server host 10\\.248\\.240\\.55\\b"</t>
  </si>
  <si>
    <t>#         description  : "1.0083 - NETIOS - SNMP host LogicMonitor 56 must be configured"</t>
  </si>
  <si>
    <t>#         info         : "Ensure LogicMonitor SNMP server 56 is configured."</t>
  </si>
  <si>
    <t>#         item         : "^snmp-server host 10\\.248\\.240\\.56\\b"</t>
  </si>
  <si>
    <t>#         description  : "1.0084 - NETIOS - SNMP host LogicMonitor 57 must be configured"</t>
  </si>
  <si>
    <t>#         info         : "Ensure LogicMonitor SNMP server 57 is configured."</t>
  </si>
  <si>
    <t>#         item         : "^snmp-server host 10\\.248\\.240\\.57\\b"</t>
  </si>
  <si>
    <t>#         description  : "1.0085 - NETIOS - SNMP host LogicMonitor 48 must be configured"</t>
  </si>
  <si>
    <t>#         info         : "Ensure LogicMonitor SNMP server 48 is configured."</t>
  </si>
  <si>
    <t>#         item         : "^snmp-server host 10\\.248\\.240\\.248\\b"</t>
  </si>
  <si>
    <t>#         description  : "1.0086 - NETIOS - SNMP host LogicMonitor 55 must be configured"</t>
  </si>
  <si>
    <t>#         item         : "^snmp-server host 10\\.248\\.240\\.255\\b"</t>
  </si>
  <si>
    <t>#       #&lt;!-- NetBrain SNMP Hosts --&gt;</t>
  </si>
  <si>
    <t>#         description  : "1.0087 - NETIOS - SNMP host NetBrain 12 must be configured"</t>
  </si>
  <si>
    <t>#         info         : "Ensure NetBrain SNMP server 12 is configured."</t>
  </si>
  <si>
    <t>#         item         : "^snmp-server host 10\\.248\\.241\\.12\\b"</t>
  </si>
  <si>
    <t>#         description  : "1.0088 - NETIOS - SNMP host NetBrain 78 must be configured"</t>
  </si>
  <si>
    <t>#         info         : "Ensure NetBrain SNMP server 78 is configured."</t>
  </si>
  <si>
    <t>#         item         : "^snmp-server host 10\\.248\\.240\\.78\\b"</t>
  </si>
  <si>
    <t>#       #&lt;!-- CSNTC SNMP Hosts --&gt;</t>
  </si>
  <si>
    <t>#         description  : "1.0089 - NETIOS - SNMP host CSNTC 17 must be configured"</t>
  </si>
  <si>
    <t>#         info         : "Ensure CSNTC SNMP server 17 is configured."</t>
  </si>
  <si>
    <t>#         item         : "^snmp-server host 10\\.248\\.241\\.117\\b"</t>
  </si>
  <si>
    <t>#         description  : "1.0090 - NETIOS - SNMP host CSNTC 78 must be configured"</t>
  </si>
  <si>
    <t>#         info         : "Ensure CSNTC SNMP server 78 is configured."</t>
  </si>
  <si>
    <t>    &lt;else&gt;</t>
  </si>
  <si>
    <t>      &lt;report type:"WARNING"&gt;</t>
  </si>
  <si>
    <t>        description  : "WARNING - TARGET OS DOESNT MATCH BASELINE - IOS"</t>
  </si>
  <si>
    <t>        info         : "NOTE: Nessus has identified that the chosen audit does not apply to the target device."</t>
  </si>
  <si>
    <t>    &lt;/else&gt;</t>
  </si>
  <si>
    <t>  &lt;/if&gt;</t>
  </si>
  <si>
    <t>Numb</t>
  </si>
  <si>
    <t>ShortDesc</t>
  </si>
  <si>
    <t>1.0001</t>
  </si>
  <si>
    <t>1.0001 - NETIOS - Enable 'aaa authentication login</t>
  </si>
  <si>
    <t>"1.0001 - NETIOS - Enable 'aaa authentication login: [PASSED]"
Sets authentication, authorization and accounting (AAA) authentication at login.
See Also:
See HTH Policies and Standards
Reference:
NIST 800-53r5|AC-2(1)
Policy Value:
CONFIG_CHECK
item: ^aaa authentication enable .+
required: 1
Actual Value:
aaa authentication enable default group ISE-TACACS enable &lt;----</t>
  </si>
  <si>
    <t>2026-05-08T15:18:01.658Z</t>
  </si>
  <si>
    <t>2026-05-08T15:23:54.504Z</t>
  </si>
  <si>
    <t>95d933fc-434b-40df-8f34-1685e1133e37</t>
  </si>
  <si>
    <t>2026-05-08T15:24:26.333Z</t>
  </si>
  <si>
    <t>2026-05-08T15:23:51Z</t>
  </si>
  <si>
    <t>$Revision: 1.899 $</t>
  </si>
  <si>
    <t>"1.0001 - NETIOS - Enable 'aaa authentication login: [PASSED]"
Sets authentication, authorization and accounting (AAA) authentication at login.
See Also:
See HTH Policies and Standards
Reference:
NIST 800-53r5|AC-2(1)
Policy Value:
CONFIG_CHECK
item: ^aaa authentication enable .+
required: 1
Actual Value:
aaa authentication enable default group HTH-ISE enable &lt;----</t>
  </si>
  <si>
    <t>2026-05-08T15:24:26.367Z</t>
  </si>
  <si>
    <t>2026-05-08T15:21:56Z</t>
  </si>
  <si>
    <t>1.0002</t>
  </si>
  <si>
    <t>1.0002 - NETIOS - Set 'login authentication for 'line vty</t>
  </si>
  <si>
    <t>"1.0002 - NETIOS - Set 'login authentication for 'line vty: [PASSED]"
Authenticates users who access the router or switch remotely through the VTY port.
See Also:
See HTH Policies and Standards
Reference:
NIST 800-53r5|AC-2(1)
Policy Value:
CONFIG_CHECK
item: login( authentication [A-Za-z0-9_-]+)?|no login
context: line vty .+
Actual Value:
line vty 0 4
 exec-timeout 15 0
 privilege level 15
 password 7 04681B07012A551F
 logging synchronous
 login authentication VTY-Access &lt;----
 length 0
 transport input ssh
 transport output ssh</t>
  </si>
  <si>
    <t>"1.0002 - NETIOS - Set 'login authentication for 'line vty: [FAILED]"
Authenticates users who access the router or switch remotely through the VTY port.
See Also:
See HTH Policies and Standards
Reference:
NIST 800-53r5|AC-2(1)
Policy Value:
CONFIG_CHECK
item: login( authentication [A-Za-z0-9_-]+)?|no login
context: line vty .+
Actual Value:
line vty 0 4
 transport input ssh
Expected configuration: 
login( authentication [A-Za-z0-9_-]+)?|no login
line vty 5 31
 transport input ssh
Expected configuration: 
login( authentication [A-Za-z0-9_-]+)?|no login</t>
  </si>
  <si>
    <t>2026-05-08T15:24:26.353Z</t>
  </si>
  <si>
    <t>1.0003</t>
  </si>
  <si>
    <t>1.0003 - NETIOS - Set 'login authentication for 'line tty</t>
  </si>
  <si>
    <t>"1.0003 - NETIOS - Set 'login authentication for 'line tty: [PASSED]"
Authenticates users who access the router or switch remotely through the VTY port.
See Also:
See HTH Policies and Standards
Reference:
NIST 800-53r5|AC-2(1)
Policy Value:
CONFIG_CHECK
item: ^login authentication .+
context: line tty .+
required: 0
Actual Value:
line tty .+ not found in the configuration file</t>
  </si>
  <si>
    <t>2026-05-08T15:24:26.349Z</t>
  </si>
  <si>
    <t>1.0004</t>
  </si>
  <si>
    <t>1.0004 - NETIOS - Authentication - line con 0</t>
  </si>
  <si>
    <t>"1.0004 - NETIOS - Authentication - line con 0: [PASSED]"
Authenticates users who access the router or switch using the serial console port.
See Also:
See cooresponding HTH Standards and Policies
Reference:
NIST 800-53r5|AC-2(1)
Policy Value:
CONFIG_CHECK_NOT
item: ^no login$
context: line con 0
Actual Value:
line con 0
Expected configuration: 
^no login$</t>
  </si>
  <si>
    <t>2026-05-08T15:24:26.318Z</t>
  </si>
  <si>
    <t>"1.0004 - NETIOS - Authentication - line con 0: [PASSED]"
Authenticates users who access the router or switch using the serial console port.
See Also:
See cooresponding HTH Standards and Policies
Reference:
NIST 800-53r5|AC-2(1)
Policy Value:
CONFIG_CHECK_NOT
item: ^no login$
context: line con 0
Actual Value:
line con 0
 stopbits 1
Expected configuration: 
^no login$</t>
  </si>
  <si>
    <t>1.0005</t>
  </si>
  <si>
    <t>1.0005 - NETIOS - Set 'transport input ssh' for 'line vty' connections</t>
  </si>
  <si>
    <t>2026-05-08T15:24:26.332Z</t>
  </si>
  <si>
    <t>2026-05-08T15:24:26.352Z</t>
  </si>
  <si>
    <t>1.0006</t>
  </si>
  <si>
    <t>1.0006 - NETIOS - Set 'password' for 'enable secret</t>
  </si>
  <si>
    <t>2026-05-08T15:24:26.309Z</t>
  </si>
  <si>
    <t>2026-05-08T15:24:26.351Z</t>
  </si>
  <si>
    <t>1.0007</t>
  </si>
  <si>
    <t>1.0007 - NETIOS - Enable 'service password-encryption</t>
  </si>
  <si>
    <t>2026-05-08T15:24:26.342Z</t>
  </si>
  <si>
    <t>1.0008</t>
  </si>
  <si>
    <t>1.0008 - NETIOS - Set 'username secret' for all local users</t>
  </si>
  <si>
    <t>2026-05-08T15:24:26.308Z</t>
  </si>
  <si>
    <t>2026-05-08T15:24:26.350Z</t>
  </si>
  <si>
    <t>1.0009</t>
  </si>
  <si>
    <t>1.0009 - NETIOS - Enable 'aaa new-model</t>
  </si>
  <si>
    <t>"1.0009 - NETIOS - Enable 'aaa new-model: [PASSED]"
This command enables the AAA access control system.
See Also:
See HTH Policies and Standards
Reference:
NIST 800-53r5|AC-2(1)
Policy Value:
CONFIG_CHECK
item: ^aaa new-model$
required: 1
Actual Value:
aaa new-model &lt;----</t>
  </si>
  <si>
    <t>2026-05-08T15:24:26.319Z</t>
  </si>
  <si>
    <t>2026-05-08T15:24:26.334Z</t>
  </si>
  <si>
    <t>1.0010</t>
  </si>
  <si>
    <t>1.0010 - NETIOS - Enable 'aaa authentication enable default</t>
  </si>
  <si>
    <t>"1.0010 - NETIOS - Enable 'aaa authentication enable default: [PASSED]"
Authenticates users who access privileged EXEC mode when they use the enable command.
See Also:
See HTH Policies and Standards
Reference:
NIST 800-53r5|AC-2(1)
Policy Value:
CONFIG_CHECK
item: ^aaa authentication login .+
required: 1
Actual Value:
aaa authentication login CON-Access group ISE-TACACS local &lt;----
aaa authentication login VTY-Access group ISE-TACACS local &lt;----</t>
  </si>
  <si>
    <t>"1.0010 - NETIOS - Enable 'aaa authentication enable default: [PASSED]"
Authenticates users who access privileged EXEC mode when they use the enable command.
See Also:
See HTH Policies and Standards
Reference:
NIST 800-53r5|AC-2(1)
Policy Value:
CONFIG_CHECK
item: ^aaa authentication login .+
required: 1
Actual Value:
aaa authentication login default group HTH-ISE local-case &lt;----
aaa authentication login HTH-ISE local-case &lt;----</t>
  </si>
  <si>
    <t>2026-05-08T15:24:26.340Z</t>
  </si>
  <si>
    <t>1.0011</t>
  </si>
  <si>
    <t>1.0011 - NETIOS - Set 'privilege 1' Local users must not have privileged access</t>
  </si>
  <si>
    <t>"1.0011 - NETIOS - Set 'privilege 1' Local users must not have privileged access: [PASSED]"
Local accounts must not be assigned elevated privilege levels.
See Also:
See HTH Policies and Standards
Reference:
NIST 800-53r5|IA-2(2) IA-5(1)
Policy Value:
CONFIG_CHECK_NOT
item: ^usernames+S+s+privileges+[2-9][0-9]?s+secrets+(5|8|9)s+
Actual Value:
^usernames+S+s+privileges+[2-9][0-9]?s+secrets+(5|8|9)s+ not found in the configuration file</t>
  </si>
  <si>
    <t>2026-05-08T15:24:26.368Z</t>
  </si>
  <si>
    <t>1.0012</t>
  </si>
  <si>
    <t>1.0012 - NETIOS - Set the 'banner-text' for 'banner exec</t>
  </si>
  <si>
    <t>"1.0012 - NETIOS - Set the 'banner-text' for 'banner exec: [FAILED]"
This command specifies a message to be displayed when an EXEC process is created (a line is activated, or an incoming connection is made to a vty).
See Also:
See HTH Policies and Standards
Reference:
NIST 800-53r5|AT-1 AT-2 PM-13
Policy Value:
BANNER_CHECK
item: banner exec
content: !! WARNING !!
is_substring: 1
Actual Value:
banner exec not found in the configuration file</t>
  </si>
  <si>
    <t>2026-05-08T15:24:26.310Z</t>
  </si>
  <si>
    <t>2026-05-08T15:24:26.341Z</t>
  </si>
  <si>
    <t>1.0013</t>
  </si>
  <si>
    <t>1.0013 - NETIOS - Set 'exec-timeout' to less than or equal to 10 minutes for 'line aux 0</t>
  </si>
  <si>
    <t>"1.0013 - NETIOS - Set 'exec-timeout' to less than or equal to 10 minutes for 'line aux 0: [PASSED]"
If no input is detected during the interval, the EXEC facility resumes the current connection.
See Also:
See HTH Policies and Standards
Reference:
NIST 800-53r5|AC-2(5) AC-11 AC-11(1) AC-12
Policy Value:
CONFIG_CHECK_NOT
item: exec-timeout (10|[1-9])$
context: line aux 0
Actual Value:
line aux 0
 no exec
Expected configuration: 
exec-timeout (10|[1-9])$</t>
  </si>
  <si>
    <t>"1.0013 - NETIOS - Set 'exec-timeout' to less than or equal to 10 minutes for 'line aux 0: [PASSED]"
If no input is detected during the interval, the EXEC facility resumes the current connection.
See Also:
See HTH Policies and Standards
Reference:
NIST 800-53r5|AC-2(5) AC-11 AC-11(1) AC-12
Policy Value:
CONFIG_CHECK_NOT
item: exec-timeout (10|[1-9])$
context: line aux 0
Actual Value:
line aux 0
 stopbits 1
Expected configuration: 
exec-timeout (10|[1-9])$</t>
  </si>
  <si>
    <t>1.0014</t>
  </si>
  <si>
    <t>1.0014 - NETIOS - Set 'exec-timeout' to less than or equal to 10 minutes 'line console 0'</t>
  </si>
  <si>
    <t>"1.0014 - NETIOS - Set 'exec-timeout' to less than or equal to 10 minutes 'line console 0': [PASSED]"
If no input is detected during the interval, the EXEC facility resumes the current connection. If no connections exist, the EXEC facility returns the terminal to the idle state and disconnects the incoming session.
See Also:
See HTH Policies and Standards
Reference:
NIST 800-53r5|AC-12
Policy Value:
CONFIG_CHECK_NOT
item: exec-timeout (1[6-9]|[2-9][0-9])
context: line con 0
Actual Value:
line con 0
Expected configuration: 
exec-timeout (1[6-9]|[2-9][0-9])</t>
  </si>
  <si>
    <t>"1.0014 - NETIOS - Set 'exec-timeout' to less than or equal to 10 minutes 'line console 0': [PASSED]"
If no input is detected during the interval, the EXEC facility resumes the current connection. If no connections exist, the EXEC facility returns the terminal to the idle state and disconnects the incoming session.
See Also:
See HTH Policies and Standards
Reference:
NIST 800-53r5|AC-12
Policy Value:
CONFIG_CHECK_NOT
item: exec-timeout (1[6-9]|[2-9][0-9])
context: line con 0
Actual Value:
line con 0
 stopbits 1
Expected configuration: 
exec-timeout (1[6-9]|[2-9][0-9])</t>
  </si>
  <si>
    <t>1.0015</t>
  </si>
  <si>
    <t>1.0015 - NETIOS - Set 'exec-timeout' to less than or equal to 10 minutes 'line vty'</t>
  </si>
  <si>
    <t>"1.0015 - NETIOS - Set 'exec-timeout' to less than or equal to 10 minutes 'line vty': [PASSED]"
If no input is detected during the interval, the EXEC facility resumes the current connection. If no connections exist, the EXEC facility returns the terminal to the idle state and disconnects the incoming session.
See Also:
See HTH Policies and Standards
Reference:
NIST 800-53r5|AC-12
Policy Value:
CONFIG_CHECK_NOT
item: exec-timeout (1[6-9]|[2-9][0-9])
context: line vty .+
Actual Value:
line vty 0 4
 exec-timeout 15 0
 privilege level 15
 password 7 04681B07012A551F
 logging synchronous
 login authentication VTY-Access
 length 0
 transport input ssh
 transport output ssh
Expected configuration: 
exec-timeout (1[6-9]|[2-9][0-9])</t>
  </si>
  <si>
    <t>"1.0015 - NETIOS - Set 'exec-timeout' to less than or equal to 10 minutes 'line vty': [PASSED]"
If no input is detected during the interval, the EXEC facility resumes the current connection. If no connections exist, the EXEC facility returns the terminal to the idle state and disconnects the incoming session.
See Also:
See HTH Policies and Standards
Reference:
NIST 800-53r5|AC-12
Policy Value:
CONFIG_CHECK_NOT
item: exec-timeout (1[6-9]|[2-9][0-9])
context: line vty .+
Actual Value:
line vty 0 4
 transport input ssh
Expected configuration: 
exec-timeout (1[6-9]|[2-9][0-9])
line vty 5 31
 transport input ssh
Expected configuration: 
exec-timeout (1[6-9]|[2-9][0-9])</t>
  </si>
  <si>
    <t>1.0016</t>
  </si>
  <si>
    <t>1.0016 - NETIOS - Set 'exec-timeout' less than or equal to 10 minutes 'line tty'</t>
  </si>
  <si>
    <t>"1.0016 - NETIOS - Set 'exec-timeout' less than or equal to 10 minutes 'line tty': [PASSED]"
If no input is detected during the interval, the EXEC facility resumes the current connection. If no connections exist, the EXEC facility returns the terminal to the idle state and disconnects the incoming session.
See Also:
See HTH Policies and Standards
Reference:
NIST 800-53r5|AC-12 CN-L3(1)
Policy Value:
CONFIG_CHECK_NOT
item: exec-timeout (1[6-9]|[2-9][0-9])
context: line tty .+
Actual Value:
line tty .+ not found in the configuration file</t>
  </si>
  <si>
    <t>1.0017</t>
  </si>
  <si>
    <t>1.0017 - NETIOS - Banner - Enabled</t>
  </si>
  <si>
    <t>"1.0017 - NETIOS - Banner - Enabled: [FAILED]"
Follow the banner login command with one or more blank spaces and a delimiting character of your choice.
See Also:
See cooresponding HTH Standards and Policies
Reference:
NIST 800-53r5|AC-2
Policy Value:
BANNER_CHECK
item: banner login
content: !! WARNING !!
is_substring: 1
Actual Value:
banner login not found in the configuration file</t>
  </si>
  <si>
    <t xml:space="preserve">"1.0017 - NETIOS - Banner - Enabled: [PASSED]"
Follow the banner login command with one or more blank spaces and a delimiting character of your choice.
See Also:
See cooresponding HTH Standards and Policies
Reference:
NIST 800-53r5|AC-2
Policy Value:
BANNER_CHECK
item: banner login
content: !! WARNING !!
is_substring: 1
Actual Value:
XXXXXXXXXXXXXXXXXXXXXXXXXXXXXXXXXXXXXXXXXXXXXXXXXXXXXXXXXXXXXXXXXXXXX
XX                         !! WARNING !! &lt;----
                           XX
XX    Access to this system is restricted to authorized users.     XX
XX   All users expressly consent to the monitoring and recording   XX
XX       of all activity. System violations are subject to         XX
XX    disciplinary action. Evidence of criminal activity may be    XX
XX   reported to corporate security and local, state and federal   XX
XX    law enforcement agencies. By using this system the user      XX
XX            accepts these terms and conditions.                  XX
XXXXXXXXXXXXXXXXXXXXXXXXXXXXXXXXXXXXXXXXXXXXXXXXXXXXXXXXXXXXXXXXXXXXX
</t>
  </si>
  <si>
    <t>1.0018</t>
  </si>
  <si>
    <t>1.0018 - NETIOS - Ensure NTP Server Configured</t>
  </si>
  <si>
    <t>"1.0018 - NETIOS - Ensure NTP Server Configured: [PASSED]"
See Also:
HTH
Reference:
NIST 800-53|AU-7 AU-8
Policy Value:
CONFIG_CHECK
item: ^(sntp|ntp) server.*10.248.232.10
regex: ^(sntp|ntp)[\s]+server([\s]+vrf[\s]+[a-zA-Z0-9_\-]+)?[\s]*10.248.232.10.*$
Actual Value:
ntp server 10.248.232.10 &lt;----</t>
  </si>
  <si>
    <t>1.0019</t>
  </si>
  <si>
    <t>1.0019 - NETIOS - Ensure NTP Server Configured (2nd)</t>
  </si>
  <si>
    <t>"1.0019 - NETIOS - Ensure NTP Server Configured (2nd): [PASSED]"
Check to confirm 10.248.232.210 was configured.
See Also:
HTH
Reference:
NIST 800-53|AU-7 AU-8
Policy Value:
CONFIG_CHECK
item: ^(sntp|ntp) server.*10.248.232.210
regex: ^(sntp|ntp)[\s]+server([\s]+vrf[\s]+[a-zA-Z0-9_\-]+)?[\s]*10.248.232.210.*$
Actual Value:
ntp server 10.248.232.210 &lt;----</t>
  </si>
  <si>
    <t>2026-05-08T15:24:26.307Z</t>
  </si>
  <si>
    <t xml:space="preserve">essus </t>
  </si>
  <si>
    <t/>
  </si>
  <si>
    <t>2026-05-08T15:24:26.300Z</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</si>
  <si>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</si>
  <si>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2026-05-08T15:24:26.331Z</t>
  </si>
  <si>
    <t>his pl</t>
  </si>
  <si>
    <t>This plugin displays, for each tested host, information about the scan itself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</si>
  <si>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10.12.0
Nessus build : 20184
Plugin feed version : 202605080155
Scanner edition used : Nessus
Scanner OS : LINUX
Scanner distribution : es8-x86-64
Scan type : Normal
Scan name : Test - Baseline - NetIOS
Scan policy used : Test_Baseline_NetIOS_Policy
Scanner IP : 10.248.242.57
Port scanner(s) : nessus_syn_scanner 
Port range : default
Ping RTT : 17.349 ms
Thorough tests : no
Experimental tests : no
Scan for Unpatched Vulnerabilities : no
Plugin debugging enabled : no
Paranoia level : 1
Report verbosity : 1
Safe checks : yes
Optimize the test : yes
Credentialed checks : yes, as 'HTH-SVC-TenablNetEng' via ssh
Attempt Least Privilege : no
Patch management checks : None
Display superseded patches : yes (supersedence plugin did not launch)
CGI scanning : disabled
Web application tests : disabled
Max hosts : 30
Max checks : 4
Recv timeout : 5
Backports : None
Allow post-scan editing : Yes
Nessus Plugin Signature Checking : Enabled
Audit File Signature Checking : Disabled
Scan Start Date : 2026/5/8 10:18 CDT (UTC -05:00)
Scan duration : 338 sec
Scan for malware : no
Fully Scan Operational Technology devices : yes
Safely Scan Operational Technology devices with OT Discovery : no
</t>
  </si>
  <si>
    <t xml:space="preserve">Information about this scan : 
Nessus version : 10.12.0
Nessus build : 20184
Plugin feed version : 202605080155
Scanner edition used : Nessus
Scanner OS : LINUX
Scanner distribution : es8-x86-64
Scan type : Normal
Scan name : Test - Baseline - NetIOS
Scan policy used : Test_Baseline_NetIOS_Policy
Scanner IP : 10.248.242.57
Port scanner(s) : nessus_syn_scanner 
Port range : default
Ping RTT : 12.172 ms
Thorough tests : no
Experimental tests : no
Scan for Unpatched Vulnerabilities : no
Plugin debugging enabled : no
Paranoia level : 1
Report verbosity : 1
Safe checks : yes
Optimize the test : yes
Credentialed checks : yes, as 'HTH-SVC-TenablNetEng' via ssh
Attempt Least Privilege : no
Patch management checks : None
Display superseded patches : yes (supersedence plugin did not launch)
CGI scanning : disabled
Web application tests : disabled
Max hosts : 30
Max checks : 4
Recv timeout : 5
Backports : None
Allow post-scan editing : Yes
Nessus Plugin Signature Checking : Enabled
Audit File Signature Checking : Disabled
Scan Start Date : 2026/5/8 10:18 CDT (UTC -05:00)
Scan duration : 224 sec
Scan for malware : no
Fully Scan Operational Technology devices : yes
Safely Scan Operational Technology devices with OT Discovery : no
</t>
  </si>
  <si>
    <t>PASS/FAIL</t>
  </si>
  <si>
    <t>Actual Value:</t>
  </si>
  <si>
    <t>Policy Value:</t>
  </si>
  <si>
    <t>VLOOKUPOFNEW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</si>
</sst>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1A735-64E4-4774-8EC0-D46847B86D39}">
  <dimension ref="A1:AU20"/>
  <sheetViews>
    <sheetView topLeftCell="O1" workbookViewId="0">
      <selection activeCell="AH13" sqref="AH13"/>
    </sheetView>
  </sheetViews>
  <sheetFormatPr defaultRowHeight="13.5" customHeight="1" x14ac:dyDescent="0.25"/>
  <cols>
    <col min="1" max="1" width="17.28515625" hidden="1" customWidth="1"/>
    <col min="2" max="2" width="17.85546875" hidden="1" customWidth="1"/>
    <col min="3" max="3" width="26" hidden="1" customWidth="1"/>
    <col min="4" max="4" width="11.28515625" hidden="1" customWidth="1"/>
    <col min="5" max="5" width="23.85546875" hidden="1" customWidth="1"/>
    <col min="6" max="6" width="35.85546875" hidden="1" customWidth="1"/>
    <col min="7" max="7" width="26" hidden="1" customWidth="1"/>
    <col min="8" max="8" width="23.85546875" hidden="1" customWidth="1"/>
    <col min="9" max="9" width="19" hidden="1" customWidth="1"/>
    <col min="10" max="10" width="23.140625" hidden="1" customWidth="1"/>
    <col min="11" max="11" width="17" hidden="1" customWidth="1"/>
    <col min="12" max="12" width="255.7109375" hidden="1" customWidth="1"/>
    <col min="13" max="13" width="28" hidden="1" customWidth="1"/>
    <col min="14" max="14" width="29.85546875" hidden="1" customWidth="1"/>
    <col min="15" max="15" width="95" bestFit="1" customWidth="1"/>
    <col min="16" max="16" width="43.5703125" hidden="1" customWidth="1"/>
    <col min="17" max="17" width="25.140625" hidden="1" customWidth="1"/>
    <col min="18" max="18" width="22.42578125" hidden="1" customWidth="1"/>
    <col min="19" max="19" width="28.42578125" hidden="1" customWidth="1"/>
    <col min="20" max="20" width="30" hidden="1" customWidth="1"/>
    <col min="21" max="21" width="69.28515625" hidden="1" customWidth="1"/>
    <col min="22" max="22" width="19" hidden="1" customWidth="1"/>
    <col min="23" max="23" width="68.140625" hidden="1" customWidth="1"/>
    <col min="24" max="24" width="24" hidden="1" customWidth="1"/>
    <col min="25" max="25" width="133.28515625" hidden="1" customWidth="1"/>
    <col min="26" max="26" width="69.140625" hidden="1" customWidth="1"/>
    <col min="27" max="27" width="28.85546875" bestFit="1" customWidth="1"/>
    <col min="28" max="28" width="24" hidden="1" customWidth="1"/>
    <col min="29" max="29" width="49.7109375" hidden="1" customWidth="1"/>
    <col min="30" max="30" width="20.28515625" hidden="1" customWidth="1"/>
    <col min="31" max="31" width="17.5703125" bestFit="1" customWidth="1"/>
    <col min="32" max="32" width="11.7109375" hidden="1" customWidth="1"/>
    <col min="33" max="33" width="27.5703125" hidden="1" customWidth="1"/>
    <col min="34" max="34" width="110.7109375" bestFit="1" customWidth="1"/>
    <col min="35" max="35" width="19.42578125" bestFit="1" customWidth="1"/>
    <col min="36" max="36" width="38.28515625" bestFit="1" customWidth="1"/>
    <col min="37" max="37" width="10.85546875" bestFit="1" customWidth="1"/>
    <col min="38" max="38" width="23.5703125" bestFit="1" customWidth="1"/>
    <col min="39" max="39" width="37.28515625" bestFit="1" customWidth="1"/>
    <col min="40" max="40" width="9.28515625" bestFit="1" customWidth="1"/>
    <col min="41" max="41" width="23.5703125" bestFit="1" customWidth="1"/>
    <col min="42" max="42" width="68.85546875" bestFit="1" customWidth="1"/>
    <col min="43" max="43" width="25.5703125" bestFit="1" customWidth="1"/>
    <col min="44" max="44" width="18.42578125" bestFit="1" customWidth="1"/>
    <col min="45" max="45" width="32" bestFit="1" customWidth="1"/>
    <col min="46" max="46" width="32.5703125" bestFit="1" customWidth="1"/>
    <col min="47" max="47" width="13.85546875" bestFit="1" customWidth="1"/>
  </cols>
  <sheetData>
    <row r="1" spans="1:47" ht="15.7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ht="15.75" customHeight="1" x14ac:dyDescent="0.25">
      <c r="C2" t="s">
        <v>613</v>
      </c>
      <c r="E2" t="s">
        <v>328</v>
      </c>
      <c r="F2" t="s">
        <v>330</v>
      </c>
      <c r="G2" t="s">
        <v>614</v>
      </c>
      <c r="H2" t="s">
        <v>328</v>
      </c>
      <c r="J2" t="s">
        <v>615</v>
      </c>
      <c r="K2" t="s">
        <v>47</v>
      </c>
      <c r="L2" t="s">
        <v>616</v>
      </c>
      <c r="N2" t="s">
        <v>48</v>
      </c>
      <c r="O2" t="s">
        <v>101</v>
      </c>
      <c r="P2" t="s">
        <v>50</v>
      </c>
      <c r="R2" t="s">
        <v>51</v>
      </c>
      <c r="S2" t="s">
        <v>51</v>
      </c>
      <c r="U2" t="s">
        <v>102</v>
      </c>
      <c r="W2" t="s">
        <v>103</v>
      </c>
      <c r="X2" t="s">
        <v>104</v>
      </c>
      <c r="Y2" t="s">
        <v>105</v>
      </c>
      <c r="Z2" t="s">
        <v>106</v>
      </c>
      <c r="AA2" s="1" t="s">
        <v>107</v>
      </c>
      <c r="AC2" t="s">
        <v>108</v>
      </c>
      <c r="AE2" t="s">
        <v>59</v>
      </c>
      <c r="AF2">
        <v>46689</v>
      </c>
      <c r="AG2" t="s">
        <v>60</v>
      </c>
      <c r="AH2" s="1" t="s">
        <v>617</v>
      </c>
      <c r="AJ2" t="s">
        <v>61</v>
      </c>
      <c r="AL2" t="s">
        <v>62</v>
      </c>
      <c r="AM2" t="s">
        <v>618</v>
      </c>
      <c r="AO2" t="s">
        <v>619</v>
      </c>
      <c r="AP2" t="s">
        <v>110</v>
      </c>
      <c r="AQ2" t="s">
        <v>59</v>
      </c>
      <c r="AR2" t="s">
        <v>64</v>
      </c>
    </row>
    <row r="3" spans="1:47" ht="15.75" customHeight="1" x14ac:dyDescent="0.25">
      <c r="C3" t="s">
        <v>613</v>
      </c>
      <c r="E3" t="s">
        <v>328</v>
      </c>
      <c r="F3" t="s">
        <v>330</v>
      </c>
      <c r="G3" t="s">
        <v>614</v>
      </c>
      <c r="H3" t="s">
        <v>328</v>
      </c>
      <c r="J3" t="s">
        <v>615</v>
      </c>
      <c r="K3" t="s">
        <v>47</v>
      </c>
      <c r="L3" t="s">
        <v>616</v>
      </c>
      <c r="N3" t="s">
        <v>48</v>
      </c>
      <c r="O3" t="s">
        <v>49</v>
      </c>
      <c r="P3" t="s">
        <v>50</v>
      </c>
      <c r="R3" t="s">
        <v>51</v>
      </c>
      <c r="S3" t="s">
        <v>51</v>
      </c>
      <c r="U3" t="s">
        <v>52</v>
      </c>
      <c r="W3" t="s">
        <v>53</v>
      </c>
      <c r="X3" t="s">
        <v>54</v>
      </c>
      <c r="Y3" t="s">
        <v>55</v>
      </c>
      <c r="Z3" t="s">
        <v>56</v>
      </c>
      <c r="AA3" s="1" t="s">
        <v>57</v>
      </c>
      <c r="AC3" t="s">
        <v>58</v>
      </c>
      <c r="AE3" t="s">
        <v>59</v>
      </c>
      <c r="AF3">
        <v>46689</v>
      </c>
      <c r="AG3" t="s">
        <v>60</v>
      </c>
      <c r="AH3" s="1" t="s">
        <v>620</v>
      </c>
      <c r="AJ3" t="s">
        <v>61</v>
      </c>
      <c r="AL3" t="s">
        <v>62</v>
      </c>
      <c r="AM3" t="s">
        <v>621</v>
      </c>
      <c r="AO3" t="s">
        <v>619</v>
      </c>
      <c r="AP3" t="s">
        <v>63</v>
      </c>
      <c r="AQ3" t="s">
        <v>59</v>
      </c>
      <c r="AR3" t="s">
        <v>64</v>
      </c>
    </row>
    <row r="4" spans="1:47" ht="15.75" customHeight="1" x14ac:dyDescent="0.25">
      <c r="C4" t="s">
        <v>613</v>
      </c>
      <c r="E4" t="s">
        <v>328</v>
      </c>
      <c r="F4" t="s">
        <v>330</v>
      </c>
      <c r="G4" t="s">
        <v>614</v>
      </c>
      <c r="H4" t="s">
        <v>328</v>
      </c>
      <c r="J4" t="s">
        <v>615</v>
      </c>
      <c r="K4" t="s">
        <v>47</v>
      </c>
      <c r="L4" t="s">
        <v>616</v>
      </c>
      <c r="N4" t="s">
        <v>48</v>
      </c>
      <c r="O4" t="s">
        <v>111</v>
      </c>
      <c r="P4" t="s">
        <v>112</v>
      </c>
      <c r="R4" t="s">
        <v>51</v>
      </c>
      <c r="S4" t="s">
        <v>51</v>
      </c>
      <c r="U4" t="s">
        <v>113</v>
      </c>
      <c r="W4" t="s">
        <v>114</v>
      </c>
      <c r="X4" t="s">
        <v>115</v>
      </c>
      <c r="Z4" t="s">
        <v>116</v>
      </c>
      <c r="AA4" t="s">
        <v>59</v>
      </c>
      <c r="AE4" t="s">
        <v>59</v>
      </c>
      <c r="AF4">
        <v>46689</v>
      </c>
      <c r="AG4" t="s">
        <v>60</v>
      </c>
      <c r="AH4" t="s">
        <v>59</v>
      </c>
      <c r="AJ4" t="s">
        <v>61</v>
      </c>
      <c r="AL4" t="s">
        <v>62</v>
      </c>
      <c r="AM4" t="s">
        <v>622</v>
      </c>
      <c r="AO4" t="s">
        <v>619</v>
      </c>
      <c r="AP4" t="s">
        <v>117</v>
      </c>
      <c r="AQ4" t="s">
        <v>59</v>
      </c>
      <c r="AR4" t="s">
        <v>64</v>
      </c>
    </row>
    <row r="5" spans="1:47" ht="15.75" customHeight="1" x14ac:dyDescent="0.25">
      <c r="C5" t="s">
        <v>613</v>
      </c>
      <c r="E5" t="s">
        <v>328</v>
      </c>
      <c r="F5" t="s">
        <v>330</v>
      </c>
      <c r="G5" t="s">
        <v>614</v>
      </c>
      <c r="H5" t="s">
        <v>328</v>
      </c>
      <c r="J5" t="s">
        <v>615</v>
      </c>
      <c r="K5" t="s">
        <v>47</v>
      </c>
      <c r="L5" t="s">
        <v>616</v>
      </c>
      <c r="N5" t="s">
        <v>48</v>
      </c>
      <c r="O5" t="s">
        <v>118</v>
      </c>
      <c r="P5" t="s">
        <v>50</v>
      </c>
      <c r="R5" t="s">
        <v>51</v>
      </c>
      <c r="S5" t="s">
        <v>51</v>
      </c>
      <c r="U5" t="s">
        <v>119</v>
      </c>
      <c r="W5" t="s">
        <v>120</v>
      </c>
      <c r="X5" t="s">
        <v>121</v>
      </c>
      <c r="Y5" t="s">
        <v>122</v>
      </c>
      <c r="Z5" t="s">
        <v>123</v>
      </c>
      <c r="AA5" s="1" t="s">
        <v>124</v>
      </c>
      <c r="AC5" t="s">
        <v>72</v>
      </c>
      <c r="AE5" t="s">
        <v>59</v>
      </c>
      <c r="AF5">
        <v>46689</v>
      </c>
      <c r="AG5" t="s">
        <v>60</v>
      </c>
      <c r="AH5" t="s">
        <v>125</v>
      </c>
      <c r="AJ5" t="s">
        <v>61</v>
      </c>
      <c r="AL5" t="s">
        <v>62</v>
      </c>
      <c r="AM5" t="s">
        <v>623</v>
      </c>
      <c r="AO5" t="s">
        <v>619</v>
      </c>
      <c r="AP5" t="s">
        <v>126</v>
      </c>
      <c r="AQ5" t="s">
        <v>59</v>
      </c>
      <c r="AR5" t="s">
        <v>64</v>
      </c>
    </row>
    <row r="6" spans="1:47" ht="15.75" customHeight="1" x14ac:dyDescent="0.25">
      <c r="C6" t="s">
        <v>613</v>
      </c>
      <c r="E6" t="s">
        <v>328</v>
      </c>
      <c r="F6" t="s">
        <v>330</v>
      </c>
      <c r="G6" t="s">
        <v>614</v>
      </c>
      <c r="H6" t="s">
        <v>328</v>
      </c>
      <c r="J6" t="s">
        <v>615</v>
      </c>
      <c r="K6" t="s">
        <v>47</v>
      </c>
      <c r="L6" t="s">
        <v>616</v>
      </c>
      <c r="N6" t="s">
        <v>48</v>
      </c>
      <c r="O6" t="s">
        <v>134</v>
      </c>
      <c r="P6" t="s">
        <v>50</v>
      </c>
      <c r="R6" t="s">
        <v>51</v>
      </c>
      <c r="S6" t="s">
        <v>51</v>
      </c>
      <c r="U6" t="s">
        <v>135</v>
      </c>
      <c r="W6" t="s">
        <v>136</v>
      </c>
      <c r="X6" t="s">
        <v>137</v>
      </c>
      <c r="Y6" t="s">
        <v>105</v>
      </c>
      <c r="Z6" t="s">
        <v>106</v>
      </c>
      <c r="AA6" s="1" t="s">
        <v>138</v>
      </c>
      <c r="AC6" t="s">
        <v>108</v>
      </c>
      <c r="AE6" t="s">
        <v>59</v>
      </c>
      <c r="AF6">
        <v>46689</v>
      </c>
      <c r="AG6" t="s">
        <v>60</v>
      </c>
      <c r="AH6" s="1" t="s">
        <v>624</v>
      </c>
      <c r="AJ6" t="s">
        <v>61</v>
      </c>
      <c r="AL6" t="s">
        <v>62</v>
      </c>
      <c r="AM6" t="s">
        <v>625</v>
      </c>
      <c r="AO6" t="s">
        <v>619</v>
      </c>
      <c r="AP6" t="s">
        <v>140</v>
      </c>
      <c r="AQ6" t="s">
        <v>59</v>
      </c>
      <c r="AR6" t="s">
        <v>64</v>
      </c>
    </row>
    <row r="7" spans="1:47" ht="15.75" customHeight="1" x14ac:dyDescent="0.25">
      <c r="C7" t="s">
        <v>613</v>
      </c>
      <c r="E7" t="s">
        <v>328</v>
      </c>
      <c r="F7" t="s">
        <v>330</v>
      </c>
      <c r="G7" t="s">
        <v>614</v>
      </c>
      <c r="H7" t="s">
        <v>328</v>
      </c>
      <c r="J7" t="s">
        <v>615</v>
      </c>
      <c r="K7" t="s">
        <v>47</v>
      </c>
      <c r="L7" t="s">
        <v>616</v>
      </c>
      <c r="N7" t="s">
        <v>48</v>
      </c>
      <c r="O7" t="s">
        <v>141</v>
      </c>
      <c r="P7" t="s">
        <v>50</v>
      </c>
      <c r="R7" t="s">
        <v>51</v>
      </c>
      <c r="S7" t="s">
        <v>51</v>
      </c>
      <c r="U7" t="s">
        <v>142</v>
      </c>
      <c r="W7" t="s">
        <v>143</v>
      </c>
      <c r="X7" t="s">
        <v>144</v>
      </c>
      <c r="Y7" t="s">
        <v>145</v>
      </c>
      <c r="Z7" t="s">
        <v>146</v>
      </c>
      <c r="AA7" s="1" t="s">
        <v>147</v>
      </c>
      <c r="AC7" t="s">
        <v>99</v>
      </c>
      <c r="AE7" t="s">
        <v>59</v>
      </c>
      <c r="AF7">
        <v>46689</v>
      </c>
      <c r="AG7" t="s">
        <v>60</v>
      </c>
      <c r="AH7" s="1" t="s">
        <v>148</v>
      </c>
      <c r="AJ7" t="s">
        <v>61</v>
      </c>
      <c r="AL7" t="s">
        <v>62</v>
      </c>
      <c r="AM7" t="s">
        <v>626</v>
      </c>
      <c r="AO7" t="s">
        <v>619</v>
      </c>
      <c r="AP7" t="s">
        <v>149</v>
      </c>
      <c r="AQ7" t="s">
        <v>59</v>
      </c>
      <c r="AR7" t="s">
        <v>64</v>
      </c>
    </row>
    <row r="8" spans="1:47" ht="15.75" customHeight="1" x14ac:dyDescent="0.25">
      <c r="C8" t="s">
        <v>613</v>
      </c>
      <c r="E8" t="s">
        <v>328</v>
      </c>
      <c r="F8" t="s">
        <v>330</v>
      </c>
      <c r="G8" t="s">
        <v>614</v>
      </c>
      <c r="H8" t="s">
        <v>328</v>
      </c>
      <c r="J8" t="s">
        <v>615</v>
      </c>
      <c r="K8" t="s">
        <v>47</v>
      </c>
      <c r="L8" t="s">
        <v>616</v>
      </c>
      <c r="N8" t="s">
        <v>48</v>
      </c>
      <c r="O8" t="s">
        <v>150</v>
      </c>
      <c r="P8" t="s">
        <v>50</v>
      </c>
      <c r="R8" t="s">
        <v>51</v>
      </c>
      <c r="S8" t="s">
        <v>51</v>
      </c>
      <c r="U8" t="s">
        <v>151</v>
      </c>
      <c r="W8" t="s">
        <v>152</v>
      </c>
      <c r="X8" t="s">
        <v>96</v>
      </c>
      <c r="Y8" t="s">
        <v>153</v>
      </c>
      <c r="Z8" t="s">
        <v>154</v>
      </c>
      <c r="AA8" t="s">
        <v>59</v>
      </c>
      <c r="AC8" t="s">
        <v>99</v>
      </c>
      <c r="AE8" t="s">
        <v>59</v>
      </c>
      <c r="AF8">
        <v>46689</v>
      </c>
      <c r="AG8" t="s">
        <v>60</v>
      </c>
      <c r="AH8" t="s">
        <v>59</v>
      </c>
      <c r="AJ8" t="s">
        <v>61</v>
      </c>
      <c r="AL8" t="s">
        <v>62</v>
      </c>
      <c r="AM8" t="s">
        <v>627</v>
      </c>
      <c r="AO8" t="s">
        <v>619</v>
      </c>
      <c r="AP8" t="s">
        <v>155</v>
      </c>
      <c r="AQ8" t="s">
        <v>59</v>
      </c>
      <c r="AR8" t="s">
        <v>64</v>
      </c>
    </row>
    <row r="9" spans="1:47" ht="15.75" customHeight="1" x14ac:dyDescent="0.25">
      <c r="C9" t="s">
        <v>613</v>
      </c>
      <c r="E9" t="s">
        <v>328</v>
      </c>
      <c r="F9" t="s">
        <v>330</v>
      </c>
      <c r="G9" t="s">
        <v>614</v>
      </c>
      <c r="H9" t="s">
        <v>328</v>
      </c>
      <c r="J9" t="s">
        <v>615</v>
      </c>
      <c r="K9" t="s">
        <v>47</v>
      </c>
      <c r="L9" t="s">
        <v>616</v>
      </c>
      <c r="N9" t="s">
        <v>48</v>
      </c>
      <c r="O9" t="s">
        <v>65</v>
      </c>
      <c r="P9" t="s">
        <v>50</v>
      </c>
      <c r="R9" t="s">
        <v>51</v>
      </c>
      <c r="S9" t="s">
        <v>51</v>
      </c>
      <c r="U9" t="s">
        <v>66</v>
      </c>
      <c r="W9" t="s">
        <v>67</v>
      </c>
      <c r="X9" t="s">
        <v>68</v>
      </c>
      <c r="Y9" t="s">
        <v>69</v>
      </c>
      <c r="Z9" t="s">
        <v>70</v>
      </c>
      <c r="AA9" s="1" t="s">
        <v>71</v>
      </c>
      <c r="AC9" t="s">
        <v>72</v>
      </c>
      <c r="AE9" t="s">
        <v>59</v>
      </c>
      <c r="AF9">
        <v>46689</v>
      </c>
      <c r="AG9" t="s">
        <v>60</v>
      </c>
      <c r="AH9" t="s">
        <v>628</v>
      </c>
      <c r="AJ9" t="s">
        <v>61</v>
      </c>
      <c r="AL9" t="s">
        <v>62</v>
      </c>
      <c r="AM9" t="s">
        <v>629</v>
      </c>
      <c r="AO9" t="s">
        <v>619</v>
      </c>
      <c r="AP9" t="s">
        <v>74</v>
      </c>
      <c r="AQ9" t="s">
        <v>59</v>
      </c>
      <c r="AR9" t="s">
        <v>64</v>
      </c>
    </row>
    <row r="10" spans="1:47" ht="15.75" customHeight="1" x14ac:dyDescent="0.25">
      <c r="C10" t="s">
        <v>613</v>
      </c>
      <c r="E10" t="s">
        <v>328</v>
      </c>
      <c r="F10" t="s">
        <v>330</v>
      </c>
      <c r="G10" t="s">
        <v>614</v>
      </c>
      <c r="H10" t="s">
        <v>328</v>
      </c>
      <c r="J10" t="s">
        <v>615</v>
      </c>
      <c r="K10" t="s">
        <v>47</v>
      </c>
      <c r="L10" t="s">
        <v>616</v>
      </c>
      <c r="N10" t="s">
        <v>48</v>
      </c>
      <c r="O10" t="s">
        <v>172</v>
      </c>
      <c r="P10" t="s">
        <v>50</v>
      </c>
      <c r="R10" t="s">
        <v>51</v>
      </c>
      <c r="S10" t="s">
        <v>51</v>
      </c>
      <c r="U10" t="s">
        <v>173</v>
      </c>
      <c r="W10" t="s">
        <v>174</v>
      </c>
      <c r="X10" t="s">
        <v>175</v>
      </c>
      <c r="Y10" t="s">
        <v>176</v>
      </c>
      <c r="Z10" t="s">
        <v>177</v>
      </c>
      <c r="AA10" s="1" t="s">
        <v>178</v>
      </c>
      <c r="AC10" t="s">
        <v>99</v>
      </c>
      <c r="AE10" t="s">
        <v>59</v>
      </c>
      <c r="AF10">
        <v>46689</v>
      </c>
      <c r="AG10" t="s">
        <v>60</v>
      </c>
      <c r="AH10" t="s">
        <v>179</v>
      </c>
      <c r="AJ10" t="s">
        <v>61</v>
      </c>
      <c r="AL10" t="s">
        <v>62</v>
      </c>
      <c r="AM10" t="s">
        <v>630</v>
      </c>
      <c r="AO10" t="s">
        <v>619</v>
      </c>
      <c r="AP10" s="2" t="s">
        <v>180</v>
      </c>
      <c r="AQ10" t="s">
        <v>59</v>
      </c>
      <c r="AR10" t="s">
        <v>64</v>
      </c>
    </row>
    <row r="11" spans="1:47" ht="15.75" customHeight="1" x14ac:dyDescent="0.25">
      <c r="C11" t="s">
        <v>613</v>
      </c>
      <c r="E11" t="s">
        <v>328</v>
      </c>
      <c r="F11" t="s">
        <v>330</v>
      </c>
      <c r="G11" t="s">
        <v>614</v>
      </c>
      <c r="H11" t="s">
        <v>328</v>
      </c>
      <c r="J11" t="s">
        <v>615</v>
      </c>
      <c r="K11" t="s">
        <v>47</v>
      </c>
      <c r="L11" t="s">
        <v>616</v>
      </c>
      <c r="N11" t="s">
        <v>48</v>
      </c>
      <c r="O11" t="s">
        <v>93</v>
      </c>
      <c r="P11" t="s">
        <v>50</v>
      </c>
      <c r="R11" t="s">
        <v>51</v>
      </c>
      <c r="S11" t="s">
        <v>51</v>
      </c>
      <c r="U11" t="s">
        <v>94</v>
      </c>
      <c r="W11" t="s">
        <v>95</v>
      </c>
      <c r="X11" t="s">
        <v>96</v>
      </c>
      <c r="Y11" t="s">
        <v>97</v>
      </c>
      <c r="Z11" t="s">
        <v>98</v>
      </c>
      <c r="AA11" t="s">
        <v>59</v>
      </c>
      <c r="AC11" t="s">
        <v>99</v>
      </c>
      <c r="AE11" t="s">
        <v>59</v>
      </c>
      <c r="AF11">
        <v>46689</v>
      </c>
      <c r="AG11" t="s">
        <v>60</v>
      </c>
      <c r="AH11" t="s">
        <v>59</v>
      </c>
      <c r="AJ11" t="s">
        <v>61</v>
      </c>
      <c r="AL11" t="s">
        <v>62</v>
      </c>
      <c r="AM11" t="s">
        <v>631</v>
      </c>
      <c r="AO11" t="s">
        <v>619</v>
      </c>
      <c r="AP11" t="s">
        <v>100</v>
      </c>
      <c r="AQ11" t="s">
        <v>59</v>
      </c>
      <c r="AR11" t="s">
        <v>64</v>
      </c>
    </row>
    <row r="12" spans="1:47" ht="15.75" customHeight="1" x14ac:dyDescent="0.25">
      <c r="C12" t="s">
        <v>613</v>
      </c>
      <c r="E12" t="s">
        <v>328</v>
      </c>
      <c r="F12" t="s">
        <v>330</v>
      </c>
      <c r="G12" t="s">
        <v>614</v>
      </c>
      <c r="H12" t="s">
        <v>328</v>
      </c>
      <c r="J12" t="s">
        <v>615</v>
      </c>
      <c r="K12" t="s">
        <v>47</v>
      </c>
      <c r="L12" t="s">
        <v>616</v>
      </c>
      <c r="N12" t="s">
        <v>48</v>
      </c>
      <c r="O12" t="s">
        <v>205</v>
      </c>
      <c r="P12" t="s">
        <v>50</v>
      </c>
      <c r="R12" t="s">
        <v>51</v>
      </c>
      <c r="S12" t="s">
        <v>51</v>
      </c>
      <c r="U12" t="s">
        <v>206</v>
      </c>
      <c r="W12" t="s">
        <v>207</v>
      </c>
      <c r="X12" t="s">
        <v>208</v>
      </c>
      <c r="Y12" t="s">
        <v>209</v>
      </c>
      <c r="Z12" t="s">
        <v>210</v>
      </c>
      <c r="AA12" s="1" t="s">
        <v>211</v>
      </c>
      <c r="AC12" t="s">
        <v>99</v>
      </c>
      <c r="AE12" t="s">
        <v>59</v>
      </c>
      <c r="AF12">
        <v>46689</v>
      </c>
      <c r="AG12" t="s">
        <v>60</v>
      </c>
      <c r="AH12" t="s">
        <v>212</v>
      </c>
      <c r="AJ12" t="s">
        <v>61</v>
      </c>
      <c r="AL12" t="s">
        <v>62</v>
      </c>
      <c r="AM12" s="2" t="s">
        <v>632</v>
      </c>
      <c r="AO12" t="s">
        <v>619</v>
      </c>
      <c r="AP12" t="s">
        <v>213</v>
      </c>
      <c r="AQ12" t="s">
        <v>59</v>
      </c>
      <c r="AR12" t="s">
        <v>64</v>
      </c>
    </row>
    <row r="13" spans="1:47" ht="15.75" customHeight="1" x14ac:dyDescent="0.25">
      <c r="C13" t="s">
        <v>613</v>
      </c>
      <c r="E13" t="s">
        <v>328</v>
      </c>
      <c r="F13" t="s">
        <v>330</v>
      </c>
      <c r="G13" t="s">
        <v>614</v>
      </c>
      <c r="H13" t="s">
        <v>328</v>
      </c>
      <c r="J13" t="s">
        <v>615</v>
      </c>
      <c r="K13" t="s">
        <v>47</v>
      </c>
      <c r="L13" t="s">
        <v>616</v>
      </c>
      <c r="N13" t="s">
        <v>48</v>
      </c>
      <c r="O13" t="s">
        <v>181</v>
      </c>
      <c r="P13" t="s">
        <v>112</v>
      </c>
      <c r="R13" t="s">
        <v>51</v>
      </c>
      <c r="S13" t="s">
        <v>51</v>
      </c>
      <c r="U13" t="s">
        <v>182</v>
      </c>
      <c r="W13" t="s">
        <v>183</v>
      </c>
      <c r="X13" t="s">
        <v>184</v>
      </c>
      <c r="Y13" t="s">
        <v>185</v>
      </c>
      <c r="Z13" t="s">
        <v>186</v>
      </c>
      <c r="AA13" t="s">
        <v>59</v>
      </c>
      <c r="AC13" t="s">
        <v>187</v>
      </c>
      <c r="AE13" t="s">
        <v>59</v>
      </c>
      <c r="AF13">
        <v>46689</v>
      </c>
      <c r="AG13" t="s">
        <v>60</v>
      </c>
      <c r="AH13" t="s">
        <v>59</v>
      </c>
      <c r="AJ13" t="s">
        <v>61</v>
      </c>
      <c r="AL13" t="s">
        <v>62</v>
      </c>
      <c r="AM13" t="s">
        <v>633</v>
      </c>
      <c r="AO13" t="s">
        <v>619</v>
      </c>
      <c r="AP13" t="s">
        <v>188</v>
      </c>
      <c r="AQ13" t="s">
        <v>59</v>
      </c>
      <c r="AR13" t="s">
        <v>64</v>
      </c>
    </row>
    <row r="14" spans="1:47" ht="15.75" customHeight="1" x14ac:dyDescent="0.25">
      <c r="C14" t="s">
        <v>613</v>
      </c>
      <c r="E14" t="s">
        <v>328</v>
      </c>
      <c r="F14" t="s">
        <v>330</v>
      </c>
      <c r="G14" t="s">
        <v>614</v>
      </c>
      <c r="H14" t="s">
        <v>328</v>
      </c>
      <c r="J14" t="s">
        <v>615</v>
      </c>
      <c r="K14" t="s">
        <v>47</v>
      </c>
      <c r="L14" t="s">
        <v>616</v>
      </c>
      <c r="N14" t="s">
        <v>48</v>
      </c>
      <c r="O14" t="s">
        <v>198</v>
      </c>
      <c r="P14" t="s">
        <v>50</v>
      </c>
      <c r="R14" t="s">
        <v>51</v>
      </c>
      <c r="S14" t="s">
        <v>51</v>
      </c>
      <c r="U14" t="s">
        <v>199</v>
      </c>
      <c r="W14" t="s">
        <v>200</v>
      </c>
      <c r="X14" t="s">
        <v>201</v>
      </c>
      <c r="Y14" t="s">
        <v>105</v>
      </c>
      <c r="Z14" t="s">
        <v>106</v>
      </c>
      <c r="AA14" s="1" t="s">
        <v>202</v>
      </c>
      <c r="AC14" t="s">
        <v>108</v>
      </c>
      <c r="AE14" t="s">
        <v>59</v>
      </c>
      <c r="AF14">
        <v>46689</v>
      </c>
      <c r="AG14" t="s">
        <v>60</v>
      </c>
      <c r="AH14" t="s">
        <v>203</v>
      </c>
      <c r="AJ14" t="s">
        <v>61</v>
      </c>
      <c r="AL14" t="s">
        <v>62</v>
      </c>
      <c r="AM14" t="s">
        <v>634</v>
      </c>
      <c r="AO14" t="s">
        <v>619</v>
      </c>
      <c r="AP14" t="s">
        <v>204</v>
      </c>
      <c r="AQ14" t="s">
        <v>59</v>
      </c>
      <c r="AR14" t="s">
        <v>64</v>
      </c>
    </row>
    <row r="15" spans="1:47" ht="15.75" customHeight="1" x14ac:dyDescent="0.25">
      <c r="C15" t="s">
        <v>613</v>
      </c>
      <c r="E15" t="s">
        <v>328</v>
      </c>
      <c r="F15" t="s">
        <v>330</v>
      </c>
      <c r="G15" t="s">
        <v>614</v>
      </c>
      <c r="H15" t="s">
        <v>328</v>
      </c>
      <c r="J15" t="s">
        <v>615</v>
      </c>
      <c r="K15" t="s">
        <v>47</v>
      </c>
      <c r="L15" t="s">
        <v>616</v>
      </c>
      <c r="N15" t="s">
        <v>48</v>
      </c>
      <c r="O15" t="s">
        <v>75</v>
      </c>
      <c r="P15" t="s">
        <v>50</v>
      </c>
      <c r="R15" t="s">
        <v>51</v>
      </c>
      <c r="S15" t="s">
        <v>51</v>
      </c>
      <c r="U15" t="s">
        <v>76</v>
      </c>
      <c r="W15" t="s">
        <v>77</v>
      </c>
      <c r="X15" t="s">
        <v>78</v>
      </c>
      <c r="Y15" t="s">
        <v>79</v>
      </c>
      <c r="Z15" t="s">
        <v>80</v>
      </c>
      <c r="AA15" s="1" t="s">
        <v>81</v>
      </c>
      <c r="AC15" t="s">
        <v>82</v>
      </c>
      <c r="AE15" t="s">
        <v>59</v>
      </c>
      <c r="AF15">
        <v>46689</v>
      </c>
      <c r="AG15" t="s">
        <v>60</v>
      </c>
      <c r="AH15" t="s">
        <v>628</v>
      </c>
      <c r="AJ15" t="s">
        <v>61</v>
      </c>
      <c r="AL15" t="s">
        <v>62</v>
      </c>
      <c r="AM15" t="s">
        <v>635</v>
      </c>
      <c r="AO15" t="s">
        <v>619</v>
      </c>
      <c r="AP15" t="s">
        <v>83</v>
      </c>
      <c r="AQ15" t="s">
        <v>59</v>
      </c>
      <c r="AR15" t="s">
        <v>64</v>
      </c>
    </row>
    <row r="16" spans="1:47" ht="15.75" customHeight="1" x14ac:dyDescent="0.25">
      <c r="C16" t="s">
        <v>613</v>
      </c>
      <c r="E16" t="s">
        <v>328</v>
      </c>
      <c r="F16" t="s">
        <v>330</v>
      </c>
      <c r="G16" t="s">
        <v>614</v>
      </c>
      <c r="H16" t="s">
        <v>328</v>
      </c>
      <c r="J16" t="s">
        <v>615</v>
      </c>
      <c r="K16" t="s">
        <v>47</v>
      </c>
      <c r="L16" t="s">
        <v>616</v>
      </c>
      <c r="N16" t="s">
        <v>48</v>
      </c>
      <c r="O16" t="s">
        <v>84</v>
      </c>
      <c r="P16" t="s">
        <v>50</v>
      </c>
      <c r="R16" t="s">
        <v>51</v>
      </c>
      <c r="S16" t="s">
        <v>51</v>
      </c>
      <c r="U16" t="s">
        <v>85</v>
      </c>
      <c r="W16" t="s">
        <v>86</v>
      </c>
      <c r="X16" t="s">
        <v>87</v>
      </c>
      <c r="Y16" t="s">
        <v>88</v>
      </c>
      <c r="Z16" t="s">
        <v>89</v>
      </c>
      <c r="AA16" s="1" t="s">
        <v>90</v>
      </c>
      <c r="AC16" t="s">
        <v>72</v>
      </c>
      <c r="AE16" t="s">
        <v>59</v>
      </c>
      <c r="AF16">
        <v>46689</v>
      </c>
      <c r="AG16" t="s">
        <v>60</v>
      </c>
      <c r="AH16" t="s">
        <v>636</v>
      </c>
      <c r="AJ16" t="s">
        <v>61</v>
      </c>
      <c r="AL16" t="s">
        <v>62</v>
      </c>
      <c r="AM16" t="s">
        <v>637</v>
      </c>
      <c r="AO16" t="s">
        <v>619</v>
      </c>
      <c r="AP16" t="s">
        <v>92</v>
      </c>
      <c r="AQ16" t="s">
        <v>59</v>
      </c>
      <c r="AR16" t="s">
        <v>64</v>
      </c>
    </row>
    <row r="17" spans="3:44" ht="15.75" customHeight="1" x14ac:dyDescent="0.25">
      <c r="C17" t="s">
        <v>613</v>
      </c>
      <c r="E17" t="s">
        <v>328</v>
      </c>
      <c r="F17" t="s">
        <v>330</v>
      </c>
      <c r="G17" t="s">
        <v>614</v>
      </c>
      <c r="H17" t="s">
        <v>328</v>
      </c>
      <c r="J17" t="s">
        <v>615</v>
      </c>
      <c r="K17" t="s">
        <v>47</v>
      </c>
      <c r="L17" t="s">
        <v>616</v>
      </c>
      <c r="N17" t="s">
        <v>48</v>
      </c>
      <c r="O17" t="s">
        <v>127</v>
      </c>
      <c r="P17" t="s">
        <v>50</v>
      </c>
      <c r="R17" t="s">
        <v>51</v>
      </c>
      <c r="S17" t="s">
        <v>51</v>
      </c>
      <c r="U17" t="s">
        <v>128</v>
      </c>
      <c r="W17" t="s">
        <v>129</v>
      </c>
      <c r="X17" t="s">
        <v>130</v>
      </c>
      <c r="Y17" t="s">
        <v>105</v>
      </c>
      <c r="Z17" t="s">
        <v>106</v>
      </c>
      <c r="AA17" s="1" t="s">
        <v>131</v>
      </c>
      <c r="AC17" t="s">
        <v>108</v>
      </c>
      <c r="AE17" t="s">
        <v>59</v>
      </c>
      <c r="AF17">
        <v>46689</v>
      </c>
      <c r="AG17" t="s">
        <v>60</v>
      </c>
      <c r="AH17" s="1" t="s">
        <v>132</v>
      </c>
      <c r="AJ17" t="s">
        <v>61</v>
      </c>
      <c r="AL17" t="s">
        <v>62</v>
      </c>
      <c r="AM17" t="s">
        <v>638</v>
      </c>
      <c r="AO17" t="s">
        <v>619</v>
      </c>
      <c r="AP17" t="s">
        <v>133</v>
      </c>
      <c r="AQ17" t="s">
        <v>59</v>
      </c>
      <c r="AR17" t="s">
        <v>64</v>
      </c>
    </row>
    <row r="18" spans="3:44" ht="15.75" customHeight="1" x14ac:dyDescent="0.25">
      <c r="C18" t="s">
        <v>613</v>
      </c>
      <c r="E18" t="s">
        <v>328</v>
      </c>
      <c r="F18" t="s">
        <v>330</v>
      </c>
      <c r="G18" t="s">
        <v>614</v>
      </c>
      <c r="H18" t="s">
        <v>328</v>
      </c>
      <c r="J18" t="s">
        <v>615</v>
      </c>
      <c r="K18" t="s">
        <v>47</v>
      </c>
      <c r="L18" t="s">
        <v>616</v>
      </c>
      <c r="N18" t="s">
        <v>48</v>
      </c>
      <c r="O18" t="s">
        <v>162</v>
      </c>
      <c r="P18" t="s">
        <v>50</v>
      </c>
      <c r="R18" t="s">
        <v>51</v>
      </c>
      <c r="S18" t="s">
        <v>51</v>
      </c>
      <c r="U18" t="s">
        <v>163</v>
      </c>
      <c r="W18" t="s">
        <v>164</v>
      </c>
      <c r="X18" t="s">
        <v>165</v>
      </c>
      <c r="Y18" t="s">
        <v>166</v>
      </c>
      <c r="Z18" t="s">
        <v>167</v>
      </c>
      <c r="AA18" s="1" t="s">
        <v>168</v>
      </c>
      <c r="AC18" t="s">
        <v>169</v>
      </c>
      <c r="AE18" t="s">
        <v>59</v>
      </c>
      <c r="AF18">
        <v>46689</v>
      </c>
      <c r="AG18" t="s">
        <v>60</v>
      </c>
      <c r="AH18" s="1" t="s">
        <v>639</v>
      </c>
      <c r="AJ18" t="s">
        <v>61</v>
      </c>
      <c r="AL18" t="s">
        <v>62</v>
      </c>
      <c r="AM18" t="s">
        <v>640</v>
      </c>
      <c r="AO18" t="s">
        <v>619</v>
      </c>
      <c r="AP18" t="s">
        <v>171</v>
      </c>
      <c r="AQ18" t="s">
        <v>59</v>
      </c>
      <c r="AR18" t="s">
        <v>64</v>
      </c>
    </row>
    <row r="19" spans="3:44" ht="15.75" customHeight="1" x14ac:dyDescent="0.25">
      <c r="C19" t="s">
        <v>613</v>
      </c>
      <c r="E19" t="s">
        <v>328</v>
      </c>
      <c r="F19" t="s">
        <v>330</v>
      </c>
      <c r="G19" t="s">
        <v>614</v>
      </c>
      <c r="H19" t="s">
        <v>328</v>
      </c>
      <c r="J19" t="s">
        <v>615</v>
      </c>
      <c r="K19" t="s">
        <v>47</v>
      </c>
      <c r="L19" t="s">
        <v>616</v>
      </c>
      <c r="N19" t="s">
        <v>48</v>
      </c>
      <c r="O19" t="s">
        <v>156</v>
      </c>
      <c r="P19" t="s">
        <v>50</v>
      </c>
      <c r="R19" t="s">
        <v>51</v>
      </c>
      <c r="S19" t="s">
        <v>51</v>
      </c>
      <c r="U19" s="2" t="s">
        <v>157</v>
      </c>
      <c r="W19" t="s">
        <v>158</v>
      </c>
      <c r="X19" t="s">
        <v>96</v>
      </c>
      <c r="Y19" t="s">
        <v>159</v>
      </c>
      <c r="Z19" t="s">
        <v>160</v>
      </c>
      <c r="AA19" t="s">
        <v>59</v>
      </c>
      <c r="AC19" t="s">
        <v>99</v>
      </c>
      <c r="AE19" t="s">
        <v>59</v>
      </c>
      <c r="AF19">
        <v>46689</v>
      </c>
      <c r="AG19" t="s">
        <v>60</v>
      </c>
      <c r="AH19" t="s">
        <v>59</v>
      </c>
      <c r="AJ19" t="s">
        <v>61</v>
      </c>
      <c r="AL19" t="s">
        <v>62</v>
      </c>
      <c r="AM19" t="s">
        <v>641</v>
      </c>
      <c r="AO19" t="s">
        <v>619</v>
      </c>
      <c r="AP19" t="s">
        <v>161</v>
      </c>
      <c r="AQ19" t="s">
        <v>59</v>
      </c>
      <c r="AR19" t="s">
        <v>64</v>
      </c>
    </row>
    <row r="20" spans="3:44" ht="15.75" customHeight="1" x14ac:dyDescent="0.25">
      <c r="C20" t="s">
        <v>613</v>
      </c>
      <c r="E20" t="s">
        <v>328</v>
      </c>
      <c r="F20" t="s">
        <v>330</v>
      </c>
      <c r="G20" t="s">
        <v>614</v>
      </c>
      <c r="H20" t="s">
        <v>328</v>
      </c>
      <c r="J20" t="s">
        <v>615</v>
      </c>
      <c r="K20" t="s">
        <v>47</v>
      </c>
      <c r="L20" t="s">
        <v>616</v>
      </c>
      <c r="N20" t="s">
        <v>48</v>
      </c>
      <c r="O20" t="s">
        <v>189</v>
      </c>
      <c r="P20" t="s">
        <v>112</v>
      </c>
      <c r="R20" t="s">
        <v>51</v>
      </c>
      <c r="S20" t="s">
        <v>51</v>
      </c>
      <c r="U20" t="s">
        <v>190</v>
      </c>
      <c r="W20" t="s">
        <v>191</v>
      </c>
      <c r="X20" t="s">
        <v>192</v>
      </c>
      <c r="Y20" t="s">
        <v>193</v>
      </c>
      <c r="Z20" t="s">
        <v>194</v>
      </c>
      <c r="AA20" s="1" t="s">
        <v>195</v>
      </c>
      <c r="AC20" t="s">
        <v>187</v>
      </c>
      <c r="AE20" t="s">
        <v>59</v>
      </c>
      <c r="AF20">
        <v>46689</v>
      </c>
      <c r="AG20" t="s">
        <v>60</v>
      </c>
      <c r="AH20" t="s">
        <v>196</v>
      </c>
      <c r="AJ20" t="s">
        <v>61</v>
      </c>
      <c r="AL20" t="s">
        <v>62</v>
      </c>
      <c r="AM20" t="s">
        <v>642</v>
      </c>
      <c r="AO20" t="s">
        <v>619</v>
      </c>
      <c r="AP20" t="s">
        <v>197</v>
      </c>
      <c r="AQ20" t="s">
        <v>59</v>
      </c>
      <c r="AR20"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74EB-B037-4C1E-8CDF-D9393F294FAF}">
  <dimension ref="A1:BO49"/>
  <sheetViews>
    <sheetView topLeftCell="H1" workbookViewId="0">
      <selection activeCell="J1" sqref="J1:L39"/>
    </sheetView>
  </sheetViews>
  <sheetFormatPr defaultRowHeight="15" x14ac:dyDescent="0.25"/>
  <cols>
    <col min="1" max="1" width="8.85546875" bestFit="1" customWidth="1"/>
    <col min="2" max="2" width="4.28515625" bestFit="1" customWidth="1"/>
    <col min="3" max="3" width="5.28515625" bestFit="1" customWidth="1"/>
    <col min="4" max="4" width="5.7109375" bestFit="1" customWidth="1"/>
    <col min="5" max="5" width="35.7109375" bestFit="1" customWidth="1"/>
    <col min="6" max="6" width="8.42578125" bestFit="1" customWidth="1"/>
    <col min="7" max="7" width="4.5703125" bestFit="1" customWidth="1"/>
    <col min="8" max="8" width="72.140625" bestFit="1" customWidth="1"/>
    <col min="9" max="9" width="66.28515625" bestFit="1" customWidth="1"/>
    <col min="10" max="10" width="6.5703125" bestFit="1" customWidth="1"/>
    <col min="11" max="11" width="77.42578125" bestFit="1" customWidth="1"/>
    <col min="12" max="13" width="255.7109375" bestFit="1" customWidth="1"/>
    <col min="14" max="14" width="37.140625" bestFit="1" customWidth="1"/>
    <col min="15" max="15" width="17" bestFit="1" customWidth="1"/>
    <col min="16" max="16" width="13.85546875" bestFit="1" customWidth="1"/>
    <col min="17" max="17" width="35.7109375" bestFit="1" customWidth="1"/>
    <col min="18" max="18" width="7.85546875" bestFit="1" customWidth="1"/>
    <col min="19" max="19" width="3.42578125" bestFit="1" customWidth="1"/>
    <col min="20" max="20" width="255.7109375" bestFit="1" customWidth="1"/>
    <col min="21" max="21" width="17.5703125" bestFit="1" customWidth="1"/>
    <col min="22" max="22" width="15.42578125" bestFit="1" customWidth="1"/>
    <col min="23" max="23" width="19.7109375" bestFit="1" customWidth="1"/>
    <col min="24" max="24" width="20.42578125" bestFit="1" customWidth="1"/>
    <col min="25" max="25" width="11.28515625" bestFit="1" customWidth="1"/>
    <col min="26" max="26" width="16.42578125" bestFit="1" customWidth="1"/>
    <col min="27" max="27" width="20.7109375" bestFit="1" customWidth="1"/>
    <col min="28" max="28" width="21.5703125" bestFit="1" customWidth="1"/>
    <col min="29" max="29" width="12.28515625" bestFit="1" customWidth="1"/>
    <col min="30" max="30" width="11.5703125" bestFit="1" customWidth="1"/>
    <col min="31" max="32" width="23.5703125" bestFit="1" customWidth="1"/>
    <col min="33" max="33" width="30.85546875" bestFit="1" customWidth="1"/>
    <col min="34" max="35" width="23.5703125" bestFit="1" customWidth="1"/>
    <col min="36" max="36" width="60.85546875" bestFit="1" customWidth="1"/>
    <col min="37" max="37" width="37.28515625" bestFit="1" customWidth="1"/>
    <col min="38" max="38" width="23.5703125" bestFit="1" customWidth="1"/>
    <col min="39" max="39" width="29" bestFit="1" customWidth="1"/>
    <col min="40" max="40" width="31.5703125" bestFit="1" customWidth="1"/>
    <col min="41" max="41" width="8" bestFit="1" customWidth="1"/>
    <col min="42" max="42" width="10.7109375" bestFit="1" customWidth="1"/>
    <col min="43" max="43" width="7.5703125" bestFit="1" customWidth="1"/>
    <col min="44" max="44" width="15.28515625" bestFit="1" customWidth="1"/>
    <col min="45" max="45" width="12.140625" bestFit="1" customWidth="1"/>
    <col min="46" max="46" width="15.28515625" bestFit="1" customWidth="1"/>
    <col min="47" max="47" width="11" bestFit="1" customWidth="1"/>
    <col min="48" max="48" width="16.5703125" bestFit="1" customWidth="1"/>
    <col min="49" max="49" width="7.140625" bestFit="1" customWidth="1"/>
    <col min="50" max="50" width="23" bestFit="1" customWidth="1"/>
    <col min="51" max="51" width="22" bestFit="1" customWidth="1"/>
    <col min="52" max="52" width="18.42578125" bestFit="1" customWidth="1"/>
    <col min="53" max="53" width="15.5703125" bestFit="1" customWidth="1"/>
    <col min="54" max="54" width="19.7109375" bestFit="1" customWidth="1"/>
    <col min="55" max="55" width="18.7109375" bestFit="1" customWidth="1"/>
    <col min="56" max="56" width="8" bestFit="1" customWidth="1"/>
    <col min="57" max="57" width="8.140625" bestFit="1" customWidth="1"/>
    <col min="58" max="58" width="10.28515625" bestFit="1" customWidth="1"/>
    <col min="59" max="59" width="12.28515625" bestFit="1" customWidth="1"/>
    <col min="60" max="60" width="10.42578125" bestFit="1" customWidth="1"/>
    <col min="61" max="61" width="15" bestFit="1" customWidth="1"/>
    <col min="62" max="62" width="14.7109375" bestFit="1" customWidth="1"/>
    <col min="63" max="63" width="11.5703125" bestFit="1" customWidth="1"/>
    <col min="64" max="64" width="22" bestFit="1" customWidth="1"/>
    <col min="65" max="65" width="9.5703125" bestFit="1" customWidth="1"/>
  </cols>
  <sheetData>
    <row r="1" spans="1:67" x14ac:dyDescent="0.25">
      <c r="A1" t="s">
        <v>214</v>
      </c>
      <c r="B1" t="s">
        <v>215</v>
      </c>
      <c r="C1" t="s">
        <v>216</v>
      </c>
      <c r="D1" t="s">
        <v>217</v>
      </c>
      <c r="E1" t="s">
        <v>218</v>
      </c>
      <c r="F1" t="s">
        <v>219</v>
      </c>
      <c r="G1" t="s">
        <v>220</v>
      </c>
      <c r="H1" t="s">
        <v>221</v>
      </c>
      <c r="I1" t="s">
        <v>222</v>
      </c>
      <c r="J1" t="s">
        <v>973</v>
      </c>
      <c r="K1" t="s">
        <v>974</v>
      </c>
      <c r="L1" t="s">
        <v>223</v>
      </c>
      <c r="M1" t="s">
        <v>224</v>
      </c>
      <c r="N1" t="s">
        <v>225</v>
      </c>
      <c r="O1" t="s">
        <v>226</v>
      </c>
      <c r="P1" t="s">
        <v>227</v>
      </c>
      <c r="Q1" t="s">
        <v>228</v>
      </c>
      <c r="R1" t="s">
        <v>229</v>
      </c>
      <c r="S1" t="s">
        <v>230</v>
      </c>
      <c r="T1" t="s">
        <v>231</v>
      </c>
      <c r="U1" t="s">
        <v>232</v>
      </c>
      <c r="V1" t="s">
        <v>233</v>
      </c>
      <c r="W1" t="s">
        <v>234</v>
      </c>
      <c r="X1" t="s">
        <v>235</v>
      </c>
      <c r="Y1" t="s">
        <v>236</v>
      </c>
      <c r="Z1" t="s">
        <v>237</v>
      </c>
      <c r="AA1" t="s">
        <v>238</v>
      </c>
      <c r="AB1" t="s">
        <v>239</v>
      </c>
      <c r="AC1" t="s">
        <v>240</v>
      </c>
      <c r="AD1" t="s">
        <v>241</v>
      </c>
      <c r="AE1" t="s">
        <v>242</v>
      </c>
      <c r="AF1" t="s">
        <v>243</v>
      </c>
      <c r="AG1" t="s">
        <v>244</v>
      </c>
      <c r="AH1" t="s">
        <v>245</v>
      </c>
      <c r="AI1" t="s">
        <v>246</v>
      </c>
      <c r="AJ1" t="s">
        <v>247</v>
      </c>
      <c r="AK1" t="s">
        <v>248</v>
      </c>
      <c r="AL1" t="s">
        <v>249</v>
      </c>
      <c r="AM1" t="s">
        <v>250</v>
      </c>
      <c r="AN1" t="s">
        <v>251</v>
      </c>
      <c r="AO1" t="s">
        <v>252</v>
      </c>
      <c r="AP1" t="s">
        <v>253</v>
      </c>
      <c r="AQ1" t="s">
        <v>254</v>
      </c>
      <c r="AR1" t="s">
        <v>255</v>
      </c>
      <c r="AS1" t="s">
        <v>256</v>
      </c>
      <c r="AT1" t="s">
        <v>257</v>
      </c>
      <c r="AU1" t="s">
        <v>258</v>
      </c>
      <c r="AV1" t="s">
        <v>259</v>
      </c>
      <c r="AW1" t="s">
        <v>260</v>
      </c>
      <c r="AX1" t="s">
        <v>261</v>
      </c>
      <c r="AY1" t="s">
        <v>262</v>
      </c>
      <c r="AZ1" t="s">
        <v>263</v>
      </c>
      <c r="BA1" t="s">
        <v>264</v>
      </c>
      <c r="BB1" t="s">
        <v>265</v>
      </c>
      <c r="BC1" t="s">
        <v>266</v>
      </c>
      <c r="BD1" t="s">
        <v>267</v>
      </c>
      <c r="BE1" t="s">
        <v>268</v>
      </c>
      <c r="BF1" t="s">
        <v>269</v>
      </c>
      <c r="BG1" t="s">
        <v>270</v>
      </c>
      <c r="BH1" t="s">
        <v>271</v>
      </c>
      <c r="BI1" t="s">
        <v>272</v>
      </c>
      <c r="BJ1" t="s">
        <v>273</v>
      </c>
      <c r="BK1" t="s">
        <v>274</v>
      </c>
      <c r="BL1" t="s">
        <v>275</v>
      </c>
      <c r="BM1" t="s">
        <v>276</v>
      </c>
      <c r="BN1" t="s">
        <v>277</v>
      </c>
      <c r="BO1" t="s">
        <v>278</v>
      </c>
    </row>
    <row r="2" spans="1:67" x14ac:dyDescent="0.25">
      <c r="A2">
        <v>46689</v>
      </c>
      <c r="C2">
        <v>0</v>
      </c>
      <c r="D2" t="s">
        <v>279</v>
      </c>
      <c r="E2" t="s">
        <v>280</v>
      </c>
      <c r="F2" t="s">
        <v>324</v>
      </c>
      <c r="G2">
        <v>0</v>
      </c>
      <c r="H2" t="s">
        <v>60</v>
      </c>
      <c r="I2" t="s">
        <v>61</v>
      </c>
      <c r="J2" t="s">
        <v>975</v>
      </c>
      <c r="K2" t="s">
        <v>976</v>
      </c>
      <c r="L2" t="s">
        <v>977</v>
      </c>
      <c r="M2" t="s">
        <v>300</v>
      </c>
      <c r="P2" t="s">
        <v>287</v>
      </c>
      <c r="R2" t="s">
        <v>289</v>
      </c>
      <c r="S2" t="s">
        <v>280</v>
      </c>
      <c r="V2" t="s">
        <v>290</v>
      </c>
      <c r="W2" t="s">
        <v>325</v>
      </c>
      <c r="X2">
        <v>0</v>
      </c>
      <c r="Y2">
        <v>0</v>
      </c>
      <c r="AB2">
        <v>0</v>
      </c>
      <c r="AC2">
        <v>0</v>
      </c>
      <c r="AG2" t="s">
        <v>978</v>
      </c>
      <c r="AH2" t="s">
        <v>979</v>
      </c>
      <c r="AI2" t="s">
        <v>292</v>
      </c>
      <c r="AL2" t="s">
        <v>293</v>
      </c>
      <c r="AM2" t="s">
        <v>980</v>
      </c>
      <c r="AN2" t="s">
        <v>981</v>
      </c>
      <c r="AO2" t="s">
        <v>982</v>
      </c>
      <c r="AQ2" t="b">
        <v>1</v>
      </c>
      <c r="AR2" t="s">
        <v>279</v>
      </c>
      <c r="AS2">
        <v>0</v>
      </c>
      <c r="AT2">
        <v>0</v>
      </c>
      <c r="AV2">
        <v>39</v>
      </c>
      <c r="AW2" t="s">
        <v>311</v>
      </c>
      <c r="AX2" t="s">
        <v>983</v>
      </c>
      <c r="AZ2" t="s">
        <v>605</v>
      </c>
      <c r="BA2" t="s">
        <v>326</v>
      </c>
      <c r="BB2" t="b">
        <v>0</v>
      </c>
      <c r="BC2" t="b">
        <v>0</v>
      </c>
      <c r="BD2" t="b">
        <v>0</v>
      </c>
      <c r="BE2" t="b">
        <v>0</v>
      </c>
      <c r="BF2" t="b">
        <v>0</v>
      </c>
      <c r="BG2" t="b">
        <v>0</v>
      </c>
      <c r="BH2" t="b">
        <v>0</v>
      </c>
      <c r="BI2" t="b">
        <v>0</v>
      </c>
      <c r="BJ2" t="b">
        <v>0</v>
      </c>
      <c r="BK2" t="b">
        <v>0</v>
      </c>
      <c r="BL2" t="b">
        <v>0</v>
      </c>
      <c r="BM2" t="b">
        <v>0</v>
      </c>
      <c r="BN2" t="b">
        <v>0</v>
      </c>
    </row>
    <row r="3" spans="1:67" x14ac:dyDescent="0.25">
      <c r="A3">
        <v>46689</v>
      </c>
      <c r="C3">
        <v>0</v>
      </c>
      <c r="D3" t="s">
        <v>279</v>
      </c>
      <c r="E3" t="s">
        <v>328</v>
      </c>
      <c r="F3" t="s">
        <v>324</v>
      </c>
      <c r="G3">
        <v>0</v>
      </c>
      <c r="H3" t="s">
        <v>60</v>
      </c>
      <c r="I3" t="s">
        <v>61</v>
      </c>
      <c r="J3" t="s">
        <v>975</v>
      </c>
      <c r="K3" t="s">
        <v>976</v>
      </c>
      <c r="L3" t="s">
        <v>984</v>
      </c>
      <c r="M3" t="s">
        <v>300</v>
      </c>
      <c r="P3" t="s">
        <v>330</v>
      </c>
      <c r="R3" t="s">
        <v>331</v>
      </c>
      <c r="S3" t="s">
        <v>328</v>
      </c>
      <c r="V3" t="s">
        <v>332</v>
      </c>
      <c r="W3" t="s">
        <v>325</v>
      </c>
      <c r="X3">
        <v>0</v>
      </c>
      <c r="Y3">
        <v>0</v>
      </c>
      <c r="AB3">
        <v>0</v>
      </c>
      <c r="AC3">
        <v>0</v>
      </c>
      <c r="AG3" t="s">
        <v>978</v>
      </c>
      <c r="AH3" t="s">
        <v>979</v>
      </c>
      <c r="AI3" t="s">
        <v>292</v>
      </c>
      <c r="AL3" t="s">
        <v>293</v>
      </c>
      <c r="AM3" t="s">
        <v>980</v>
      </c>
      <c r="AN3" t="s">
        <v>985</v>
      </c>
      <c r="AO3" t="s">
        <v>986</v>
      </c>
      <c r="AQ3" t="b">
        <v>1</v>
      </c>
      <c r="AR3" t="s">
        <v>279</v>
      </c>
      <c r="AS3">
        <v>0</v>
      </c>
      <c r="AT3">
        <v>0</v>
      </c>
      <c r="AV3">
        <v>39</v>
      </c>
      <c r="AW3" t="s">
        <v>311</v>
      </c>
      <c r="AX3" t="s">
        <v>983</v>
      </c>
      <c r="AZ3" t="s">
        <v>605</v>
      </c>
      <c r="BA3" t="s">
        <v>326</v>
      </c>
      <c r="BB3" t="b">
        <v>0</v>
      </c>
      <c r="BC3" t="b">
        <v>0</v>
      </c>
      <c r="BD3" t="b">
        <v>0</v>
      </c>
      <c r="BE3" t="b">
        <v>0</v>
      </c>
      <c r="BF3" t="b">
        <v>0</v>
      </c>
      <c r="BG3" t="b">
        <v>0</v>
      </c>
      <c r="BH3" t="b">
        <v>0</v>
      </c>
      <c r="BI3" t="b">
        <v>0</v>
      </c>
      <c r="BJ3" t="b">
        <v>0</v>
      </c>
      <c r="BK3" t="b">
        <v>0</v>
      </c>
      <c r="BL3" t="b">
        <v>0</v>
      </c>
      <c r="BM3" t="b">
        <v>0</v>
      </c>
      <c r="BN3" t="b">
        <v>0</v>
      </c>
    </row>
    <row r="4" spans="1:67" x14ac:dyDescent="0.25">
      <c r="A4">
        <v>46689</v>
      </c>
      <c r="C4">
        <v>0</v>
      </c>
      <c r="D4" t="s">
        <v>279</v>
      </c>
      <c r="E4" t="s">
        <v>280</v>
      </c>
      <c r="F4" t="s">
        <v>324</v>
      </c>
      <c r="G4">
        <v>0</v>
      </c>
      <c r="H4" t="s">
        <v>60</v>
      </c>
      <c r="I4" t="s">
        <v>61</v>
      </c>
      <c r="J4" t="s">
        <v>987</v>
      </c>
      <c r="K4" t="s">
        <v>988</v>
      </c>
      <c r="L4" t="s">
        <v>989</v>
      </c>
      <c r="M4" t="s">
        <v>300</v>
      </c>
      <c r="P4" t="s">
        <v>287</v>
      </c>
      <c r="R4" t="s">
        <v>289</v>
      </c>
      <c r="S4" t="s">
        <v>280</v>
      </c>
      <c r="V4" t="s">
        <v>290</v>
      </c>
      <c r="W4" t="s">
        <v>325</v>
      </c>
      <c r="X4">
        <v>0</v>
      </c>
      <c r="Y4">
        <v>0</v>
      </c>
      <c r="AB4">
        <v>0</v>
      </c>
      <c r="AC4">
        <v>0</v>
      </c>
      <c r="AG4" t="s">
        <v>978</v>
      </c>
      <c r="AH4" t="s">
        <v>979</v>
      </c>
      <c r="AI4" t="s">
        <v>292</v>
      </c>
      <c r="AL4" t="s">
        <v>293</v>
      </c>
      <c r="AM4" t="s">
        <v>980</v>
      </c>
      <c r="AN4" t="s">
        <v>981</v>
      </c>
      <c r="AO4" t="s">
        <v>982</v>
      </c>
      <c r="AQ4" t="b">
        <v>1</v>
      </c>
      <c r="AR4" t="s">
        <v>279</v>
      </c>
      <c r="AS4">
        <v>0</v>
      </c>
      <c r="AT4">
        <v>0</v>
      </c>
      <c r="AV4">
        <v>39</v>
      </c>
      <c r="AW4" t="s">
        <v>311</v>
      </c>
      <c r="AX4" t="s">
        <v>983</v>
      </c>
      <c r="AZ4" t="s">
        <v>605</v>
      </c>
      <c r="BA4" t="s">
        <v>326</v>
      </c>
      <c r="BB4" t="b">
        <v>0</v>
      </c>
      <c r="BC4" t="b">
        <v>0</v>
      </c>
      <c r="BD4" t="b">
        <v>0</v>
      </c>
      <c r="BE4" t="b">
        <v>0</v>
      </c>
      <c r="BF4" t="b">
        <v>0</v>
      </c>
      <c r="BG4" t="b">
        <v>0</v>
      </c>
      <c r="BH4" t="b">
        <v>0</v>
      </c>
      <c r="BI4" t="b">
        <v>0</v>
      </c>
      <c r="BJ4" t="b">
        <v>0</v>
      </c>
      <c r="BK4" t="b">
        <v>0</v>
      </c>
      <c r="BL4" t="b">
        <v>0</v>
      </c>
      <c r="BM4" t="b">
        <v>0</v>
      </c>
      <c r="BN4" t="b">
        <v>0</v>
      </c>
    </row>
    <row r="5" spans="1:67" x14ac:dyDescent="0.25">
      <c r="A5">
        <v>46689</v>
      </c>
      <c r="C5">
        <v>0</v>
      </c>
      <c r="D5" t="s">
        <v>327</v>
      </c>
      <c r="E5" t="s">
        <v>328</v>
      </c>
      <c r="F5" t="s">
        <v>324</v>
      </c>
      <c r="G5">
        <v>0</v>
      </c>
      <c r="H5" t="s">
        <v>60</v>
      </c>
      <c r="I5" t="s">
        <v>61</v>
      </c>
      <c r="J5" t="s">
        <v>987</v>
      </c>
      <c r="K5" t="s">
        <v>988</v>
      </c>
      <c r="L5" t="s">
        <v>990</v>
      </c>
      <c r="M5" t="s">
        <v>300</v>
      </c>
      <c r="P5" t="s">
        <v>330</v>
      </c>
      <c r="R5" t="s">
        <v>331</v>
      </c>
      <c r="S5" t="s">
        <v>328</v>
      </c>
      <c r="V5" t="s">
        <v>332</v>
      </c>
      <c r="W5" t="s">
        <v>325</v>
      </c>
      <c r="X5">
        <v>0</v>
      </c>
      <c r="Y5">
        <v>0</v>
      </c>
      <c r="AB5">
        <v>0</v>
      </c>
      <c r="AC5">
        <v>0</v>
      </c>
      <c r="AG5" t="s">
        <v>978</v>
      </c>
      <c r="AH5" t="s">
        <v>979</v>
      </c>
      <c r="AI5" t="s">
        <v>292</v>
      </c>
      <c r="AL5" t="s">
        <v>293</v>
      </c>
      <c r="AM5" t="s">
        <v>980</v>
      </c>
      <c r="AN5" t="s">
        <v>991</v>
      </c>
      <c r="AO5" t="s">
        <v>986</v>
      </c>
      <c r="AQ5" t="b">
        <v>1</v>
      </c>
      <c r="AR5" t="s">
        <v>279</v>
      </c>
      <c r="AS5">
        <v>0</v>
      </c>
      <c r="AT5">
        <v>0</v>
      </c>
      <c r="AV5">
        <v>39</v>
      </c>
      <c r="AW5" t="s">
        <v>311</v>
      </c>
      <c r="AX5" t="s">
        <v>983</v>
      </c>
      <c r="AZ5" t="s">
        <v>605</v>
      </c>
      <c r="BA5" t="s">
        <v>326</v>
      </c>
      <c r="BB5" t="b">
        <v>0</v>
      </c>
      <c r="BC5" t="b">
        <v>0</v>
      </c>
      <c r="BD5" t="b">
        <v>0</v>
      </c>
      <c r="BE5" t="b">
        <v>0</v>
      </c>
      <c r="BF5" t="b">
        <v>0</v>
      </c>
      <c r="BG5" t="b">
        <v>0</v>
      </c>
      <c r="BH5" t="b">
        <v>0</v>
      </c>
      <c r="BI5" t="b">
        <v>0</v>
      </c>
      <c r="BJ5" t="b">
        <v>0</v>
      </c>
      <c r="BK5" t="b">
        <v>0</v>
      </c>
      <c r="BL5" t="b">
        <v>0</v>
      </c>
      <c r="BM5" t="b">
        <v>0</v>
      </c>
      <c r="BN5" t="b">
        <v>0</v>
      </c>
    </row>
    <row r="6" spans="1:67" x14ac:dyDescent="0.25">
      <c r="A6">
        <v>46689</v>
      </c>
      <c r="C6">
        <v>0</v>
      </c>
      <c r="D6" t="s">
        <v>279</v>
      </c>
      <c r="E6" t="s">
        <v>280</v>
      </c>
      <c r="F6" t="s">
        <v>324</v>
      </c>
      <c r="G6">
        <v>0</v>
      </c>
      <c r="H6" t="s">
        <v>60</v>
      </c>
      <c r="I6" t="s">
        <v>61</v>
      </c>
      <c r="J6" t="s">
        <v>992</v>
      </c>
      <c r="K6" t="s">
        <v>993</v>
      </c>
      <c r="L6" t="s">
        <v>994</v>
      </c>
      <c r="M6" t="s">
        <v>300</v>
      </c>
      <c r="P6" t="s">
        <v>287</v>
      </c>
      <c r="R6" t="s">
        <v>289</v>
      </c>
      <c r="S6" t="s">
        <v>280</v>
      </c>
      <c r="V6" t="s">
        <v>290</v>
      </c>
      <c r="W6" t="s">
        <v>325</v>
      </c>
      <c r="X6">
        <v>0</v>
      </c>
      <c r="Y6">
        <v>0</v>
      </c>
      <c r="AB6">
        <v>0</v>
      </c>
      <c r="AC6">
        <v>0</v>
      </c>
      <c r="AG6" t="s">
        <v>978</v>
      </c>
      <c r="AH6" t="s">
        <v>979</v>
      </c>
      <c r="AI6" t="s">
        <v>292</v>
      </c>
      <c r="AL6" t="s">
        <v>293</v>
      </c>
      <c r="AM6" t="s">
        <v>980</v>
      </c>
      <c r="AN6" t="s">
        <v>981</v>
      </c>
      <c r="AO6" t="s">
        <v>982</v>
      </c>
      <c r="AQ6" t="b">
        <v>1</v>
      </c>
      <c r="AR6" t="s">
        <v>279</v>
      </c>
      <c r="AS6">
        <v>0</v>
      </c>
      <c r="AT6">
        <v>0</v>
      </c>
      <c r="AV6">
        <v>39</v>
      </c>
      <c r="AW6" t="s">
        <v>311</v>
      </c>
      <c r="AX6" t="s">
        <v>983</v>
      </c>
      <c r="AZ6" t="s">
        <v>605</v>
      </c>
      <c r="BA6" t="s">
        <v>326</v>
      </c>
      <c r="BB6" t="b">
        <v>0</v>
      </c>
      <c r="BC6" t="b">
        <v>0</v>
      </c>
      <c r="BD6" t="b">
        <v>0</v>
      </c>
      <c r="BE6" t="b">
        <v>0</v>
      </c>
      <c r="BF6" t="b">
        <v>0</v>
      </c>
      <c r="BG6" t="b">
        <v>0</v>
      </c>
      <c r="BH6" t="b">
        <v>0</v>
      </c>
      <c r="BI6" t="b">
        <v>0</v>
      </c>
      <c r="BJ6" t="b">
        <v>0</v>
      </c>
      <c r="BK6" t="b">
        <v>0</v>
      </c>
      <c r="BL6" t="b">
        <v>0</v>
      </c>
      <c r="BM6" t="b">
        <v>0</v>
      </c>
      <c r="BN6" t="b">
        <v>0</v>
      </c>
    </row>
    <row r="7" spans="1:67" x14ac:dyDescent="0.25">
      <c r="A7">
        <v>46689</v>
      </c>
      <c r="C7">
        <v>0</v>
      </c>
      <c r="D7" t="s">
        <v>279</v>
      </c>
      <c r="E7" t="s">
        <v>328</v>
      </c>
      <c r="F7" t="s">
        <v>324</v>
      </c>
      <c r="G7">
        <v>0</v>
      </c>
      <c r="H7" t="s">
        <v>60</v>
      </c>
      <c r="I7" t="s">
        <v>61</v>
      </c>
      <c r="J7" t="s">
        <v>992</v>
      </c>
      <c r="K7" t="s">
        <v>993</v>
      </c>
      <c r="L7" t="s">
        <v>994</v>
      </c>
      <c r="M7" t="s">
        <v>300</v>
      </c>
      <c r="P7" t="s">
        <v>330</v>
      </c>
      <c r="R7" t="s">
        <v>331</v>
      </c>
      <c r="S7" t="s">
        <v>328</v>
      </c>
      <c r="V7" t="s">
        <v>332</v>
      </c>
      <c r="W7" t="s">
        <v>325</v>
      </c>
      <c r="X7">
        <v>0</v>
      </c>
      <c r="Y7">
        <v>0</v>
      </c>
      <c r="AB7">
        <v>0</v>
      </c>
      <c r="AC7">
        <v>0</v>
      </c>
      <c r="AG7" t="s">
        <v>978</v>
      </c>
      <c r="AH7" t="s">
        <v>979</v>
      </c>
      <c r="AI7" t="s">
        <v>292</v>
      </c>
      <c r="AL7" t="s">
        <v>293</v>
      </c>
      <c r="AM7" t="s">
        <v>980</v>
      </c>
      <c r="AN7" t="s">
        <v>995</v>
      </c>
      <c r="AO7" t="s">
        <v>986</v>
      </c>
      <c r="AQ7" t="b">
        <v>1</v>
      </c>
      <c r="AR7" t="s">
        <v>279</v>
      </c>
      <c r="AS7">
        <v>0</v>
      </c>
      <c r="AT7">
        <v>0</v>
      </c>
      <c r="AV7">
        <v>39</v>
      </c>
      <c r="AW7" t="s">
        <v>311</v>
      </c>
      <c r="AX7" t="s">
        <v>983</v>
      </c>
      <c r="AZ7" t="s">
        <v>605</v>
      </c>
      <c r="BA7" t="s">
        <v>326</v>
      </c>
      <c r="BB7" t="b">
        <v>0</v>
      </c>
      <c r="BC7" t="b">
        <v>0</v>
      </c>
      <c r="BD7" t="b">
        <v>0</v>
      </c>
      <c r="BE7" t="b">
        <v>0</v>
      </c>
      <c r="BF7" t="b">
        <v>0</v>
      </c>
      <c r="BG7" t="b">
        <v>0</v>
      </c>
      <c r="BH7" t="b">
        <v>0</v>
      </c>
      <c r="BI7" t="b">
        <v>0</v>
      </c>
      <c r="BJ7" t="b">
        <v>0</v>
      </c>
      <c r="BK7" t="b">
        <v>0</v>
      </c>
      <c r="BL7" t="b">
        <v>0</v>
      </c>
      <c r="BM7" t="b">
        <v>0</v>
      </c>
      <c r="BN7" t="b">
        <v>0</v>
      </c>
    </row>
    <row r="8" spans="1:67" x14ac:dyDescent="0.25">
      <c r="A8">
        <v>46689</v>
      </c>
      <c r="C8">
        <v>0</v>
      </c>
      <c r="D8" t="s">
        <v>279</v>
      </c>
      <c r="E8" t="s">
        <v>280</v>
      </c>
      <c r="F8" t="s">
        <v>324</v>
      </c>
      <c r="G8">
        <v>0</v>
      </c>
      <c r="H8" t="s">
        <v>60</v>
      </c>
      <c r="I8" t="s">
        <v>61</v>
      </c>
      <c r="J8" t="s">
        <v>996</v>
      </c>
      <c r="K8" t="s">
        <v>997</v>
      </c>
      <c r="L8" t="s">
        <v>998</v>
      </c>
      <c r="M8" t="s">
        <v>300</v>
      </c>
      <c r="P8" t="s">
        <v>287</v>
      </c>
      <c r="R8" t="s">
        <v>289</v>
      </c>
      <c r="S8" t="s">
        <v>280</v>
      </c>
      <c r="V8" t="s">
        <v>290</v>
      </c>
      <c r="W8" t="s">
        <v>325</v>
      </c>
      <c r="X8">
        <v>0</v>
      </c>
      <c r="Y8">
        <v>0</v>
      </c>
      <c r="AB8">
        <v>0</v>
      </c>
      <c r="AC8">
        <v>0</v>
      </c>
      <c r="AG8" t="s">
        <v>978</v>
      </c>
      <c r="AH8" t="s">
        <v>979</v>
      </c>
      <c r="AI8" t="s">
        <v>292</v>
      </c>
      <c r="AL8" t="s">
        <v>293</v>
      </c>
      <c r="AM8" t="s">
        <v>980</v>
      </c>
      <c r="AN8" t="s">
        <v>999</v>
      </c>
      <c r="AO8" t="s">
        <v>982</v>
      </c>
      <c r="AQ8" t="b">
        <v>1</v>
      </c>
      <c r="AR8" t="s">
        <v>279</v>
      </c>
      <c r="AS8">
        <v>0</v>
      </c>
      <c r="AT8">
        <v>0</v>
      </c>
      <c r="AV8">
        <v>39</v>
      </c>
      <c r="AW8" t="s">
        <v>311</v>
      </c>
      <c r="AX8" t="s">
        <v>983</v>
      </c>
      <c r="AZ8" t="s">
        <v>605</v>
      </c>
      <c r="BA8" t="s">
        <v>326</v>
      </c>
      <c r="BB8" t="b">
        <v>0</v>
      </c>
      <c r="BC8" t="b">
        <v>0</v>
      </c>
      <c r="BD8" t="b">
        <v>0</v>
      </c>
      <c r="BE8" t="b">
        <v>0</v>
      </c>
      <c r="BF8" t="b">
        <v>0</v>
      </c>
      <c r="BG8" t="b">
        <v>0</v>
      </c>
      <c r="BH8" t="b">
        <v>0</v>
      </c>
      <c r="BI8" t="b">
        <v>0</v>
      </c>
      <c r="BJ8" t="b">
        <v>0</v>
      </c>
      <c r="BK8" t="b">
        <v>0</v>
      </c>
      <c r="BL8" t="b">
        <v>0</v>
      </c>
      <c r="BM8" t="b">
        <v>0</v>
      </c>
      <c r="BN8" t="b">
        <v>0</v>
      </c>
    </row>
    <row r="9" spans="1:67" x14ac:dyDescent="0.25">
      <c r="A9">
        <v>46689</v>
      </c>
      <c r="C9">
        <v>0</v>
      </c>
      <c r="D9" t="s">
        <v>279</v>
      </c>
      <c r="E9" t="s">
        <v>328</v>
      </c>
      <c r="F9" t="s">
        <v>324</v>
      </c>
      <c r="G9">
        <v>0</v>
      </c>
      <c r="H9" t="s">
        <v>60</v>
      </c>
      <c r="I9" t="s">
        <v>61</v>
      </c>
      <c r="J9" t="s">
        <v>996</v>
      </c>
      <c r="K9" t="s">
        <v>997</v>
      </c>
      <c r="L9" t="s">
        <v>1000</v>
      </c>
      <c r="M9" t="s">
        <v>300</v>
      </c>
      <c r="P9" t="s">
        <v>330</v>
      </c>
      <c r="R9" t="s">
        <v>331</v>
      </c>
      <c r="S9" t="s">
        <v>328</v>
      </c>
      <c r="V9" t="s">
        <v>332</v>
      </c>
      <c r="W9" t="s">
        <v>325</v>
      </c>
      <c r="X9">
        <v>0</v>
      </c>
      <c r="Y9">
        <v>0</v>
      </c>
      <c r="AB9">
        <v>0</v>
      </c>
      <c r="AC9">
        <v>0</v>
      </c>
      <c r="AG9" t="s">
        <v>978</v>
      </c>
      <c r="AH9" t="s">
        <v>979</v>
      </c>
      <c r="AI9" t="s">
        <v>292</v>
      </c>
      <c r="AL9" t="s">
        <v>293</v>
      </c>
      <c r="AM9" t="s">
        <v>980</v>
      </c>
      <c r="AN9" t="s">
        <v>985</v>
      </c>
      <c r="AO9" t="s">
        <v>986</v>
      </c>
      <c r="AQ9" t="b">
        <v>1</v>
      </c>
      <c r="AR9" t="s">
        <v>279</v>
      </c>
      <c r="AS9">
        <v>0</v>
      </c>
      <c r="AT9">
        <v>0</v>
      </c>
      <c r="AV9">
        <v>39</v>
      </c>
      <c r="AW9" t="s">
        <v>311</v>
      </c>
      <c r="AX9" t="s">
        <v>983</v>
      </c>
      <c r="AZ9" t="s">
        <v>605</v>
      </c>
      <c r="BA9" t="s">
        <v>326</v>
      </c>
      <c r="BB9" t="b">
        <v>0</v>
      </c>
      <c r="BC9" t="b">
        <v>0</v>
      </c>
      <c r="BD9" t="b">
        <v>0</v>
      </c>
      <c r="BE9" t="b">
        <v>0</v>
      </c>
      <c r="BF9" t="b">
        <v>0</v>
      </c>
      <c r="BG9" t="b">
        <v>0</v>
      </c>
      <c r="BH9" t="b">
        <v>0</v>
      </c>
      <c r="BI9" t="b">
        <v>0</v>
      </c>
      <c r="BJ9" t="b">
        <v>0</v>
      </c>
      <c r="BK9" t="b">
        <v>0</v>
      </c>
      <c r="BL9" t="b">
        <v>0</v>
      </c>
      <c r="BM9" t="b">
        <v>0</v>
      </c>
      <c r="BN9" t="b">
        <v>0</v>
      </c>
    </row>
    <row r="10" spans="1:67" x14ac:dyDescent="0.25">
      <c r="A10">
        <v>46689</v>
      </c>
      <c r="C10">
        <v>0</v>
      </c>
      <c r="D10" t="s">
        <v>279</v>
      </c>
      <c r="E10" t="s">
        <v>280</v>
      </c>
      <c r="F10" t="s">
        <v>324</v>
      </c>
      <c r="G10">
        <v>0</v>
      </c>
      <c r="H10" t="s">
        <v>60</v>
      </c>
      <c r="I10" t="s">
        <v>61</v>
      </c>
      <c r="J10" t="s">
        <v>1001</v>
      </c>
      <c r="K10" t="s">
        <v>1002</v>
      </c>
      <c r="L10" t="s">
        <v>607</v>
      </c>
      <c r="M10" t="s">
        <v>300</v>
      </c>
      <c r="P10" t="s">
        <v>287</v>
      </c>
      <c r="R10" t="s">
        <v>289</v>
      </c>
      <c r="S10" t="s">
        <v>280</v>
      </c>
      <c r="V10" t="s">
        <v>290</v>
      </c>
      <c r="W10" t="s">
        <v>325</v>
      </c>
      <c r="X10">
        <v>0</v>
      </c>
      <c r="Y10">
        <v>0</v>
      </c>
      <c r="AB10">
        <v>0</v>
      </c>
      <c r="AC10">
        <v>0</v>
      </c>
      <c r="AG10" t="s">
        <v>978</v>
      </c>
      <c r="AH10" t="s">
        <v>979</v>
      </c>
      <c r="AI10" t="s">
        <v>292</v>
      </c>
      <c r="AL10" t="s">
        <v>293</v>
      </c>
      <c r="AM10" t="s">
        <v>980</v>
      </c>
      <c r="AN10" t="s">
        <v>1003</v>
      </c>
      <c r="AO10" t="s">
        <v>982</v>
      </c>
      <c r="AQ10" t="b">
        <v>1</v>
      </c>
      <c r="AR10" t="s">
        <v>279</v>
      </c>
      <c r="AS10">
        <v>0</v>
      </c>
      <c r="AT10">
        <v>0</v>
      </c>
      <c r="AV10">
        <v>39</v>
      </c>
      <c r="AW10" t="s">
        <v>311</v>
      </c>
      <c r="AX10" t="s">
        <v>983</v>
      </c>
      <c r="AZ10" t="s">
        <v>605</v>
      </c>
      <c r="BA10" t="s">
        <v>326</v>
      </c>
      <c r="BB10" t="b">
        <v>0</v>
      </c>
      <c r="BC10" t="b">
        <v>0</v>
      </c>
      <c r="BD10" t="b">
        <v>0</v>
      </c>
      <c r="BE10" t="b">
        <v>0</v>
      </c>
      <c r="BF10" t="b">
        <v>0</v>
      </c>
      <c r="BG10" t="b">
        <v>0</v>
      </c>
      <c r="BH10" t="b">
        <v>0</v>
      </c>
      <c r="BI10" t="b">
        <v>0</v>
      </c>
      <c r="BJ10" t="b">
        <v>0</v>
      </c>
      <c r="BK10" t="b">
        <v>0</v>
      </c>
      <c r="BL10" t="b">
        <v>0</v>
      </c>
      <c r="BM10" t="b">
        <v>0</v>
      </c>
      <c r="BN10" t="b">
        <v>0</v>
      </c>
    </row>
    <row r="11" spans="1:67" x14ac:dyDescent="0.25">
      <c r="A11">
        <v>46689</v>
      </c>
      <c r="C11">
        <v>0</v>
      </c>
      <c r="D11" t="s">
        <v>279</v>
      </c>
      <c r="E11" t="s">
        <v>328</v>
      </c>
      <c r="F11" t="s">
        <v>324</v>
      </c>
      <c r="G11">
        <v>0</v>
      </c>
      <c r="H11" t="s">
        <v>60</v>
      </c>
      <c r="I11" t="s">
        <v>61</v>
      </c>
      <c r="J11" t="s">
        <v>1001</v>
      </c>
      <c r="K11" t="s">
        <v>1002</v>
      </c>
      <c r="L11" t="s">
        <v>612</v>
      </c>
      <c r="M11" t="s">
        <v>300</v>
      </c>
      <c r="P11" t="s">
        <v>330</v>
      </c>
      <c r="R11" t="s">
        <v>331</v>
      </c>
      <c r="S11" t="s">
        <v>328</v>
      </c>
      <c r="V11" t="s">
        <v>332</v>
      </c>
      <c r="W11" t="s">
        <v>325</v>
      </c>
      <c r="X11">
        <v>0</v>
      </c>
      <c r="Y11">
        <v>0</v>
      </c>
      <c r="AB11">
        <v>0</v>
      </c>
      <c r="AC11">
        <v>0</v>
      </c>
      <c r="AG11" t="s">
        <v>978</v>
      </c>
      <c r="AH11" t="s">
        <v>979</v>
      </c>
      <c r="AI11" t="s">
        <v>292</v>
      </c>
      <c r="AL11" t="s">
        <v>293</v>
      </c>
      <c r="AM11" t="s">
        <v>980</v>
      </c>
      <c r="AN11" t="s">
        <v>1004</v>
      </c>
      <c r="AO11" t="s">
        <v>986</v>
      </c>
      <c r="AQ11" t="b">
        <v>1</v>
      </c>
      <c r="AR11" t="s">
        <v>279</v>
      </c>
      <c r="AS11">
        <v>0</v>
      </c>
      <c r="AT11">
        <v>0</v>
      </c>
      <c r="AV11">
        <v>39</v>
      </c>
      <c r="AW11" t="s">
        <v>311</v>
      </c>
      <c r="AX11" t="s">
        <v>983</v>
      </c>
      <c r="AZ11" t="s">
        <v>605</v>
      </c>
      <c r="BA11" t="s">
        <v>326</v>
      </c>
      <c r="BB11" t="b">
        <v>0</v>
      </c>
      <c r="BC11" t="b">
        <v>0</v>
      </c>
      <c r="BD11" t="b">
        <v>0</v>
      </c>
      <c r="BE11" t="b">
        <v>0</v>
      </c>
      <c r="BF11" t="b">
        <v>0</v>
      </c>
      <c r="BG11" t="b">
        <v>0</v>
      </c>
      <c r="BH11" t="b">
        <v>0</v>
      </c>
      <c r="BI11" t="b">
        <v>0</v>
      </c>
      <c r="BJ11" t="b">
        <v>0</v>
      </c>
      <c r="BK11" t="b">
        <v>0</v>
      </c>
      <c r="BL11" t="b">
        <v>0</v>
      </c>
      <c r="BM11" t="b">
        <v>0</v>
      </c>
      <c r="BN11" t="b">
        <v>0</v>
      </c>
    </row>
    <row r="12" spans="1:67" x14ac:dyDescent="0.25">
      <c r="A12">
        <v>46689</v>
      </c>
      <c r="C12">
        <v>0</v>
      </c>
      <c r="D12" t="s">
        <v>279</v>
      </c>
      <c r="E12" t="s">
        <v>280</v>
      </c>
      <c r="F12" t="s">
        <v>324</v>
      </c>
      <c r="G12">
        <v>0</v>
      </c>
      <c r="H12" t="s">
        <v>60</v>
      </c>
      <c r="I12" t="s">
        <v>61</v>
      </c>
      <c r="J12" t="s">
        <v>1005</v>
      </c>
      <c r="K12" t="s">
        <v>1006</v>
      </c>
      <c r="L12" t="s">
        <v>606</v>
      </c>
      <c r="M12" t="s">
        <v>300</v>
      </c>
      <c r="P12" t="s">
        <v>287</v>
      </c>
      <c r="R12" t="s">
        <v>289</v>
      </c>
      <c r="S12" t="s">
        <v>280</v>
      </c>
      <c r="V12" t="s">
        <v>290</v>
      </c>
      <c r="W12" t="s">
        <v>325</v>
      </c>
      <c r="X12">
        <v>0</v>
      </c>
      <c r="Y12">
        <v>0</v>
      </c>
      <c r="AB12">
        <v>0</v>
      </c>
      <c r="AC12">
        <v>0</v>
      </c>
      <c r="AG12" t="s">
        <v>978</v>
      </c>
      <c r="AH12" t="s">
        <v>979</v>
      </c>
      <c r="AI12" t="s">
        <v>292</v>
      </c>
      <c r="AL12" t="s">
        <v>293</v>
      </c>
      <c r="AM12" t="s">
        <v>980</v>
      </c>
      <c r="AN12" t="s">
        <v>1007</v>
      </c>
      <c r="AO12" t="s">
        <v>982</v>
      </c>
      <c r="AQ12" t="b">
        <v>1</v>
      </c>
      <c r="AR12" t="s">
        <v>279</v>
      </c>
      <c r="AS12">
        <v>0</v>
      </c>
      <c r="AT12">
        <v>0</v>
      </c>
      <c r="AV12">
        <v>39</v>
      </c>
      <c r="AW12" t="s">
        <v>311</v>
      </c>
      <c r="AX12" t="s">
        <v>983</v>
      </c>
      <c r="AZ12" t="s">
        <v>605</v>
      </c>
      <c r="BA12" t="s">
        <v>326</v>
      </c>
      <c r="BB12" t="b">
        <v>0</v>
      </c>
      <c r="BC12" t="b">
        <v>0</v>
      </c>
      <c r="BD12" t="b">
        <v>0</v>
      </c>
      <c r="BE12" t="b">
        <v>0</v>
      </c>
      <c r="BF12" t="b">
        <v>0</v>
      </c>
      <c r="BG12" t="b">
        <v>0</v>
      </c>
      <c r="BH12" t="b">
        <v>0</v>
      </c>
      <c r="BI12" t="b">
        <v>0</v>
      </c>
      <c r="BJ12" t="b">
        <v>0</v>
      </c>
      <c r="BK12" t="b">
        <v>0</v>
      </c>
      <c r="BL12" t="b">
        <v>0</v>
      </c>
      <c r="BM12" t="b">
        <v>0</v>
      </c>
      <c r="BN12" t="b">
        <v>0</v>
      </c>
    </row>
    <row r="13" spans="1:67" x14ac:dyDescent="0.25">
      <c r="A13">
        <v>46689</v>
      </c>
      <c r="C13">
        <v>0</v>
      </c>
      <c r="D13" t="s">
        <v>279</v>
      </c>
      <c r="E13" t="s">
        <v>328</v>
      </c>
      <c r="F13" t="s">
        <v>324</v>
      </c>
      <c r="G13">
        <v>0</v>
      </c>
      <c r="H13" t="s">
        <v>60</v>
      </c>
      <c r="I13" t="s">
        <v>61</v>
      </c>
      <c r="J13" t="s">
        <v>1005</v>
      </c>
      <c r="K13" t="s">
        <v>1006</v>
      </c>
      <c r="L13" t="s">
        <v>610</v>
      </c>
      <c r="M13" t="s">
        <v>300</v>
      </c>
      <c r="P13" t="s">
        <v>330</v>
      </c>
      <c r="R13" t="s">
        <v>331</v>
      </c>
      <c r="S13" t="s">
        <v>328</v>
      </c>
      <c r="V13" t="s">
        <v>332</v>
      </c>
      <c r="W13" t="s">
        <v>325</v>
      </c>
      <c r="X13">
        <v>0</v>
      </c>
      <c r="Y13">
        <v>0</v>
      </c>
      <c r="AB13">
        <v>0</v>
      </c>
      <c r="AC13">
        <v>0</v>
      </c>
      <c r="AG13" t="s">
        <v>978</v>
      </c>
      <c r="AH13" t="s">
        <v>979</v>
      </c>
      <c r="AI13" t="s">
        <v>292</v>
      </c>
      <c r="AL13" t="s">
        <v>293</v>
      </c>
      <c r="AM13" t="s">
        <v>980</v>
      </c>
      <c r="AN13" t="s">
        <v>1008</v>
      </c>
      <c r="AO13" t="s">
        <v>986</v>
      </c>
      <c r="AQ13" t="b">
        <v>1</v>
      </c>
      <c r="AR13" t="s">
        <v>279</v>
      </c>
      <c r="AS13">
        <v>0</v>
      </c>
      <c r="AT13">
        <v>0</v>
      </c>
      <c r="AV13">
        <v>39</v>
      </c>
      <c r="AW13" t="s">
        <v>311</v>
      </c>
      <c r="AX13" t="s">
        <v>983</v>
      </c>
      <c r="AZ13" t="s">
        <v>605</v>
      </c>
      <c r="BA13" t="s">
        <v>326</v>
      </c>
      <c r="BB13" t="b">
        <v>0</v>
      </c>
      <c r="BC13" t="b">
        <v>0</v>
      </c>
      <c r="BD13" t="b">
        <v>0</v>
      </c>
      <c r="BE13" t="b">
        <v>0</v>
      </c>
      <c r="BF13" t="b">
        <v>0</v>
      </c>
      <c r="BG13" t="b">
        <v>0</v>
      </c>
      <c r="BH13" t="b">
        <v>0</v>
      </c>
      <c r="BI13" t="b">
        <v>0</v>
      </c>
      <c r="BJ13" t="b">
        <v>0</v>
      </c>
      <c r="BK13" t="b">
        <v>0</v>
      </c>
      <c r="BL13" t="b">
        <v>0</v>
      </c>
      <c r="BM13" t="b">
        <v>0</v>
      </c>
      <c r="BN13" t="b">
        <v>0</v>
      </c>
    </row>
    <row r="14" spans="1:67" x14ac:dyDescent="0.25">
      <c r="A14">
        <v>46689</v>
      </c>
      <c r="C14">
        <v>0</v>
      </c>
      <c r="D14" t="s">
        <v>279</v>
      </c>
      <c r="E14" t="s">
        <v>280</v>
      </c>
      <c r="F14" t="s">
        <v>324</v>
      </c>
      <c r="G14">
        <v>0</v>
      </c>
      <c r="H14" t="s">
        <v>60</v>
      </c>
      <c r="I14" t="s">
        <v>61</v>
      </c>
      <c r="J14" t="s">
        <v>1009</v>
      </c>
      <c r="K14" t="s">
        <v>1010</v>
      </c>
      <c r="L14" t="s">
        <v>608</v>
      </c>
      <c r="M14" t="s">
        <v>300</v>
      </c>
      <c r="P14" t="s">
        <v>287</v>
      </c>
      <c r="R14" t="s">
        <v>289</v>
      </c>
      <c r="S14" t="s">
        <v>280</v>
      </c>
      <c r="V14" t="s">
        <v>290</v>
      </c>
      <c r="W14" t="s">
        <v>325</v>
      </c>
      <c r="X14">
        <v>0</v>
      </c>
      <c r="Y14">
        <v>0</v>
      </c>
      <c r="AB14">
        <v>0</v>
      </c>
      <c r="AC14">
        <v>0</v>
      </c>
      <c r="AG14" t="s">
        <v>978</v>
      </c>
      <c r="AH14" t="s">
        <v>979</v>
      </c>
      <c r="AI14" t="s">
        <v>292</v>
      </c>
      <c r="AL14" t="s">
        <v>293</v>
      </c>
      <c r="AM14" t="s">
        <v>980</v>
      </c>
      <c r="AN14" t="s">
        <v>1007</v>
      </c>
      <c r="AO14" t="s">
        <v>982</v>
      </c>
      <c r="AQ14" t="b">
        <v>1</v>
      </c>
      <c r="AR14" t="s">
        <v>279</v>
      </c>
      <c r="AS14">
        <v>0</v>
      </c>
      <c r="AT14">
        <v>0</v>
      </c>
      <c r="AV14">
        <v>39</v>
      </c>
      <c r="AW14" t="s">
        <v>311</v>
      </c>
      <c r="AX14" t="s">
        <v>983</v>
      </c>
      <c r="AZ14" t="s">
        <v>605</v>
      </c>
      <c r="BA14" t="s">
        <v>326</v>
      </c>
      <c r="BB14" t="b">
        <v>0</v>
      </c>
      <c r="BC14" t="b">
        <v>0</v>
      </c>
      <c r="BD14" t="b">
        <v>0</v>
      </c>
      <c r="BE14" t="b">
        <v>0</v>
      </c>
      <c r="BF14" t="b">
        <v>0</v>
      </c>
      <c r="BG14" t="b">
        <v>0</v>
      </c>
      <c r="BH14" t="b">
        <v>0</v>
      </c>
      <c r="BI14" t="b">
        <v>0</v>
      </c>
      <c r="BJ14" t="b">
        <v>0</v>
      </c>
      <c r="BK14" t="b">
        <v>0</v>
      </c>
      <c r="BL14" t="b">
        <v>0</v>
      </c>
      <c r="BM14" t="b">
        <v>0</v>
      </c>
      <c r="BN14" t="b">
        <v>0</v>
      </c>
    </row>
    <row r="15" spans="1:67" x14ac:dyDescent="0.25">
      <c r="A15">
        <v>46689</v>
      </c>
      <c r="C15">
        <v>0</v>
      </c>
      <c r="D15" t="s">
        <v>279</v>
      </c>
      <c r="E15" t="s">
        <v>328</v>
      </c>
      <c r="F15" t="s">
        <v>324</v>
      </c>
      <c r="G15">
        <v>0</v>
      </c>
      <c r="H15" t="s">
        <v>60</v>
      </c>
      <c r="I15" t="s">
        <v>61</v>
      </c>
      <c r="J15" t="s">
        <v>1009</v>
      </c>
      <c r="K15" t="s">
        <v>1010</v>
      </c>
      <c r="L15" t="s">
        <v>608</v>
      </c>
      <c r="M15" t="s">
        <v>300</v>
      </c>
      <c r="P15" t="s">
        <v>330</v>
      </c>
      <c r="R15" t="s">
        <v>331</v>
      </c>
      <c r="S15" t="s">
        <v>328</v>
      </c>
      <c r="V15" t="s">
        <v>332</v>
      </c>
      <c r="W15" t="s">
        <v>325</v>
      </c>
      <c r="X15">
        <v>0</v>
      </c>
      <c r="Y15">
        <v>0</v>
      </c>
      <c r="AB15">
        <v>0</v>
      </c>
      <c r="AC15">
        <v>0</v>
      </c>
      <c r="AG15" t="s">
        <v>978</v>
      </c>
      <c r="AH15" t="s">
        <v>979</v>
      </c>
      <c r="AI15" t="s">
        <v>292</v>
      </c>
      <c r="AL15" t="s">
        <v>293</v>
      </c>
      <c r="AM15" t="s">
        <v>980</v>
      </c>
      <c r="AN15" t="s">
        <v>1011</v>
      </c>
      <c r="AO15" t="s">
        <v>986</v>
      </c>
      <c r="AQ15" t="b">
        <v>1</v>
      </c>
      <c r="AR15" t="s">
        <v>279</v>
      </c>
      <c r="AS15">
        <v>0</v>
      </c>
      <c r="AT15">
        <v>0</v>
      </c>
      <c r="AV15">
        <v>39</v>
      </c>
      <c r="AW15" t="s">
        <v>311</v>
      </c>
      <c r="AX15" t="s">
        <v>983</v>
      </c>
      <c r="AZ15" t="s">
        <v>605</v>
      </c>
      <c r="BA15" t="s">
        <v>326</v>
      </c>
      <c r="BB15" t="b">
        <v>0</v>
      </c>
      <c r="BC15" t="b">
        <v>0</v>
      </c>
      <c r="BD15" t="b">
        <v>0</v>
      </c>
      <c r="BE15" t="b">
        <v>0</v>
      </c>
      <c r="BF15" t="b">
        <v>0</v>
      </c>
      <c r="BG15" t="b">
        <v>0</v>
      </c>
      <c r="BH15" t="b">
        <v>0</v>
      </c>
      <c r="BI15" t="b">
        <v>0</v>
      </c>
      <c r="BJ15" t="b">
        <v>0</v>
      </c>
      <c r="BK15" t="b">
        <v>0</v>
      </c>
      <c r="BL15" t="b">
        <v>0</v>
      </c>
      <c r="BM15" t="b">
        <v>0</v>
      </c>
      <c r="BN15" t="b">
        <v>0</v>
      </c>
    </row>
    <row r="16" spans="1:67" x14ac:dyDescent="0.25">
      <c r="A16">
        <v>46689</v>
      </c>
      <c r="C16">
        <v>0</v>
      </c>
      <c r="D16" t="s">
        <v>279</v>
      </c>
      <c r="E16" t="s">
        <v>280</v>
      </c>
      <c r="F16" t="s">
        <v>324</v>
      </c>
      <c r="G16">
        <v>0</v>
      </c>
      <c r="H16" t="s">
        <v>60</v>
      </c>
      <c r="I16" t="s">
        <v>61</v>
      </c>
      <c r="J16" t="s">
        <v>1012</v>
      </c>
      <c r="K16" t="s">
        <v>1013</v>
      </c>
      <c r="L16" t="s">
        <v>609</v>
      </c>
      <c r="M16" t="s">
        <v>300</v>
      </c>
      <c r="P16" t="s">
        <v>287</v>
      </c>
      <c r="R16" t="s">
        <v>289</v>
      </c>
      <c r="S16" t="s">
        <v>280</v>
      </c>
      <c r="V16" t="s">
        <v>290</v>
      </c>
      <c r="W16" t="s">
        <v>325</v>
      </c>
      <c r="X16">
        <v>0</v>
      </c>
      <c r="Y16">
        <v>0</v>
      </c>
      <c r="AB16">
        <v>0</v>
      </c>
      <c r="AC16">
        <v>0</v>
      </c>
      <c r="AG16" t="s">
        <v>978</v>
      </c>
      <c r="AH16" t="s">
        <v>979</v>
      </c>
      <c r="AI16" t="s">
        <v>292</v>
      </c>
      <c r="AL16" t="s">
        <v>293</v>
      </c>
      <c r="AM16" t="s">
        <v>980</v>
      </c>
      <c r="AN16" t="s">
        <v>1014</v>
      </c>
      <c r="AO16" t="s">
        <v>982</v>
      </c>
      <c r="AQ16" t="b">
        <v>1</v>
      </c>
      <c r="AR16" t="s">
        <v>279</v>
      </c>
      <c r="AS16">
        <v>0</v>
      </c>
      <c r="AT16">
        <v>0</v>
      </c>
      <c r="AV16">
        <v>39</v>
      </c>
      <c r="AW16" t="s">
        <v>311</v>
      </c>
      <c r="AX16" t="s">
        <v>983</v>
      </c>
      <c r="AZ16" t="s">
        <v>605</v>
      </c>
      <c r="BA16" t="s">
        <v>326</v>
      </c>
      <c r="BB16" t="b">
        <v>0</v>
      </c>
      <c r="BC16" t="b">
        <v>0</v>
      </c>
      <c r="BD16" t="b">
        <v>0</v>
      </c>
      <c r="BE16" t="b">
        <v>0</v>
      </c>
      <c r="BF16" t="b">
        <v>0</v>
      </c>
      <c r="BG16" t="b">
        <v>0</v>
      </c>
      <c r="BH16" t="b">
        <v>0</v>
      </c>
      <c r="BI16" t="b">
        <v>0</v>
      </c>
      <c r="BJ16" t="b">
        <v>0</v>
      </c>
      <c r="BK16" t="b">
        <v>0</v>
      </c>
      <c r="BL16" t="b">
        <v>0</v>
      </c>
      <c r="BM16" t="b">
        <v>0</v>
      </c>
      <c r="BN16" t="b">
        <v>0</v>
      </c>
    </row>
    <row r="17" spans="1:66" x14ac:dyDescent="0.25">
      <c r="A17">
        <v>46689</v>
      </c>
      <c r="C17">
        <v>0</v>
      </c>
      <c r="D17" t="s">
        <v>279</v>
      </c>
      <c r="E17" t="s">
        <v>328</v>
      </c>
      <c r="F17" t="s">
        <v>324</v>
      </c>
      <c r="G17">
        <v>0</v>
      </c>
      <c r="H17" t="s">
        <v>60</v>
      </c>
      <c r="I17" t="s">
        <v>61</v>
      </c>
      <c r="J17" t="s">
        <v>1012</v>
      </c>
      <c r="K17" t="s">
        <v>1013</v>
      </c>
      <c r="L17" t="s">
        <v>611</v>
      </c>
      <c r="M17" t="s">
        <v>300</v>
      </c>
      <c r="P17" t="s">
        <v>330</v>
      </c>
      <c r="R17" t="s">
        <v>331</v>
      </c>
      <c r="S17" t="s">
        <v>328</v>
      </c>
      <c r="V17" t="s">
        <v>332</v>
      </c>
      <c r="W17" t="s">
        <v>325</v>
      </c>
      <c r="X17">
        <v>0</v>
      </c>
      <c r="Y17">
        <v>0</v>
      </c>
      <c r="AB17">
        <v>0</v>
      </c>
      <c r="AC17">
        <v>0</v>
      </c>
      <c r="AG17" t="s">
        <v>978</v>
      </c>
      <c r="AH17" t="s">
        <v>979</v>
      </c>
      <c r="AI17" t="s">
        <v>292</v>
      </c>
      <c r="AL17" t="s">
        <v>293</v>
      </c>
      <c r="AM17" t="s">
        <v>980</v>
      </c>
      <c r="AN17" t="s">
        <v>1015</v>
      </c>
      <c r="AO17" t="s">
        <v>986</v>
      </c>
      <c r="AQ17" t="b">
        <v>1</v>
      </c>
      <c r="AR17" t="s">
        <v>279</v>
      </c>
      <c r="AS17">
        <v>0</v>
      </c>
      <c r="AT17">
        <v>0</v>
      </c>
      <c r="AV17">
        <v>39</v>
      </c>
      <c r="AW17" t="s">
        <v>311</v>
      </c>
      <c r="AX17" t="s">
        <v>983</v>
      </c>
      <c r="AZ17" t="s">
        <v>605</v>
      </c>
      <c r="BA17" t="s">
        <v>326</v>
      </c>
      <c r="BB17" t="b">
        <v>0</v>
      </c>
      <c r="BC17" t="b">
        <v>0</v>
      </c>
      <c r="BD17" t="b">
        <v>0</v>
      </c>
      <c r="BE17" t="b">
        <v>0</v>
      </c>
      <c r="BF17" t="b">
        <v>0</v>
      </c>
      <c r="BG17" t="b">
        <v>0</v>
      </c>
      <c r="BH17" t="b">
        <v>0</v>
      </c>
      <c r="BI17" t="b">
        <v>0</v>
      </c>
      <c r="BJ17" t="b">
        <v>0</v>
      </c>
      <c r="BK17" t="b">
        <v>0</v>
      </c>
      <c r="BL17" t="b">
        <v>0</v>
      </c>
      <c r="BM17" t="b">
        <v>0</v>
      </c>
      <c r="BN17" t="b">
        <v>0</v>
      </c>
    </row>
    <row r="18" spans="1:66" x14ac:dyDescent="0.25">
      <c r="A18">
        <v>46689</v>
      </c>
      <c r="C18">
        <v>0</v>
      </c>
      <c r="D18" t="s">
        <v>279</v>
      </c>
      <c r="E18" t="s">
        <v>280</v>
      </c>
      <c r="F18" t="s">
        <v>324</v>
      </c>
      <c r="G18">
        <v>0</v>
      </c>
      <c r="H18" t="s">
        <v>60</v>
      </c>
      <c r="I18" t="s">
        <v>61</v>
      </c>
      <c r="J18" t="s">
        <v>1016</v>
      </c>
      <c r="K18" t="s">
        <v>1017</v>
      </c>
      <c r="L18" t="s">
        <v>1018</v>
      </c>
      <c r="M18" t="s">
        <v>300</v>
      </c>
      <c r="P18" t="s">
        <v>287</v>
      </c>
      <c r="R18" t="s">
        <v>289</v>
      </c>
      <c r="S18" t="s">
        <v>280</v>
      </c>
      <c r="V18" t="s">
        <v>290</v>
      </c>
      <c r="W18" t="s">
        <v>325</v>
      </c>
      <c r="X18">
        <v>0</v>
      </c>
      <c r="Y18">
        <v>0</v>
      </c>
      <c r="AB18">
        <v>0</v>
      </c>
      <c r="AC18">
        <v>0</v>
      </c>
      <c r="AG18" t="s">
        <v>978</v>
      </c>
      <c r="AH18" t="s">
        <v>979</v>
      </c>
      <c r="AI18" t="s">
        <v>292</v>
      </c>
      <c r="AL18" t="s">
        <v>293</v>
      </c>
      <c r="AM18" t="s">
        <v>980</v>
      </c>
      <c r="AN18" t="s">
        <v>1019</v>
      </c>
      <c r="AO18" t="s">
        <v>982</v>
      </c>
      <c r="AQ18" t="b">
        <v>1</v>
      </c>
      <c r="AR18" t="s">
        <v>279</v>
      </c>
      <c r="AS18">
        <v>0</v>
      </c>
      <c r="AT18">
        <v>0</v>
      </c>
      <c r="AV18">
        <v>39</v>
      </c>
      <c r="AW18" t="s">
        <v>311</v>
      </c>
      <c r="AX18" t="s">
        <v>983</v>
      </c>
      <c r="AZ18" t="s">
        <v>605</v>
      </c>
      <c r="BA18" t="s">
        <v>326</v>
      </c>
      <c r="BB18" t="b">
        <v>0</v>
      </c>
      <c r="BC18" t="b">
        <v>0</v>
      </c>
      <c r="BD18" t="b">
        <v>0</v>
      </c>
      <c r="BE18" t="b">
        <v>0</v>
      </c>
      <c r="BF18" t="b">
        <v>0</v>
      </c>
      <c r="BG18" t="b">
        <v>0</v>
      </c>
      <c r="BH18" t="b">
        <v>0</v>
      </c>
      <c r="BI18" t="b">
        <v>0</v>
      </c>
      <c r="BJ18" t="b">
        <v>0</v>
      </c>
      <c r="BK18" t="b">
        <v>0</v>
      </c>
      <c r="BL18" t="b">
        <v>0</v>
      </c>
      <c r="BM18" t="b">
        <v>0</v>
      </c>
      <c r="BN18" t="b">
        <v>0</v>
      </c>
    </row>
    <row r="19" spans="1:66" x14ac:dyDescent="0.25">
      <c r="A19">
        <v>46689</v>
      </c>
      <c r="C19">
        <v>0</v>
      </c>
      <c r="D19" t="s">
        <v>279</v>
      </c>
      <c r="E19" t="s">
        <v>328</v>
      </c>
      <c r="F19" t="s">
        <v>324</v>
      </c>
      <c r="G19">
        <v>0</v>
      </c>
      <c r="H19" t="s">
        <v>60</v>
      </c>
      <c r="I19" t="s">
        <v>61</v>
      </c>
      <c r="J19" t="s">
        <v>1016</v>
      </c>
      <c r="K19" t="s">
        <v>1017</v>
      </c>
      <c r="L19" t="s">
        <v>1018</v>
      </c>
      <c r="M19" t="s">
        <v>300</v>
      </c>
      <c r="P19" t="s">
        <v>330</v>
      </c>
      <c r="R19" t="s">
        <v>331</v>
      </c>
      <c r="S19" t="s">
        <v>328</v>
      </c>
      <c r="V19" t="s">
        <v>332</v>
      </c>
      <c r="W19" t="s">
        <v>325</v>
      </c>
      <c r="X19">
        <v>0</v>
      </c>
      <c r="Y19">
        <v>0</v>
      </c>
      <c r="AB19">
        <v>0</v>
      </c>
      <c r="AC19">
        <v>0</v>
      </c>
      <c r="AG19" t="s">
        <v>978</v>
      </c>
      <c r="AH19" t="s">
        <v>979</v>
      </c>
      <c r="AI19" t="s">
        <v>292</v>
      </c>
      <c r="AL19" t="s">
        <v>293</v>
      </c>
      <c r="AM19" t="s">
        <v>980</v>
      </c>
      <c r="AN19" t="s">
        <v>1020</v>
      </c>
      <c r="AO19" t="s">
        <v>986</v>
      </c>
      <c r="AQ19" t="b">
        <v>1</v>
      </c>
      <c r="AR19" t="s">
        <v>279</v>
      </c>
      <c r="AS19">
        <v>0</v>
      </c>
      <c r="AT19">
        <v>0</v>
      </c>
      <c r="AV19">
        <v>39</v>
      </c>
      <c r="AW19" t="s">
        <v>311</v>
      </c>
      <c r="AX19" t="s">
        <v>983</v>
      </c>
      <c r="AZ19" t="s">
        <v>605</v>
      </c>
      <c r="BA19" t="s">
        <v>326</v>
      </c>
      <c r="BB19" t="b">
        <v>0</v>
      </c>
      <c r="BC19" t="b">
        <v>0</v>
      </c>
      <c r="BD19" t="b">
        <v>0</v>
      </c>
      <c r="BE19" t="b">
        <v>0</v>
      </c>
      <c r="BF19" t="b">
        <v>0</v>
      </c>
      <c r="BG19" t="b">
        <v>0</v>
      </c>
      <c r="BH19" t="b">
        <v>0</v>
      </c>
      <c r="BI19" t="b">
        <v>0</v>
      </c>
      <c r="BJ19" t="b">
        <v>0</v>
      </c>
      <c r="BK19" t="b">
        <v>0</v>
      </c>
      <c r="BL19" t="b">
        <v>0</v>
      </c>
      <c r="BM19" t="b">
        <v>0</v>
      </c>
      <c r="BN19" t="b">
        <v>0</v>
      </c>
    </row>
    <row r="20" spans="1:66" x14ac:dyDescent="0.25">
      <c r="A20">
        <v>46689</v>
      </c>
      <c r="C20">
        <v>0</v>
      </c>
      <c r="D20" t="s">
        <v>279</v>
      </c>
      <c r="E20" t="s">
        <v>280</v>
      </c>
      <c r="F20" t="s">
        <v>324</v>
      </c>
      <c r="G20">
        <v>0</v>
      </c>
      <c r="H20" t="s">
        <v>60</v>
      </c>
      <c r="I20" t="s">
        <v>61</v>
      </c>
      <c r="J20" t="s">
        <v>1021</v>
      </c>
      <c r="K20" t="s">
        <v>1022</v>
      </c>
      <c r="L20" t="s">
        <v>1023</v>
      </c>
      <c r="M20" t="s">
        <v>300</v>
      </c>
      <c r="P20" t="s">
        <v>287</v>
      </c>
      <c r="R20" t="s">
        <v>289</v>
      </c>
      <c r="S20" t="s">
        <v>280</v>
      </c>
      <c r="V20" t="s">
        <v>290</v>
      </c>
      <c r="W20" t="s">
        <v>325</v>
      </c>
      <c r="X20">
        <v>0</v>
      </c>
      <c r="Y20">
        <v>0</v>
      </c>
      <c r="AB20">
        <v>0</v>
      </c>
      <c r="AC20">
        <v>0</v>
      </c>
      <c r="AG20" t="s">
        <v>978</v>
      </c>
      <c r="AH20" t="s">
        <v>979</v>
      </c>
      <c r="AI20" t="s">
        <v>292</v>
      </c>
      <c r="AL20" t="s">
        <v>293</v>
      </c>
      <c r="AM20" t="s">
        <v>980</v>
      </c>
      <c r="AN20" t="s">
        <v>1003</v>
      </c>
      <c r="AO20" t="s">
        <v>982</v>
      </c>
      <c r="AQ20" t="b">
        <v>1</v>
      </c>
      <c r="AR20" t="s">
        <v>279</v>
      </c>
      <c r="AS20">
        <v>0</v>
      </c>
      <c r="AT20">
        <v>0</v>
      </c>
      <c r="AV20">
        <v>39</v>
      </c>
      <c r="AW20" t="s">
        <v>311</v>
      </c>
      <c r="AX20" t="s">
        <v>983</v>
      </c>
      <c r="AZ20" t="s">
        <v>605</v>
      </c>
      <c r="BA20" t="s">
        <v>326</v>
      </c>
      <c r="BB20" t="b">
        <v>0</v>
      </c>
      <c r="BC20" t="b">
        <v>0</v>
      </c>
      <c r="BD20" t="b">
        <v>0</v>
      </c>
      <c r="BE20" t="b">
        <v>0</v>
      </c>
      <c r="BF20" t="b">
        <v>0</v>
      </c>
      <c r="BG20" t="b">
        <v>0</v>
      </c>
      <c r="BH20" t="b">
        <v>0</v>
      </c>
      <c r="BI20" t="b">
        <v>0</v>
      </c>
      <c r="BJ20" t="b">
        <v>0</v>
      </c>
      <c r="BK20" t="b">
        <v>0</v>
      </c>
      <c r="BL20" t="b">
        <v>0</v>
      </c>
      <c r="BM20" t="b">
        <v>0</v>
      </c>
      <c r="BN20" t="b">
        <v>0</v>
      </c>
    </row>
    <row r="21" spans="1:66" x14ac:dyDescent="0.25">
      <c r="A21">
        <v>46689</v>
      </c>
      <c r="C21">
        <v>0</v>
      </c>
      <c r="D21" t="s">
        <v>279</v>
      </c>
      <c r="E21" t="s">
        <v>328</v>
      </c>
      <c r="F21" t="s">
        <v>324</v>
      </c>
      <c r="G21">
        <v>0</v>
      </c>
      <c r="H21" t="s">
        <v>60</v>
      </c>
      <c r="I21" t="s">
        <v>61</v>
      </c>
      <c r="J21" t="s">
        <v>1021</v>
      </c>
      <c r="K21" t="s">
        <v>1022</v>
      </c>
      <c r="L21" t="s">
        <v>1024</v>
      </c>
      <c r="M21" t="s">
        <v>300</v>
      </c>
      <c r="P21" t="s">
        <v>330</v>
      </c>
      <c r="R21" t="s">
        <v>331</v>
      </c>
      <c r="S21" t="s">
        <v>328</v>
      </c>
      <c r="V21" t="s">
        <v>332</v>
      </c>
      <c r="W21" t="s">
        <v>325</v>
      </c>
      <c r="X21">
        <v>0</v>
      </c>
      <c r="Y21">
        <v>0</v>
      </c>
      <c r="AB21">
        <v>0</v>
      </c>
      <c r="AC21">
        <v>0</v>
      </c>
      <c r="AG21" t="s">
        <v>978</v>
      </c>
      <c r="AH21" t="s">
        <v>979</v>
      </c>
      <c r="AI21" t="s">
        <v>292</v>
      </c>
      <c r="AL21" t="s">
        <v>293</v>
      </c>
      <c r="AM21" t="s">
        <v>980</v>
      </c>
      <c r="AN21" t="s">
        <v>1025</v>
      </c>
      <c r="AO21" t="s">
        <v>986</v>
      </c>
      <c r="AQ21" t="b">
        <v>1</v>
      </c>
      <c r="AR21" t="s">
        <v>279</v>
      </c>
      <c r="AS21">
        <v>0</v>
      </c>
      <c r="AT21">
        <v>0</v>
      </c>
      <c r="AV21">
        <v>39</v>
      </c>
      <c r="AW21" t="s">
        <v>311</v>
      </c>
      <c r="AX21" t="s">
        <v>983</v>
      </c>
      <c r="AZ21" t="s">
        <v>605</v>
      </c>
      <c r="BA21" t="s">
        <v>326</v>
      </c>
      <c r="BB21" t="b">
        <v>0</v>
      </c>
      <c r="BC21" t="b">
        <v>0</v>
      </c>
      <c r="BD21" t="b">
        <v>0</v>
      </c>
      <c r="BE21" t="b">
        <v>0</v>
      </c>
      <c r="BF21" t="b">
        <v>0</v>
      </c>
      <c r="BG21" t="b">
        <v>0</v>
      </c>
      <c r="BH21" t="b">
        <v>0</v>
      </c>
      <c r="BI21" t="b">
        <v>0</v>
      </c>
      <c r="BJ21" t="b">
        <v>0</v>
      </c>
      <c r="BK21" t="b">
        <v>0</v>
      </c>
      <c r="BL21" t="b">
        <v>0</v>
      </c>
      <c r="BM21" t="b">
        <v>0</v>
      </c>
      <c r="BN21" t="b">
        <v>0</v>
      </c>
    </row>
    <row r="22" spans="1:66" x14ac:dyDescent="0.25">
      <c r="A22">
        <v>46689</v>
      </c>
      <c r="C22">
        <v>0</v>
      </c>
      <c r="D22" t="s">
        <v>279</v>
      </c>
      <c r="E22" t="s">
        <v>280</v>
      </c>
      <c r="F22" t="s">
        <v>324</v>
      </c>
      <c r="G22">
        <v>0</v>
      </c>
      <c r="H22" t="s">
        <v>60</v>
      </c>
      <c r="I22" t="s">
        <v>61</v>
      </c>
      <c r="J22" t="s">
        <v>1026</v>
      </c>
      <c r="K22" t="s">
        <v>1027</v>
      </c>
      <c r="L22" t="s">
        <v>1028</v>
      </c>
      <c r="M22" t="s">
        <v>300</v>
      </c>
      <c r="P22" t="s">
        <v>287</v>
      </c>
      <c r="R22" t="s">
        <v>289</v>
      </c>
      <c r="S22" t="s">
        <v>280</v>
      </c>
      <c r="V22" t="s">
        <v>290</v>
      </c>
      <c r="W22" t="s">
        <v>325</v>
      </c>
      <c r="X22">
        <v>0</v>
      </c>
      <c r="Y22">
        <v>0</v>
      </c>
      <c r="AB22">
        <v>0</v>
      </c>
      <c r="AC22">
        <v>0</v>
      </c>
      <c r="AG22" t="s">
        <v>978</v>
      </c>
      <c r="AH22" t="s">
        <v>979</v>
      </c>
      <c r="AI22" t="s">
        <v>292</v>
      </c>
      <c r="AL22" t="s">
        <v>293</v>
      </c>
      <c r="AM22" t="s">
        <v>980</v>
      </c>
      <c r="AN22" t="s">
        <v>1019</v>
      </c>
      <c r="AO22" t="s">
        <v>982</v>
      </c>
      <c r="AQ22" t="b">
        <v>1</v>
      </c>
      <c r="AR22" t="s">
        <v>279</v>
      </c>
      <c r="AS22">
        <v>0</v>
      </c>
      <c r="AT22">
        <v>0</v>
      </c>
      <c r="AV22">
        <v>39</v>
      </c>
      <c r="AW22" t="s">
        <v>311</v>
      </c>
      <c r="AX22" t="s">
        <v>983</v>
      </c>
      <c r="AZ22" t="s">
        <v>605</v>
      </c>
      <c r="BA22" t="s">
        <v>326</v>
      </c>
      <c r="BB22" t="b">
        <v>0</v>
      </c>
      <c r="BC22" t="b">
        <v>0</v>
      </c>
      <c r="BD22" t="b">
        <v>0</v>
      </c>
      <c r="BE22" t="b">
        <v>0</v>
      </c>
      <c r="BF22" t="b">
        <v>0</v>
      </c>
      <c r="BG22" t="b">
        <v>0</v>
      </c>
      <c r="BH22" t="b">
        <v>0</v>
      </c>
      <c r="BI22" t="b">
        <v>0</v>
      </c>
      <c r="BJ22" t="b">
        <v>0</v>
      </c>
      <c r="BK22" t="b">
        <v>0</v>
      </c>
      <c r="BL22" t="b">
        <v>0</v>
      </c>
      <c r="BM22" t="b">
        <v>0</v>
      </c>
      <c r="BN22" t="b">
        <v>0</v>
      </c>
    </row>
    <row r="23" spans="1:66" x14ac:dyDescent="0.25">
      <c r="A23">
        <v>46689</v>
      </c>
      <c r="C23">
        <v>0</v>
      </c>
      <c r="D23" t="s">
        <v>279</v>
      </c>
      <c r="E23" t="s">
        <v>328</v>
      </c>
      <c r="F23" t="s">
        <v>324</v>
      </c>
      <c r="G23">
        <v>0</v>
      </c>
      <c r="H23" t="s">
        <v>60</v>
      </c>
      <c r="I23" t="s">
        <v>61</v>
      </c>
      <c r="J23" t="s">
        <v>1026</v>
      </c>
      <c r="K23" t="s">
        <v>1027</v>
      </c>
      <c r="L23" t="s">
        <v>1028</v>
      </c>
      <c r="M23" t="s">
        <v>300</v>
      </c>
      <c r="P23" t="s">
        <v>330</v>
      </c>
      <c r="R23" t="s">
        <v>331</v>
      </c>
      <c r="S23" t="s">
        <v>328</v>
      </c>
      <c r="V23" t="s">
        <v>332</v>
      </c>
      <c r="W23" t="s">
        <v>325</v>
      </c>
      <c r="X23">
        <v>0</v>
      </c>
      <c r="Y23">
        <v>0</v>
      </c>
      <c r="AB23">
        <v>0</v>
      </c>
      <c r="AC23">
        <v>0</v>
      </c>
      <c r="AG23" t="s">
        <v>978</v>
      </c>
      <c r="AH23" t="s">
        <v>979</v>
      </c>
      <c r="AI23" t="s">
        <v>292</v>
      </c>
      <c r="AL23" t="s">
        <v>293</v>
      </c>
      <c r="AM23" t="s">
        <v>980</v>
      </c>
      <c r="AN23" t="s">
        <v>1029</v>
      </c>
      <c r="AO23" t="s">
        <v>986</v>
      </c>
      <c r="AQ23" t="b">
        <v>1</v>
      </c>
      <c r="AR23" t="s">
        <v>279</v>
      </c>
      <c r="AS23">
        <v>0</v>
      </c>
      <c r="AT23">
        <v>0</v>
      </c>
      <c r="AV23">
        <v>39</v>
      </c>
      <c r="AW23" t="s">
        <v>311</v>
      </c>
      <c r="AX23" t="s">
        <v>983</v>
      </c>
      <c r="AZ23" t="s">
        <v>605</v>
      </c>
      <c r="BA23" t="s">
        <v>326</v>
      </c>
      <c r="BB23" t="b">
        <v>0</v>
      </c>
      <c r="BC23" t="b">
        <v>0</v>
      </c>
      <c r="BD23" t="b">
        <v>0</v>
      </c>
      <c r="BE23" t="b">
        <v>0</v>
      </c>
      <c r="BF23" t="b">
        <v>0</v>
      </c>
      <c r="BG23" t="b">
        <v>0</v>
      </c>
      <c r="BH23" t="b">
        <v>0</v>
      </c>
      <c r="BI23" t="b">
        <v>0</v>
      </c>
      <c r="BJ23" t="b">
        <v>0</v>
      </c>
      <c r="BK23" t="b">
        <v>0</v>
      </c>
      <c r="BL23" t="b">
        <v>0</v>
      </c>
      <c r="BM23" t="b">
        <v>0</v>
      </c>
      <c r="BN23" t="b">
        <v>0</v>
      </c>
    </row>
    <row r="24" spans="1:66" x14ac:dyDescent="0.25">
      <c r="A24">
        <v>46689</v>
      </c>
      <c r="C24">
        <v>0</v>
      </c>
      <c r="D24" t="s">
        <v>327</v>
      </c>
      <c r="E24" t="s">
        <v>280</v>
      </c>
      <c r="F24" t="s">
        <v>324</v>
      </c>
      <c r="G24">
        <v>0</v>
      </c>
      <c r="H24" t="s">
        <v>60</v>
      </c>
      <c r="I24" t="s">
        <v>61</v>
      </c>
      <c r="J24" t="s">
        <v>1030</v>
      </c>
      <c r="K24" t="s">
        <v>1031</v>
      </c>
      <c r="L24" t="s">
        <v>1032</v>
      </c>
      <c r="M24" t="s">
        <v>300</v>
      </c>
      <c r="P24" t="s">
        <v>287</v>
      </c>
      <c r="R24" t="s">
        <v>289</v>
      </c>
      <c r="S24" t="s">
        <v>280</v>
      </c>
      <c r="V24" t="s">
        <v>290</v>
      </c>
      <c r="W24" t="s">
        <v>325</v>
      </c>
      <c r="X24">
        <v>0</v>
      </c>
      <c r="Y24">
        <v>0</v>
      </c>
      <c r="AB24">
        <v>0</v>
      </c>
      <c r="AC24">
        <v>0</v>
      </c>
      <c r="AG24" t="s">
        <v>978</v>
      </c>
      <c r="AH24" t="s">
        <v>979</v>
      </c>
      <c r="AI24" t="s">
        <v>292</v>
      </c>
      <c r="AL24" t="s">
        <v>293</v>
      </c>
      <c r="AM24" t="s">
        <v>980</v>
      </c>
      <c r="AN24" t="s">
        <v>1033</v>
      </c>
      <c r="AO24" t="s">
        <v>982</v>
      </c>
      <c r="AQ24" t="b">
        <v>1</v>
      </c>
      <c r="AR24" t="s">
        <v>279</v>
      </c>
      <c r="AS24">
        <v>0</v>
      </c>
      <c r="AT24">
        <v>0</v>
      </c>
      <c r="AV24">
        <v>39</v>
      </c>
      <c r="AW24" t="s">
        <v>311</v>
      </c>
      <c r="AX24" t="s">
        <v>983</v>
      </c>
      <c r="AZ24" t="s">
        <v>605</v>
      </c>
      <c r="BA24" t="s">
        <v>326</v>
      </c>
      <c r="BB24" t="b">
        <v>0</v>
      </c>
      <c r="BC24" t="b">
        <v>0</v>
      </c>
      <c r="BD24" t="b">
        <v>0</v>
      </c>
      <c r="BE24" t="b">
        <v>0</v>
      </c>
      <c r="BF24" t="b">
        <v>0</v>
      </c>
      <c r="BG24" t="b">
        <v>0</v>
      </c>
      <c r="BH24" t="b">
        <v>0</v>
      </c>
      <c r="BI24" t="b">
        <v>0</v>
      </c>
      <c r="BJ24" t="b">
        <v>0</v>
      </c>
      <c r="BK24" t="b">
        <v>0</v>
      </c>
      <c r="BL24" t="b">
        <v>0</v>
      </c>
      <c r="BM24" t="b">
        <v>0</v>
      </c>
      <c r="BN24" t="b">
        <v>0</v>
      </c>
    </row>
    <row r="25" spans="1:66" x14ac:dyDescent="0.25">
      <c r="A25">
        <v>46689</v>
      </c>
      <c r="C25">
        <v>0</v>
      </c>
      <c r="D25" t="s">
        <v>327</v>
      </c>
      <c r="E25" t="s">
        <v>328</v>
      </c>
      <c r="F25" t="s">
        <v>324</v>
      </c>
      <c r="G25">
        <v>0</v>
      </c>
      <c r="H25" t="s">
        <v>60</v>
      </c>
      <c r="I25" t="s">
        <v>61</v>
      </c>
      <c r="J25" t="s">
        <v>1030</v>
      </c>
      <c r="K25" t="s">
        <v>1031</v>
      </c>
      <c r="L25" t="s">
        <v>1032</v>
      </c>
      <c r="M25" t="s">
        <v>300</v>
      </c>
      <c r="P25" t="s">
        <v>330</v>
      </c>
      <c r="R25" t="s">
        <v>331</v>
      </c>
      <c r="S25" t="s">
        <v>328</v>
      </c>
      <c r="V25" t="s">
        <v>332</v>
      </c>
      <c r="W25" t="s">
        <v>325</v>
      </c>
      <c r="X25">
        <v>0</v>
      </c>
      <c r="Y25">
        <v>0</v>
      </c>
      <c r="AB25">
        <v>0</v>
      </c>
      <c r="AC25">
        <v>0</v>
      </c>
      <c r="AG25" t="s">
        <v>978</v>
      </c>
      <c r="AH25" t="s">
        <v>979</v>
      </c>
      <c r="AI25" t="s">
        <v>292</v>
      </c>
      <c r="AL25" t="s">
        <v>293</v>
      </c>
      <c r="AM25" t="s">
        <v>980</v>
      </c>
      <c r="AN25" t="s">
        <v>1034</v>
      </c>
      <c r="AO25" t="s">
        <v>986</v>
      </c>
      <c r="AQ25" t="b">
        <v>1</v>
      </c>
      <c r="AR25" t="s">
        <v>279</v>
      </c>
      <c r="AS25">
        <v>0</v>
      </c>
      <c r="AT25">
        <v>0</v>
      </c>
      <c r="AV25">
        <v>39</v>
      </c>
      <c r="AW25" t="s">
        <v>311</v>
      </c>
      <c r="AX25" t="s">
        <v>983</v>
      </c>
      <c r="AZ25" t="s">
        <v>605</v>
      </c>
      <c r="BA25" t="s">
        <v>326</v>
      </c>
      <c r="BB25" t="b">
        <v>0</v>
      </c>
      <c r="BC25" t="b">
        <v>0</v>
      </c>
      <c r="BD25" t="b">
        <v>0</v>
      </c>
      <c r="BE25" t="b">
        <v>0</v>
      </c>
      <c r="BF25" t="b">
        <v>0</v>
      </c>
      <c r="BG25" t="b">
        <v>0</v>
      </c>
      <c r="BH25" t="b">
        <v>0</v>
      </c>
      <c r="BI25" t="b">
        <v>0</v>
      </c>
      <c r="BJ25" t="b">
        <v>0</v>
      </c>
      <c r="BK25" t="b">
        <v>0</v>
      </c>
      <c r="BL25" t="b">
        <v>0</v>
      </c>
      <c r="BM25" t="b">
        <v>0</v>
      </c>
      <c r="BN25" t="b">
        <v>0</v>
      </c>
    </row>
    <row r="26" spans="1:66" x14ac:dyDescent="0.25">
      <c r="A26">
        <v>46689</v>
      </c>
      <c r="C26">
        <v>0</v>
      </c>
      <c r="D26" t="s">
        <v>279</v>
      </c>
      <c r="E26" t="s">
        <v>280</v>
      </c>
      <c r="F26" t="s">
        <v>324</v>
      </c>
      <c r="G26">
        <v>0</v>
      </c>
      <c r="H26" t="s">
        <v>60</v>
      </c>
      <c r="I26" t="s">
        <v>61</v>
      </c>
      <c r="J26" t="s">
        <v>1035</v>
      </c>
      <c r="K26" t="s">
        <v>1036</v>
      </c>
      <c r="L26" t="s">
        <v>1037</v>
      </c>
      <c r="M26" t="s">
        <v>300</v>
      </c>
      <c r="P26" t="s">
        <v>287</v>
      </c>
      <c r="R26" t="s">
        <v>289</v>
      </c>
      <c r="S26" t="s">
        <v>280</v>
      </c>
      <c r="V26" t="s">
        <v>290</v>
      </c>
      <c r="W26" t="s">
        <v>325</v>
      </c>
      <c r="X26">
        <v>0</v>
      </c>
      <c r="Y26">
        <v>0</v>
      </c>
      <c r="AB26">
        <v>0</v>
      </c>
      <c r="AC26">
        <v>0</v>
      </c>
      <c r="AG26" t="s">
        <v>978</v>
      </c>
      <c r="AH26" t="s">
        <v>979</v>
      </c>
      <c r="AI26" t="s">
        <v>292</v>
      </c>
      <c r="AL26" t="s">
        <v>293</v>
      </c>
      <c r="AM26" t="s">
        <v>980</v>
      </c>
      <c r="AN26" t="s">
        <v>1003</v>
      </c>
      <c r="AO26" t="s">
        <v>982</v>
      </c>
      <c r="AQ26" t="b">
        <v>1</v>
      </c>
      <c r="AR26" t="s">
        <v>279</v>
      </c>
      <c r="AS26">
        <v>0</v>
      </c>
      <c r="AT26">
        <v>0</v>
      </c>
      <c r="AV26">
        <v>39</v>
      </c>
      <c r="AW26" t="s">
        <v>311</v>
      </c>
      <c r="AX26" t="s">
        <v>983</v>
      </c>
      <c r="AZ26" t="s">
        <v>605</v>
      </c>
      <c r="BA26" t="s">
        <v>326</v>
      </c>
      <c r="BB26" t="b">
        <v>0</v>
      </c>
      <c r="BC26" t="b">
        <v>0</v>
      </c>
      <c r="BD26" t="b">
        <v>0</v>
      </c>
      <c r="BE26" t="b">
        <v>0</v>
      </c>
      <c r="BF26" t="b">
        <v>0</v>
      </c>
      <c r="BG26" t="b">
        <v>0</v>
      </c>
      <c r="BH26" t="b">
        <v>0</v>
      </c>
      <c r="BI26" t="b">
        <v>0</v>
      </c>
      <c r="BJ26" t="b">
        <v>0</v>
      </c>
      <c r="BK26" t="b">
        <v>0</v>
      </c>
      <c r="BL26" t="b">
        <v>0</v>
      </c>
      <c r="BM26" t="b">
        <v>0</v>
      </c>
      <c r="BN26" t="b">
        <v>0</v>
      </c>
    </row>
    <row r="27" spans="1:66" x14ac:dyDescent="0.25">
      <c r="A27">
        <v>46689</v>
      </c>
      <c r="C27">
        <v>0</v>
      </c>
      <c r="D27" t="s">
        <v>279</v>
      </c>
      <c r="E27" t="s">
        <v>328</v>
      </c>
      <c r="F27" t="s">
        <v>324</v>
      </c>
      <c r="G27">
        <v>0</v>
      </c>
      <c r="H27" t="s">
        <v>60</v>
      </c>
      <c r="I27" t="s">
        <v>61</v>
      </c>
      <c r="J27" t="s">
        <v>1035</v>
      </c>
      <c r="K27" t="s">
        <v>1036</v>
      </c>
      <c r="L27" t="s">
        <v>1038</v>
      </c>
      <c r="M27" t="s">
        <v>300</v>
      </c>
      <c r="P27" t="s">
        <v>330</v>
      </c>
      <c r="R27" t="s">
        <v>331</v>
      </c>
      <c r="S27" t="s">
        <v>328</v>
      </c>
      <c r="V27" t="s">
        <v>332</v>
      </c>
      <c r="W27" t="s">
        <v>325</v>
      </c>
      <c r="X27">
        <v>0</v>
      </c>
      <c r="Y27">
        <v>0</v>
      </c>
      <c r="AB27">
        <v>0</v>
      </c>
      <c r="AC27">
        <v>0</v>
      </c>
      <c r="AG27" t="s">
        <v>978</v>
      </c>
      <c r="AH27" t="s">
        <v>979</v>
      </c>
      <c r="AI27" t="s">
        <v>292</v>
      </c>
      <c r="AL27" t="s">
        <v>293</v>
      </c>
      <c r="AM27" t="s">
        <v>980</v>
      </c>
      <c r="AN27" t="s">
        <v>1015</v>
      </c>
      <c r="AO27" t="s">
        <v>986</v>
      </c>
      <c r="AQ27" t="b">
        <v>1</v>
      </c>
      <c r="AR27" t="s">
        <v>279</v>
      </c>
      <c r="AS27">
        <v>0</v>
      </c>
      <c r="AT27">
        <v>0</v>
      </c>
      <c r="AV27">
        <v>39</v>
      </c>
      <c r="AW27" t="s">
        <v>311</v>
      </c>
      <c r="AX27" t="s">
        <v>983</v>
      </c>
      <c r="AZ27" t="s">
        <v>605</v>
      </c>
      <c r="BA27" t="s">
        <v>326</v>
      </c>
      <c r="BB27" t="b">
        <v>0</v>
      </c>
      <c r="BC27" t="b">
        <v>0</v>
      </c>
      <c r="BD27" t="b">
        <v>0</v>
      </c>
      <c r="BE27" t="b">
        <v>0</v>
      </c>
      <c r="BF27" t="b">
        <v>0</v>
      </c>
      <c r="BG27" t="b">
        <v>0</v>
      </c>
      <c r="BH27" t="b">
        <v>0</v>
      </c>
      <c r="BI27" t="b">
        <v>0</v>
      </c>
      <c r="BJ27" t="b">
        <v>0</v>
      </c>
      <c r="BK27" t="b">
        <v>0</v>
      </c>
      <c r="BL27" t="b">
        <v>0</v>
      </c>
      <c r="BM27" t="b">
        <v>0</v>
      </c>
      <c r="BN27" t="b">
        <v>0</v>
      </c>
    </row>
    <row r="28" spans="1:66" x14ac:dyDescent="0.25">
      <c r="A28">
        <v>46689</v>
      </c>
      <c r="C28">
        <v>0</v>
      </c>
      <c r="D28" t="s">
        <v>279</v>
      </c>
      <c r="E28" t="s">
        <v>280</v>
      </c>
      <c r="F28" t="s">
        <v>324</v>
      </c>
      <c r="G28">
        <v>0</v>
      </c>
      <c r="H28" t="s">
        <v>60</v>
      </c>
      <c r="I28" t="s">
        <v>61</v>
      </c>
      <c r="J28" t="s">
        <v>1039</v>
      </c>
      <c r="K28" t="s">
        <v>1040</v>
      </c>
      <c r="L28" t="s">
        <v>1041</v>
      </c>
      <c r="M28" t="s">
        <v>300</v>
      </c>
      <c r="P28" t="s">
        <v>287</v>
      </c>
      <c r="R28" t="s">
        <v>289</v>
      </c>
      <c r="S28" t="s">
        <v>280</v>
      </c>
      <c r="V28" t="s">
        <v>290</v>
      </c>
      <c r="W28" t="s">
        <v>325</v>
      </c>
      <c r="X28">
        <v>0</v>
      </c>
      <c r="Y28">
        <v>0</v>
      </c>
      <c r="AB28">
        <v>0</v>
      </c>
      <c r="AC28">
        <v>0</v>
      </c>
      <c r="AG28" t="s">
        <v>978</v>
      </c>
      <c r="AH28" t="s">
        <v>979</v>
      </c>
      <c r="AI28" t="s">
        <v>292</v>
      </c>
      <c r="AL28" t="s">
        <v>293</v>
      </c>
      <c r="AM28" t="s">
        <v>980</v>
      </c>
      <c r="AN28" t="s">
        <v>1007</v>
      </c>
      <c r="AO28" t="s">
        <v>982</v>
      </c>
      <c r="AQ28" t="b">
        <v>1</v>
      </c>
      <c r="AR28" t="s">
        <v>279</v>
      </c>
      <c r="AS28">
        <v>0</v>
      </c>
      <c r="AT28">
        <v>0</v>
      </c>
      <c r="AV28">
        <v>39</v>
      </c>
      <c r="AW28" t="s">
        <v>311</v>
      </c>
      <c r="AX28" t="s">
        <v>983</v>
      </c>
      <c r="AZ28" t="s">
        <v>605</v>
      </c>
      <c r="BA28" t="s">
        <v>326</v>
      </c>
      <c r="BB28" t="b">
        <v>0</v>
      </c>
      <c r="BC28" t="b">
        <v>0</v>
      </c>
      <c r="BD28" t="b">
        <v>0</v>
      </c>
      <c r="BE28" t="b">
        <v>0</v>
      </c>
      <c r="BF28" t="b">
        <v>0</v>
      </c>
      <c r="BG28" t="b">
        <v>0</v>
      </c>
      <c r="BH28" t="b">
        <v>0</v>
      </c>
      <c r="BI28" t="b">
        <v>0</v>
      </c>
      <c r="BJ28" t="b">
        <v>0</v>
      </c>
      <c r="BK28" t="b">
        <v>0</v>
      </c>
      <c r="BL28" t="b">
        <v>0</v>
      </c>
      <c r="BM28" t="b">
        <v>0</v>
      </c>
      <c r="BN28" t="b">
        <v>0</v>
      </c>
    </row>
    <row r="29" spans="1:66" x14ac:dyDescent="0.25">
      <c r="A29">
        <v>46689</v>
      </c>
      <c r="C29">
        <v>0</v>
      </c>
      <c r="D29" t="s">
        <v>279</v>
      </c>
      <c r="E29" t="s">
        <v>328</v>
      </c>
      <c r="F29" t="s">
        <v>324</v>
      </c>
      <c r="G29">
        <v>0</v>
      </c>
      <c r="H29" t="s">
        <v>60</v>
      </c>
      <c r="I29" t="s">
        <v>61</v>
      </c>
      <c r="J29" t="s">
        <v>1039</v>
      </c>
      <c r="K29" t="s">
        <v>1040</v>
      </c>
      <c r="L29" t="s">
        <v>1042</v>
      </c>
      <c r="M29" t="s">
        <v>300</v>
      </c>
      <c r="P29" t="s">
        <v>330</v>
      </c>
      <c r="R29" t="s">
        <v>331</v>
      </c>
      <c r="S29" t="s">
        <v>328</v>
      </c>
      <c r="V29" t="s">
        <v>332</v>
      </c>
      <c r="W29" t="s">
        <v>325</v>
      </c>
      <c r="X29">
        <v>0</v>
      </c>
      <c r="Y29">
        <v>0</v>
      </c>
      <c r="AB29">
        <v>0</v>
      </c>
      <c r="AC29">
        <v>0</v>
      </c>
      <c r="AG29" t="s">
        <v>978</v>
      </c>
      <c r="AH29" t="s">
        <v>979</v>
      </c>
      <c r="AI29" t="s">
        <v>292</v>
      </c>
      <c r="AL29" t="s">
        <v>293</v>
      </c>
      <c r="AM29" t="s">
        <v>980</v>
      </c>
      <c r="AN29" t="s">
        <v>991</v>
      </c>
      <c r="AO29" t="s">
        <v>986</v>
      </c>
      <c r="AQ29" t="b">
        <v>1</v>
      </c>
      <c r="AR29" t="s">
        <v>279</v>
      </c>
      <c r="AS29">
        <v>0</v>
      </c>
      <c r="AT29">
        <v>0</v>
      </c>
      <c r="AV29">
        <v>39</v>
      </c>
      <c r="AW29" t="s">
        <v>311</v>
      </c>
      <c r="AX29" t="s">
        <v>983</v>
      </c>
      <c r="AZ29" t="s">
        <v>605</v>
      </c>
      <c r="BA29" t="s">
        <v>326</v>
      </c>
      <c r="BB29" t="b">
        <v>0</v>
      </c>
      <c r="BC29" t="b">
        <v>0</v>
      </c>
      <c r="BD29" t="b">
        <v>0</v>
      </c>
      <c r="BE29" t="b">
        <v>0</v>
      </c>
      <c r="BF29" t="b">
        <v>0</v>
      </c>
      <c r="BG29" t="b">
        <v>0</v>
      </c>
      <c r="BH29" t="b">
        <v>0</v>
      </c>
      <c r="BI29" t="b">
        <v>0</v>
      </c>
      <c r="BJ29" t="b">
        <v>0</v>
      </c>
      <c r="BK29" t="b">
        <v>0</v>
      </c>
      <c r="BL29" t="b">
        <v>0</v>
      </c>
      <c r="BM29" t="b">
        <v>0</v>
      </c>
      <c r="BN29" t="b">
        <v>0</v>
      </c>
    </row>
    <row r="30" spans="1:66" x14ac:dyDescent="0.25">
      <c r="A30">
        <v>46689</v>
      </c>
      <c r="C30">
        <v>0</v>
      </c>
      <c r="D30" t="s">
        <v>279</v>
      </c>
      <c r="E30" t="s">
        <v>280</v>
      </c>
      <c r="F30" t="s">
        <v>324</v>
      </c>
      <c r="G30">
        <v>0</v>
      </c>
      <c r="H30" t="s">
        <v>60</v>
      </c>
      <c r="I30" t="s">
        <v>61</v>
      </c>
      <c r="J30" t="s">
        <v>1043</v>
      </c>
      <c r="K30" t="s">
        <v>1044</v>
      </c>
      <c r="L30" t="s">
        <v>1045</v>
      </c>
      <c r="M30" t="s">
        <v>300</v>
      </c>
      <c r="P30" t="s">
        <v>287</v>
      </c>
      <c r="R30" t="s">
        <v>289</v>
      </c>
      <c r="S30" t="s">
        <v>280</v>
      </c>
      <c r="V30" t="s">
        <v>290</v>
      </c>
      <c r="W30" t="s">
        <v>325</v>
      </c>
      <c r="X30">
        <v>0</v>
      </c>
      <c r="Y30">
        <v>0</v>
      </c>
      <c r="AB30">
        <v>0</v>
      </c>
      <c r="AC30">
        <v>0</v>
      </c>
      <c r="AG30" t="s">
        <v>978</v>
      </c>
      <c r="AH30" t="s">
        <v>979</v>
      </c>
      <c r="AI30" t="s">
        <v>292</v>
      </c>
      <c r="AL30" t="s">
        <v>293</v>
      </c>
      <c r="AM30" t="s">
        <v>980</v>
      </c>
      <c r="AN30" t="s">
        <v>1014</v>
      </c>
      <c r="AO30" t="s">
        <v>982</v>
      </c>
      <c r="AQ30" t="b">
        <v>1</v>
      </c>
      <c r="AR30" t="s">
        <v>279</v>
      </c>
      <c r="AS30">
        <v>0</v>
      </c>
      <c r="AT30">
        <v>0</v>
      </c>
      <c r="AV30">
        <v>39</v>
      </c>
      <c r="AW30" t="s">
        <v>311</v>
      </c>
      <c r="AX30" t="s">
        <v>983</v>
      </c>
      <c r="AZ30" t="s">
        <v>605</v>
      </c>
      <c r="BA30" t="s">
        <v>326</v>
      </c>
      <c r="BB30" t="b">
        <v>0</v>
      </c>
      <c r="BC30" t="b">
        <v>0</v>
      </c>
      <c r="BD30" t="b">
        <v>0</v>
      </c>
      <c r="BE30" t="b">
        <v>0</v>
      </c>
      <c r="BF30" t="b">
        <v>0</v>
      </c>
      <c r="BG30" t="b">
        <v>0</v>
      </c>
      <c r="BH30" t="b">
        <v>0</v>
      </c>
      <c r="BI30" t="b">
        <v>0</v>
      </c>
      <c r="BJ30" t="b">
        <v>0</v>
      </c>
      <c r="BK30" t="b">
        <v>0</v>
      </c>
      <c r="BL30" t="b">
        <v>0</v>
      </c>
      <c r="BM30" t="b">
        <v>0</v>
      </c>
      <c r="BN30" t="b">
        <v>0</v>
      </c>
    </row>
    <row r="31" spans="1:66" x14ac:dyDescent="0.25">
      <c r="A31">
        <v>46689</v>
      </c>
      <c r="C31">
        <v>0</v>
      </c>
      <c r="D31" t="s">
        <v>279</v>
      </c>
      <c r="E31" t="s">
        <v>328</v>
      </c>
      <c r="F31" t="s">
        <v>324</v>
      </c>
      <c r="G31">
        <v>0</v>
      </c>
      <c r="H31" t="s">
        <v>60</v>
      </c>
      <c r="I31" t="s">
        <v>61</v>
      </c>
      <c r="J31" t="s">
        <v>1043</v>
      </c>
      <c r="K31" t="s">
        <v>1044</v>
      </c>
      <c r="L31" t="s">
        <v>1046</v>
      </c>
      <c r="M31" t="s">
        <v>300</v>
      </c>
      <c r="P31" t="s">
        <v>330</v>
      </c>
      <c r="R31" t="s">
        <v>331</v>
      </c>
      <c r="S31" t="s">
        <v>328</v>
      </c>
      <c r="V31" t="s">
        <v>332</v>
      </c>
      <c r="W31" t="s">
        <v>325</v>
      </c>
      <c r="X31">
        <v>0</v>
      </c>
      <c r="Y31">
        <v>0</v>
      </c>
      <c r="AB31">
        <v>0</v>
      </c>
      <c r="AC31">
        <v>0</v>
      </c>
      <c r="AG31" t="s">
        <v>978</v>
      </c>
      <c r="AH31" t="s">
        <v>979</v>
      </c>
      <c r="AI31" t="s">
        <v>292</v>
      </c>
      <c r="AL31" t="s">
        <v>293</v>
      </c>
      <c r="AM31" t="s">
        <v>980</v>
      </c>
      <c r="AN31" t="s">
        <v>1004</v>
      </c>
      <c r="AO31" t="s">
        <v>986</v>
      </c>
      <c r="AQ31" t="b">
        <v>1</v>
      </c>
      <c r="AR31" t="s">
        <v>279</v>
      </c>
      <c r="AS31">
        <v>0</v>
      </c>
      <c r="AT31">
        <v>0</v>
      </c>
      <c r="AV31">
        <v>39</v>
      </c>
      <c r="AW31" t="s">
        <v>311</v>
      </c>
      <c r="AX31" t="s">
        <v>983</v>
      </c>
      <c r="AZ31" t="s">
        <v>605</v>
      </c>
      <c r="BA31" t="s">
        <v>326</v>
      </c>
      <c r="BB31" t="b">
        <v>0</v>
      </c>
      <c r="BC31" t="b">
        <v>0</v>
      </c>
      <c r="BD31" t="b">
        <v>0</v>
      </c>
      <c r="BE31" t="b">
        <v>0</v>
      </c>
      <c r="BF31" t="b">
        <v>0</v>
      </c>
      <c r="BG31" t="b">
        <v>0</v>
      </c>
      <c r="BH31" t="b">
        <v>0</v>
      </c>
      <c r="BI31" t="b">
        <v>0</v>
      </c>
      <c r="BJ31" t="b">
        <v>0</v>
      </c>
      <c r="BK31" t="b">
        <v>0</v>
      </c>
      <c r="BL31" t="b">
        <v>0</v>
      </c>
      <c r="BM31" t="b">
        <v>0</v>
      </c>
      <c r="BN31" t="b">
        <v>0</v>
      </c>
    </row>
    <row r="32" spans="1:66" x14ac:dyDescent="0.25">
      <c r="A32">
        <v>46689</v>
      </c>
      <c r="C32">
        <v>0</v>
      </c>
      <c r="D32" t="s">
        <v>279</v>
      </c>
      <c r="E32" t="s">
        <v>280</v>
      </c>
      <c r="F32" t="s">
        <v>324</v>
      </c>
      <c r="G32">
        <v>0</v>
      </c>
      <c r="H32" t="s">
        <v>60</v>
      </c>
      <c r="I32" t="s">
        <v>61</v>
      </c>
      <c r="J32" t="s">
        <v>1047</v>
      </c>
      <c r="K32" t="s">
        <v>1048</v>
      </c>
      <c r="L32" t="s">
        <v>1049</v>
      </c>
      <c r="M32" t="s">
        <v>300</v>
      </c>
      <c r="P32" t="s">
        <v>287</v>
      </c>
      <c r="R32" t="s">
        <v>289</v>
      </c>
      <c r="S32" t="s">
        <v>280</v>
      </c>
      <c r="V32" t="s">
        <v>290</v>
      </c>
      <c r="W32" t="s">
        <v>325</v>
      </c>
      <c r="X32">
        <v>0</v>
      </c>
      <c r="Y32">
        <v>0</v>
      </c>
      <c r="AB32">
        <v>0</v>
      </c>
      <c r="AC32">
        <v>0</v>
      </c>
      <c r="AG32" t="s">
        <v>978</v>
      </c>
      <c r="AH32" t="s">
        <v>979</v>
      </c>
      <c r="AI32" t="s">
        <v>292</v>
      </c>
      <c r="AL32" t="s">
        <v>293</v>
      </c>
      <c r="AM32" t="s">
        <v>980</v>
      </c>
      <c r="AN32" t="s">
        <v>1033</v>
      </c>
      <c r="AO32" t="s">
        <v>982</v>
      </c>
      <c r="AQ32" t="b">
        <v>1</v>
      </c>
      <c r="AR32" t="s">
        <v>279</v>
      </c>
      <c r="AS32">
        <v>0</v>
      </c>
      <c r="AT32">
        <v>0</v>
      </c>
      <c r="AV32">
        <v>39</v>
      </c>
      <c r="AW32" t="s">
        <v>311</v>
      </c>
      <c r="AX32" t="s">
        <v>983</v>
      </c>
      <c r="AZ32" t="s">
        <v>605</v>
      </c>
      <c r="BA32" t="s">
        <v>326</v>
      </c>
      <c r="BB32" t="b">
        <v>0</v>
      </c>
      <c r="BC32" t="b">
        <v>0</v>
      </c>
      <c r="BD32" t="b">
        <v>0</v>
      </c>
      <c r="BE32" t="b">
        <v>0</v>
      </c>
      <c r="BF32" t="b">
        <v>0</v>
      </c>
      <c r="BG32" t="b">
        <v>0</v>
      </c>
      <c r="BH32" t="b">
        <v>0</v>
      </c>
      <c r="BI32" t="b">
        <v>0</v>
      </c>
      <c r="BJ32" t="b">
        <v>0</v>
      </c>
      <c r="BK32" t="b">
        <v>0</v>
      </c>
      <c r="BL32" t="b">
        <v>0</v>
      </c>
      <c r="BM32" t="b">
        <v>0</v>
      </c>
      <c r="BN32" t="b">
        <v>0</v>
      </c>
    </row>
    <row r="33" spans="1:66" x14ac:dyDescent="0.25">
      <c r="A33">
        <v>46689</v>
      </c>
      <c r="C33">
        <v>0</v>
      </c>
      <c r="D33" t="s">
        <v>279</v>
      </c>
      <c r="E33" t="s">
        <v>328</v>
      </c>
      <c r="F33" t="s">
        <v>324</v>
      </c>
      <c r="G33">
        <v>0</v>
      </c>
      <c r="H33" t="s">
        <v>60</v>
      </c>
      <c r="I33" t="s">
        <v>61</v>
      </c>
      <c r="J33" t="s">
        <v>1047</v>
      </c>
      <c r="K33" t="s">
        <v>1048</v>
      </c>
      <c r="L33" t="s">
        <v>1049</v>
      </c>
      <c r="M33" t="s">
        <v>300</v>
      </c>
      <c r="P33" t="s">
        <v>330</v>
      </c>
      <c r="R33" t="s">
        <v>331</v>
      </c>
      <c r="S33" t="s">
        <v>328</v>
      </c>
      <c r="V33" t="s">
        <v>332</v>
      </c>
      <c r="W33" t="s">
        <v>325</v>
      </c>
      <c r="X33">
        <v>0</v>
      </c>
      <c r="Y33">
        <v>0</v>
      </c>
      <c r="AB33">
        <v>0</v>
      </c>
      <c r="AC33">
        <v>0</v>
      </c>
      <c r="AG33" t="s">
        <v>978</v>
      </c>
      <c r="AH33" t="s">
        <v>979</v>
      </c>
      <c r="AI33" t="s">
        <v>292</v>
      </c>
      <c r="AL33" t="s">
        <v>293</v>
      </c>
      <c r="AM33" t="s">
        <v>980</v>
      </c>
      <c r="AN33" t="s">
        <v>1011</v>
      </c>
      <c r="AO33" t="s">
        <v>986</v>
      </c>
      <c r="AQ33" t="b">
        <v>1</v>
      </c>
      <c r="AR33" t="s">
        <v>279</v>
      </c>
      <c r="AS33">
        <v>0</v>
      </c>
      <c r="AT33">
        <v>0</v>
      </c>
      <c r="AV33">
        <v>39</v>
      </c>
      <c r="AW33" t="s">
        <v>311</v>
      </c>
      <c r="AX33" t="s">
        <v>983</v>
      </c>
      <c r="AZ33" t="s">
        <v>605</v>
      </c>
      <c r="BA33" t="s">
        <v>326</v>
      </c>
      <c r="BB33" t="b">
        <v>0</v>
      </c>
      <c r="BC33" t="b">
        <v>0</v>
      </c>
      <c r="BD33" t="b">
        <v>0</v>
      </c>
      <c r="BE33" t="b">
        <v>0</v>
      </c>
      <c r="BF33" t="b">
        <v>0</v>
      </c>
      <c r="BG33" t="b">
        <v>0</v>
      </c>
      <c r="BH33" t="b">
        <v>0</v>
      </c>
      <c r="BI33" t="b">
        <v>0</v>
      </c>
      <c r="BJ33" t="b">
        <v>0</v>
      </c>
      <c r="BK33" t="b">
        <v>0</v>
      </c>
      <c r="BL33" t="b">
        <v>0</v>
      </c>
      <c r="BM33" t="b">
        <v>0</v>
      </c>
      <c r="BN33" t="b">
        <v>0</v>
      </c>
    </row>
    <row r="34" spans="1:66" x14ac:dyDescent="0.25">
      <c r="A34">
        <v>46689</v>
      </c>
      <c r="C34">
        <v>0</v>
      </c>
      <c r="D34" t="s">
        <v>327</v>
      </c>
      <c r="E34" t="s">
        <v>280</v>
      </c>
      <c r="F34" t="s">
        <v>324</v>
      </c>
      <c r="G34">
        <v>0</v>
      </c>
      <c r="H34" t="s">
        <v>60</v>
      </c>
      <c r="I34" t="s">
        <v>61</v>
      </c>
      <c r="J34" t="s">
        <v>1050</v>
      </c>
      <c r="K34" t="s">
        <v>1051</v>
      </c>
      <c r="L34" t="s">
        <v>1052</v>
      </c>
      <c r="M34" t="s">
        <v>300</v>
      </c>
      <c r="P34" t="s">
        <v>287</v>
      </c>
      <c r="R34" t="s">
        <v>289</v>
      </c>
      <c r="S34" t="s">
        <v>280</v>
      </c>
      <c r="V34" t="s">
        <v>290</v>
      </c>
      <c r="W34" t="s">
        <v>325</v>
      </c>
      <c r="X34">
        <v>0</v>
      </c>
      <c r="Y34">
        <v>0</v>
      </c>
      <c r="AB34">
        <v>0</v>
      </c>
      <c r="AC34">
        <v>0</v>
      </c>
      <c r="AG34" t="s">
        <v>978</v>
      </c>
      <c r="AH34" t="s">
        <v>979</v>
      </c>
      <c r="AI34" t="s">
        <v>292</v>
      </c>
      <c r="AL34" t="s">
        <v>293</v>
      </c>
      <c r="AM34" t="s">
        <v>980</v>
      </c>
      <c r="AN34" t="s">
        <v>1014</v>
      </c>
      <c r="AO34" t="s">
        <v>982</v>
      </c>
      <c r="AQ34" t="b">
        <v>1</v>
      </c>
      <c r="AR34" t="s">
        <v>279</v>
      </c>
      <c r="AS34">
        <v>0</v>
      </c>
      <c r="AT34">
        <v>0</v>
      </c>
      <c r="AV34">
        <v>39</v>
      </c>
      <c r="AW34" t="s">
        <v>311</v>
      </c>
      <c r="AX34" t="s">
        <v>983</v>
      </c>
      <c r="AZ34" t="s">
        <v>605</v>
      </c>
      <c r="BA34" t="s">
        <v>326</v>
      </c>
      <c r="BB34" t="b">
        <v>0</v>
      </c>
      <c r="BC34" t="b">
        <v>0</v>
      </c>
      <c r="BD34" t="b">
        <v>0</v>
      </c>
      <c r="BE34" t="b">
        <v>0</v>
      </c>
      <c r="BF34" t="b">
        <v>0</v>
      </c>
      <c r="BG34" t="b">
        <v>0</v>
      </c>
      <c r="BH34" t="b">
        <v>0</v>
      </c>
      <c r="BI34" t="b">
        <v>0</v>
      </c>
      <c r="BJ34" t="b">
        <v>0</v>
      </c>
      <c r="BK34" t="b">
        <v>0</v>
      </c>
      <c r="BL34" t="b">
        <v>0</v>
      </c>
      <c r="BM34" t="b">
        <v>0</v>
      </c>
      <c r="BN34" t="b">
        <v>0</v>
      </c>
    </row>
    <row r="35" spans="1:66" x14ac:dyDescent="0.25">
      <c r="A35">
        <v>46689</v>
      </c>
      <c r="C35">
        <v>0</v>
      </c>
      <c r="D35" t="s">
        <v>279</v>
      </c>
      <c r="E35" t="s">
        <v>328</v>
      </c>
      <c r="F35" t="s">
        <v>324</v>
      </c>
      <c r="G35">
        <v>0</v>
      </c>
      <c r="H35" t="s">
        <v>60</v>
      </c>
      <c r="I35" t="s">
        <v>61</v>
      </c>
      <c r="J35" t="s">
        <v>1050</v>
      </c>
      <c r="K35" t="s">
        <v>1051</v>
      </c>
      <c r="L35" t="s">
        <v>1053</v>
      </c>
      <c r="M35" t="s">
        <v>300</v>
      </c>
      <c r="P35" t="s">
        <v>330</v>
      </c>
      <c r="R35" t="s">
        <v>331</v>
      </c>
      <c r="S35" t="s">
        <v>328</v>
      </c>
      <c r="V35" t="s">
        <v>332</v>
      </c>
      <c r="W35" t="s">
        <v>325</v>
      </c>
      <c r="X35">
        <v>0</v>
      </c>
      <c r="Y35">
        <v>0</v>
      </c>
      <c r="AB35">
        <v>0</v>
      </c>
      <c r="AC35">
        <v>0</v>
      </c>
      <c r="AG35" t="s">
        <v>978</v>
      </c>
      <c r="AH35" t="s">
        <v>979</v>
      </c>
      <c r="AI35" t="s">
        <v>292</v>
      </c>
      <c r="AL35" t="s">
        <v>293</v>
      </c>
      <c r="AM35" t="s">
        <v>980</v>
      </c>
      <c r="AN35" t="s">
        <v>1034</v>
      </c>
      <c r="AO35" t="s">
        <v>986</v>
      </c>
      <c r="AQ35" t="b">
        <v>1</v>
      </c>
      <c r="AR35" t="s">
        <v>279</v>
      </c>
      <c r="AS35">
        <v>0</v>
      </c>
      <c r="AT35">
        <v>0</v>
      </c>
      <c r="AV35">
        <v>39</v>
      </c>
      <c r="AW35" t="s">
        <v>311</v>
      </c>
      <c r="AX35" t="s">
        <v>983</v>
      </c>
      <c r="AZ35" t="s">
        <v>605</v>
      </c>
      <c r="BA35" t="s">
        <v>326</v>
      </c>
      <c r="BB35" t="b">
        <v>0</v>
      </c>
      <c r="BC35" t="b">
        <v>0</v>
      </c>
      <c r="BD35" t="b">
        <v>0</v>
      </c>
      <c r="BE35" t="b">
        <v>0</v>
      </c>
      <c r="BF35" t="b">
        <v>0</v>
      </c>
      <c r="BG35" t="b">
        <v>0</v>
      </c>
      <c r="BH35" t="b">
        <v>0</v>
      </c>
      <c r="BI35" t="b">
        <v>0</v>
      </c>
      <c r="BJ35" t="b">
        <v>0</v>
      </c>
      <c r="BK35" t="b">
        <v>0</v>
      </c>
      <c r="BL35" t="b">
        <v>0</v>
      </c>
      <c r="BM35" t="b">
        <v>0</v>
      </c>
      <c r="BN35" t="b">
        <v>0</v>
      </c>
    </row>
    <row r="36" spans="1:66" x14ac:dyDescent="0.25">
      <c r="A36">
        <v>46689</v>
      </c>
      <c r="C36">
        <v>0</v>
      </c>
      <c r="D36" t="s">
        <v>279</v>
      </c>
      <c r="E36" t="s">
        <v>280</v>
      </c>
      <c r="F36" t="s">
        <v>324</v>
      </c>
      <c r="G36">
        <v>0</v>
      </c>
      <c r="H36" t="s">
        <v>60</v>
      </c>
      <c r="I36" t="s">
        <v>61</v>
      </c>
      <c r="J36" t="s">
        <v>1054</v>
      </c>
      <c r="K36" t="s">
        <v>1055</v>
      </c>
      <c r="L36" t="s">
        <v>1056</v>
      </c>
      <c r="M36" t="s">
        <v>300</v>
      </c>
      <c r="P36" t="s">
        <v>287</v>
      </c>
      <c r="R36" t="s">
        <v>289</v>
      </c>
      <c r="S36" t="s">
        <v>280</v>
      </c>
      <c r="V36" t="s">
        <v>290</v>
      </c>
      <c r="W36" t="s">
        <v>325</v>
      </c>
      <c r="X36">
        <v>0</v>
      </c>
      <c r="Y36">
        <v>0</v>
      </c>
      <c r="AB36">
        <v>0</v>
      </c>
      <c r="AC36">
        <v>0</v>
      </c>
      <c r="AG36" t="s">
        <v>978</v>
      </c>
      <c r="AH36" t="s">
        <v>979</v>
      </c>
      <c r="AI36" t="s">
        <v>292</v>
      </c>
      <c r="AL36" t="s">
        <v>293</v>
      </c>
      <c r="AM36" t="s">
        <v>980</v>
      </c>
      <c r="AN36" t="s">
        <v>1033</v>
      </c>
      <c r="AO36" t="s">
        <v>982</v>
      </c>
      <c r="AQ36" t="b">
        <v>1</v>
      </c>
      <c r="AR36" t="s">
        <v>279</v>
      </c>
      <c r="AS36">
        <v>0</v>
      </c>
      <c r="AT36">
        <v>0</v>
      </c>
      <c r="AV36">
        <v>39</v>
      </c>
      <c r="AW36" t="s">
        <v>311</v>
      </c>
      <c r="AX36" t="s">
        <v>983</v>
      </c>
      <c r="AZ36" t="s">
        <v>605</v>
      </c>
      <c r="BA36" t="s">
        <v>326</v>
      </c>
      <c r="BB36" t="b">
        <v>0</v>
      </c>
      <c r="BC36" t="b">
        <v>0</v>
      </c>
      <c r="BD36" t="b">
        <v>0</v>
      </c>
      <c r="BE36" t="b">
        <v>0</v>
      </c>
      <c r="BF36" t="b">
        <v>0</v>
      </c>
      <c r="BG36" t="b">
        <v>0</v>
      </c>
      <c r="BH36" t="b">
        <v>0</v>
      </c>
      <c r="BI36" t="b">
        <v>0</v>
      </c>
      <c r="BJ36" t="b">
        <v>0</v>
      </c>
      <c r="BK36" t="b">
        <v>0</v>
      </c>
      <c r="BL36" t="b">
        <v>0</v>
      </c>
      <c r="BM36" t="b">
        <v>0</v>
      </c>
      <c r="BN36" t="b">
        <v>0</v>
      </c>
    </row>
    <row r="37" spans="1:66" x14ac:dyDescent="0.25">
      <c r="A37">
        <v>46689</v>
      </c>
      <c r="C37">
        <v>0</v>
      </c>
      <c r="D37" t="s">
        <v>279</v>
      </c>
      <c r="E37" t="s">
        <v>328</v>
      </c>
      <c r="F37" t="s">
        <v>324</v>
      </c>
      <c r="G37">
        <v>0</v>
      </c>
      <c r="H37" t="s">
        <v>60</v>
      </c>
      <c r="I37" t="s">
        <v>61</v>
      </c>
      <c r="J37" t="s">
        <v>1054</v>
      </c>
      <c r="K37" t="s">
        <v>1055</v>
      </c>
      <c r="L37" t="s">
        <v>1056</v>
      </c>
      <c r="M37" t="s">
        <v>300</v>
      </c>
      <c r="P37" t="s">
        <v>330</v>
      </c>
      <c r="R37" t="s">
        <v>331</v>
      </c>
      <c r="S37" t="s">
        <v>328</v>
      </c>
      <c r="V37" t="s">
        <v>332</v>
      </c>
      <c r="W37" t="s">
        <v>325</v>
      </c>
      <c r="X37">
        <v>0</v>
      </c>
      <c r="Y37">
        <v>0</v>
      </c>
      <c r="AB37">
        <v>0</v>
      </c>
      <c r="AC37">
        <v>0</v>
      </c>
      <c r="AG37" t="s">
        <v>978</v>
      </c>
      <c r="AH37" t="s">
        <v>979</v>
      </c>
      <c r="AI37" t="s">
        <v>292</v>
      </c>
      <c r="AL37" t="s">
        <v>293</v>
      </c>
      <c r="AM37" t="s">
        <v>980</v>
      </c>
      <c r="AN37" t="s">
        <v>991</v>
      </c>
      <c r="AO37" t="s">
        <v>986</v>
      </c>
      <c r="AQ37" t="b">
        <v>1</v>
      </c>
      <c r="AR37" t="s">
        <v>279</v>
      </c>
      <c r="AS37">
        <v>0</v>
      </c>
      <c r="AT37">
        <v>0</v>
      </c>
      <c r="AV37">
        <v>39</v>
      </c>
      <c r="AW37" t="s">
        <v>311</v>
      </c>
      <c r="AX37" t="s">
        <v>983</v>
      </c>
      <c r="AZ37" t="s">
        <v>605</v>
      </c>
      <c r="BA37" t="s">
        <v>326</v>
      </c>
      <c r="BB37" t="b">
        <v>0</v>
      </c>
      <c r="BC37" t="b">
        <v>0</v>
      </c>
      <c r="BD37" t="b">
        <v>0</v>
      </c>
      <c r="BE37" t="b">
        <v>0</v>
      </c>
      <c r="BF37" t="b">
        <v>0</v>
      </c>
      <c r="BG37" t="b">
        <v>0</v>
      </c>
      <c r="BH37" t="b">
        <v>0</v>
      </c>
      <c r="BI37" t="b">
        <v>0</v>
      </c>
      <c r="BJ37" t="b">
        <v>0</v>
      </c>
      <c r="BK37" t="b">
        <v>0</v>
      </c>
      <c r="BL37" t="b">
        <v>0</v>
      </c>
      <c r="BM37" t="b">
        <v>0</v>
      </c>
      <c r="BN37" t="b">
        <v>0</v>
      </c>
    </row>
    <row r="38" spans="1:66" x14ac:dyDescent="0.25">
      <c r="A38">
        <v>46689</v>
      </c>
      <c r="C38">
        <v>0</v>
      </c>
      <c r="D38" t="s">
        <v>279</v>
      </c>
      <c r="E38" t="s">
        <v>280</v>
      </c>
      <c r="F38" t="s">
        <v>324</v>
      </c>
      <c r="G38">
        <v>0</v>
      </c>
      <c r="H38" t="s">
        <v>60</v>
      </c>
      <c r="I38" t="s">
        <v>61</v>
      </c>
      <c r="J38" t="s">
        <v>1057</v>
      </c>
      <c r="K38" t="s">
        <v>1058</v>
      </c>
      <c r="L38" t="s">
        <v>1059</v>
      </c>
      <c r="M38" t="s">
        <v>300</v>
      </c>
      <c r="P38" t="s">
        <v>287</v>
      </c>
      <c r="R38" t="s">
        <v>289</v>
      </c>
      <c r="S38" t="s">
        <v>280</v>
      </c>
      <c r="V38" t="s">
        <v>290</v>
      </c>
      <c r="W38" t="s">
        <v>325</v>
      </c>
      <c r="X38">
        <v>0</v>
      </c>
      <c r="Y38">
        <v>0</v>
      </c>
      <c r="AB38">
        <v>0</v>
      </c>
      <c r="AC38">
        <v>0</v>
      </c>
      <c r="AG38" t="s">
        <v>978</v>
      </c>
      <c r="AH38" t="s">
        <v>979</v>
      </c>
      <c r="AI38" t="s">
        <v>292</v>
      </c>
      <c r="AL38" t="s">
        <v>293</v>
      </c>
      <c r="AM38" t="s">
        <v>980</v>
      </c>
      <c r="AN38" t="s">
        <v>1060</v>
      </c>
      <c r="AO38" t="s">
        <v>982</v>
      </c>
      <c r="AQ38" t="b">
        <v>1</v>
      </c>
      <c r="AR38" t="s">
        <v>279</v>
      </c>
      <c r="AS38">
        <v>0</v>
      </c>
      <c r="AT38">
        <v>0</v>
      </c>
      <c r="AV38">
        <v>39</v>
      </c>
      <c r="AW38" t="s">
        <v>311</v>
      </c>
      <c r="AX38" t="s">
        <v>983</v>
      </c>
      <c r="AZ38" t="s">
        <v>605</v>
      </c>
      <c r="BA38" t="s">
        <v>326</v>
      </c>
      <c r="BB38" t="b">
        <v>0</v>
      </c>
      <c r="BC38" t="b">
        <v>0</v>
      </c>
      <c r="BD38" t="b">
        <v>0</v>
      </c>
      <c r="BE38" t="b">
        <v>0</v>
      </c>
      <c r="BF38" t="b">
        <v>0</v>
      </c>
      <c r="BG38" t="b">
        <v>0</v>
      </c>
      <c r="BH38" t="b">
        <v>0</v>
      </c>
      <c r="BI38" t="b">
        <v>0</v>
      </c>
      <c r="BJ38" t="b">
        <v>0</v>
      </c>
      <c r="BK38" t="b">
        <v>0</v>
      </c>
      <c r="BL38" t="b">
        <v>0</v>
      </c>
      <c r="BM38" t="b">
        <v>0</v>
      </c>
      <c r="BN38" t="b">
        <v>0</v>
      </c>
    </row>
    <row r="39" spans="1:66" x14ac:dyDescent="0.25">
      <c r="A39">
        <v>46689</v>
      </c>
      <c r="C39">
        <v>0</v>
      </c>
      <c r="D39" t="s">
        <v>279</v>
      </c>
      <c r="E39" t="s">
        <v>328</v>
      </c>
      <c r="F39" t="s">
        <v>324</v>
      </c>
      <c r="G39">
        <v>0</v>
      </c>
      <c r="H39" t="s">
        <v>60</v>
      </c>
      <c r="I39" t="s">
        <v>61</v>
      </c>
      <c r="J39" t="s">
        <v>1057</v>
      </c>
      <c r="K39" t="s">
        <v>1058</v>
      </c>
      <c r="L39" t="s">
        <v>1059</v>
      </c>
      <c r="M39" t="s">
        <v>300</v>
      </c>
      <c r="P39" t="s">
        <v>330</v>
      </c>
      <c r="R39" t="s">
        <v>331</v>
      </c>
      <c r="S39" t="s">
        <v>328</v>
      </c>
      <c r="V39" t="s">
        <v>332</v>
      </c>
      <c r="W39" t="s">
        <v>325</v>
      </c>
      <c r="X39">
        <v>0</v>
      </c>
      <c r="Y39">
        <v>0</v>
      </c>
      <c r="AB39">
        <v>0</v>
      </c>
      <c r="AC39">
        <v>0</v>
      </c>
      <c r="AG39" t="s">
        <v>978</v>
      </c>
      <c r="AH39" t="s">
        <v>979</v>
      </c>
      <c r="AI39" t="s">
        <v>292</v>
      </c>
      <c r="AL39" t="s">
        <v>293</v>
      </c>
      <c r="AM39" t="s">
        <v>980</v>
      </c>
      <c r="AN39" t="s">
        <v>1008</v>
      </c>
      <c r="AO39" t="s">
        <v>986</v>
      </c>
      <c r="AQ39" t="b">
        <v>1</v>
      </c>
      <c r="AR39" t="s">
        <v>279</v>
      </c>
      <c r="AS39">
        <v>0</v>
      </c>
      <c r="AT39">
        <v>0</v>
      </c>
      <c r="AV39">
        <v>39</v>
      </c>
      <c r="AW39" t="s">
        <v>311</v>
      </c>
      <c r="AX39" t="s">
        <v>983</v>
      </c>
      <c r="AZ39" t="s">
        <v>605</v>
      </c>
      <c r="BA39" t="s">
        <v>326</v>
      </c>
      <c r="BB39" t="b">
        <v>0</v>
      </c>
      <c r="BC39" t="b">
        <v>0</v>
      </c>
      <c r="BD39" t="b">
        <v>0</v>
      </c>
      <c r="BE39" t="b">
        <v>0</v>
      </c>
      <c r="BF39" t="b">
        <v>0</v>
      </c>
      <c r="BG39" t="b">
        <v>0</v>
      </c>
      <c r="BH39" t="b">
        <v>0</v>
      </c>
      <c r="BI39" t="b">
        <v>0</v>
      </c>
      <c r="BJ39" t="b">
        <v>0</v>
      </c>
      <c r="BK39" t="b">
        <v>0</v>
      </c>
      <c r="BL39" t="b">
        <v>0</v>
      </c>
      <c r="BM39" t="b">
        <v>0</v>
      </c>
      <c r="BN39" t="b">
        <v>0</v>
      </c>
    </row>
    <row r="40" spans="1:66" x14ac:dyDescent="0.25">
      <c r="A40">
        <v>25203</v>
      </c>
      <c r="C40">
        <v>0</v>
      </c>
      <c r="D40" t="s">
        <v>279</v>
      </c>
      <c r="E40" t="s">
        <v>280</v>
      </c>
      <c r="F40" t="s">
        <v>281</v>
      </c>
      <c r="G40">
        <v>0</v>
      </c>
      <c r="H40" t="s">
        <v>305</v>
      </c>
      <c r="I40" t="s">
        <v>306</v>
      </c>
      <c r="J40" t="s">
        <v>1061</v>
      </c>
      <c r="K40" t="s">
        <v>1062</v>
      </c>
      <c r="L40" t="s">
        <v>307</v>
      </c>
      <c r="M40" t="s">
        <v>308</v>
      </c>
      <c r="O40" t="s">
        <v>309</v>
      </c>
      <c r="P40" t="s">
        <v>287</v>
      </c>
      <c r="Q40" t="s">
        <v>288</v>
      </c>
      <c r="R40" t="s">
        <v>289</v>
      </c>
      <c r="S40" t="s">
        <v>280</v>
      </c>
      <c r="V40" t="s">
        <v>290</v>
      </c>
      <c r="W40" t="s">
        <v>310</v>
      </c>
      <c r="X40">
        <v>0</v>
      </c>
      <c r="Y40">
        <v>0</v>
      </c>
      <c r="AB40">
        <v>0</v>
      </c>
      <c r="AC40">
        <v>0</v>
      </c>
      <c r="AG40" t="s">
        <v>978</v>
      </c>
      <c r="AH40" t="s">
        <v>979</v>
      </c>
      <c r="AI40" t="s">
        <v>292</v>
      </c>
      <c r="AJ40" t="s">
        <v>979</v>
      </c>
      <c r="AK40" t="s">
        <v>979</v>
      </c>
      <c r="AL40" t="s">
        <v>293</v>
      </c>
      <c r="AM40" t="s">
        <v>980</v>
      </c>
      <c r="AN40" t="s">
        <v>1063</v>
      </c>
      <c r="AO40" t="s">
        <v>982</v>
      </c>
      <c r="AQ40" t="b">
        <v>1</v>
      </c>
      <c r="AR40" t="s">
        <v>279</v>
      </c>
      <c r="AS40">
        <v>0</v>
      </c>
      <c r="AT40">
        <v>0</v>
      </c>
      <c r="AU40" t="s">
        <v>64</v>
      </c>
      <c r="AV40">
        <v>30</v>
      </c>
      <c r="AW40" t="s">
        <v>311</v>
      </c>
      <c r="AX40">
        <v>1.21</v>
      </c>
      <c r="AZ40" t="s">
        <v>312</v>
      </c>
      <c r="BA40" t="s">
        <v>313</v>
      </c>
      <c r="BB40" t="b">
        <v>0</v>
      </c>
      <c r="BC40" t="b">
        <v>0</v>
      </c>
      <c r="BD40" t="b">
        <v>0</v>
      </c>
      <c r="BE40" t="b">
        <v>0</v>
      </c>
      <c r="BF40" t="b">
        <v>0</v>
      </c>
      <c r="BG40" t="b">
        <v>0</v>
      </c>
      <c r="BH40" t="b">
        <v>0</v>
      </c>
      <c r="BI40" t="b">
        <v>0</v>
      </c>
      <c r="BJ40" t="b">
        <v>0</v>
      </c>
      <c r="BK40" t="b">
        <v>0</v>
      </c>
      <c r="BL40" t="b">
        <v>0</v>
      </c>
      <c r="BM40" t="b">
        <v>0</v>
      </c>
      <c r="BN40" t="b">
        <v>0</v>
      </c>
    </row>
    <row r="41" spans="1:66" x14ac:dyDescent="0.25">
      <c r="A41">
        <v>141118</v>
      </c>
      <c r="C41">
        <v>0</v>
      </c>
      <c r="D41" t="s">
        <v>279</v>
      </c>
      <c r="E41" t="s">
        <v>280</v>
      </c>
      <c r="F41" t="s">
        <v>281</v>
      </c>
      <c r="G41">
        <v>22</v>
      </c>
      <c r="H41" t="s">
        <v>319</v>
      </c>
      <c r="I41" t="s">
        <v>320</v>
      </c>
      <c r="J41" t="s">
        <v>1061</v>
      </c>
      <c r="K41" t="s">
        <v>1062</v>
      </c>
      <c r="L41" t="s">
        <v>1064</v>
      </c>
      <c r="M41" t="s">
        <v>300</v>
      </c>
      <c r="O41" t="s">
        <v>321</v>
      </c>
      <c r="P41" t="s">
        <v>287</v>
      </c>
      <c r="Q41" t="s">
        <v>288</v>
      </c>
      <c r="R41" t="s">
        <v>289</v>
      </c>
      <c r="S41" t="s">
        <v>280</v>
      </c>
      <c r="V41" t="s">
        <v>290</v>
      </c>
      <c r="W41" t="s">
        <v>301</v>
      </c>
      <c r="X41">
        <v>0</v>
      </c>
      <c r="Y41">
        <v>0</v>
      </c>
      <c r="AB41">
        <v>0</v>
      </c>
      <c r="AC41">
        <v>0</v>
      </c>
      <c r="AG41" t="s">
        <v>978</v>
      </c>
      <c r="AH41" t="s">
        <v>979</v>
      </c>
      <c r="AI41" t="s">
        <v>292</v>
      </c>
      <c r="AJ41" t="s">
        <v>979</v>
      </c>
      <c r="AK41" t="s">
        <v>979</v>
      </c>
      <c r="AL41" t="s">
        <v>293</v>
      </c>
      <c r="AM41" t="s">
        <v>980</v>
      </c>
      <c r="AN41" t="s">
        <v>1065</v>
      </c>
      <c r="AO41" t="s">
        <v>982</v>
      </c>
      <c r="AQ41" t="b">
        <v>1</v>
      </c>
      <c r="AR41" t="s">
        <v>279</v>
      </c>
      <c r="AS41">
        <v>0</v>
      </c>
      <c r="AT41">
        <v>0</v>
      </c>
      <c r="AU41" t="s">
        <v>64</v>
      </c>
      <c r="AV41">
        <v>41</v>
      </c>
      <c r="AW41" t="s">
        <v>302</v>
      </c>
      <c r="AX41">
        <v>1.6</v>
      </c>
      <c r="AY41" t="s">
        <v>295</v>
      </c>
      <c r="AZ41" t="s">
        <v>322</v>
      </c>
      <c r="BA41" t="s">
        <v>323</v>
      </c>
      <c r="BB41" t="b">
        <v>0</v>
      </c>
      <c r="BC41" t="b">
        <v>0</v>
      </c>
      <c r="BD41" t="b">
        <v>0</v>
      </c>
      <c r="BE41" t="b">
        <v>0</v>
      </c>
      <c r="BF41" t="b">
        <v>0</v>
      </c>
      <c r="BG41" t="b">
        <v>0</v>
      </c>
      <c r="BH41" t="b">
        <v>0</v>
      </c>
      <c r="BI41" t="b">
        <v>0</v>
      </c>
      <c r="BJ41" t="b">
        <v>0</v>
      </c>
      <c r="BK41" t="b">
        <v>0</v>
      </c>
      <c r="BL41" t="b">
        <v>0</v>
      </c>
      <c r="BM41" t="b">
        <v>0</v>
      </c>
      <c r="BN41" t="b">
        <v>0</v>
      </c>
    </row>
    <row r="42" spans="1:66" x14ac:dyDescent="0.25">
      <c r="A42">
        <v>25203</v>
      </c>
      <c r="C42">
        <v>0</v>
      </c>
      <c r="D42" t="s">
        <v>279</v>
      </c>
      <c r="E42" t="s">
        <v>328</v>
      </c>
      <c r="F42" t="s">
        <v>281</v>
      </c>
      <c r="G42">
        <v>0</v>
      </c>
      <c r="H42" t="s">
        <v>305</v>
      </c>
      <c r="I42" t="s">
        <v>306</v>
      </c>
      <c r="J42" t="s">
        <v>1061</v>
      </c>
      <c r="K42" t="s">
        <v>1062</v>
      </c>
      <c r="L42" t="s">
        <v>307</v>
      </c>
      <c r="M42" t="s">
        <v>308</v>
      </c>
      <c r="O42" t="s">
        <v>333</v>
      </c>
      <c r="P42" t="s">
        <v>330</v>
      </c>
      <c r="Q42" t="s">
        <v>288</v>
      </c>
      <c r="R42" t="s">
        <v>331</v>
      </c>
      <c r="S42" t="s">
        <v>328</v>
      </c>
      <c r="V42" t="s">
        <v>332</v>
      </c>
      <c r="W42" t="s">
        <v>310</v>
      </c>
      <c r="X42">
        <v>0</v>
      </c>
      <c r="Y42">
        <v>0</v>
      </c>
      <c r="AB42">
        <v>0</v>
      </c>
      <c r="AC42">
        <v>0</v>
      </c>
      <c r="AG42" t="s">
        <v>978</v>
      </c>
      <c r="AH42" t="s">
        <v>979</v>
      </c>
      <c r="AI42" t="s">
        <v>292</v>
      </c>
      <c r="AJ42" t="s">
        <v>979</v>
      </c>
      <c r="AK42" t="s">
        <v>979</v>
      </c>
      <c r="AL42" t="s">
        <v>293</v>
      </c>
      <c r="AM42" t="s">
        <v>980</v>
      </c>
      <c r="AN42" t="s">
        <v>985</v>
      </c>
      <c r="AO42" t="s">
        <v>986</v>
      </c>
      <c r="AQ42" t="b">
        <v>1</v>
      </c>
      <c r="AR42" t="s">
        <v>279</v>
      </c>
      <c r="AS42">
        <v>0</v>
      </c>
      <c r="AT42">
        <v>0</v>
      </c>
      <c r="AU42" t="s">
        <v>64</v>
      </c>
      <c r="AV42">
        <v>30</v>
      </c>
      <c r="AW42" t="s">
        <v>311</v>
      </c>
      <c r="AX42">
        <v>1.21</v>
      </c>
      <c r="AZ42" t="s">
        <v>312</v>
      </c>
      <c r="BA42" t="s">
        <v>313</v>
      </c>
      <c r="BB42" t="b">
        <v>0</v>
      </c>
      <c r="BC42" t="b">
        <v>0</v>
      </c>
      <c r="BD42" t="b">
        <v>0</v>
      </c>
      <c r="BE42" t="b">
        <v>0</v>
      </c>
      <c r="BF42" t="b">
        <v>0</v>
      </c>
      <c r="BG42" t="b">
        <v>0</v>
      </c>
      <c r="BH42" t="b">
        <v>0</v>
      </c>
      <c r="BI42" t="b">
        <v>0</v>
      </c>
      <c r="BJ42" t="b">
        <v>0</v>
      </c>
      <c r="BK42" t="b">
        <v>0</v>
      </c>
      <c r="BL42" t="b">
        <v>0</v>
      </c>
      <c r="BM42" t="b">
        <v>0</v>
      </c>
      <c r="BN42" t="b">
        <v>0</v>
      </c>
    </row>
    <row r="43" spans="1:66" x14ac:dyDescent="0.25">
      <c r="A43">
        <v>141118</v>
      </c>
      <c r="C43">
        <v>0</v>
      </c>
      <c r="D43" t="s">
        <v>279</v>
      </c>
      <c r="E43" t="s">
        <v>328</v>
      </c>
      <c r="F43" t="s">
        <v>281</v>
      </c>
      <c r="G43">
        <v>22</v>
      </c>
      <c r="H43" t="s">
        <v>319</v>
      </c>
      <c r="I43" t="s">
        <v>320</v>
      </c>
      <c r="J43" t="s">
        <v>1061</v>
      </c>
      <c r="K43" t="s">
        <v>1062</v>
      </c>
      <c r="L43" t="s">
        <v>1064</v>
      </c>
      <c r="M43" t="s">
        <v>300</v>
      </c>
      <c r="O43" t="s">
        <v>321</v>
      </c>
      <c r="P43" t="s">
        <v>330</v>
      </c>
      <c r="Q43" t="s">
        <v>288</v>
      </c>
      <c r="R43" t="s">
        <v>331</v>
      </c>
      <c r="S43" t="s">
        <v>328</v>
      </c>
      <c r="V43" t="s">
        <v>332</v>
      </c>
      <c r="W43" t="s">
        <v>301</v>
      </c>
      <c r="X43">
        <v>0</v>
      </c>
      <c r="Y43">
        <v>0</v>
      </c>
      <c r="AB43">
        <v>0</v>
      </c>
      <c r="AC43">
        <v>0</v>
      </c>
      <c r="AG43" t="s">
        <v>978</v>
      </c>
      <c r="AH43" t="s">
        <v>979</v>
      </c>
      <c r="AI43" t="s">
        <v>292</v>
      </c>
      <c r="AJ43" t="s">
        <v>979</v>
      </c>
      <c r="AK43" t="s">
        <v>979</v>
      </c>
      <c r="AL43" t="s">
        <v>293</v>
      </c>
      <c r="AM43" t="s">
        <v>980</v>
      </c>
      <c r="AN43" t="s">
        <v>995</v>
      </c>
      <c r="AO43" t="s">
        <v>986</v>
      </c>
      <c r="AQ43" t="b">
        <v>1</v>
      </c>
      <c r="AR43" t="s">
        <v>279</v>
      </c>
      <c r="AS43">
        <v>0</v>
      </c>
      <c r="AT43">
        <v>0</v>
      </c>
      <c r="AU43" t="s">
        <v>64</v>
      </c>
      <c r="AV43">
        <v>41</v>
      </c>
      <c r="AW43" t="s">
        <v>302</v>
      </c>
      <c r="AX43">
        <v>1.6</v>
      </c>
      <c r="AY43" t="s">
        <v>295</v>
      </c>
      <c r="AZ43" t="s">
        <v>322</v>
      </c>
      <c r="BA43" t="s">
        <v>323</v>
      </c>
      <c r="BB43" t="b">
        <v>0</v>
      </c>
      <c r="BC43" t="b">
        <v>0</v>
      </c>
      <c r="BD43" t="b">
        <v>0</v>
      </c>
      <c r="BE43" t="b">
        <v>0</v>
      </c>
      <c r="BF43" t="b">
        <v>0</v>
      </c>
      <c r="BG43" t="b">
        <v>0</v>
      </c>
      <c r="BH43" t="b">
        <v>0</v>
      </c>
      <c r="BI43" t="b">
        <v>0</v>
      </c>
      <c r="BJ43" t="b">
        <v>0</v>
      </c>
      <c r="BK43" t="b">
        <v>0</v>
      </c>
      <c r="BL43" t="b">
        <v>0</v>
      </c>
      <c r="BM43" t="b">
        <v>0</v>
      </c>
      <c r="BN43" t="b">
        <v>0</v>
      </c>
    </row>
    <row r="44" spans="1:66" x14ac:dyDescent="0.25">
      <c r="A44">
        <v>11219</v>
      </c>
      <c r="C44">
        <v>0</v>
      </c>
      <c r="D44" t="s">
        <v>279</v>
      </c>
      <c r="E44" t="s">
        <v>280</v>
      </c>
      <c r="F44" t="s">
        <v>281</v>
      </c>
      <c r="G44">
        <v>0</v>
      </c>
      <c r="H44" t="s">
        <v>282</v>
      </c>
      <c r="I44" t="s">
        <v>283</v>
      </c>
      <c r="J44" t="s">
        <v>1066</v>
      </c>
      <c r="K44" t="s">
        <v>1062</v>
      </c>
      <c r="L44" t="s">
        <v>284</v>
      </c>
      <c r="M44" t="s">
        <v>285</v>
      </c>
      <c r="O44" t="s">
        <v>286</v>
      </c>
      <c r="P44" t="s">
        <v>287</v>
      </c>
      <c r="Q44" t="s">
        <v>288</v>
      </c>
      <c r="R44" t="s">
        <v>289</v>
      </c>
      <c r="S44" t="s">
        <v>280</v>
      </c>
      <c r="V44" t="s">
        <v>290</v>
      </c>
      <c r="W44" t="s">
        <v>291</v>
      </c>
      <c r="X44">
        <v>0</v>
      </c>
      <c r="Y44">
        <v>0</v>
      </c>
      <c r="AB44">
        <v>0</v>
      </c>
      <c r="AC44">
        <v>0</v>
      </c>
      <c r="AG44" t="s">
        <v>978</v>
      </c>
      <c r="AH44" t="s">
        <v>979</v>
      </c>
      <c r="AI44" t="s">
        <v>292</v>
      </c>
      <c r="AJ44" t="s">
        <v>979</v>
      </c>
      <c r="AK44" t="s">
        <v>979</v>
      </c>
      <c r="AL44" t="s">
        <v>293</v>
      </c>
      <c r="AM44" t="s">
        <v>980</v>
      </c>
      <c r="AN44" t="s">
        <v>1020</v>
      </c>
      <c r="AO44" t="s">
        <v>982</v>
      </c>
      <c r="AQ44" t="b">
        <v>1</v>
      </c>
      <c r="AR44" t="s">
        <v>279</v>
      </c>
      <c r="AS44">
        <v>0</v>
      </c>
      <c r="AT44">
        <v>0</v>
      </c>
      <c r="AU44" t="s">
        <v>64</v>
      </c>
      <c r="AV44">
        <v>42</v>
      </c>
      <c r="AW44" t="s">
        <v>294</v>
      </c>
      <c r="AX44">
        <v>1.65</v>
      </c>
      <c r="AY44" t="s">
        <v>295</v>
      </c>
      <c r="AZ44" t="s">
        <v>296</v>
      </c>
      <c r="BA44" t="s">
        <v>297</v>
      </c>
      <c r="BB44" t="b">
        <v>0</v>
      </c>
      <c r="BC44" t="b">
        <v>0</v>
      </c>
      <c r="BD44" t="b">
        <v>0</v>
      </c>
      <c r="BE44" t="b">
        <v>0</v>
      </c>
      <c r="BF44" t="b">
        <v>0</v>
      </c>
      <c r="BG44" t="b">
        <v>0</v>
      </c>
      <c r="BH44" t="b">
        <v>0</v>
      </c>
      <c r="BI44" t="b">
        <v>0</v>
      </c>
      <c r="BJ44" t="b">
        <v>0</v>
      </c>
      <c r="BK44" t="b">
        <v>0</v>
      </c>
      <c r="BL44" t="b">
        <v>0</v>
      </c>
      <c r="BM44" t="b">
        <v>0</v>
      </c>
      <c r="BN44" t="b">
        <v>0</v>
      </c>
    </row>
    <row r="45" spans="1:66" x14ac:dyDescent="0.25">
      <c r="A45">
        <v>19506</v>
      </c>
      <c r="C45">
        <v>0</v>
      </c>
      <c r="D45" t="s">
        <v>279</v>
      </c>
      <c r="E45" t="s">
        <v>280</v>
      </c>
      <c r="F45" t="s">
        <v>281</v>
      </c>
      <c r="G45">
        <v>0</v>
      </c>
      <c r="H45" t="s">
        <v>298</v>
      </c>
      <c r="I45" t="s">
        <v>299</v>
      </c>
      <c r="J45" t="s">
        <v>1066</v>
      </c>
      <c r="K45" t="s">
        <v>1062</v>
      </c>
      <c r="L45" t="s">
        <v>1067</v>
      </c>
      <c r="M45" t="s">
        <v>300</v>
      </c>
      <c r="O45" t="s">
        <v>1068</v>
      </c>
      <c r="P45" t="s">
        <v>287</v>
      </c>
      <c r="Q45" t="s">
        <v>288</v>
      </c>
      <c r="R45" t="s">
        <v>289</v>
      </c>
      <c r="S45" t="s">
        <v>280</v>
      </c>
      <c r="V45" t="s">
        <v>290</v>
      </c>
      <c r="W45" t="s">
        <v>301</v>
      </c>
      <c r="X45">
        <v>0</v>
      </c>
      <c r="Y45">
        <v>0</v>
      </c>
      <c r="AB45">
        <v>0</v>
      </c>
      <c r="AC45">
        <v>0</v>
      </c>
      <c r="AG45" t="s">
        <v>978</v>
      </c>
      <c r="AH45" t="s">
        <v>979</v>
      </c>
      <c r="AI45" t="s">
        <v>292</v>
      </c>
      <c r="AJ45" t="s">
        <v>979</v>
      </c>
      <c r="AK45" t="s">
        <v>979</v>
      </c>
      <c r="AL45" t="s">
        <v>293</v>
      </c>
      <c r="AM45" t="s">
        <v>980</v>
      </c>
      <c r="AN45" t="s">
        <v>999</v>
      </c>
      <c r="AO45" t="s">
        <v>982</v>
      </c>
      <c r="AQ45" t="b">
        <v>1</v>
      </c>
      <c r="AR45" t="s">
        <v>279</v>
      </c>
      <c r="AS45">
        <v>0</v>
      </c>
      <c r="AT45">
        <v>0</v>
      </c>
      <c r="AU45" t="s">
        <v>64</v>
      </c>
      <c r="AV45">
        <v>41</v>
      </c>
      <c r="AW45" t="s">
        <v>302</v>
      </c>
      <c r="AX45">
        <v>1.1359999999999999</v>
      </c>
      <c r="AZ45" t="s">
        <v>303</v>
      </c>
      <c r="BA45" t="s">
        <v>304</v>
      </c>
      <c r="BB45" t="b">
        <v>0</v>
      </c>
      <c r="BC45" t="b">
        <v>0</v>
      </c>
      <c r="BD45" t="b">
        <v>0</v>
      </c>
      <c r="BE45" t="b">
        <v>0</v>
      </c>
      <c r="BF45" t="b">
        <v>0</v>
      </c>
      <c r="BG45" t="b">
        <v>0</v>
      </c>
      <c r="BH45" t="b">
        <v>0</v>
      </c>
      <c r="BI45" t="b">
        <v>0</v>
      </c>
      <c r="BJ45" t="b">
        <v>0</v>
      </c>
      <c r="BK45" t="b">
        <v>0</v>
      </c>
      <c r="BL45" t="b">
        <v>0</v>
      </c>
      <c r="BM45" t="b">
        <v>0</v>
      </c>
      <c r="BN45" t="b">
        <v>0</v>
      </c>
    </row>
    <row r="46" spans="1:66" x14ac:dyDescent="0.25">
      <c r="A46">
        <v>55472</v>
      </c>
      <c r="C46">
        <v>0</v>
      </c>
      <c r="D46" t="s">
        <v>279</v>
      </c>
      <c r="E46" t="s">
        <v>280</v>
      </c>
      <c r="F46" t="s">
        <v>281</v>
      </c>
      <c r="G46">
        <v>0</v>
      </c>
      <c r="H46" t="s">
        <v>314</v>
      </c>
      <c r="I46" t="s">
        <v>315</v>
      </c>
      <c r="J46" t="s">
        <v>1066</v>
      </c>
      <c r="K46" t="s">
        <v>1062</v>
      </c>
      <c r="L46" t="s">
        <v>316</v>
      </c>
      <c r="M46" t="s">
        <v>300</v>
      </c>
      <c r="O46" t="s">
        <v>317</v>
      </c>
      <c r="P46" t="s">
        <v>287</v>
      </c>
      <c r="Q46" t="s">
        <v>288</v>
      </c>
      <c r="R46" t="s">
        <v>289</v>
      </c>
      <c r="S46" t="s">
        <v>280</v>
      </c>
      <c r="V46" t="s">
        <v>290</v>
      </c>
      <c r="W46" t="s">
        <v>310</v>
      </c>
      <c r="X46">
        <v>0</v>
      </c>
      <c r="Y46">
        <v>0</v>
      </c>
      <c r="AB46">
        <v>0</v>
      </c>
      <c r="AC46">
        <v>0</v>
      </c>
      <c r="AG46" t="s">
        <v>978</v>
      </c>
      <c r="AH46" t="s">
        <v>979</v>
      </c>
      <c r="AI46" t="s">
        <v>292</v>
      </c>
      <c r="AJ46" t="s">
        <v>979</v>
      </c>
      <c r="AK46" t="s">
        <v>979</v>
      </c>
      <c r="AL46" t="s">
        <v>293</v>
      </c>
      <c r="AM46" t="s">
        <v>980</v>
      </c>
      <c r="AN46" t="s">
        <v>1065</v>
      </c>
      <c r="AO46" t="s">
        <v>982</v>
      </c>
      <c r="AQ46" t="b">
        <v>1</v>
      </c>
      <c r="AR46" t="s">
        <v>279</v>
      </c>
      <c r="AS46">
        <v>0</v>
      </c>
      <c r="AT46">
        <v>0</v>
      </c>
      <c r="AU46" t="s">
        <v>64</v>
      </c>
      <c r="AV46">
        <v>30</v>
      </c>
      <c r="AW46" t="s">
        <v>311</v>
      </c>
      <c r="AX46">
        <v>1.333</v>
      </c>
      <c r="AZ46" t="s">
        <v>605</v>
      </c>
      <c r="BA46" t="s">
        <v>318</v>
      </c>
      <c r="BB46" t="b">
        <v>0</v>
      </c>
      <c r="BC46" t="b">
        <v>0</v>
      </c>
      <c r="BD46" t="b">
        <v>0</v>
      </c>
      <c r="BE46" t="b">
        <v>0</v>
      </c>
      <c r="BF46" t="b">
        <v>0</v>
      </c>
      <c r="BG46" t="b">
        <v>0</v>
      </c>
      <c r="BH46" t="b">
        <v>0</v>
      </c>
      <c r="BI46" t="b">
        <v>0</v>
      </c>
      <c r="BJ46" t="b">
        <v>0</v>
      </c>
      <c r="BK46" t="b">
        <v>0</v>
      </c>
      <c r="BL46" t="b">
        <v>0</v>
      </c>
      <c r="BM46" t="b">
        <v>0</v>
      </c>
      <c r="BN46" t="b">
        <v>0</v>
      </c>
    </row>
    <row r="47" spans="1:66" x14ac:dyDescent="0.25">
      <c r="A47">
        <v>11219</v>
      </c>
      <c r="C47">
        <v>0</v>
      </c>
      <c r="D47" t="s">
        <v>279</v>
      </c>
      <c r="E47" t="s">
        <v>328</v>
      </c>
      <c r="F47" t="s">
        <v>281</v>
      </c>
      <c r="G47">
        <v>0</v>
      </c>
      <c r="H47" t="s">
        <v>282</v>
      </c>
      <c r="I47" t="s">
        <v>283</v>
      </c>
      <c r="J47" t="s">
        <v>1066</v>
      </c>
      <c r="K47" t="s">
        <v>1062</v>
      </c>
      <c r="L47" t="s">
        <v>284</v>
      </c>
      <c r="M47" t="s">
        <v>285</v>
      </c>
      <c r="O47" t="s">
        <v>329</v>
      </c>
      <c r="P47" t="s">
        <v>330</v>
      </c>
      <c r="Q47" t="s">
        <v>288</v>
      </c>
      <c r="R47" t="s">
        <v>331</v>
      </c>
      <c r="S47" t="s">
        <v>328</v>
      </c>
      <c r="V47" t="s">
        <v>332</v>
      </c>
      <c r="W47" t="s">
        <v>291</v>
      </c>
      <c r="X47">
        <v>0</v>
      </c>
      <c r="Y47">
        <v>0</v>
      </c>
      <c r="AB47">
        <v>0</v>
      </c>
      <c r="AC47">
        <v>0</v>
      </c>
      <c r="AG47" t="s">
        <v>978</v>
      </c>
      <c r="AH47" t="s">
        <v>979</v>
      </c>
      <c r="AI47" t="s">
        <v>292</v>
      </c>
      <c r="AJ47" t="s">
        <v>979</v>
      </c>
      <c r="AK47" t="s">
        <v>979</v>
      </c>
      <c r="AL47" t="s">
        <v>293</v>
      </c>
      <c r="AM47" t="s">
        <v>980</v>
      </c>
      <c r="AN47" t="s">
        <v>1008</v>
      </c>
      <c r="AO47" t="s">
        <v>986</v>
      </c>
      <c r="AQ47" t="b">
        <v>1</v>
      </c>
      <c r="AR47" t="s">
        <v>279</v>
      </c>
      <c r="AS47">
        <v>0</v>
      </c>
      <c r="AT47">
        <v>0</v>
      </c>
      <c r="AU47" t="s">
        <v>64</v>
      </c>
      <c r="AV47">
        <v>42</v>
      </c>
      <c r="AW47" t="s">
        <v>294</v>
      </c>
      <c r="AX47">
        <v>1.65</v>
      </c>
      <c r="AY47" t="s">
        <v>295</v>
      </c>
      <c r="AZ47" t="s">
        <v>296</v>
      </c>
      <c r="BA47" t="s">
        <v>297</v>
      </c>
      <c r="BB47" t="b">
        <v>0</v>
      </c>
      <c r="BC47" t="b">
        <v>0</v>
      </c>
      <c r="BD47" t="b">
        <v>0</v>
      </c>
      <c r="BE47" t="b">
        <v>0</v>
      </c>
      <c r="BF47" t="b">
        <v>0</v>
      </c>
      <c r="BG47" t="b">
        <v>0</v>
      </c>
      <c r="BH47" t="b">
        <v>0</v>
      </c>
      <c r="BI47" t="b">
        <v>0</v>
      </c>
      <c r="BJ47" t="b">
        <v>0</v>
      </c>
      <c r="BK47" t="b">
        <v>0</v>
      </c>
      <c r="BL47" t="b">
        <v>0</v>
      </c>
      <c r="BM47" t="b">
        <v>0</v>
      </c>
      <c r="BN47" t="b">
        <v>0</v>
      </c>
    </row>
    <row r="48" spans="1:66" x14ac:dyDescent="0.25">
      <c r="A48">
        <v>19506</v>
      </c>
      <c r="C48">
        <v>0</v>
      </c>
      <c r="D48" t="s">
        <v>279</v>
      </c>
      <c r="E48" t="s">
        <v>328</v>
      </c>
      <c r="F48" t="s">
        <v>281</v>
      </c>
      <c r="G48">
        <v>0</v>
      </c>
      <c r="H48" t="s">
        <v>298</v>
      </c>
      <c r="I48" t="s">
        <v>299</v>
      </c>
      <c r="J48" t="s">
        <v>1066</v>
      </c>
      <c r="K48" t="s">
        <v>1062</v>
      </c>
      <c r="L48" t="s">
        <v>1067</v>
      </c>
      <c r="M48" t="s">
        <v>300</v>
      </c>
      <c r="O48" t="s">
        <v>1069</v>
      </c>
      <c r="P48" t="s">
        <v>330</v>
      </c>
      <c r="Q48" t="s">
        <v>288</v>
      </c>
      <c r="R48" t="s">
        <v>331</v>
      </c>
      <c r="S48" t="s">
        <v>328</v>
      </c>
      <c r="V48" t="s">
        <v>332</v>
      </c>
      <c r="W48" t="s">
        <v>301</v>
      </c>
      <c r="X48">
        <v>0</v>
      </c>
      <c r="Y48">
        <v>0</v>
      </c>
      <c r="AB48">
        <v>0</v>
      </c>
      <c r="AC48">
        <v>0</v>
      </c>
      <c r="AG48" t="s">
        <v>978</v>
      </c>
      <c r="AH48" t="s">
        <v>979</v>
      </c>
      <c r="AI48" t="s">
        <v>292</v>
      </c>
      <c r="AJ48" t="s">
        <v>979</v>
      </c>
      <c r="AK48" t="s">
        <v>979</v>
      </c>
      <c r="AL48" t="s">
        <v>293</v>
      </c>
      <c r="AM48" t="s">
        <v>980</v>
      </c>
      <c r="AN48" t="s">
        <v>995</v>
      </c>
      <c r="AO48" t="s">
        <v>986</v>
      </c>
      <c r="AQ48" t="b">
        <v>1</v>
      </c>
      <c r="AR48" t="s">
        <v>279</v>
      </c>
      <c r="AS48">
        <v>0</v>
      </c>
      <c r="AT48">
        <v>0</v>
      </c>
      <c r="AU48" t="s">
        <v>64</v>
      </c>
      <c r="AV48">
        <v>41</v>
      </c>
      <c r="AW48" t="s">
        <v>302</v>
      </c>
      <c r="AX48">
        <v>1.1359999999999999</v>
      </c>
      <c r="AZ48" t="s">
        <v>303</v>
      </c>
      <c r="BA48" t="s">
        <v>304</v>
      </c>
      <c r="BB48" t="b">
        <v>0</v>
      </c>
      <c r="BC48" t="b">
        <v>0</v>
      </c>
      <c r="BD48" t="b">
        <v>0</v>
      </c>
      <c r="BE48" t="b">
        <v>0</v>
      </c>
      <c r="BF48" t="b">
        <v>0</v>
      </c>
      <c r="BG48" t="b">
        <v>0</v>
      </c>
      <c r="BH48" t="b">
        <v>0</v>
      </c>
      <c r="BI48" t="b">
        <v>0</v>
      </c>
      <c r="BJ48" t="b">
        <v>0</v>
      </c>
      <c r="BK48" t="b">
        <v>0</v>
      </c>
      <c r="BL48" t="b">
        <v>0</v>
      </c>
      <c r="BM48" t="b">
        <v>0</v>
      </c>
      <c r="BN48" t="b">
        <v>0</v>
      </c>
    </row>
    <row r="49" spans="1:66" x14ac:dyDescent="0.25">
      <c r="A49">
        <v>55472</v>
      </c>
      <c r="C49">
        <v>0</v>
      </c>
      <c r="D49" t="s">
        <v>279</v>
      </c>
      <c r="E49" t="s">
        <v>328</v>
      </c>
      <c r="F49" t="s">
        <v>281</v>
      </c>
      <c r="G49">
        <v>0</v>
      </c>
      <c r="H49" t="s">
        <v>314</v>
      </c>
      <c r="I49" t="s">
        <v>315</v>
      </c>
      <c r="J49" t="s">
        <v>1066</v>
      </c>
      <c r="K49" t="s">
        <v>1062</v>
      </c>
      <c r="L49" t="s">
        <v>316</v>
      </c>
      <c r="M49" t="s">
        <v>300</v>
      </c>
      <c r="O49" t="s">
        <v>334</v>
      </c>
      <c r="P49" t="s">
        <v>330</v>
      </c>
      <c r="Q49" t="s">
        <v>288</v>
      </c>
      <c r="R49" t="s">
        <v>331</v>
      </c>
      <c r="S49" t="s">
        <v>328</v>
      </c>
      <c r="V49" t="s">
        <v>332</v>
      </c>
      <c r="W49" t="s">
        <v>310</v>
      </c>
      <c r="X49">
        <v>0</v>
      </c>
      <c r="Y49">
        <v>0</v>
      </c>
      <c r="AB49">
        <v>0</v>
      </c>
      <c r="AC49">
        <v>0</v>
      </c>
      <c r="AG49" t="s">
        <v>978</v>
      </c>
      <c r="AH49" t="s">
        <v>979</v>
      </c>
      <c r="AI49" t="s">
        <v>292</v>
      </c>
      <c r="AJ49" t="s">
        <v>979</v>
      </c>
      <c r="AK49" t="s">
        <v>979</v>
      </c>
      <c r="AL49" t="s">
        <v>293</v>
      </c>
      <c r="AM49" t="s">
        <v>980</v>
      </c>
      <c r="AN49" t="s">
        <v>1025</v>
      </c>
      <c r="AO49" t="s">
        <v>986</v>
      </c>
      <c r="AQ49" t="b">
        <v>1</v>
      </c>
      <c r="AR49" t="s">
        <v>279</v>
      </c>
      <c r="AS49">
        <v>0</v>
      </c>
      <c r="AT49">
        <v>0</v>
      </c>
      <c r="AU49" t="s">
        <v>64</v>
      </c>
      <c r="AV49">
        <v>30</v>
      </c>
      <c r="AW49" t="s">
        <v>311</v>
      </c>
      <c r="AX49">
        <v>1.333</v>
      </c>
      <c r="AZ49" t="s">
        <v>605</v>
      </c>
      <c r="BA49" t="s">
        <v>318</v>
      </c>
      <c r="BB49" t="b">
        <v>0</v>
      </c>
      <c r="BC49" t="b">
        <v>0</v>
      </c>
      <c r="BD49" t="b">
        <v>0</v>
      </c>
      <c r="BE49" t="b">
        <v>0</v>
      </c>
      <c r="BF49" t="b">
        <v>0</v>
      </c>
      <c r="BG49" t="b">
        <v>0</v>
      </c>
      <c r="BH49" t="b">
        <v>0</v>
      </c>
      <c r="BI49" t="b">
        <v>0</v>
      </c>
      <c r="BJ49" t="b">
        <v>0</v>
      </c>
      <c r="BK49" t="b">
        <v>0</v>
      </c>
      <c r="BL49" t="b">
        <v>0</v>
      </c>
      <c r="BM49" t="b">
        <v>0</v>
      </c>
      <c r="BN49" t="b">
        <v>0</v>
      </c>
    </row>
  </sheetData>
  <pageMargins left="0.7" right="0.7" top="0.75" bottom="0.75" header="0.3" footer="0.3"/>
  <ignoredErrors>
    <ignoredError sqref="J2:J3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5ADD-A392-4412-961E-BFCA0E119925}">
  <dimension ref="A1:J19"/>
  <sheetViews>
    <sheetView topLeftCell="C1" workbookViewId="0">
      <selection activeCell="J23" sqref="J23"/>
    </sheetView>
  </sheetViews>
  <sheetFormatPr defaultColWidth="9.28515625" defaultRowHeight="15" customHeight="1" x14ac:dyDescent="0.25"/>
  <cols>
    <col min="1" max="1" width="38" hidden="1" customWidth="1"/>
    <col min="2" max="2" width="43.42578125" hidden="1" customWidth="1"/>
    <col min="3" max="3" width="95" bestFit="1" customWidth="1"/>
    <col min="4" max="4" width="43.5703125" hidden="1" customWidth="1"/>
    <col min="5" max="5" width="133.28515625" hidden="1" customWidth="1"/>
    <col min="6" max="6" width="124.28515625" hidden="1" customWidth="1"/>
    <col min="7" max="7" width="49.7109375" hidden="1" customWidth="1"/>
    <col min="8" max="8" width="17.5703125" hidden="1" customWidth="1"/>
    <col min="9" max="9" width="80.85546875" hidden="1" customWidth="1"/>
    <col min="10" max="10" width="76.5703125" customWidth="1"/>
  </cols>
  <sheetData>
    <row r="1" spans="1:10" ht="15" customHeight="1" x14ac:dyDescent="0.25">
      <c r="A1" t="s">
        <v>336</v>
      </c>
      <c r="B1" t="s">
        <v>335</v>
      </c>
      <c r="C1" t="s">
        <v>14</v>
      </c>
      <c r="D1" t="s">
        <v>15</v>
      </c>
      <c r="E1" t="s">
        <v>24</v>
      </c>
      <c r="F1" t="s">
        <v>26</v>
      </c>
      <c r="G1" t="s">
        <v>28</v>
      </c>
      <c r="H1" t="s">
        <v>30</v>
      </c>
      <c r="I1" t="s">
        <v>33</v>
      </c>
      <c r="J1" t="s">
        <v>1073</v>
      </c>
    </row>
    <row r="2" spans="1:10" ht="15" customHeight="1" x14ac:dyDescent="0.25">
      <c r="A2" t="str">
        <f>LEFT(B2,25)</f>
        <v>PASSED - TARGET OS MATCHE</v>
      </c>
      <c r="B2" t="str">
        <f>C2</f>
        <v>PASSED - TARGET OS MATCHES BASELINE - IOS</v>
      </c>
      <c r="C2" t="s">
        <v>111</v>
      </c>
      <c r="D2" t="s">
        <v>50</v>
      </c>
      <c r="E2" t="s">
        <v>122</v>
      </c>
      <c r="F2" t="s">
        <v>124</v>
      </c>
      <c r="G2" t="s">
        <v>72</v>
      </c>
      <c r="H2" t="s">
        <v>59</v>
      </c>
      <c r="I2" t="s">
        <v>125</v>
      </c>
      <c r="J2">
        <f>NewResults!B24</f>
        <v>0</v>
      </c>
    </row>
    <row r="3" spans="1:10" ht="15" customHeight="1" x14ac:dyDescent="0.25">
      <c r="A3" t="str">
        <f>LEFT(B3,25)</f>
        <v xml:space="preserve">Authentication -  Enable </v>
      </c>
      <c r="B3" t="str">
        <f>MID(C3,FIND("IOS - ",C3)+6,LEN(C3)-FIND("IOS - ",C3)-6)</f>
        <v>Authentication -  Enable 'aaa authentication login</v>
      </c>
      <c r="C3" t="s">
        <v>141</v>
      </c>
      <c r="D3" t="s">
        <v>50</v>
      </c>
      <c r="E3" t="s">
        <v>153</v>
      </c>
      <c r="F3" t="s">
        <v>59</v>
      </c>
      <c r="G3" t="s">
        <v>99</v>
      </c>
      <c r="H3" t="s">
        <v>59</v>
      </c>
      <c r="I3" t="s">
        <v>59</v>
      </c>
      <c r="J3" t="str">
        <f>NewResults!B2</f>
        <v>1.0001 - NETIOS - Enable 'aaa authentication login</v>
      </c>
    </row>
    <row r="4" spans="1:10" ht="15" customHeight="1" x14ac:dyDescent="0.25">
      <c r="A4" t="str">
        <f>LEFT(B4,25)</f>
        <v>Authentication - line vt</v>
      </c>
      <c r="B4" t="str">
        <f>MID(C4,FIND("IOS - ",C4)+6,LEN(C4)-FIND("IOS - ",C4)-6)</f>
        <v>Authentication - line vt</v>
      </c>
      <c r="C4" t="s">
        <v>156</v>
      </c>
      <c r="D4" t="s">
        <v>50</v>
      </c>
      <c r="E4" t="s">
        <v>176</v>
      </c>
      <c r="F4" t="s">
        <v>178</v>
      </c>
      <c r="G4" t="s">
        <v>99</v>
      </c>
      <c r="H4" t="s">
        <v>59</v>
      </c>
      <c r="I4" t="s">
        <v>179</v>
      </c>
      <c r="J4" t="str">
        <f>NewResults!B3</f>
        <v>1.0002 - NETIOS - Set 'login authentication for 'line vty</v>
      </c>
    </row>
    <row r="5" spans="1:10" ht="15" customHeight="1" x14ac:dyDescent="0.25">
      <c r="A5" t="str">
        <f>LEFT(B5,25)</f>
        <v>Authentication - line tt</v>
      </c>
      <c r="B5" t="str">
        <f>MID(C5,FIND("IOS - ",C5)+6,LEN(C5)-FIND("IOS - ",C5)-6)</f>
        <v>Authentication - line tt</v>
      </c>
      <c r="C5" t="s">
        <v>93</v>
      </c>
      <c r="D5" t="s">
        <v>50</v>
      </c>
      <c r="E5" t="s">
        <v>105</v>
      </c>
      <c r="F5" t="s">
        <v>107</v>
      </c>
      <c r="G5" t="s">
        <v>108</v>
      </c>
      <c r="H5" t="s">
        <v>59</v>
      </c>
      <c r="I5" t="s">
        <v>109</v>
      </c>
      <c r="J5" s="1" t="str">
        <f>NewResults!B4</f>
        <v>1.0003 - NETIOS - Set 'login authentication for 'line tty</v>
      </c>
    </row>
    <row r="6" spans="1:10" ht="15" customHeight="1" x14ac:dyDescent="0.25">
      <c r="A6" t="str">
        <f>LEFT(B6,25)</f>
        <v>Authentication - line con</v>
      </c>
      <c r="B6" t="str">
        <f>MID(C6,FIND("IOS - ",C6)+6,LEN(C6)-FIND("IOS - ",C6)-6)</f>
        <v xml:space="preserve">Authentication - line con </v>
      </c>
      <c r="C6" t="s">
        <v>150</v>
      </c>
      <c r="D6" t="s">
        <v>50</v>
      </c>
      <c r="E6" t="s">
        <v>166</v>
      </c>
      <c r="F6" t="s">
        <v>168</v>
      </c>
      <c r="G6" t="s">
        <v>169</v>
      </c>
      <c r="H6" t="s">
        <v>59</v>
      </c>
      <c r="I6" t="s">
        <v>170</v>
      </c>
      <c r="J6" s="1" t="str">
        <f>NewResults!B5</f>
        <v>1.0004 - NETIOS - Authentication - line con 0</v>
      </c>
    </row>
    <row r="7" spans="1:10" ht="15" customHeight="1" x14ac:dyDescent="0.25">
      <c r="A7" t="str">
        <f>LEFT(B7,25)</f>
        <v>Set 'transport input ssh'</v>
      </c>
      <c r="B7" t="str">
        <f>MID(C7,FIND("IOS - ",C7)+6,LEN(C7)-FIND("IOS - ",C7)-6)</f>
        <v>Set 'transport input ssh' for 'line vty' connection</v>
      </c>
      <c r="C7" t="s">
        <v>49</v>
      </c>
      <c r="D7" t="s">
        <v>50</v>
      </c>
      <c r="E7" t="s">
        <v>69</v>
      </c>
      <c r="F7" t="s">
        <v>71</v>
      </c>
      <c r="G7" t="s">
        <v>72</v>
      </c>
      <c r="H7" t="s">
        <v>59</v>
      </c>
      <c r="I7" t="s">
        <v>73</v>
      </c>
      <c r="J7" t="str">
        <f>NewResults!B6</f>
        <v>1.0005 - NETIOS - Set 'transport input ssh' for 'line vty' connections</v>
      </c>
    </row>
    <row r="8" spans="1:10" ht="15" customHeight="1" x14ac:dyDescent="0.25">
      <c r="A8" t="str">
        <f>LEFT(B8,25)</f>
        <v>Set 'password' for 'enabl</v>
      </c>
      <c r="B8" t="str">
        <f>MID(C8,FIND("IOS - ",C8)+6,LEN(C8)-FIND("IOS - ",C8)-6)</f>
        <v>Set 'password' for 'enable secret</v>
      </c>
      <c r="C8" t="s">
        <v>84</v>
      </c>
      <c r="D8" t="s">
        <v>50</v>
      </c>
      <c r="E8" t="s">
        <v>97</v>
      </c>
      <c r="F8" t="s">
        <v>59</v>
      </c>
      <c r="G8" t="s">
        <v>99</v>
      </c>
      <c r="H8" t="s">
        <v>59</v>
      </c>
      <c r="I8" t="s">
        <v>59</v>
      </c>
      <c r="J8" t="str">
        <f>NewResults!B7</f>
        <v>1.0006 - NETIOS - Set 'password' for 'enable secret</v>
      </c>
    </row>
    <row r="9" spans="1:10" ht="15" customHeight="1" x14ac:dyDescent="0.25">
      <c r="A9" t="str">
        <f>LEFT(B9,25)</f>
        <v>Enable 'service password-</v>
      </c>
      <c r="B9" t="str">
        <f>MID(C9,FIND("IOS - ",C9)+6,LEN(C9)-FIND("IOS - ",C9)-6)</f>
        <v>Enable 'service password-encryptio</v>
      </c>
      <c r="C9" t="s">
        <v>118</v>
      </c>
      <c r="D9" t="s">
        <v>50</v>
      </c>
      <c r="E9" t="s">
        <v>105</v>
      </c>
      <c r="F9" t="s">
        <v>131</v>
      </c>
      <c r="G9" t="s">
        <v>108</v>
      </c>
      <c r="H9" t="s">
        <v>59</v>
      </c>
      <c r="I9" t="s">
        <v>132</v>
      </c>
      <c r="J9" t="str">
        <f>NewResults!B8</f>
        <v>1.0007 - NETIOS - Enable 'service password-encryption</v>
      </c>
    </row>
    <row r="10" spans="1:10" ht="15" customHeight="1" x14ac:dyDescent="0.25">
      <c r="A10" t="str">
        <f>LEFT(B10,25)</f>
        <v>Set 'username secret' for</v>
      </c>
      <c r="B10" t="str">
        <f>MID(C10,FIND("IOS - ",C10)+6,LEN(C10)-FIND("IOS - ",C10)-6)</f>
        <v>Set 'username secret' for all local user</v>
      </c>
      <c r="C10" t="s">
        <v>65</v>
      </c>
      <c r="D10" t="s">
        <v>50</v>
      </c>
      <c r="E10" t="s">
        <v>79</v>
      </c>
      <c r="F10" t="s">
        <v>81</v>
      </c>
      <c r="G10" t="s">
        <v>82</v>
      </c>
      <c r="H10" t="s">
        <v>59</v>
      </c>
      <c r="I10" t="s">
        <v>73</v>
      </c>
      <c r="J10" t="str">
        <f>NewResults!B9</f>
        <v>1.0008 - NETIOS - Set 'username secret' for all local users</v>
      </c>
    </row>
    <row r="11" spans="1:10" ht="15" customHeight="1" x14ac:dyDescent="0.25">
      <c r="A11" t="str">
        <f>LEFT(B11,25)</f>
        <v xml:space="preserve">Authentication -  Enable </v>
      </c>
      <c r="B11" t="str">
        <f>MID(C11,FIND("IOS - ",C11)+6,LEN(C11)-FIND("IOS - ",C11)-6)</f>
        <v>Authentication -  Enable 'aaa new-model</v>
      </c>
      <c r="C11" t="s">
        <v>205</v>
      </c>
      <c r="J11" t="str">
        <f>NewResults!B10</f>
        <v>1.0009 - NETIOS - Enable 'aaa new-model</v>
      </c>
    </row>
    <row r="12" spans="1:10" ht="15" customHeight="1" x14ac:dyDescent="0.25">
      <c r="A12" t="str">
        <f>LEFT(B12,25)</f>
        <v xml:space="preserve">Authentication -  Enable </v>
      </c>
      <c r="B12" t="str">
        <f>MID(C12,FIND("IOS - ",C12)+6,LEN(C12)-FIND("IOS - ",C12)-6)</f>
        <v>Authentication -  Enable 'aaa authentication enable default</v>
      </c>
      <c r="C12" t="s">
        <v>172</v>
      </c>
      <c r="D12" t="s">
        <v>50</v>
      </c>
      <c r="E12" t="s">
        <v>209</v>
      </c>
      <c r="F12" t="s">
        <v>211</v>
      </c>
      <c r="G12" t="s">
        <v>99</v>
      </c>
      <c r="H12" t="s">
        <v>59</v>
      </c>
      <c r="I12" t="s">
        <v>212</v>
      </c>
      <c r="J12" t="str">
        <f>NewResults!B11</f>
        <v>1.0010 - NETIOS - Enable 'aaa authentication enable default</v>
      </c>
    </row>
    <row r="13" spans="1:10" ht="15" customHeight="1" x14ac:dyDescent="0.25">
      <c r="A13" t="str">
        <f>LEFT(B13,25)</f>
        <v>Set 'privilege 1' for loc</v>
      </c>
      <c r="B13" t="str">
        <f>MID(C13,FIND("IOS - ",C13)+6,LEN(C13)-FIND("IOS - ",C13)-6)</f>
        <v>Set 'privilege 1' for local users - 'All users have encrypted passwords</v>
      </c>
      <c r="C13" t="s">
        <v>75</v>
      </c>
      <c r="D13" t="s">
        <v>50</v>
      </c>
      <c r="E13" t="s">
        <v>88</v>
      </c>
      <c r="F13" t="s">
        <v>90</v>
      </c>
      <c r="G13" t="s">
        <v>72</v>
      </c>
      <c r="H13" t="s">
        <v>59</v>
      </c>
      <c r="I13" t="s">
        <v>91</v>
      </c>
      <c r="J13" t="str">
        <f>NewResults!B12</f>
        <v>1.0011 - NETIOS - Set 'privilege 1' Local users must not have privileged access</v>
      </c>
    </row>
    <row r="14" spans="1:10" ht="15" customHeight="1" x14ac:dyDescent="0.25">
      <c r="A14" t="str">
        <f>LEFT(B14,25)</f>
        <v>Set 'exec-timeout' to les</v>
      </c>
      <c r="B14" t="str">
        <f>MID(C14,FIND("IOS - ",C14)+6,LEN(C14)-FIND("IOS - ",C14)-6)</f>
        <v>Set 'exec-timeout' to less than or equal to 10 minutes for 'line aux 0'as CONFIG_CHECK_NO</v>
      </c>
      <c r="C14" t="s">
        <v>134</v>
      </c>
      <c r="D14" t="s">
        <v>50</v>
      </c>
      <c r="E14" t="s">
        <v>145</v>
      </c>
      <c r="F14" t="s">
        <v>147</v>
      </c>
      <c r="G14" t="s">
        <v>99</v>
      </c>
      <c r="H14" t="s">
        <v>59</v>
      </c>
      <c r="I14" t="s">
        <v>148</v>
      </c>
      <c r="J14" s="1" t="str">
        <f>NewResults!B14</f>
        <v>1.0013 - NETIOS - Set 'exec-timeout' to less than or equal to 10 minutes for 'line aux 0</v>
      </c>
    </row>
    <row r="15" spans="1:10" ht="15" customHeight="1" x14ac:dyDescent="0.25">
      <c r="A15" t="str">
        <f>LEFT(B15,25)</f>
        <v>Set 'exec-timeout' to les</v>
      </c>
      <c r="B15" t="str">
        <f>MID(C15,FIND("IOS - ",C15)+6,LEN(C15)-FIND("IOS - ",C15)-6)</f>
        <v>Set 'exec-timeout' to less than or equal to 10 minutes 'line console 0'as CONFIG_CHECK_NO</v>
      </c>
      <c r="C15" t="s">
        <v>127</v>
      </c>
      <c r="D15" t="s">
        <v>50</v>
      </c>
      <c r="E15" t="s">
        <v>105</v>
      </c>
      <c r="F15" t="s">
        <v>138</v>
      </c>
      <c r="G15" t="s">
        <v>108</v>
      </c>
      <c r="H15" t="s">
        <v>59</v>
      </c>
      <c r="I15" t="s">
        <v>139</v>
      </c>
      <c r="J15" s="1" t="str">
        <f>NewResults!B15</f>
        <v>1.0014 - NETIOS - Set 'exec-timeout' to less than or equal to 10 minutes 'line console 0'</v>
      </c>
    </row>
    <row r="16" spans="1:10" ht="15" customHeight="1" x14ac:dyDescent="0.25">
      <c r="A16" t="str">
        <f>LEFT(B16,25)</f>
        <v>AC - NetIOS - Set 'exec-t</v>
      </c>
      <c r="B16" t="str">
        <f>C16</f>
        <v>AC - NetIOS - Set 'exec-timeout' to less than or equal to 10 minutes 'line vty'as CONFIG_CHECK_NOT</v>
      </c>
      <c r="C16" t="s">
        <v>101</v>
      </c>
      <c r="D16" t="s">
        <v>112</v>
      </c>
      <c r="F16" t="s">
        <v>59</v>
      </c>
      <c r="H16" t="s">
        <v>59</v>
      </c>
      <c r="I16" t="s">
        <v>59</v>
      </c>
      <c r="J16" s="1" t="str">
        <f>NewResults!B16</f>
        <v>1.0015 - NETIOS - Set 'exec-timeout' to less than or equal to 10 minutes 'line vty'</v>
      </c>
    </row>
    <row r="17" spans="1:10" ht="15" customHeight="1" x14ac:dyDescent="0.25">
      <c r="A17" t="str">
        <f>LEFT(B17,25)</f>
        <v>Set 'exec-timeout' less t</v>
      </c>
      <c r="B17" t="str">
        <f>MID(C17,FIND("IOS - ",C17)+6,LEN(C17)-FIND("IOS - ",C17)-6)</f>
        <v>Set 'exec-timeout' less than or equal to 10 minutes 'line tty'as CONFIG_CHECK_NO</v>
      </c>
      <c r="C17" t="s">
        <v>198</v>
      </c>
      <c r="J17" t="str">
        <f>NewResults!B17</f>
        <v>1.0016 - NETIOS - Set 'exec-timeout' less than or equal to 10 minutes 'line tty'</v>
      </c>
    </row>
    <row r="18" spans="1:10" ht="15" customHeight="1" x14ac:dyDescent="0.25">
      <c r="A18" t="str">
        <f>LEFT(B18,25)</f>
        <v>Banner - Enable</v>
      </c>
      <c r="B18" t="str">
        <f>MID(C18,FIND("IOS - ",C18)+6,LEN(C18)-FIND("IOS - ",C18)-6)</f>
        <v>Banner - Enable</v>
      </c>
      <c r="C18" t="s">
        <v>162</v>
      </c>
      <c r="D18" t="s">
        <v>112</v>
      </c>
      <c r="E18" t="s">
        <v>185</v>
      </c>
      <c r="F18" t="s">
        <v>59</v>
      </c>
      <c r="G18" t="s">
        <v>187</v>
      </c>
      <c r="H18" t="s">
        <v>59</v>
      </c>
      <c r="I18" t="s">
        <v>59</v>
      </c>
      <c r="J18" t="str">
        <f>NewResults!B18</f>
        <v>1.0017 - NETIOS - Banner - Enabled</v>
      </c>
    </row>
    <row r="19" spans="1:10" ht="15" customHeight="1" x14ac:dyDescent="0.25">
      <c r="A19" t="str">
        <f>LEFT(B19,25)</f>
        <v>NTP Server Configure</v>
      </c>
      <c r="B19" t="str">
        <f>MID(C19,FIND("IOS - ",C19)+6,LEN(C19)-FIND("IOS - ",C19)-6)</f>
        <v>NTP Server Configure</v>
      </c>
      <c r="C19" t="s">
        <v>181</v>
      </c>
      <c r="J19" t="str">
        <f>NewResults!B19</f>
        <v>1.0018 - NETIOS - Ensure NTP Server Configured</v>
      </c>
    </row>
  </sheetData>
  <sortState xmlns:xlrd2="http://schemas.microsoft.com/office/spreadsheetml/2017/richdata2" ref="A2:M19">
    <sortCondition ref="J2:J1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5F57-C5FA-4FA8-BFFA-36E9C8985630}">
  <dimension ref="A1:F84"/>
  <sheetViews>
    <sheetView tabSelected="1" topLeftCell="B1" workbookViewId="0">
      <selection activeCell="D25" sqref="D25"/>
    </sheetView>
  </sheetViews>
  <sheetFormatPr defaultRowHeight="15" x14ac:dyDescent="0.25"/>
  <cols>
    <col min="1" max="1" width="15" customWidth="1"/>
    <col min="2" max="2" width="77.42578125" bestFit="1" customWidth="1"/>
    <col min="3" max="3" width="25.7109375" customWidth="1"/>
    <col min="4" max="4" width="10.28515625" style="3" customWidth="1"/>
    <col min="5" max="5" width="126.140625" bestFit="1" customWidth="1"/>
    <col min="6" max="6" width="221.140625" bestFit="1" customWidth="1"/>
    <col min="7" max="7" width="13.140625" customWidth="1"/>
  </cols>
  <sheetData>
    <row r="1" spans="1:6" x14ac:dyDescent="0.25">
      <c r="A1" t="s">
        <v>973</v>
      </c>
      <c r="B1" t="s">
        <v>974</v>
      </c>
      <c r="C1" t="s">
        <v>223</v>
      </c>
      <c r="D1" s="3" t="s">
        <v>1070</v>
      </c>
      <c r="E1" t="s">
        <v>1072</v>
      </c>
      <c r="F1" t="s">
        <v>1071</v>
      </c>
    </row>
    <row r="2" spans="1:6" ht="15" customHeight="1" x14ac:dyDescent="0.25">
      <c r="A2" t="s">
        <v>975</v>
      </c>
      <c r="B2" t="s">
        <v>976</v>
      </c>
      <c r="C2" s="1" t="s">
        <v>977</v>
      </c>
      <c r="D2" s="3" t="str">
        <f>MID(C2,FIND("[",C2)+1,FIND("]",C2)-FIND("[",C2)-1)</f>
        <v>PASSED</v>
      </c>
      <c r="E2" t="str">
        <f>MID(C2,FIND($E$1,C2)+14,FIND($F$1,C2)-FIND($E$1,C2)-14)</f>
        <v xml:space="preserve">CONFIG_CHECK
item: ^aaa authentication enable .+
required: 1
</v>
      </c>
      <c r="F2" t="str">
        <f>MID(C2,FIND($F$1,C2)+14,LEN(C2)-FIND($F$1,C2)-14)</f>
        <v>aaa authentication enable default group ISE-TACACS enable &lt;---</v>
      </c>
    </row>
    <row r="3" spans="1:6" x14ac:dyDescent="0.25">
      <c r="A3" t="s">
        <v>987</v>
      </c>
      <c r="B3" t="s">
        <v>988</v>
      </c>
      <c r="C3" t="s">
        <v>989</v>
      </c>
      <c r="D3" s="3" t="str">
        <f>MID(C3,FIND("[",C3)+1,FIND("]",C3)-FIND("[",C3)-1)</f>
        <v>PASSED</v>
      </c>
      <c r="E3" t="str">
        <f>MID(C3,FIND($E$1,C3)+14,FIND($F$1,C3)-FIND($E$1,C3)-14)</f>
        <v xml:space="preserve">CONFIG_CHECK
item: login( authentication [A-Za-z0-9_-]+)?|no login
context: line vty .+
</v>
      </c>
      <c r="F3" t="str">
        <f>MID(C3,FIND($F$1,C3)+14,LEN(C3)-FIND($F$1,C3)-14)</f>
        <v>line vty 0 4
 exec-timeout 15 0
 privilege level 15
 password 7 04681B07012A551F
 logging synchronous
 login authentication VTY-Access &lt;----
 length 0
 transport input ssh
 transport output ss</v>
      </c>
    </row>
    <row r="4" spans="1:6" x14ac:dyDescent="0.25">
      <c r="A4" t="s">
        <v>992</v>
      </c>
      <c r="B4" t="s">
        <v>993</v>
      </c>
      <c r="C4" t="s">
        <v>994</v>
      </c>
      <c r="D4" s="3" t="str">
        <f>MID(C4,FIND("[",C4)+1,FIND("]",C4)-FIND("[",C4)-1)</f>
        <v>PASSED</v>
      </c>
      <c r="E4" t="str">
        <f>MID(C4,FIND($E$1,C4)+14,FIND($F$1,C4)-FIND($E$1,C4)-14)</f>
        <v xml:space="preserve">CONFIG_CHECK
item: ^login authentication .+
context: line tty .+
required: 0
</v>
      </c>
      <c r="F4" t="str">
        <f>MID(C4,FIND($F$1,C4)+14,LEN(C4)-FIND($F$1,C4)-14)</f>
        <v>line tty .+ not found in the configuration fil</v>
      </c>
    </row>
    <row r="5" spans="1:6" x14ac:dyDescent="0.25">
      <c r="A5" t="s">
        <v>996</v>
      </c>
      <c r="B5" t="s">
        <v>997</v>
      </c>
      <c r="C5" t="s">
        <v>998</v>
      </c>
      <c r="D5" s="3" t="str">
        <f>MID(C5,FIND("[",C5)+1,FIND("]",C5)-FIND("[",C5)-1)</f>
        <v>PASSED</v>
      </c>
      <c r="E5" t="str">
        <f>MID(C5,FIND($E$1,C5)+14,FIND($F$1,C5)-FIND($E$1,C5)-14)</f>
        <v xml:space="preserve">CONFIG_CHECK_NOT
item: ^no login$
context: line con 0
</v>
      </c>
      <c r="F5" t="str">
        <f>MID(C5,FIND($F$1,C5)+14,LEN(C5)-FIND($F$1,C5)-14)</f>
        <v>line con 0
Expected configuration: 
^no login</v>
      </c>
    </row>
    <row r="6" spans="1:6" x14ac:dyDescent="0.25">
      <c r="A6" t="s">
        <v>1001</v>
      </c>
      <c r="B6" t="s">
        <v>1002</v>
      </c>
      <c r="C6" t="s">
        <v>607</v>
      </c>
      <c r="D6" s="3" t="str">
        <f>MID(C6,FIND("[",C6)+1,FIND("]",C6)-FIND("[",C6)-1)</f>
        <v>PASSED</v>
      </c>
      <c r="E6" t="str">
        <f>MID(C6,FIND($E$1,C6)+14,FIND($F$1,C6)-FIND($E$1,C6)-14)</f>
        <v xml:space="preserve">CONFIG_CHECK
item: transport input ssh$
context: line vty .+
</v>
      </c>
      <c r="F6" t="str">
        <f>MID(C6,FIND($F$1,C6)+14,LEN(C6)-FIND($F$1,C6)-14)</f>
        <v>line vty 0 4
 exec-timeout 15 0
 privilege level 15
 password 7 04681B07012A551F
 logging synchronous
 login authentication VTY-Access
 length 0
 transport input ssh &lt;----
 transport output ss</v>
      </c>
    </row>
    <row r="7" spans="1:6" x14ac:dyDescent="0.25">
      <c r="A7" t="s">
        <v>1005</v>
      </c>
      <c r="B7" t="s">
        <v>1006</v>
      </c>
      <c r="C7" t="s">
        <v>606</v>
      </c>
      <c r="D7" s="3" t="str">
        <f>MID(C7,FIND("[",C7)+1,FIND("]",C7)-FIND("[",C7)-1)</f>
        <v>PASSED</v>
      </c>
      <c r="E7" t="str">
        <f>MID(C7,FIND($E$1,C7)+14,FIND($F$1,C7)-FIND($E$1,C7)-14)</f>
        <v xml:space="preserve">CONFIG_CHECK
item: enable secret [^ ]+
</v>
      </c>
      <c r="F7" t="str">
        <f>MID(C7,FIND($F$1,C7)+14,LEN(C7)-FIND($F$1,C7)-14)</f>
        <v>enable secret 5 $1$uhIg$.BzYCWKUy20Kl3.f78xEz/ &lt;---</v>
      </c>
    </row>
    <row r="8" spans="1:6" x14ac:dyDescent="0.25">
      <c r="A8" t="s">
        <v>1009</v>
      </c>
      <c r="B8" t="s">
        <v>1010</v>
      </c>
      <c r="C8" t="s">
        <v>608</v>
      </c>
      <c r="D8" s="3" t="str">
        <f>MID(C8,FIND("[",C8)+1,FIND("]",C8)-FIND("[",C8)-1)</f>
        <v>PASSED</v>
      </c>
      <c r="E8" t="str">
        <f>MID(C8,FIND($E$1,C8)+14,FIND($F$1,C8)-FIND($E$1,C8)-14)</f>
        <v xml:space="preserve">CONFIG_CHECK
item: service password-encryption
</v>
      </c>
      <c r="F8" t="str">
        <f>MID(C8,FIND($F$1,C8)+14,LEN(C8)-FIND($F$1,C8)-14)</f>
        <v>service password-encryption &lt;---</v>
      </c>
    </row>
    <row r="9" spans="1:6" x14ac:dyDescent="0.25">
      <c r="A9" t="s">
        <v>1012</v>
      </c>
      <c r="B9" t="s">
        <v>1013</v>
      </c>
      <c r="C9" t="s">
        <v>609</v>
      </c>
      <c r="D9" s="3" t="str">
        <f>MID(C9,FIND("[",C9)+1,FIND("]",C9)-FIND("[",C9)-1)</f>
        <v>PASSED</v>
      </c>
      <c r="E9" t="str">
        <f>MID(C9,FIND($E$1,C9)+14,FIND($F$1,C9)-FIND($E$1,C9)-14)</f>
        <v xml:space="preserve">CONFIG_CHECK
item: username [^ ]+
regex: username .+ secret [^ ]+
</v>
      </c>
      <c r="F9" t="str">
        <f>MID(C9,FIND($F$1,C9)+14,LEN(C9)-FIND($F$1,C9)-14)</f>
        <v>username globaladmin privilege 15 secret 5 $1$iknv$WmqdYILsqNKDVIO.mBTZ80 &lt;---</v>
      </c>
    </row>
    <row r="10" spans="1:6" x14ac:dyDescent="0.25">
      <c r="A10" t="s">
        <v>1016</v>
      </c>
      <c r="B10" t="s">
        <v>1017</v>
      </c>
      <c r="C10" t="s">
        <v>1018</v>
      </c>
      <c r="D10" s="3" t="str">
        <f>MID(C10,FIND("[",C10)+1,FIND("]",C10)-FIND("[",C10)-1)</f>
        <v>PASSED</v>
      </c>
      <c r="E10" t="str">
        <f>MID(C10,FIND($E$1,C10)+14,FIND($F$1,C10)-FIND($E$1,C10)-14)</f>
        <v xml:space="preserve">CONFIG_CHECK
item: ^aaa new-model$
required: 1
</v>
      </c>
      <c r="F10" t="str">
        <f>MID(C10,FIND($F$1,C10)+14,LEN(C10)-FIND($F$1,C10)-14)</f>
        <v>aaa new-model &lt;---</v>
      </c>
    </row>
    <row r="11" spans="1:6" x14ac:dyDescent="0.25">
      <c r="A11" t="s">
        <v>1021</v>
      </c>
      <c r="B11" t="s">
        <v>1022</v>
      </c>
      <c r="C11" t="s">
        <v>1023</v>
      </c>
      <c r="D11" s="3" t="str">
        <f>MID(C11,FIND("[",C11)+1,FIND("]",C11)-FIND("[",C11)-1)</f>
        <v>PASSED</v>
      </c>
      <c r="E11" t="str">
        <f>MID(C11,FIND($E$1,C11)+14,FIND($F$1,C11)-FIND($E$1,C11)-14)</f>
        <v xml:space="preserve">CONFIG_CHECK
item: ^aaa authentication login .+
required: 1
</v>
      </c>
      <c r="F11" t="str">
        <f>MID(C11,FIND($F$1,C11)+14,LEN(C11)-FIND($F$1,C11)-14)</f>
        <v>aaa authentication login CON-Access group ISE-TACACS local &lt;----
aaa authentication login VTY-Access group ISE-TACACS local &lt;---</v>
      </c>
    </row>
    <row r="12" spans="1:6" x14ac:dyDescent="0.25">
      <c r="A12" t="s">
        <v>1026</v>
      </c>
      <c r="B12" t="s">
        <v>1027</v>
      </c>
      <c r="C12" t="s">
        <v>1028</v>
      </c>
      <c r="D12" s="3" t="str">
        <f>MID(C12,FIND("[",C12)+1,FIND("]",C12)-FIND("[",C12)-1)</f>
        <v>PASSED</v>
      </c>
      <c r="E12" t="str">
        <f>MID(C12,FIND($E$1,C12)+14,FIND($F$1,C12)-FIND($E$1,C12)-14)</f>
        <v xml:space="preserve">CONFIG_CHECK_NOT
item: ^usernames+S+s+privileges+[2-9][0-9]?s+secrets+(5|8|9)s+
</v>
      </c>
      <c r="F12" t="str">
        <f>MID(C12,FIND($F$1,C12)+14,LEN(C12)-FIND($F$1,C12)-14)</f>
        <v>^usernames+S+s+privileges+[2-9][0-9]?s+secrets+(5|8|9)s+ not found in the configuration fil</v>
      </c>
    </row>
    <row r="13" spans="1:6" x14ac:dyDescent="0.25">
      <c r="A13" t="s">
        <v>1030</v>
      </c>
      <c r="B13" t="s">
        <v>1031</v>
      </c>
      <c r="C13" t="s">
        <v>1032</v>
      </c>
      <c r="D13" s="3" t="str">
        <f>MID(C13,FIND("[",C13)+1,FIND("]",C13)-FIND("[",C13)-1)</f>
        <v>FAILED</v>
      </c>
      <c r="E13" t="str">
        <f>MID(C13,FIND($E$1,C13)+14,FIND($F$1,C13)-FIND($E$1,C13)-14)</f>
        <v xml:space="preserve">BANNER_CHECK
item: banner exec
content: !! WARNING !!
is_substring: 1
</v>
      </c>
      <c r="F13" t="str">
        <f>MID(C13,FIND($F$1,C13)+14,LEN(C13)-FIND($F$1,C13)-14)</f>
        <v>banner exec not found in the configuration fil</v>
      </c>
    </row>
    <row r="14" spans="1:6" x14ac:dyDescent="0.25">
      <c r="A14" t="s">
        <v>1035</v>
      </c>
      <c r="B14" t="s">
        <v>1036</v>
      </c>
      <c r="C14" t="s">
        <v>1037</v>
      </c>
      <c r="D14" s="3" t="str">
        <f>MID(C14,FIND("[",C14)+1,FIND("]",C14)-FIND("[",C14)-1)</f>
        <v>PASSED</v>
      </c>
      <c r="E14" t="str">
        <f>MID(C14,FIND($E$1,C14)+14,FIND($F$1,C14)-FIND($E$1,C14)-14)</f>
        <v xml:space="preserve">CONFIG_CHECK_NOT
item: exec-timeout (10|[1-9])$
context: line aux 0
</v>
      </c>
      <c r="F14" t="str">
        <f>MID(C14,FIND($F$1,C14)+14,LEN(C14)-FIND($F$1,C14)-14)</f>
        <v>line aux 0
 no exec
Expected configuration: 
exec-timeout (10|[1-9])</v>
      </c>
    </row>
    <row r="15" spans="1:6" x14ac:dyDescent="0.25">
      <c r="A15" t="s">
        <v>1039</v>
      </c>
      <c r="B15" t="s">
        <v>1040</v>
      </c>
      <c r="C15" t="s">
        <v>1041</v>
      </c>
      <c r="D15" s="3" t="str">
        <f>MID(C15,FIND("[",C15)+1,FIND("]",C15)-FIND("[",C15)-1)</f>
        <v>PASSED</v>
      </c>
      <c r="E15" t="str">
        <f>MID(C15,FIND($E$1,C15)+14,FIND($F$1,C15)-FIND($E$1,C15)-14)</f>
        <v xml:space="preserve">CONFIG_CHECK_NOT
item: exec-timeout (1[6-9]|[2-9][0-9])
context: line con 0
</v>
      </c>
      <c r="F15" t="str">
        <f>MID(C15,FIND($F$1,C15)+14,LEN(C15)-FIND($F$1,C15)-14)</f>
        <v>line con 0
Expected configuration: 
exec-timeout (1[6-9]|[2-9][0-9]</v>
      </c>
    </row>
    <row r="16" spans="1:6" x14ac:dyDescent="0.25">
      <c r="A16" t="s">
        <v>1043</v>
      </c>
      <c r="B16" t="s">
        <v>1044</v>
      </c>
      <c r="C16" t="s">
        <v>1045</v>
      </c>
      <c r="D16" s="3" t="str">
        <f>MID(C16,FIND("[",C16)+1,FIND("]",C16)-FIND("[",C16)-1)</f>
        <v>PASSED</v>
      </c>
      <c r="E16" t="str">
        <f>MID(C16,FIND($E$1,C16)+14,FIND($F$1,C16)-FIND($E$1,C16)-14)</f>
        <v xml:space="preserve">CONFIG_CHECK_NOT
item: exec-timeout (1[6-9]|[2-9][0-9])
context: line vty .+
</v>
      </c>
      <c r="F16" t="str">
        <f>MID(C16,FIND($F$1,C16)+14,LEN(C16)-FIND($F$1,C16)-14)</f>
        <v>line vty 0 4
 exec-timeout 15 0
 privilege level 15
 password 7 04681B07012A551F
 logging synchronous
 login authentication VTY-Access
 length 0
 transport input ssh
 transport output ssh
Expected configuration: 
exec-timeout (1[6-9]|[2-9][0-9]</v>
      </c>
    </row>
    <row r="17" spans="1:6" x14ac:dyDescent="0.25">
      <c r="A17" t="s">
        <v>1047</v>
      </c>
      <c r="B17" t="s">
        <v>1048</v>
      </c>
      <c r="C17" t="s">
        <v>1049</v>
      </c>
      <c r="D17" s="3" t="str">
        <f>MID(C17,FIND("[",C17)+1,FIND("]",C17)-FIND("[",C17)-1)</f>
        <v>PASSED</v>
      </c>
      <c r="E17" t="str">
        <f>MID(C17,FIND($E$1,C17)+14,FIND($F$1,C17)-FIND($E$1,C17)-14)</f>
        <v xml:space="preserve">CONFIG_CHECK_NOT
item: exec-timeout (1[6-9]|[2-9][0-9])
context: line tty .+
</v>
      </c>
      <c r="F17" t="str">
        <f>MID(C17,FIND($F$1,C17)+14,LEN(C17)-FIND($F$1,C17)-14)</f>
        <v>line tty .+ not found in the configuration fil</v>
      </c>
    </row>
    <row r="18" spans="1:6" x14ac:dyDescent="0.25">
      <c r="A18" t="s">
        <v>1050</v>
      </c>
      <c r="B18" t="s">
        <v>1051</v>
      </c>
      <c r="C18" t="s">
        <v>1052</v>
      </c>
      <c r="D18" s="3" t="str">
        <f>MID(C18,FIND("[",C18)+1,FIND("]",C18)-FIND("[",C18)-1)</f>
        <v>FAILED</v>
      </c>
      <c r="E18" t="str">
        <f>MID(C18,FIND($E$1,C18)+14,FIND($F$1,C18)-FIND($E$1,C18)-14)</f>
        <v xml:space="preserve">BANNER_CHECK
item: banner login
content: !! WARNING !!
is_substring: 1
</v>
      </c>
      <c r="F18" t="str">
        <f>MID(C18,FIND($F$1,C18)+14,LEN(C18)-FIND($F$1,C18)-14)</f>
        <v>banner login not found in the configuration fil</v>
      </c>
    </row>
    <row r="19" spans="1:6" x14ac:dyDescent="0.25">
      <c r="A19" t="s">
        <v>1054</v>
      </c>
      <c r="B19" t="s">
        <v>1055</v>
      </c>
      <c r="C19" t="s">
        <v>1056</v>
      </c>
      <c r="D19" s="3" t="str">
        <f>MID(C19,FIND("[",C19)+1,FIND("]",C19)-FIND("[",C19)-1)</f>
        <v>PASSED</v>
      </c>
      <c r="E19" t="str">
        <f>MID(C19,FIND($E$1,C19)+14,FIND($F$1,C19)-FIND($E$1,C19)-14)</f>
        <v xml:space="preserve">CONFIG_CHECK
item: ^(sntp|ntp) server.*10.248.232.10
regex: ^(sntp|ntp)[\s]+server([\s]+vrf[\s]+[a-zA-Z0-9_\-]+)?[\s]*10.248.232.10.*$
</v>
      </c>
      <c r="F19" t="str">
        <f>MID(C19,FIND($F$1,C19)+14,LEN(C19)-FIND($F$1,C19)-14)</f>
        <v>ntp server 10.248.232.10 &lt;---</v>
      </c>
    </row>
    <row r="20" spans="1:6" x14ac:dyDescent="0.25">
      <c r="A20" t="s">
        <v>1057</v>
      </c>
      <c r="B20" t="s">
        <v>1058</v>
      </c>
      <c r="C20" t="s">
        <v>1059</v>
      </c>
      <c r="D20" s="3" t="str">
        <f>MID(C20,FIND("[",C20)+1,FIND("]",C20)-FIND("[",C20)-1)</f>
        <v>PASSED</v>
      </c>
      <c r="E20" t="str">
        <f>MID(C20,FIND($E$1,C20)+14,FIND($F$1,C20)-FIND($E$1,C20)-14)</f>
        <v xml:space="preserve">CONFIG_CHECK
item: ^(sntp|ntp) server.*10.248.232.210
regex: ^(sntp|ntp)[\s]+server([\s]+vrf[\s]+[a-zA-Z0-9_\-]+)?[\s]*10.248.232.210.*$
</v>
      </c>
      <c r="F20" t="str">
        <f>MID(C20,FIND($F$1,C20)+14,LEN(C20)-FIND($F$1,C20)-14)</f>
        <v>ntp server 10.248.232.210 &lt;---</v>
      </c>
    </row>
    <row r="22" spans="1:6" x14ac:dyDescent="0.25">
      <c r="D22"/>
    </row>
    <row r="23" spans="1:6" x14ac:dyDescent="0.25">
      <c r="D23"/>
    </row>
    <row r="24" spans="1:6" x14ac:dyDescent="0.25">
      <c r="D24"/>
    </row>
    <row r="25" spans="1:6" x14ac:dyDescent="0.25">
      <c r="D25"/>
    </row>
    <row r="26" spans="1:6" x14ac:dyDescent="0.25">
      <c r="D26"/>
    </row>
    <row r="27" spans="1:6" x14ac:dyDescent="0.25">
      <c r="D27"/>
    </row>
    <row r="28" spans="1:6" x14ac:dyDescent="0.25">
      <c r="D28"/>
    </row>
    <row r="29" spans="1:6" x14ac:dyDescent="0.25">
      <c r="D29"/>
    </row>
    <row r="30" spans="1:6" x14ac:dyDescent="0.25">
      <c r="D30"/>
    </row>
    <row r="31" spans="1:6" x14ac:dyDescent="0.25">
      <c r="D31"/>
    </row>
    <row r="32" spans="1:6" x14ac:dyDescent="0.25">
      <c r="D32"/>
    </row>
    <row r="33" spans="4:4" x14ac:dyDescent="0.25">
      <c r="D33"/>
    </row>
    <row r="34" spans="4:4" x14ac:dyDescent="0.25">
      <c r="D34"/>
    </row>
    <row r="35" spans="4:4" x14ac:dyDescent="0.25">
      <c r="D35"/>
    </row>
    <row r="36" spans="4:4" x14ac:dyDescent="0.25">
      <c r="D36"/>
    </row>
    <row r="37" spans="4:4" x14ac:dyDescent="0.25">
      <c r="D37"/>
    </row>
    <row r="38" spans="4:4" x14ac:dyDescent="0.25">
      <c r="D38"/>
    </row>
    <row r="39" spans="4:4" x14ac:dyDescent="0.25">
      <c r="D39"/>
    </row>
    <row r="40" spans="4:4" x14ac:dyDescent="0.25">
      <c r="D40"/>
    </row>
    <row r="41" spans="4:4" x14ac:dyDescent="0.25">
      <c r="D41"/>
    </row>
    <row r="42" spans="4:4" x14ac:dyDescent="0.25">
      <c r="D42"/>
    </row>
    <row r="43" spans="4:4" x14ac:dyDescent="0.25">
      <c r="D43"/>
    </row>
    <row r="44" spans="4:4" x14ac:dyDescent="0.25">
      <c r="D44"/>
    </row>
    <row r="45" spans="4:4" x14ac:dyDescent="0.25">
      <c r="D45"/>
    </row>
    <row r="46" spans="4:4" x14ac:dyDescent="0.25">
      <c r="D46"/>
    </row>
    <row r="47" spans="4:4" x14ac:dyDescent="0.25">
      <c r="D47"/>
    </row>
    <row r="48" spans="4:4" x14ac:dyDescent="0.25">
      <c r="D48"/>
    </row>
    <row r="49" spans="4:4" x14ac:dyDescent="0.25">
      <c r="D49"/>
    </row>
    <row r="50" spans="4:4" x14ac:dyDescent="0.25">
      <c r="D50"/>
    </row>
    <row r="51" spans="4:4" x14ac:dyDescent="0.25">
      <c r="D51"/>
    </row>
    <row r="52" spans="4:4" x14ac:dyDescent="0.25">
      <c r="D52"/>
    </row>
    <row r="53" spans="4:4" x14ac:dyDescent="0.25">
      <c r="D53"/>
    </row>
    <row r="54" spans="4:4" x14ac:dyDescent="0.25">
      <c r="D54"/>
    </row>
    <row r="55" spans="4:4" x14ac:dyDescent="0.25">
      <c r="D55"/>
    </row>
    <row r="56" spans="4:4" x14ac:dyDescent="0.25">
      <c r="D56"/>
    </row>
    <row r="57" spans="4:4" x14ac:dyDescent="0.25">
      <c r="D57"/>
    </row>
    <row r="58" spans="4:4" x14ac:dyDescent="0.25">
      <c r="D58"/>
    </row>
    <row r="59" spans="4:4" x14ac:dyDescent="0.25">
      <c r="D59"/>
    </row>
    <row r="60" spans="4:4" x14ac:dyDescent="0.25">
      <c r="D60"/>
    </row>
    <row r="61" spans="4:4" x14ac:dyDescent="0.25">
      <c r="D61"/>
    </row>
    <row r="62" spans="4:4" x14ac:dyDescent="0.25">
      <c r="D62"/>
    </row>
    <row r="63" spans="4:4" x14ac:dyDescent="0.25">
      <c r="D63"/>
    </row>
    <row r="64" spans="4:4" x14ac:dyDescent="0.25">
      <c r="D64"/>
    </row>
    <row r="65" spans="4:4" x14ac:dyDescent="0.25">
      <c r="D65"/>
    </row>
    <row r="66" spans="4:4" x14ac:dyDescent="0.25">
      <c r="D66"/>
    </row>
    <row r="67" spans="4:4" x14ac:dyDescent="0.25">
      <c r="D67"/>
    </row>
    <row r="68" spans="4:4" x14ac:dyDescent="0.25">
      <c r="D68"/>
    </row>
    <row r="69" spans="4:4" x14ac:dyDescent="0.25">
      <c r="D69"/>
    </row>
    <row r="70" spans="4:4" x14ac:dyDescent="0.25">
      <c r="D70"/>
    </row>
    <row r="71" spans="4:4" x14ac:dyDescent="0.25">
      <c r="D71"/>
    </row>
    <row r="72" spans="4:4" x14ac:dyDescent="0.25">
      <c r="D72"/>
    </row>
    <row r="73" spans="4:4" x14ac:dyDescent="0.25">
      <c r="D73"/>
    </row>
    <row r="74" spans="4:4" x14ac:dyDescent="0.25">
      <c r="D74"/>
    </row>
    <row r="75" spans="4:4" x14ac:dyDescent="0.25">
      <c r="D75"/>
    </row>
    <row r="76" spans="4:4" x14ac:dyDescent="0.25">
      <c r="D76"/>
    </row>
    <row r="77" spans="4:4" x14ac:dyDescent="0.25">
      <c r="D77"/>
    </row>
    <row r="78" spans="4:4" x14ac:dyDescent="0.25">
      <c r="D78"/>
    </row>
    <row r="79" spans="4:4" x14ac:dyDescent="0.25">
      <c r="D79"/>
    </row>
    <row r="80" spans="4:4" x14ac:dyDescent="0.25">
      <c r="D80"/>
    </row>
    <row r="81" spans="4:4" x14ac:dyDescent="0.25">
      <c r="D81"/>
    </row>
    <row r="82" spans="4:4" x14ac:dyDescent="0.25">
      <c r="D82"/>
    </row>
    <row r="83" spans="4:4" ht="17.25" customHeight="1" x14ac:dyDescent="0.25">
      <c r="D83"/>
    </row>
    <row r="84" spans="4:4" x14ac:dyDescent="0.25">
      <c r="D84"/>
    </row>
  </sheetData>
  <sortState xmlns:xlrd2="http://schemas.microsoft.com/office/spreadsheetml/2017/richdata2" ref="C2:C84">
    <sortCondition ref="C2:C8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A6DD-B3CB-4317-8AE8-46AB80694062}">
  <dimension ref="A1:A738"/>
  <sheetViews>
    <sheetView topLeftCell="A2" workbookViewId="0">
      <selection activeCell="B5" sqref="B5"/>
    </sheetView>
  </sheetViews>
  <sheetFormatPr defaultColWidth="116.7109375" defaultRowHeight="15" x14ac:dyDescent="0.25"/>
  <cols>
    <col min="1" max="1" width="141.5703125" customWidth="1"/>
  </cols>
  <sheetData>
    <row r="1" spans="1:1" x14ac:dyDescent="0.25">
      <c r="A1" t="s">
        <v>337</v>
      </c>
    </row>
    <row r="3" spans="1:1" x14ac:dyDescent="0.25">
      <c r="A3" t="s">
        <v>338</v>
      </c>
    </row>
    <row r="5" spans="1:1" x14ac:dyDescent="0.25">
      <c r="A5" t="s">
        <v>339</v>
      </c>
    </row>
    <row r="6" spans="1:1" x14ac:dyDescent="0.25">
      <c r="A6" t="s">
        <v>340</v>
      </c>
    </row>
    <row r="7" spans="1:1" x14ac:dyDescent="0.25">
      <c r="A7" t="s">
        <v>341</v>
      </c>
    </row>
    <row r="8" spans="1:1" x14ac:dyDescent="0.25">
      <c r="A8" t="s">
        <v>342</v>
      </c>
    </row>
    <row r="9" spans="1:1" x14ac:dyDescent="0.25">
      <c r="A9" t="s">
        <v>343</v>
      </c>
    </row>
    <row r="10" spans="1:1" x14ac:dyDescent="0.25">
      <c r="A10" t="s">
        <v>344</v>
      </c>
    </row>
    <row r="11" spans="1:1" x14ac:dyDescent="0.25">
      <c r="A11" t="s">
        <v>345</v>
      </c>
    </row>
    <row r="12" spans="1:1" x14ac:dyDescent="0.25">
      <c r="A12" t="s">
        <v>346</v>
      </c>
    </row>
    <row r="14" spans="1:1" x14ac:dyDescent="0.25">
      <c r="A14" t="s">
        <v>347</v>
      </c>
    </row>
    <row r="15" spans="1:1" x14ac:dyDescent="0.25">
      <c r="A15" t="s">
        <v>348</v>
      </c>
    </row>
    <row r="16" spans="1:1" x14ac:dyDescent="0.25">
      <c r="A16" t="s">
        <v>349</v>
      </c>
    </row>
    <row r="17" spans="1:1" x14ac:dyDescent="0.25">
      <c r="A17" t="s">
        <v>350</v>
      </c>
    </row>
    <row r="18" spans="1:1" x14ac:dyDescent="0.25">
      <c r="A18" t="s">
        <v>351</v>
      </c>
    </row>
    <row r="20" spans="1:1" x14ac:dyDescent="0.25">
      <c r="A20" t="s">
        <v>341</v>
      </c>
    </row>
    <row r="21" spans="1:1" x14ac:dyDescent="0.25">
      <c r="A21" t="s">
        <v>342</v>
      </c>
    </row>
    <row r="22" spans="1:1" x14ac:dyDescent="0.25">
      <c r="A22" t="s">
        <v>352</v>
      </c>
    </row>
    <row r="23" spans="1:1" x14ac:dyDescent="0.25">
      <c r="A23" t="s">
        <v>353</v>
      </c>
    </row>
    <row r="24" spans="1:1" x14ac:dyDescent="0.25">
      <c r="A24" t="s">
        <v>354</v>
      </c>
    </row>
    <row r="25" spans="1:1" x14ac:dyDescent="0.25">
      <c r="A25" t="s">
        <v>355</v>
      </c>
    </row>
    <row r="26" spans="1:1" x14ac:dyDescent="0.25">
      <c r="A26" t="s">
        <v>356</v>
      </c>
    </row>
    <row r="27" spans="1:1" x14ac:dyDescent="0.25">
      <c r="A27" t="s">
        <v>345</v>
      </c>
    </row>
    <row r="29" spans="1:1" x14ac:dyDescent="0.25">
      <c r="A29" t="s">
        <v>341</v>
      </c>
    </row>
    <row r="30" spans="1:1" x14ac:dyDescent="0.25">
      <c r="A30" t="s">
        <v>342</v>
      </c>
    </row>
    <row r="31" spans="1:1" x14ac:dyDescent="0.25">
      <c r="A31" t="s">
        <v>357</v>
      </c>
    </row>
    <row r="32" spans="1:1" x14ac:dyDescent="0.25">
      <c r="A32" t="s">
        <v>358</v>
      </c>
    </row>
    <row r="33" spans="1:1" x14ac:dyDescent="0.25">
      <c r="A33" t="s">
        <v>354</v>
      </c>
    </row>
    <row r="34" spans="1:1" x14ac:dyDescent="0.25">
      <c r="A34" t="s">
        <v>355</v>
      </c>
    </row>
    <row r="35" spans="1:1" x14ac:dyDescent="0.25">
      <c r="A35" t="s">
        <v>359</v>
      </c>
    </row>
    <row r="36" spans="1:1" x14ac:dyDescent="0.25">
      <c r="A36" t="s">
        <v>345</v>
      </c>
    </row>
    <row r="38" spans="1:1" x14ac:dyDescent="0.25">
      <c r="A38" t="s">
        <v>341</v>
      </c>
    </row>
    <row r="39" spans="1:1" x14ac:dyDescent="0.25">
      <c r="A39" t="s">
        <v>342</v>
      </c>
    </row>
    <row r="40" spans="1:1" x14ac:dyDescent="0.25">
      <c r="A40" t="s">
        <v>360</v>
      </c>
    </row>
    <row r="41" spans="1:1" x14ac:dyDescent="0.25">
      <c r="A41" t="s">
        <v>361</v>
      </c>
    </row>
    <row r="42" spans="1:1" x14ac:dyDescent="0.25">
      <c r="A42" t="s">
        <v>354</v>
      </c>
    </row>
    <row r="43" spans="1:1" x14ac:dyDescent="0.25">
      <c r="A43" t="s">
        <v>355</v>
      </c>
    </row>
    <row r="44" spans="1:1" x14ac:dyDescent="0.25">
      <c r="A44" t="s">
        <v>362</v>
      </c>
    </row>
    <row r="45" spans="1:1" x14ac:dyDescent="0.25">
      <c r="A45" t="s">
        <v>345</v>
      </c>
    </row>
    <row r="47" spans="1:1" x14ac:dyDescent="0.25">
      <c r="A47" t="s">
        <v>363</v>
      </c>
    </row>
    <row r="48" spans="1:1" x14ac:dyDescent="0.25">
      <c r="A48" t="s">
        <v>364</v>
      </c>
    </row>
    <row r="49" spans="1:1" x14ac:dyDescent="0.25">
      <c r="A49" t="s">
        <v>365</v>
      </c>
    </row>
    <row r="50" spans="1:1" x14ac:dyDescent="0.25">
      <c r="A50" t="s">
        <v>342</v>
      </c>
    </row>
    <row r="51" spans="1:1" x14ac:dyDescent="0.25">
      <c r="A51" t="s">
        <v>366</v>
      </c>
    </row>
    <row r="52" spans="1:1" x14ac:dyDescent="0.25">
      <c r="A52" t="s">
        <v>367</v>
      </c>
    </row>
    <row r="53" spans="1:1" x14ac:dyDescent="0.25">
      <c r="A53" t="s">
        <v>368</v>
      </c>
    </row>
    <row r="54" spans="1:1" x14ac:dyDescent="0.25">
      <c r="A54" t="s">
        <v>369</v>
      </c>
    </row>
    <row r="55" spans="1:1" x14ac:dyDescent="0.25">
      <c r="A55" t="s">
        <v>370</v>
      </c>
    </row>
    <row r="56" spans="1:1" x14ac:dyDescent="0.25">
      <c r="A56" t="s">
        <v>371</v>
      </c>
    </row>
    <row r="57" spans="1:1" x14ac:dyDescent="0.25">
      <c r="A57" t="s">
        <v>372</v>
      </c>
    </row>
    <row r="58" spans="1:1" x14ac:dyDescent="0.25">
      <c r="A58" t="s">
        <v>373</v>
      </c>
    </row>
    <row r="59" spans="1:1" x14ac:dyDescent="0.25">
      <c r="A59" t="s">
        <v>354</v>
      </c>
    </row>
    <row r="60" spans="1:1" x14ac:dyDescent="0.25">
      <c r="A60" t="s">
        <v>355</v>
      </c>
    </row>
    <row r="61" spans="1:1" x14ac:dyDescent="0.25">
      <c r="A61" t="s">
        <v>374</v>
      </c>
    </row>
    <row r="63" spans="1:1" x14ac:dyDescent="0.25">
      <c r="A63" t="s">
        <v>371</v>
      </c>
    </row>
    <row r="64" spans="1:1" x14ac:dyDescent="0.25">
      <c r="A64" t="s">
        <v>375</v>
      </c>
    </row>
    <row r="65" spans="1:1" x14ac:dyDescent="0.25">
      <c r="A65" t="s">
        <v>376</v>
      </c>
    </row>
    <row r="66" spans="1:1" x14ac:dyDescent="0.25">
      <c r="A66" t="s">
        <v>354</v>
      </c>
    </row>
    <row r="67" spans="1:1" x14ac:dyDescent="0.25">
      <c r="A67" t="s">
        <v>355</v>
      </c>
    </row>
    <row r="68" spans="1:1" x14ac:dyDescent="0.25">
      <c r="A68" t="s">
        <v>374</v>
      </c>
    </row>
    <row r="70" spans="1:1" x14ac:dyDescent="0.25">
      <c r="A70" t="s">
        <v>371</v>
      </c>
    </row>
    <row r="71" spans="1:1" x14ac:dyDescent="0.25">
      <c r="A71" t="s">
        <v>377</v>
      </c>
    </row>
    <row r="72" spans="1:1" x14ac:dyDescent="0.25">
      <c r="A72" t="s">
        <v>378</v>
      </c>
    </row>
    <row r="73" spans="1:1" x14ac:dyDescent="0.25">
      <c r="A73" t="s">
        <v>354</v>
      </c>
    </row>
    <row r="74" spans="1:1" x14ac:dyDescent="0.25">
      <c r="A74" t="s">
        <v>355</v>
      </c>
    </row>
    <row r="75" spans="1:1" x14ac:dyDescent="0.25">
      <c r="A75" t="s">
        <v>374</v>
      </c>
    </row>
    <row r="76" spans="1:1" x14ac:dyDescent="0.25">
      <c r="A76" t="s">
        <v>379</v>
      </c>
    </row>
    <row r="78" spans="1:1" x14ac:dyDescent="0.25">
      <c r="A78" t="s">
        <v>380</v>
      </c>
    </row>
    <row r="79" spans="1:1" x14ac:dyDescent="0.25">
      <c r="A79" t="s">
        <v>341</v>
      </c>
    </row>
    <row r="80" spans="1:1" x14ac:dyDescent="0.25">
      <c r="A80" t="s">
        <v>342</v>
      </c>
    </row>
    <row r="81" spans="1:1" x14ac:dyDescent="0.25">
      <c r="A81" t="s">
        <v>372</v>
      </c>
    </row>
    <row r="82" spans="1:1" x14ac:dyDescent="0.25">
      <c r="A82" t="s">
        <v>373</v>
      </c>
    </row>
    <row r="83" spans="1:1" x14ac:dyDescent="0.25">
      <c r="A83" t="s">
        <v>354</v>
      </c>
    </row>
    <row r="84" spans="1:1" x14ac:dyDescent="0.25">
      <c r="A84" t="s">
        <v>355</v>
      </c>
    </row>
    <row r="85" spans="1:1" x14ac:dyDescent="0.25">
      <c r="A85" t="s">
        <v>381</v>
      </c>
    </row>
    <row r="86" spans="1:1" x14ac:dyDescent="0.25">
      <c r="A86" t="s">
        <v>382</v>
      </c>
    </row>
    <row r="87" spans="1:1" x14ac:dyDescent="0.25">
      <c r="A87" t="s">
        <v>345</v>
      </c>
    </row>
    <row r="89" spans="1:1" x14ac:dyDescent="0.25">
      <c r="A89" t="s">
        <v>383</v>
      </c>
    </row>
    <row r="90" spans="1:1" x14ac:dyDescent="0.25">
      <c r="A90" t="s">
        <v>384</v>
      </c>
    </row>
    <row r="91" spans="1:1" x14ac:dyDescent="0.25">
      <c r="A91" t="s">
        <v>385</v>
      </c>
    </row>
    <row r="92" spans="1:1" x14ac:dyDescent="0.25">
      <c r="A92" t="s">
        <v>386</v>
      </c>
    </row>
    <row r="93" spans="1:1" x14ac:dyDescent="0.25">
      <c r="A93" t="s">
        <v>387</v>
      </c>
    </row>
    <row r="94" spans="1:1" x14ac:dyDescent="0.25">
      <c r="A94" t="s">
        <v>388</v>
      </c>
    </row>
    <row r="95" spans="1:1" x14ac:dyDescent="0.25">
      <c r="A95" t="s">
        <v>389</v>
      </c>
    </row>
    <row r="96" spans="1:1" x14ac:dyDescent="0.25">
      <c r="A96" t="s">
        <v>390</v>
      </c>
    </row>
    <row r="97" spans="1:1" x14ac:dyDescent="0.25">
      <c r="A97" t="s">
        <v>391</v>
      </c>
    </row>
    <row r="98" spans="1:1" x14ac:dyDescent="0.25">
      <c r="A98" t="s">
        <v>385</v>
      </c>
    </row>
    <row r="99" spans="1:1" x14ac:dyDescent="0.25">
      <c r="A99" t="s">
        <v>386</v>
      </c>
    </row>
    <row r="100" spans="1:1" x14ac:dyDescent="0.25">
      <c r="A100" t="s">
        <v>387</v>
      </c>
    </row>
    <row r="101" spans="1:1" x14ac:dyDescent="0.25">
      <c r="A101" t="s">
        <v>392</v>
      </c>
    </row>
    <row r="102" spans="1:1" x14ac:dyDescent="0.25">
      <c r="A102" t="s">
        <v>393</v>
      </c>
    </row>
    <row r="103" spans="1:1" x14ac:dyDescent="0.25">
      <c r="A103" t="s">
        <v>394</v>
      </c>
    </row>
    <row r="104" spans="1:1" x14ac:dyDescent="0.25">
      <c r="A104" t="s">
        <v>395</v>
      </c>
    </row>
    <row r="105" spans="1:1" x14ac:dyDescent="0.25">
      <c r="A105" t="s">
        <v>396</v>
      </c>
    </row>
    <row r="106" spans="1:1" x14ac:dyDescent="0.25">
      <c r="A106" t="s">
        <v>389</v>
      </c>
    </row>
    <row r="107" spans="1:1" x14ac:dyDescent="0.25">
      <c r="A107" t="s">
        <v>379</v>
      </c>
    </row>
    <row r="108" spans="1:1" x14ac:dyDescent="0.25">
      <c r="A108" t="s">
        <v>397</v>
      </c>
    </row>
    <row r="109" spans="1:1" x14ac:dyDescent="0.25">
      <c r="A109" t="s">
        <v>398</v>
      </c>
    </row>
    <row r="110" spans="1:1" x14ac:dyDescent="0.25">
      <c r="A110" t="s">
        <v>387</v>
      </c>
    </row>
    <row r="111" spans="1:1" x14ac:dyDescent="0.25">
      <c r="A111" t="s">
        <v>392</v>
      </c>
    </row>
    <row r="112" spans="1:1" x14ac:dyDescent="0.25">
      <c r="A112" t="s">
        <v>393</v>
      </c>
    </row>
    <row r="113" spans="1:1" x14ac:dyDescent="0.25">
      <c r="A113" t="s">
        <v>394</v>
      </c>
    </row>
    <row r="114" spans="1:1" x14ac:dyDescent="0.25">
      <c r="A114" t="s">
        <v>399</v>
      </c>
    </row>
    <row r="115" spans="1:1" x14ac:dyDescent="0.25">
      <c r="A115" t="s">
        <v>400</v>
      </c>
    </row>
    <row r="116" spans="1:1" x14ac:dyDescent="0.25">
      <c r="A116" t="s">
        <v>401</v>
      </c>
    </row>
    <row r="118" spans="1:1" x14ac:dyDescent="0.25">
      <c r="A118" t="s">
        <v>385</v>
      </c>
    </row>
    <row r="119" spans="1:1" x14ac:dyDescent="0.25">
      <c r="A119" t="s">
        <v>386</v>
      </c>
    </row>
    <row r="120" spans="1:1" x14ac:dyDescent="0.25">
      <c r="A120" t="s">
        <v>402</v>
      </c>
    </row>
    <row r="121" spans="1:1" x14ac:dyDescent="0.25">
      <c r="A121" t="s">
        <v>392</v>
      </c>
    </row>
    <row r="122" spans="1:1" x14ac:dyDescent="0.25">
      <c r="A122" t="s">
        <v>393</v>
      </c>
    </row>
    <row r="123" spans="1:1" x14ac:dyDescent="0.25">
      <c r="A123" t="s">
        <v>394</v>
      </c>
    </row>
    <row r="124" spans="1:1" x14ac:dyDescent="0.25">
      <c r="A124" t="s">
        <v>403</v>
      </c>
    </row>
    <row r="125" spans="1:1" x14ac:dyDescent="0.25">
      <c r="A125" t="s">
        <v>396</v>
      </c>
    </row>
    <row r="126" spans="1:1" x14ac:dyDescent="0.25">
      <c r="A126" t="s">
        <v>389</v>
      </c>
    </row>
    <row r="127" spans="1:1" x14ac:dyDescent="0.25">
      <c r="A127" t="s">
        <v>400</v>
      </c>
    </row>
    <row r="128" spans="1:1" x14ac:dyDescent="0.25">
      <c r="A128" t="s">
        <v>401</v>
      </c>
    </row>
    <row r="130" spans="1:1" x14ac:dyDescent="0.25">
      <c r="A130" t="s">
        <v>341</v>
      </c>
    </row>
    <row r="131" spans="1:1" x14ac:dyDescent="0.25">
      <c r="A131" t="s">
        <v>342</v>
      </c>
    </row>
    <row r="132" spans="1:1" x14ac:dyDescent="0.25">
      <c r="A132" t="s">
        <v>404</v>
      </c>
    </row>
    <row r="133" spans="1:1" x14ac:dyDescent="0.25">
      <c r="A133" t="s">
        <v>405</v>
      </c>
    </row>
    <row r="134" spans="1:1" x14ac:dyDescent="0.25">
      <c r="A134" t="s">
        <v>406</v>
      </c>
    </row>
    <row r="135" spans="1:1" x14ac:dyDescent="0.25">
      <c r="A135" t="s">
        <v>355</v>
      </c>
    </row>
    <row r="136" spans="1:1" x14ac:dyDescent="0.25">
      <c r="A136" t="s">
        <v>407</v>
      </c>
    </row>
    <row r="137" spans="1:1" x14ac:dyDescent="0.25">
      <c r="A137" t="s">
        <v>345</v>
      </c>
    </row>
    <row r="139" spans="1:1" x14ac:dyDescent="0.25">
      <c r="A139" t="s">
        <v>341</v>
      </c>
    </row>
    <row r="140" spans="1:1" x14ac:dyDescent="0.25">
      <c r="A140" t="s">
        <v>342</v>
      </c>
    </row>
    <row r="141" spans="1:1" x14ac:dyDescent="0.25">
      <c r="A141" t="s">
        <v>408</v>
      </c>
    </row>
    <row r="142" spans="1:1" x14ac:dyDescent="0.25">
      <c r="A142" t="s">
        <v>409</v>
      </c>
    </row>
    <row r="143" spans="1:1" x14ac:dyDescent="0.25">
      <c r="A143" t="s">
        <v>410</v>
      </c>
    </row>
    <row r="144" spans="1:1" x14ac:dyDescent="0.25">
      <c r="A144" t="s">
        <v>355</v>
      </c>
    </row>
    <row r="145" spans="1:1" x14ac:dyDescent="0.25">
      <c r="A145" t="s">
        <v>411</v>
      </c>
    </row>
    <row r="146" spans="1:1" x14ac:dyDescent="0.25">
      <c r="A146" t="s">
        <v>412</v>
      </c>
    </row>
    <row r="147" spans="1:1" x14ac:dyDescent="0.25">
      <c r="A147" t="s">
        <v>345</v>
      </c>
    </row>
    <row r="149" spans="1:1" x14ac:dyDescent="0.25">
      <c r="A149" t="s">
        <v>341</v>
      </c>
    </row>
    <row r="150" spans="1:1" x14ac:dyDescent="0.25">
      <c r="A150" t="s">
        <v>413</v>
      </c>
    </row>
    <row r="151" spans="1:1" x14ac:dyDescent="0.25">
      <c r="A151" t="s">
        <v>414</v>
      </c>
    </row>
    <row r="152" spans="1:1" x14ac:dyDescent="0.25">
      <c r="A152" t="s">
        <v>415</v>
      </c>
    </row>
    <row r="153" spans="1:1" x14ac:dyDescent="0.25">
      <c r="A153" t="s">
        <v>416</v>
      </c>
    </row>
    <row r="154" spans="1:1" x14ac:dyDescent="0.25">
      <c r="A154" t="s">
        <v>355</v>
      </c>
    </row>
    <row r="155" spans="1:1" x14ac:dyDescent="0.25">
      <c r="A155" t="s">
        <v>417</v>
      </c>
    </row>
    <row r="156" spans="1:1" x14ac:dyDescent="0.25">
      <c r="A156" t="s">
        <v>418</v>
      </c>
    </row>
    <row r="157" spans="1:1" x14ac:dyDescent="0.25">
      <c r="A157" t="s">
        <v>345</v>
      </c>
    </row>
    <row r="159" spans="1:1" x14ac:dyDescent="0.25">
      <c r="A159" t="s">
        <v>341</v>
      </c>
    </row>
    <row r="160" spans="1:1" x14ac:dyDescent="0.25">
      <c r="A160" t="s">
        <v>413</v>
      </c>
    </row>
    <row r="161" spans="1:1" x14ac:dyDescent="0.25">
      <c r="A161" t="s">
        <v>419</v>
      </c>
    </row>
    <row r="162" spans="1:1" x14ac:dyDescent="0.25">
      <c r="A162" t="s">
        <v>415</v>
      </c>
    </row>
    <row r="163" spans="1:1" x14ac:dyDescent="0.25">
      <c r="A163" t="s">
        <v>416</v>
      </c>
    </row>
    <row r="164" spans="1:1" x14ac:dyDescent="0.25">
      <c r="A164" t="s">
        <v>355</v>
      </c>
    </row>
    <row r="165" spans="1:1" x14ac:dyDescent="0.25">
      <c r="A165" t="s">
        <v>420</v>
      </c>
    </row>
    <row r="166" spans="1:1" x14ac:dyDescent="0.25">
      <c r="A166" t="s">
        <v>418</v>
      </c>
    </row>
    <row r="167" spans="1:1" x14ac:dyDescent="0.25">
      <c r="A167" t="s">
        <v>345</v>
      </c>
    </row>
    <row r="169" spans="1:1" x14ac:dyDescent="0.25">
      <c r="A169" t="s">
        <v>341</v>
      </c>
    </row>
    <row r="170" spans="1:1" x14ac:dyDescent="0.25">
      <c r="A170" t="s">
        <v>413</v>
      </c>
    </row>
    <row r="171" spans="1:1" x14ac:dyDescent="0.25">
      <c r="A171" t="s">
        <v>421</v>
      </c>
    </row>
    <row r="172" spans="1:1" x14ac:dyDescent="0.25">
      <c r="A172" t="s">
        <v>415</v>
      </c>
    </row>
    <row r="173" spans="1:1" x14ac:dyDescent="0.25">
      <c r="A173" t="s">
        <v>416</v>
      </c>
    </row>
    <row r="174" spans="1:1" x14ac:dyDescent="0.25">
      <c r="A174" t="s">
        <v>355</v>
      </c>
    </row>
    <row r="175" spans="1:1" x14ac:dyDescent="0.25">
      <c r="A175" t="s">
        <v>422</v>
      </c>
    </row>
    <row r="176" spans="1:1" x14ac:dyDescent="0.25">
      <c r="A176" t="s">
        <v>418</v>
      </c>
    </row>
    <row r="177" spans="1:1" x14ac:dyDescent="0.25">
      <c r="A177" t="s">
        <v>345</v>
      </c>
    </row>
    <row r="179" spans="1:1" x14ac:dyDescent="0.25">
      <c r="A179" t="s">
        <v>341</v>
      </c>
    </row>
    <row r="180" spans="1:1" x14ac:dyDescent="0.25">
      <c r="A180" t="s">
        <v>413</v>
      </c>
    </row>
    <row r="181" spans="1:1" x14ac:dyDescent="0.25">
      <c r="A181" t="s">
        <v>423</v>
      </c>
    </row>
    <row r="182" spans="1:1" x14ac:dyDescent="0.25">
      <c r="A182" t="s">
        <v>415</v>
      </c>
    </row>
    <row r="183" spans="1:1" x14ac:dyDescent="0.25">
      <c r="A183" t="s">
        <v>416</v>
      </c>
    </row>
    <row r="184" spans="1:1" x14ac:dyDescent="0.25">
      <c r="A184" t="s">
        <v>355</v>
      </c>
    </row>
    <row r="185" spans="1:1" x14ac:dyDescent="0.25">
      <c r="A185" t="s">
        <v>411</v>
      </c>
    </row>
    <row r="186" spans="1:1" x14ac:dyDescent="0.25">
      <c r="A186" t="s">
        <v>418</v>
      </c>
    </row>
    <row r="187" spans="1:1" x14ac:dyDescent="0.25">
      <c r="A187" t="s">
        <v>345</v>
      </c>
    </row>
    <row r="189" spans="1:1" x14ac:dyDescent="0.25">
      <c r="A189" t="s">
        <v>341</v>
      </c>
    </row>
    <row r="190" spans="1:1" x14ac:dyDescent="0.25">
      <c r="A190" t="s">
        <v>424</v>
      </c>
    </row>
    <row r="191" spans="1:1" x14ac:dyDescent="0.25">
      <c r="A191" t="s">
        <v>425</v>
      </c>
    </row>
    <row r="192" spans="1:1" x14ac:dyDescent="0.25">
      <c r="A192" t="s">
        <v>426</v>
      </c>
    </row>
    <row r="193" spans="1:1" x14ac:dyDescent="0.25">
      <c r="A193" t="s">
        <v>427</v>
      </c>
    </row>
    <row r="194" spans="1:1" x14ac:dyDescent="0.25">
      <c r="A194" t="s">
        <v>355</v>
      </c>
    </row>
    <row r="195" spans="1:1" x14ac:dyDescent="0.25">
      <c r="A195" t="s">
        <v>428</v>
      </c>
    </row>
    <row r="196" spans="1:1" x14ac:dyDescent="0.25">
      <c r="A196" t="s">
        <v>429</v>
      </c>
    </row>
    <row r="197" spans="1:1" x14ac:dyDescent="0.25">
      <c r="A197" t="s">
        <v>430</v>
      </c>
    </row>
    <row r="198" spans="1:1" x14ac:dyDescent="0.25">
      <c r="A198" t="s">
        <v>345</v>
      </c>
    </row>
    <row r="200" spans="1:1" x14ac:dyDescent="0.25">
      <c r="A200" t="s">
        <v>341</v>
      </c>
    </row>
    <row r="201" spans="1:1" x14ac:dyDescent="0.25">
      <c r="A201" t="s">
        <v>342</v>
      </c>
    </row>
    <row r="202" spans="1:1" x14ac:dyDescent="0.25">
      <c r="A202" t="s">
        <v>431</v>
      </c>
    </row>
    <row r="203" spans="1:1" x14ac:dyDescent="0.25">
      <c r="A203" t="s">
        <v>432</v>
      </c>
    </row>
    <row r="204" spans="1:1" x14ac:dyDescent="0.25">
      <c r="A204" t="s">
        <v>433</v>
      </c>
    </row>
    <row r="205" spans="1:1" x14ac:dyDescent="0.25">
      <c r="A205" t="s">
        <v>355</v>
      </c>
    </row>
    <row r="206" spans="1:1" x14ac:dyDescent="0.25">
      <c r="A206" t="s">
        <v>434</v>
      </c>
    </row>
    <row r="207" spans="1:1" x14ac:dyDescent="0.25">
      <c r="A207" t="s">
        <v>345</v>
      </c>
    </row>
    <row r="209" spans="1:1" x14ac:dyDescent="0.25">
      <c r="A209" t="s">
        <v>341</v>
      </c>
    </row>
    <row r="210" spans="1:1" x14ac:dyDescent="0.25">
      <c r="A210" t="s">
        <v>342</v>
      </c>
    </row>
    <row r="211" spans="1:1" x14ac:dyDescent="0.25">
      <c r="A211" t="s">
        <v>435</v>
      </c>
    </row>
    <row r="212" spans="1:1" x14ac:dyDescent="0.25">
      <c r="A212" t="s">
        <v>436</v>
      </c>
    </row>
    <row r="213" spans="1:1" x14ac:dyDescent="0.25">
      <c r="A213" t="s">
        <v>433</v>
      </c>
    </row>
    <row r="214" spans="1:1" x14ac:dyDescent="0.25">
      <c r="A214" t="s">
        <v>355</v>
      </c>
    </row>
    <row r="215" spans="1:1" x14ac:dyDescent="0.25">
      <c r="A215" t="s">
        <v>437</v>
      </c>
    </row>
    <row r="216" spans="1:1" x14ac:dyDescent="0.25">
      <c r="A216" t="s">
        <v>345</v>
      </c>
    </row>
    <row r="218" spans="1:1" x14ac:dyDescent="0.25">
      <c r="A218" t="s">
        <v>341</v>
      </c>
    </row>
    <row r="219" spans="1:1" x14ac:dyDescent="0.25">
      <c r="A219" t="s">
        <v>342</v>
      </c>
    </row>
    <row r="220" spans="1:1" x14ac:dyDescent="0.25">
      <c r="A220" t="s">
        <v>438</v>
      </c>
    </row>
    <row r="221" spans="1:1" x14ac:dyDescent="0.25">
      <c r="A221" t="s">
        <v>439</v>
      </c>
    </row>
    <row r="222" spans="1:1" x14ac:dyDescent="0.25">
      <c r="A222" t="s">
        <v>433</v>
      </c>
    </row>
    <row r="223" spans="1:1" x14ac:dyDescent="0.25">
      <c r="A223" t="s">
        <v>355</v>
      </c>
    </row>
    <row r="224" spans="1:1" x14ac:dyDescent="0.25">
      <c r="A224" t="s">
        <v>440</v>
      </c>
    </row>
    <row r="225" spans="1:1" x14ac:dyDescent="0.25">
      <c r="A225" t="s">
        <v>441</v>
      </c>
    </row>
    <row r="226" spans="1:1" x14ac:dyDescent="0.25">
      <c r="A226" t="s">
        <v>345</v>
      </c>
    </row>
    <row r="230" spans="1:1" x14ac:dyDescent="0.25">
      <c r="A230" t="s">
        <v>363</v>
      </c>
    </row>
    <row r="231" spans="1:1" x14ac:dyDescent="0.25">
      <c r="A231" t="s">
        <v>442</v>
      </c>
    </row>
    <row r="232" spans="1:1" x14ac:dyDescent="0.25">
      <c r="A232" t="s">
        <v>341</v>
      </c>
    </row>
    <row r="233" spans="1:1" x14ac:dyDescent="0.25">
      <c r="A233" t="s">
        <v>342</v>
      </c>
    </row>
    <row r="234" spans="1:1" x14ac:dyDescent="0.25">
      <c r="A234" t="s">
        <v>443</v>
      </c>
    </row>
    <row r="235" spans="1:1" x14ac:dyDescent="0.25">
      <c r="A235" t="s">
        <v>444</v>
      </c>
    </row>
    <row r="236" spans="1:1" x14ac:dyDescent="0.25">
      <c r="A236" t="s">
        <v>445</v>
      </c>
    </row>
    <row r="237" spans="1:1" x14ac:dyDescent="0.25">
      <c r="A237" t="s">
        <v>350</v>
      </c>
    </row>
    <row r="238" spans="1:1" x14ac:dyDescent="0.25">
      <c r="A238" t="s">
        <v>446</v>
      </c>
    </row>
    <row r="239" spans="1:1" x14ac:dyDescent="0.25">
      <c r="A239" t="s">
        <v>447</v>
      </c>
    </row>
    <row r="240" spans="1:1" x14ac:dyDescent="0.25">
      <c r="A240" t="s">
        <v>345</v>
      </c>
    </row>
    <row r="241" spans="1:1" x14ac:dyDescent="0.25">
      <c r="A241" t="s">
        <v>346</v>
      </c>
    </row>
    <row r="242" spans="1:1" x14ac:dyDescent="0.25">
      <c r="A242" t="s">
        <v>347</v>
      </c>
    </row>
    <row r="243" spans="1:1" x14ac:dyDescent="0.25">
      <c r="A243" t="s">
        <v>371</v>
      </c>
    </row>
    <row r="244" spans="1:1" x14ac:dyDescent="0.25">
      <c r="A244" t="s">
        <v>443</v>
      </c>
    </row>
    <row r="245" spans="1:1" x14ac:dyDescent="0.25">
      <c r="A245" t="s">
        <v>448</v>
      </c>
    </row>
    <row r="246" spans="1:1" x14ac:dyDescent="0.25">
      <c r="A246" t="s">
        <v>445</v>
      </c>
    </row>
    <row r="247" spans="1:1" x14ac:dyDescent="0.25">
      <c r="A247" t="s">
        <v>350</v>
      </c>
    </row>
    <row r="248" spans="1:1" x14ac:dyDescent="0.25">
      <c r="A248" t="s">
        <v>351</v>
      </c>
    </row>
    <row r="250" spans="1:1" x14ac:dyDescent="0.25">
      <c r="A250" t="s">
        <v>341</v>
      </c>
    </row>
    <row r="251" spans="1:1" x14ac:dyDescent="0.25">
      <c r="A251" t="s">
        <v>342</v>
      </c>
    </row>
    <row r="252" spans="1:1" x14ac:dyDescent="0.25">
      <c r="A252" t="s">
        <v>449</v>
      </c>
    </row>
    <row r="253" spans="1:1" x14ac:dyDescent="0.25">
      <c r="A253" t="s">
        <v>450</v>
      </c>
    </row>
    <row r="254" spans="1:1" x14ac:dyDescent="0.25">
      <c r="A254" t="s">
        <v>445</v>
      </c>
    </row>
    <row r="255" spans="1:1" x14ac:dyDescent="0.25">
      <c r="A255" t="s">
        <v>350</v>
      </c>
    </row>
    <row r="256" spans="1:1" x14ac:dyDescent="0.25">
      <c r="A256" t="s">
        <v>451</v>
      </c>
    </row>
    <row r="257" spans="1:1" x14ac:dyDescent="0.25">
      <c r="A257" t="s">
        <v>452</v>
      </c>
    </row>
    <row r="258" spans="1:1" x14ac:dyDescent="0.25">
      <c r="A258" t="s">
        <v>345</v>
      </c>
    </row>
    <row r="259" spans="1:1" x14ac:dyDescent="0.25">
      <c r="A259" t="s">
        <v>453</v>
      </c>
    </row>
    <row r="261" spans="1:1" x14ac:dyDescent="0.25">
      <c r="A261" t="s">
        <v>397</v>
      </c>
    </row>
    <row r="262" spans="1:1" x14ac:dyDescent="0.25">
      <c r="A262" t="s">
        <v>348</v>
      </c>
    </row>
    <row r="263" spans="1:1" x14ac:dyDescent="0.25">
      <c r="A263" t="s">
        <v>443</v>
      </c>
    </row>
    <row r="264" spans="1:1" x14ac:dyDescent="0.25">
      <c r="A264" t="s">
        <v>448</v>
      </c>
    </row>
    <row r="265" spans="1:1" x14ac:dyDescent="0.25">
      <c r="A265" t="s">
        <v>445</v>
      </c>
    </row>
    <row r="266" spans="1:1" x14ac:dyDescent="0.25">
      <c r="A266" t="s">
        <v>350</v>
      </c>
    </row>
    <row r="267" spans="1:1" x14ac:dyDescent="0.25">
      <c r="A267" t="s">
        <v>351</v>
      </c>
    </row>
    <row r="269" spans="1:1" x14ac:dyDescent="0.25">
      <c r="A269" t="s">
        <v>341</v>
      </c>
    </row>
    <row r="270" spans="1:1" x14ac:dyDescent="0.25">
      <c r="A270" t="s">
        <v>342</v>
      </c>
    </row>
    <row r="271" spans="1:1" x14ac:dyDescent="0.25">
      <c r="A271" t="s">
        <v>449</v>
      </c>
    </row>
    <row r="272" spans="1:1" x14ac:dyDescent="0.25">
      <c r="A272" t="s">
        <v>450</v>
      </c>
    </row>
    <row r="273" spans="1:1" x14ac:dyDescent="0.25">
      <c r="A273" t="s">
        <v>445</v>
      </c>
    </row>
    <row r="274" spans="1:1" x14ac:dyDescent="0.25">
      <c r="A274" t="s">
        <v>350</v>
      </c>
    </row>
    <row r="275" spans="1:1" x14ac:dyDescent="0.25">
      <c r="A275" t="s">
        <v>451</v>
      </c>
    </row>
    <row r="276" spans="1:1" x14ac:dyDescent="0.25">
      <c r="A276" t="s">
        <v>452</v>
      </c>
    </row>
    <row r="277" spans="1:1" x14ac:dyDescent="0.25">
      <c r="A277" t="s">
        <v>345</v>
      </c>
    </row>
    <row r="278" spans="1:1" x14ac:dyDescent="0.25">
      <c r="A278" t="s">
        <v>454</v>
      </c>
    </row>
    <row r="279" spans="1:1" x14ac:dyDescent="0.25">
      <c r="A279" t="s">
        <v>455</v>
      </c>
    </row>
    <row r="280" spans="1:1" x14ac:dyDescent="0.25">
      <c r="A280" t="s">
        <v>456</v>
      </c>
    </row>
    <row r="284" spans="1:1" x14ac:dyDescent="0.25">
      <c r="A284" t="s">
        <v>363</v>
      </c>
    </row>
    <row r="285" spans="1:1" x14ac:dyDescent="0.25">
      <c r="A285" t="s">
        <v>340</v>
      </c>
    </row>
    <row r="286" spans="1:1" x14ac:dyDescent="0.25">
      <c r="A286" t="s">
        <v>341</v>
      </c>
    </row>
    <row r="287" spans="1:1" x14ac:dyDescent="0.25">
      <c r="A287" t="s">
        <v>342</v>
      </c>
    </row>
    <row r="288" spans="1:1" x14ac:dyDescent="0.25">
      <c r="A288" t="s">
        <v>457</v>
      </c>
    </row>
    <row r="289" spans="1:1" x14ac:dyDescent="0.25">
      <c r="A289" t="s">
        <v>458</v>
      </c>
    </row>
    <row r="290" spans="1:1" x14ac:dyDescent="0.25">
      <c r="A290" t="s">
        <v>345</v>
      </c>
    </row>
    <row r="291" spans="1:1" x14ac:dyDescent="0.25">
      <c r="A291" t="s">
        <v>346</v>
      </c>
    </row>
    <row r="292" spans="1:1" x14ac:dyDescent="0.25">
      <c r="A292" t="s">
        <v>347</v>
      </c>
    </row>
    <row r="294" spans="1:1" x14ac:dyDescent="0.25">
      <c r="A294" t="s">
        <v>341</v>
      </c>
    </row>
    <row r="295" spans="1:1" x14ac:dyDescent="0.25">
      <c r="A295" t="s">
        <v>342</v>
      </c>
    </row>
    <row r="296" spans="1:1" x14ac:dyDescent="0.25">
      <c r="A296" t="s">
        <v>459</v>
      </c>
    </row>
    <row r="297" spans="1:1" x14ac:dyDescent="0.25">
      <c r="A297" t="s">
        <v>460</v>
      </c>
    </row>
    <row r="298" spans="1:1" x14ac:dyDescent="0.25">
      <c r="A298" t="s">
        <v>433</v>
      </c>
    </row>
    <row r="299" spans="1:1" x14ac:dyDescent="0.25">
      <c r="A299" t="s">
        <v>355</v>
      </c>
    </row>
    <row r="300" spans="1:1" x14ac:dyDescent="0.25">
      <c r="A300" t="s">
        <v>458</v>
      </c>
    </row>
    <row r="301" spans="1:1" x14ac:dyDescent="0.25">
      <c r="A301" t="s">
        <v>345</v>
      </c>
    </row>
    <row r="303" spans="1:1" x14ac:dyDescent="0.25">
      <c r="A303" t="s">
        <v>341</v>
      </c>
    </row>
    <row r="304" spans="1:1" x14ac:dyDescent="0.25">
      <c r="A304" t="s">
        <v>413</v>
      </c>
    </row>
    <row r="305" spans="1:1" x14ac:dyDescent="0.25">
      <c r="A305" t="s">
        <v>461</v>
      </c>
    </row>
    <row r="306" spans="1:1" x14ac:dyDescent="0.25">
      <c r="A306" t="s">
        <v>462</v>
      </c>
    </row>
    <row r="307" spans="1:1" x14ac:dyDescent="0.25">
      <c r="A307" t="s">
        <v>433</v>
      </c>
    </row>
    <row r="308" spans="1:1" x14ac:dyDescent="0.25">
      <c r="A308" t="s">
        <v>355</v>
      </c>
    </row>
    <row r="309" spans="1:1" x14ac:dyDescent="0.25">
      <c r="A309" t="s">
        <v>463</v>
      </c>
    </row>
    <row r="310" spans="1:1" x14ac:dyDescent="0.25">
      <c r="A310" t="s">
        <v>345</v>
      </c>
    </row>
    <row r="312" spans="1:1" x14ac:dyDescent="0.25">
      <c r="A312" t="s">
        <v>341</v>
      </c>
    </row>
    <row r="313" spans="1:1" x14ac:dyDescent="0.25">
      <c r="A313" t="s">
        <v>413</v>
      </c>
    </row>
    <row r="314" spans="1:1" x14ac:dyDescent="0.25">
      <c r="A314" t="s">
        <v>464</v>
      </c>
    </row>
    <row r="315" spans="1:1" x14ac:dyDescent="0.25">
      <c r="A315" t="s">
        <v>462</v>
      </c>
    </row>
    <row r="316" spans="1:1" x14ac:dyDescent="0.25">
      <c r="A316" t="s">
        <v>433</v>
      </c>
    </row>
    <row r="317" spans="1:1" x14ac:dyDescent="0.25">
      <c r="A317" t="s">
        <v>355</v>
      </c>
    </row>
    <row r="318" spans="1:1" x14ac:dyDescent="0.25">
      <c r="A318" t="s">
        <v>465</v>
      </c>
    </row>
    <row r="319" spans="1:1" x14ac:dyDescent="0.25">
      <c r="A319" t="s">
        <v>345</v>
      </c>
    </row>
    <row r="321" spans="1:1" x14ac:dyDescent="0.25">
      <c r="A321" t="s">
        <v>341</v>
      </c>
    </row>
    <row r="322" spans="1:1" x14ac:dyDescent="0.25">
      <c r="A322" t="s">
        <v>413</v>
      </c>
    </row>
    <row r="323" spans="1:1" x14ac:dyDescent="0.25">
      <c r="A323" t="s">
        <v>466</v>
      </c>
    </row>
    <row r="324" spans="1:1" x14ac:dyDescent="0.25">
      <c r="A324" t="s">
        <v>467</v>
      </c>
    </row>
    <row r="325" spans="1:1" x14ac:dyDescent="0.25">
      <c r="A325" t="s">
        <v>433</v>
      </c>
    </row>
    <row r="326" spans="1:1" x14ac:dyDescent="0.25">
      <c r="A326" t="s">
        <v>355</v>
      </c>
    </row>
    <row r="327" spans="1:1" x14ac:dyDescent="0.25">
      <c r="A327" t="s">
        <v>468</v>
      </c>
    </row>
    <row r="328" spans="1:1" x14ac:dyDescent="0.25">
      <c r="A328" t="s">
        <v>345</v>
      </c>
    </row>
    <row r="330" spans="1:1" x14ac:dyDescent="0.25">
      <c r="A330" t="s">
        <v>341</v>
      </c>
    </row>
    <row r="331" spans="1:1" x14ac:dyDescent="0.25">
      <c r="A331" t="s">
        <v>342</v>
      </c>
    </row>
    <row r="332" spans="1:1" x14ac:dyDescent="0.25">
      <c r="A332" t="s">
        <v>469</v>
      </c>
    </row>
    <row r="333" spans="1:1" x14ac:dyDescent="0.25">
      <c r="A333" t="s">
        <v>470</v>
      </c>
    </row>
    <row r="334" spans="1:1" x14ac:dyDescent="0.25">
      <c r="A334" t="s">
        <v>471</v>
      </c>
    </row>
    <row r="335" spans="1:1" x14ac:dyDescent="0.25">
      <c r="A335" t="s">
        <v>472</v>
      </c>
    </row>
    <row r="336" spans="1:1" x14ac:dyDescent="0.25">
      <c r="A336" t="s">
        <v>473</v>
      </c>
    </row>
    <row r="337" spans="1:1" x14ac:dyDescent="0.25">
      <c r="A337" t="s">
        <v>474</v>
      </c>
    </row>
    <row r="338" spans="1:1" x14ac:dyDescent="0.25">
      <c r="A338" t="s">
        <v>389</v>
      </c>
    </row>
    <row r="340" spans="1:1" x14ac:dyDescent="0.25">
      <c r="A340" t="s">
        <v>385</v>
      </c>
    </row>
    <row r="341" spans="1:1" x14ac:dyDescent="0.25">
      <c r="A341" t="s">
        <v>386</v>
      </c>
    </row>
    <row r="342" spans="1:1" x14ac:dyDescent="0.25">
      <c r="A342" t="s">
        <v>475</v>
      </c>
    </row>
    <row r="343" spans="1:1" x14ac:dyDescent="0.25">
      <c r="A343" t="s">
        <v>476</v>
      </c>
    </row>
    <row r="344" spans="1:1" x14ac:dyDescent="0.25">
      <c r="A344" t="s">
        <v>471</v>
      </c>
    </row>
    <row r="345" spans="1:1" x14ac:dyDescent="0.25">
      <c r="A345" t="s">
        <v>472</v>
      </c>
    </row>
    <row r="346" spans="1:1" x14ac:dyDescent="0.25">
      <c r="A346" t="s">
        <v>477</v>
      </c>
    </row>
    <row r="347" spans="1:1" x14ac:dyDescent="0.25">
      <c r="A347" t="s">
        <v>478</v>
      </c>
    </row>
    <row r="348" spans="1:1" x14ac:dyDescent="0.25">
      <c r="A348" t="s">
        <v>389</v>
      </c>
    </row>
    <row r="350" spans="1:1" x14ac:dyDescent="0.25">
      <c r="A350" t="s">
        <v>385</v>
      </c>
    </row>
    <row r="351" spans="1:1" x14ac:dyDescent="0.25">
      <c r="A351" t="s">
        <v>386</v>
      </c>
    </row>
    <row r="352" spans="1:1" x14ac:dyDescent="0.25">
      <c r="A352" t="s">
        <v>479</v>
      </c>
    </row>
    <row r="353" spans="1:1" x14ac:dyDescent="0.25">
      <c r="A353" t="s">
        <v>476</v>
      </c>
    </row>
    <row r="354" spans="1:1" x14ac:dyDescent="0.25">
      <c r="A354" t="s">
        <v>471</v>
      </c>
    </row>
    <row r="355" spans="1:1" x14ac:dyDescent="0.25">
      <c r="A355" t="s">
        <v>472</v>
      </c>
    </row>
    <row r="356" spans="1:1" x14ac:dyDescent="0.25">
      <c r="A356" t="s">
        <v>480</v>
      </c>
    </row>
    <row r="357" spans="1:1" x14ac:dyDescent="0.25">
      <c r="A357" t="s">
        <v>481</v>
      </c>
    </row>
    <row r="358" spans="1:1" x14ac:dyDescent="0.25">
      <c r="A358" t="s">
        <v>389</v>
      </c>
    </row>
    <row r="360" spans="1:1" x14ac:dyDescent="0.25">
      <c r="A360" t="s">
        <v>482</v>
      </c>
    </row>
    <row r="361" spans="1:1" x14ac:dyDescent="0.25">
      <c r="A361" t="s">
        <v>483</v>
      </c>
    </row>
    <row r="362" spans="1:1" x14ac:dyDescent="0.25">
      <c r="A362" t="s">
        <v>484</v>
      </c>
    </row>
    <row r="363" spans="1:1" x14ac:dyDescent="0.25">
      <c r="A363" t="s">
        <v>485</v>
      </c>
    </row>
    <row r="364" spans="1:1" x14ac:dyDescent="0.25">
      <c r="A364" t="s">
        <v>486</v>
      </c>
    </row>
    <row r="365" spans="1:1" x14ac:dyDescent="0.25">
      <c r="A365" t="s">
        <v>487</v>
      </c>
    </row>
    <row r="366" spans="1:1" x14ac:dyDescent="0.25">
      <c r="A366" t="s">
        <v>488</v>
      </c>
    </row>
    <row r="367" spans="1:1" x14ac:dyDescent="0.25">
      <c r="A367" t="s">
        <v>489</v>
      </c>
    </row>
    <row r="368" spans="1:1" x14ac:dyDescent="0.25">
      <c r="A368" t="s">
        <v>490</v>
      </c>
    </row>
    <row r="369" spans="1:1" x14ac:dyDescent="0.25">
      <c r="A369" t="s">
        <v>484</v>
      </c>
    </row>
    <row r="370" spans="1:1" x14ac:dyDescent="0.25">
      <c r="A370" t="s">
        <v>485</v>
      </c>
    </row>
    <row r="371" spans="1:1" x14ac:dyDescent="0.25">
      <c r="A371" t="s">
        <v>491</v>
      </c>
    </row>
    <row r="372" spans="1:1" x14ac:dyDescent="0.25">
      <c r="A372" t="s">
        <v>492</v>
      </c>
    </row>
    <row r="373" spans="1:1" x14ac:dyDescent="0.25">
      <c r="A373" t="s">
        <v>493</v>
      </c>
    </row>
    <row r="374" spans="1:1" x14ac:dyDescent="0.25">
      <c r="A374" t="s">
        <v>494</v>
      </c>
    </row>
    <row r="375" spans="1:1" x14ac:dyDescent="0.25">
      <c r="A375" t="s">
        <v>495</v>
      </c>
    </row>
    <row r="376" spans="1:1" x14ac:dyDescent="0.25">
      <c r="A376" t="s">
        <v>488</v>
      </c>
    </row>
    <row r="378" spans="1:1" x14ac:dyDescent="0.25">
      <c r="A378" t="s">
        <v>484</v>
      </c>
    </row>
    <row r="379" spans="1:1" x14ac:dyDescent="0.25">
      <c r="A379" t="s">
        <v>485</v>
      </c>
    </row>
    <row r="380" spans="1:1" x14ac:dyDescent="0.25">
      <c r="A380" t="s">
        <v>496</v>
      </c>
    </row>
    <row r="381" spans="1:1" x14ac:dyDescent="0.25">
      <c r="A381" t="s">
        <v>492</v>
      </c>
    </row>
    <row r="382" spans="1:1" x14ac:dyDescent="0.25">
      <c r="A382" t="s">
        <v>493</v>
      </c>
    </row>
    <row r="383" spans="1:1" x14ac:dyDescent="0.25">
      <c r="A383" t="s">
        <v>494</v>
      </c>
    </row>
    <row r="384" spans="1:1" x14ac:dyDescent="0.25">
      <c r="A384" t="s">
        <v>497</v>
      </c>
    </row>
    <row r="385" spans="1:1" x14ac:dyDescent="0.25">
      <c r="A385" t="s">
        <v>488</v>
      </c>
    </row>
    <row r="386" spans="1:1" x14ac:dyDescent="0.25">
      <c r="A386" t="s">
        <v>498</v>
      </c>
    </row>
    <row r="388" spans="1:1" x14ac:dyDescent="0.25">
      <c r="A388" t="s">
        <v>499</v>
      </c>
    </row>
    <row r="389" spans="1:1" x14ac:dyDescent="0.25">
      <c r="A389" t="s">
        <v>500</v>
      </c>
    </row>
    <row r="390" spans="1:1" x14ac:dyDescent="0.25">
      <c r="A390" t="s">
        <v>491</v>
      </c>
    </row>
    <row r="391" spans="1:1" x14ac:dyDescent="0.25">
      <c r="A391" t="s">
        <v>492</v>
      </c>
    </row>
    <row r="392" spans="1:1" x14ac:dyDescent="0.25">
      <c r="A392" t="s">
        <v>493</v>
      </c>
    </row>
    <row r="393" spans="1:1" x14ac:dyDescent="0.25">
      <c r="A393" t="s">
        <v>494</v>
      </c>
    </row>
    <row r="394" spans="1:1" x14ac:dyDescent="0.25">
      <c r="A394" t="s">
        <v>501</v>
      </c>
    </row>
    <row r="395" spans="1:1" x14ac:dyDescent="0.25">
      <c r="A395" t="s">
        <v>500</v>
      </c>
    </row>
    <row r="396" spans="1:1" x14ac:dyDescent="0.25">
      <c r="A396" t="s">
        <v>496</v>
      </c>
    </row>
    <row r="397" spans="1:1" x14ac:dyDescent="0.25">
      <c r="A397" t="s">
        <v>492</v>
      </c>
    </row>
    <row r="398" spans="1:1" x14ac:dyDescent="0.25">
      <c r="A398" t="s">
        <v>493</v>
      </c>
    </row>
    <row r="399" spans="1:1" x14ac:dyDescent="0.25">
      <c r="A399" t="s">
        <v>494</v>
      </c>
    </row>
    <row r="400" spans="1:1" x14ac:dyDescent="0.25">
      <c r="A400" t="s">
        <v>501</v>
      </c>
    </row>
    <row r="401" spans="1:1" x14ac:dyDescent="0.25">
      <c r="A401" t="s">
        <v>502</v>
      </c>
    </row>
    <row r="402" spans="1:1" x14ac:dyDescent="0.25">
      <c r="A402" t="s">
        <v>503</v>
      </c>
    </row>
    <row r="404" spans="1:1" x14ac:dyDescent="0.25">
      <c r="A404" t="s">
        <v>379</v>
      </c>
    </row>
    <row r="405" spans="1:1" x14ac:dyDescent="0.25">
      <c r="A405" t="s">
        <v>397</v>
      </c>
    </row>
    <row r="406" spans="1:1" x14ac:dyDescent="0.25">
      <c r="A406" t="s">
        <v>398</v>
      </c>
    </row>
    <row r="407" spans="1:1" x14ac:dyDescent="0.25">
      <c r="A407" t="s">
        <v>504</v>
      </c>
    </row>
    <row r="408" spans="1:1" x14ac:dyDescent="0.25">
      <c r="A408" t="s">
        <v>505</v>
      </c>
    </row>
    <row r="409" spans="1:1" x14ac:dyDescent="0.25">
      <c r="A409" t="s">
        <v>506</v>
      </c>
    </row>
    <row r="410" spans="1:1" x14ac:dyDescent="0.25">
      <c r="A410" t="s">
        <v>472</v>
      </c>
    </row>
    <row r="411" spans="1:1" x14ac:dyDescent="0.25">
      <c r="A411" t="s">
        <v>399</v>
      </c>
    </row>
    <row r="412" spans="1:1" x14ac:dyDescent="0.25">
      <c r="A412" t="s">
        <v>398</v>
      </c>
    </row>
    <row r="413" spans="1:1" x14ac:dyDescent="0.25">
      <c r="A413" t="s">
        <v>507</v>
      </c>
    </row>
    <row r="414" spans="1:1" x14ac:dyDescent="0.25">
      <c r="A414" t="s">
        <v>508</v>
      </c>
    </row>
    <row r="415" spans="1:1" x14ac:dyDescent="0.25">
      <c r="A415" t="s">
        <v>506</v>
      </c>
    </row>
    <row r="416" spans="1:1" x14ac:dyDescent="0.25">
      <c r="A416" t="s">
        <v>472</v>
      </c>
    </row>
    <row r="417" spans="1:1" x14ac:dyDescent="0.25">
      <c r="A417" t="s">
        <v>399</v>
      </c>
    </row>
    <row r="418" spans="1:1" x14ac:dyDescent="0.25">
      <c r="A418" t="s">
        <v>398</v>
      </c>
    </row>
    <row r="419" spans="1:1" x14ac:dyDescent="0.25">
      <c r="A419" t="s">
        <v>509</v>
      </c>
    </row>
    <row r="420" spans="1:1" x14ac:dyDescent="0.25">
      <c r="A420" t="s">
        <v>508</v>
      </c>
    </row>
    <row r="421" spans="1:1" x14ac:dyDescent="0.25">
      <c r="A421" t="s">
        <v>506</v>
      </c>
    </row>
    <row r="422" spans="1:1" x14ac:dyDescent="0.25">
      <c r="A422" t="s">
        <v>472</v>
      </c>
    </row>
    <row r="423" spans="1:1" x14ac:dyDescent="0.25">
      <c r="A423" t="s">
        <v>399</v>
      </c>
    </row>
    <row r="424" spans="1:1" x14ac:dyDescent="0.25">
      <c r="A424" t="s">
        <v>398</v>
      </c>
    </row>
    <row r="425" spans="1:1" x14ac:dyDescent="0.25">
      <c r="A425" t="s">
        <v>510</v>
      </c>
    </row>
    <row r="426" spans="1:1" x14ac:dyDescent="0.25">
      <c r="A426" t="s">
        <v>511</v>
      </c>
    </row>
    <row r="427" spans="1:1" x14ac:dyDescent="0.25">
      <c r="A427" t="s">
        <v>506</v>
      </c>
    </row>
    <row r="428" spans="1:1" x14ac:dyDescent="0.25">
      <c r="A428" t="s">
        <v>472</v>
      </c>
    </row>
    <row r="429" spans="1:1" x14ac:dyDescent="0.25">
      <c r="A429" t="s">
        <v>399</v>
      </c>
    </row>
    <row r="430" spans="1:1" x14ac:dyDescent="0.25">
      <c r="A430" t="s">
        <v>398</v>
      </c>
    </row>
    <row r="431" spans="1:1" x14ac:dyDescent="0.25">
      <c r="A431" t="s">
        <v>469</v>
      </c>
    </row>
    <row r="432" spans="1:1" x14ac:dyDescent="0.25">
      <c r="A432" t="s">
        <v>470</v>
      </c>
    </row>
    <row r="433" spans="1:1" x14ac:dyDescent="0.25">
      <c r="A433" t="s">
        <v>471</v>
      </c>
    </row>
    <row r="434" spans="1:1" x14ac:dyDescent="0.25">
      <c r="A434" t="s">
        <v>472</v>
      </c>
    </row>
    <row r="435" spans="1:1" x14ac:dyDescent="0.25">
      <c r="A435" t="s">
        <v>399</v>
      </c>
    </row>
    <row r="436" spans="1:1" x14ac:dyDescent="0.25">
      <c r="A436" t="s">
        <v>398</v>
      </c>
    </row>
    <row r="437" spans="1:1" x14ac:dyDescent="0.25">
      <c r="A437" t="s">
        <v>475</v>
      </c>
    </row>
    <row r="438" spans="1:1" x14ac:dyDescent="0.25">
      <c r="A438" t="s">
        <v>476</v>
      </c>
    </row>
    <row r="439" spans="1:1" x14ac:dyDescent="0.25">
      <c r="A439" t="s">
        <v>471</v>
      </c>
    </row>
    <row r="440" spans="1:1" x14ac:dyDescent="0.25">
      <c r="A440" t="s">
        <v>472</v>
      </c>
    </row>
    <row r="441" spans="1:1" x14ac:dyDescent="0.25">
      <c r="A441" t="s">
        <v>399</v>
      </c>
    </row>
    <row r="442" spans="1:1" x14ac:dyDescent="0.25">
      <c r="A442" t="s">
        <v>398</v>
      </c>
    </row>
    <row r="443" spans="1:1" x14ac:dyDescent="0.25">
      <c r="A443" t="s">
        <v>479</v>
      </c>
    </row>
    <row r="444" spans="1:1" x14ac:dyDescent="0.25">
      <c r="A444" t="s">
        <v>476</v>
      </c>
    </row>
    <row r="445" spans="1:1" x14ac:dyDescent="0.25">
      <c r="A445" t="s">
        <v>471</v>
      </c>
    </row>
    <row r="446" spans="1:1" x14ac:dyDescent="0.25">
      <c r="A446" t="s">
        <v>472</v>
      </c>
    </row>
    <row r="447" spans="1:1" x14ac:dyDescent="0.25">
      <c r="A447" t="s">
        <v>399</v>
      </c>
    </row>
    <row r="448" spans="1:1" x14ac:dyDescent="0.25">
      <c r="A448" t="s">
        <v>398</v>
      </c>
    </row>
    <row r="449" spans="1:1" x14ac:dyDescent="0.25">
      <c r="A449" t="s">
        <v>512</v>
      </c>
    </row>
    <row r="450" spans="1:1" x14ac:dyDescent="0.25">
      <c r="A450" t="s">
        <v>513</v>
      </c>
    </row>
    <row r="451" spans="1:1" x14ac:dyDescent="0.25">
      <c r="A451" t="s">
        <v>471</v>
      </c>
    </row>
    <row r="452" spans="1:1" x14ac:dyDescent="0.25">
      <c r="A452" t="s">
        <v>472</v>
      </c>
    </row>
    <row r="453" spans="1:1" x14ac:dyDescent="0.25">
      <c r="A453" t="s">
        <v>399</v>
      </c>
    </row>
    <row r="454" spans="1:1" x14ac:dyDescent="0.25">
      <c r="A454" t="s">
        <v>398</v>
      </c>
    </row>
    <row r="455" spans="1:1" x14ac:dyDescent="0.25">
      <c r="A455" t="s">
        <v>514</v>
      </c>
    </row>
    <row r="456" spans="1:1" x14ac:dyDescent="0.25">
      <c r="A456" t="s">
        <v>513</v>
      </c>
    </row>
    <row r="457" spans="1:1" x14ac:dyDescent="0.25">
      <c r="A457" t="s">
        <v>471</v>
      </c>
    </row>
    <row r="458" spans="1:1" x14ac:dyDescent="0.25">
      <c r="A458" t="s">
        <v>472</v>
      </c>
    </row>
    <row r="459" spans="1:1" x14ac:dyDescent="0.25">
      <c r="A459" t="s">
        <v>399</v>
      </c>
    </row>
    <row r="460" spans="1:1" x14ac:dyDescent="0.25">
      <c r="A460" t="s">
        <v>400</v>
      </c>
    </row>
    <row r="461" spans="1:1" x14ac:dyDescent="0.25">
      <c r="A461" t="s">
        <v>401</v>
      </c>
    </row>
    <row r="463" spans="1:1" x14ac:dyDescent="0.25">
      <c r="A463" t="s">
        <v>341</v>
      </c>
    </row>
    <row r="464" spans="1:1" x14ac:dyDescent="0.25">
      <c r="A464" t="s">
        <v>342</v>
      </c>
    </row>
    <row r="465" spans="1:1" x14ac:dyDescent="0.25">
      <c r="A465" t="s">
        <v>515</v>
      </c>
    </row>
    <row r="466" spans="1:1" x14ac:dyDescent="0.25">
      <c r="A466" t="s">
        <v>433</v>
      </c>
    </row>
    <row r="467" spans="1:1" x14ac:dyDescent="0.25">
      <c r="A467" t="s">
        <v>355</v>
      </c>
    </row>
    <row r="468" spans="1:1" x14ac:dyDescent="0.25">
      <c r="A468" t="s">
        <v>516</v>
      </c>
    </row>
    <row r="469" spans="1:1" x14ac:dyDescent="0.25">
      <c r="A469" t="s">
        <v>345</v>
      </c>
    </row>
    <row r="471" spans="1:1" x14ac:dyDescent="0.25">
      <c r="A471" t="s">
        <v>341</v>
      </c>
    </row>
    <row r="472" spans="1:1" x14ac:dyDescent="0.25">
      <c r="A472" t="s">
        <v>342</v>
      </c>
    </row>
    <row r="473" spans="1:1" x14ac:dyDescent="0.25">
      <c r="A473" t="s">
        <v>517</v>
      </c>
    </row>
    <row r="474" spans="1:1" x14ac:dyDescent="0.25">
      <c r="A474" t="s">
        <v>518</v>
      </c>
    </row>
    <row r="475" spans="1:1" x14ac:dyDescent="0.25">
      <c r="A475" t="s">
        <v>519</v>
      </c>
    </row>
    <row r="476" spans="1:1" x14ac:dyDescent="0.25">
      <c r="A476" t="s">
        <v>355</v>
      </c>
    </row>
    <row r="477" spans="1:1" x14ac:dyDescent="0.25">
      <c r="A477" t="s">
        <v>520</v>
      </c>
    </row>
    <row r="478" spans="1:1" x14ac:dyDescent="0.25">
      <c r="A478" t="s">
        <v>345</v>
      </c>
    </row>
    <row r="480" spans="1:1" x14ac:dyDescent="0.25">
      <c r="A480" t="s">
        <v>341</v>
      </c>
    </row>
    <row r="481" spans="1:1" x14ac:dyDescent="0.25">
      <c r="A481" t="s">
        <v>342</v>
      </c>
    </row>
    <row r="482" spans="1:1" x14ac:dyDescent="0.25">
      <c r="A482" t="s">
        <v>521</v>
      </c>
    </row>
    <row r="483" spans="1:1" x14ac:dyDescent="0.25">
      <c r="A483" t="s">
        <v>522</v>
      </c>
    </row>
    <row r="484" spans="1:1" x14ac:dyDescent="0.25">
      <c r="A484" t="s">
        <v>519</v>
      </c>
    </row>
    <row r="485" spans="1:1" x14ac:dyDescent="0.25">
      <c r="A485" t="s">
        <v>355</v>
      </c>
    </row>
    <row r="486" spans="1:1" x14ac:dyDescent="0.25">
      <c r="A486" t="s">
        <v>523</v>
      </c>
    </row>
    <row r="487" spans="1:1" x14ac:dyDescent="0.25">
      <c r="A487" t="s">
        <v>345</v>
      </c>
    </row>
    <row r="489" spans="1:1" x14ac:dyDescent="0.25">
      <c r="A489" t="s">
        <v>341</v>
      </c>
    </row>
    <row r="490" spans="1:1" x14ac:dyDescent="0.25">
      <c r="A490" t="s">
        <v>342</v>
      </c>
    </row>
    <row r="491" spans="1:1" x14ac:dyDescent="0.25">
      <c r="A491" t="s">
        <v>524</v>
      </c>
    </row>
    <row r="492" spans="1:1" x14ac:dyDescent="0.25">
      <c r="A492" t="s">
        <v>525</v>
      </c>
    </row>
    <row r="493" spans="1:1" x14ac:dyDescent="0.25">
      <c r="A493" t="s">
        <v>519</v>
      </c>
    </row>
    <row r="494" spans="1:1" x14ac:dyDescent="0.25">
      <c r="A494" t="s">
        <v>355</v>
      </c>
    </row>
    <row r="495" spans="1:1" x14ac:dyDescent="0.25">
      <c r="A495" t="s">
        <v>526</v>
      </c>
    </row>
    <row r="496" spans="1:1" x14ac:dyDescent="0.25">
      <c r="A496" t="s">
        <v>345</v>
      </c>
    </row>
    <row r="498" spans="1:1" x14ac:dyDescent="0.25">
      <c r="A498" t="s">
        <v>341</v>
      </c>
    </row>
    <row r="499" spans="1:1" x14ac:dyDescent="0.25">
      <c r="A499" t="s">
        <v>342</v>
      </c>
    </row>
    <row r="500" spans="1:1" x14ac:dyDescent="0.25">
      <c r="A500" t="s">
        <v>527</v>
      </c>
    </row>
    <row r="501" spans="1:1" x14ac:dyDescent="0.25">
      <c r="A501" t="s">
        <v>528</v>
      </c>
    </row>
    <row r="502" spans="1:1" x14ac:dyDescent="0.25">
      <c r="A502" t="s">
        <v>519</v>
      </c>
    </row>
    <row r="503" spans="1:1" x14ac:dyDescent="0.25">
      <c r="A503" t="s">
        <v>355</v>
      </c>
    </row>
    <row r="504" spans="1:1" x14ac:dyDescent="0.25">
      <c r="A504" t="s">
        <v>529</v>
      </c>
    </row>
    <row r="505" spans="1:1" x14ac:dyDescent="0.25">
      <c r="A505" t="s">
        <v>345</v>
      </c>
    </row>
    <row r="507" spans="1:1" x14ac:dyDescent="0.25">
      <c r="A507" t="s">
        <v>341</v>
      </c>
    </row>
    <row r="508" spans="1:1" x14ac:dyDescent="0.25">
      <c r="A508" t="s">
        <v>342</v>
      </c>
    </row>
    <row r="509" spans="1:1" x14ac:dyDescent="0.25">
      <c r="A509" t="s">
        <v>530</v>
      </c>
    </row>
    <row r="510" spans="1:1" x14ac:dyDescent="0.25">
      <c r="A510" t="s">
        <v>531</v>
      </c>
    </row>
    <row r="511" spans="1:1" x14ac:dyDescent="0.25">
      <c r="A511" t="s">
        <v>519</v>
      </c>
    </row>
    <row r="512" spans="1:1" x14ac:dyDescent="0.25">
      <c r="A512" t="s">
        <v>355</v>
      </c>
    </row>
    <row r="513" spans="1:1" x14ac:dyDescent="0.25">
      <c r="A513" t="s">
        <v>532</v>
      </c>
    </row>
    <row r="514" spans="1:1" x14ac:dyDescent="0.25">
      <c r="A514" t="s">
        <v>345</v>
      </c>
    </row>
    <row r="516" spans="1:1" x14ac:dyDescent="0.25">
      <c r="A516" t="s">
        <v>341</v>
      </c>
    </row>
    <row r="517" spans="1:1" x14ac:dyDescent="0.25">
      <c r="A517" t="s">
        <v>342</v>
      </c>
    </row>
    <row r="518" spans="1:1" x14ac:dyDescent="0.25">
      <c r="A518" t="s">
        <v>533</v>
      </c>
    </row>
    <row r="519" spans="1:1" x14ac:dyDescent="0.25">
      <c r="A519" t="s">
        <v>534</v>
      </c>
    </row>
    <row r="520" spans="1:1" x14ac:dyDescent="0.25">
      <c r="A520" t="s">
        <v>519</v>
      </c>
    </row>
    <row r="521" spans="1:1" x14ac:dyDescent="0.25">
      <c r="A521" t="s">
        <v>355</v>
      </c>
    </row>
    <row r="522" spans="1:1" x14ac:dyDescent="0.25">
      <c r="A522" t="s">
        <v>535</v>
      </c>
    </row>
    <row r="523" spans="1:1" x14ac:dyDescent="0.25">
      <c r="A523" t="s">
        <v>345</v>
      </c>
    </row>
    <row r="525" spans="1:1" x14ac:dyDescent="0.25">
      <c r="A525" t="s">
        <v>383</v>
      </c>
    </row>
    <row r="526" spans="1:1" x14ac:dyDescent="0.25">
      <c r="A526" t="s">
        <v>536</v>
      </c>
    </row>
    <row r="527" spans="1:1" x14ac:dyDescent="0.25">
      <c r="A527" t="s">
        <v>385</v>
      </c>
    </row>
    <row r="528" spans="1:1" x14ac:dyDescent="0.25">
      <c r="A528" t="s">
        <v>386</v>
      </c>
    </row>
    <row r="529" spans="1:1" x14ac:dyDescent="0.25">
      <c r="A529" t="s">
        <v>537</v>
      </c>
    </row>
    <row r="530" spans="1:1" x14ac:dyDescent="0.25">
      <c r="A530" t="s">
        <v>538</v>
      </c>
    </row>
    <row r="531" spans="1:1" x14ac:dyDescent="0.25">
      <c r="A531" t="s">
        <v>389</v>
      </c>
    </row>
    <row r="533" spans="1:1" x14ac:dyDescent="0.25">
      <c r="A533" t="s">
        <v>385</v>
      </c>
    </row>
    <row r="534" spans="1:1" x14ac:dyDescent="0.25">
      <c r="A534" t="s">
        <v>386</v>
      </c>
    </row>
    <row r="535" spans="1:1" x14ac:dyDescent="0.25">
      <c r="A535" t="s">
        <v>539</v>
      </c>
    </row>
    <row r="536" spans="1:1" x14ac:dyDescent="0.25">
      <c r="A536" t="s">
        <v>540</v>
      </c>
    </row>
    <row r="537" spans="1:1" x14ac:dyDescent="0.25">
      <c r="A537" t="s">
        <v>389</v>
      </c>
    </row>
    <row r="539" spans="1:1" x14ac:dyDescent="0.25">
      <c r="A539" t="s">
        <v>390</v>
      </c>
    </row>
    <row r="540" spans="1:1" x14ac:dyDescent="0.25">
      <c r="A540" t="s">
        <v>391</v>
      </c>
    </row>
    <row r="541" spans="1:1" x14ac:dyDescent="0.25">
      <c r="A541" t="s">
        <v>385</v>
      </c>
    </row>
    <row r="542" spans="1:1" x14ac:dyDescent="0.25">
      <c r="A542" t="s">
        <v>386</v>
      </c>
    </row>
    <row r="543" spans="1:1" x14ac:dyDescent="0.25">
      <c r="A543" t="s">
        <v>541</v>
      </c>
    </row>
    <row r="544" spans="1:1" x14ac:dyDescent="0.25">
      <c r="A544" t="s">
        <v>542</v>
      </c>
    </row>
    <row r="545" spans="1:1" x14ac:dyDescent="0.25">
      <c r="A545" t="s">
        <v>471</v>
      </c>
    </row>
    <row r="546" spans="1:1" x14ac:dyDescent="0.25">
      <c r="A546" t="s">
        <v>472</v>
      </c>
    </row>
    <row r="547" spans="1:1" x14ac:dyDescent="0.25">
      <c r="A547" t="s">
        <v>543</v>
      </c>
    </row>
    <row r="548" spans="1:1" x14ac:dyDescent="0.25">
      <c r="A548" t="s">
        <v>389</v>
      </c>
    </row>
    <row r="550" spans="1:1" x14ac:dyDescent="0.25">
      <c r="A550" t="s">
        <v>482</v>
      </c>
    </row>
    <row r="551" spans="1:1" x14ac:dyDescent="0.25">
      <c r="A551" t="s">
        <v>483</v>
      </c>
    </row>
    <row r="552" spans="1:1" x14ac:dyDescent="0.25">
      <c r="A552" t="s">
        <v>484</v>
      </c>
    </row>
    <row r="553" spans="1:1" x14ac:dyDescent="0.25">
      <c r="A553" t="s">
        <v>485</v>
      </c>
    </row>
    <row r="554" spans="1:1" x14ac:dyDescent="0.25">
      <c r="A554" t="s">
        <v>544</v>
      </c>
    </row>
    <row r="555" spans="1:1" x14ac:dyDescent="0.25">
      <c r="A555" t="s">
        <v>545</v>
      </c>
    </row>
    <row r="556" spans="1:1" x14ac:dyDescent="0.25">
      <c r="A556" t="s">
        <v>488</v>
      </c>
    </row>
    <row r="557" spans="1:1" x14ac:dyDescent="0.25">
      <c r="A557" t="s">
        <v>489</v>
      </c>
    </row>
    <row r="558" spans="1:1" x14ac:dyDescent="0.25">
      <c r="A558" t="s">
        <v>490</v>
      </c>
    </row>
    <row r="559" spans="1:1" x14ac:dyDescent="0.25">
      <c r="A559" t="s">
        <v>484</v>
      </c>
    </row>
    <row r="560" spans="1:1" x14ac:dyDescent="0.25">
      <c r="A560" t="s">
        <v>546</v>
      </c>
    </row>
    <row r="561" spans="1:1" x14ac:dyDescent="0.25">
      <c r="A561" t="s">
        <v>547</v>
      </c>
    </row>
    <row r="562" spans="1:1" x14ac:dyDescent="0.25">
      <c r="A562" t="s">
        <v>548</v>
      </c>
    </row>
    <row r="563" spans="1:1" x14ac:dyDescent="0.25">
      <c r="A563" t="s">
        <v>493</v>
      </c>
    </row>
    <row r="564" spans="1:1" x14ac:dyDescent="0.25">
      <c r="A564" t="s">
        <v>494</v>
      </c>
    </row>
    <row r="565" spans="1:1" x14ac:dyDescent="0.25">
      <c r="A565" t="s">
        <v>545</v>
      </c>
    </row>
    <row r="566" spans="1:1" x14ac:dyDescent="0.25">
      <c r="A566" t="s">
        <v>488</v>
      </c>
    </row>
    <row r="567" spans="1:1" x14ac:dyDescent="0.25">
      <c r="A567" t="s">
        <v>498</v>
      </c>
    </row>
    <row r="568" spans="1:1" x14ac:dyDescent="0.25">
      <c r="A568" t="s">
        <v>499</v>
      </c>
    </row>
    <row r="569" spans="1:1" x14ac:dyDescent="0.25">
      <c r="A569" t="s">
        <v>500</v>
      </c>
    </row>
    <row r="570" spans="1:1" x14ac:dyDescent="0.25">
      <c r="A570" t="s">
        <v>547</v>
      </c>
    </row>
    <row r="571" spans="1:1" x14ac:dyDescent="0.25">
      <c r="A571" t="s">
        <v>548</v>
      </c>
    </row>
    <row r="572" spans="1:1" x14ac:dyDescent="0.25">
      <c r="A572" t="s">
        <v>493</v>
      </c>
    </row>
    <row r="573" spans="1:1" x14ac:dyDescent="0.25">
      <c r="A573" t="s">
        <v>494</v>
      </c>
    </row>
    <row r="574" spans="1:1" x14ac:dyDescent="0.25">
      <c r="A574" t="s">
        <v>501</v>
      </c>
    </row>
    <row r="575" spans="1:1" x14ac:dyDescent="0.25">
      <c r="A575" t="s">
        <v>502</v>
      </c>
    </row>
    <row r="576" spans="1:1" x14ac:dyDescent="0.25">
      <c r="A576" t="s">
        <v>503</v>
      </c>
    </row>
    <row r="578" spans="1:1" x14ac:dyDescent="0.25">
      <c r="A578" t="s">
        <v>379</v>
      </c>
    </row>
    <row r="579" spans="1:1" x14ac:dyDescent="0.25">
      <c r="A579" t="s">
        <v>397</v>
      </c>
    </row>
    <row r="580" spans="1:1" x14ac:dyDescent="0.25">
      <c r="A580" t="s">
        <v>398</v>
      </c>
    </row>
    <row r="581" spans="1:1" x14ac:dyDescent="0.25">
      <c r="A581" t="s">
        <v>541</v>
      </c>
    </row>
    <row r="582" spans="1:1" x14ac:dyDescent="0.25">
      <c r="A582" t="s">
        <v>542</v>
      </c>
    </row>
    <row r="583" spans="1:1" x14ac:dyDescent="0.25">
      <c r="A583" t="s">
        <v>471</v>
      </c>
    </row>
    <row r="584" spans="1:1" x14ac:dyDescent="0.25">
      <c r="A584" t="s">
        <v>472</v>
      </c>
    </row>
    <row r="585" spans="1:1" x14ac:dyDescent="0.25">
      <c r="A585" t="s">
        <v>399</v>
      </c>
    </row>
    <row r="586" spans="1:1" x14ac:dyDescent="0.25">
      <c r="A586" t="s">
        <v>400</v>
      </c>
    </row>
    <row r="587" spans="1:1" x14ac:dyDescent="0.25">
      <c r="A587" t="s">
        <v>401</v>
      </c>
    </row>
    <row r="589" spans="1:1" x14ac:dyDescent="0.25">
      <c r="A589" t="s">
        <v>383</v>
      </c>
    </row>
    <row r="590" spans="1:1" x14ac:dyDescent="0.25">
      <c r="A590" t="s">
        <v>384</v>
      </c>
    </row>
    <row r="591" spans="1:1" x14ac:dyDescent="0.25">
      <c r="A591" t="s">
        <v>385</v>
      </c>
    </row>
    <row r="592" spans="1:1" x14ac:dyDescent="0.25">
      <c r="A592" t="s">
        <v>386</v>
      </c>
    </row>
    <row r="593" spans="1:1" x14ac:dyDescent="0.25">
      <c r="A593" t="s">
        <v>549</v>
      </c>
    </row>
    <row r="594" spans="1:1" x14ac:dyDescent="0.25">
      <c r="A594" t="s">
        <v>550</v>
      </c>
    </row>
    <row r="595" spans="1:1" x14ac:dyDescent="0.25">
      <c r="A595" t="s">
        <v>389</v>
      </c>
    </row>
    <row r="596" spans="1:1" x14ac:dyDescent="0.25">
      <c r="A596" t="s">
        <v>390</v>
      </c>
    </row>
    <row r="597" spans="1:1" x14ac:dyDescent="0.25">
      <c r="A597" t="s">
        <v>391</v>
      </c>
    </row>
    <row r="598" spans="1:1" x14ac:dyDescent="0.25">
      <c r="A598" t="s">
        <v>385</v>
      </c>
    </row>
    <row r="599" spans="1:1" x14ac:dyDescent="0.25">
      <c r="A599" t="s">
        <v>386</v>
      </c>
    </row>
    <row r="600" spans="1:1" x14ac:dyDescent="0.25">
      <c r="A600" t="s">
        <v>551</v>
      </c>
    </row>
    <row r="601" spans="1:1" x14ac:dyDescent="0.25">
      <c r="A601" t="s">
        <v>552</v>
      </c>
    </row>
    <row r="602" spans="1:1" x14ac:dyDescent="0.25">
      <c r="A602" t="s">
        <v>471</v>
      </c>
    </row>
    <row r="603" spans="1:1" x14ac:dyDescent="0.25">
      <c r="A603" t="s">
        <v>472</v>
      </c>
    </row>
    <row r="604" spans="1:1" x14ac:dyDescent="0.25">
      <c r="A604" t="s">
        <v>553</v>
      </c>
    </row>
    <row r="605" spans="1:1" x14ac:dyDescent="0.25">
      <c r="A605" t="s">
        <v>389</v>
      </c>
    </row>
    <row r="606" spans="1:1" x14ac:dyDescent="0.25">
      <c r="A606" t="s">
        <v>379</v>
      </c>
    </row>
    <row r="607" spans="1:1" x14ac:dyDescent="0.25">
      <c r="A607" t="s">
        <v>397</v>
      </c>
    </row>
    <row r="608" spans="1:1" x14ac:dyDescent="0.25">
      <c r="A608" t="s">
        <v>398</v>
      </c>
    </row>
    <row r="609" spans="1:1" x14ac:dyDescent="0.25">
      <c r="A609" t="s">
        <v>551</v>
      </c>
    </row>
    <row r="610" spans="1:1" x14ac:dyDescent="0.25">
      <c r="A610" t="s">
        <v>552</v>
      </c>
    </row>
    <row r="611" spans="1:1" x14ac:dyDescent="0.25">
      <c r="A611" t="s">
        <v>471</v>
      </c>
    </row>
    <row r="612" spans="1:1" x14ac:dyDescent="0.25">
      <c r="A612" t="s">
        <v>472</v>
      </c>
    </row>
    <row r="613" spans="1:1" x14ac:dyDescent="0.25">
      <c r="A613" t="s">
        <v>399</v>
      </c>
    </row>
    <row r="614" spans="1:1" x14ac:dyDescent="0.25">
      <c r="A614" t="s">
        <v>400</v>
      </c>
    </row>
    <row r="615" spans="1:1" x14ac:dyDescent="0.25">
      <c r="A615" t="s">
        <v>401</v>
      </c>
    </row>
    <row r="618" spans="1:1" x14ac:dyDescent="0.25">
      <c r="A618" t="s">
        <v>341</v>
      </c>
    </row>
    <row r="619" spans="1:1" x14ac:dyDescent="0.25">
      <c r="A619" t="s">
        <v>342</v>
      </c>
    </row>
    <row r="620" spans="1:1" x14ac:dyDescent="0.25">
      <c r="A620" t="s">
        <v>554</v>
      </c>
    </row>
    <row r="621" spans="1:1" x14ac:dyDescent="0.25">
      <c r="A621" t="s">
        <v>555</v>
      </c>
    </row>
    <row r="622" spans="1:1" x14ac:dyDescent="0.25">
      <c r="A622" t="s">
        <v>519</v>
      </c>
    </row>
    <row r="623" spans="1:1" x14ac:dyDescent="0.25">
      <c r="A623" t="s">
        <v>355</v>
      </c>
    </row>
    <row r="624" spans="1:1" x14ac:dyDescent="0.25">
      <c r="A624" t="s">
        <v>556</v>
      </c>
    </row>
    <row r="625" spans="1:1" x14ac:dyDescent="0.25">
      <c r="A625" t="s">
        <v>345</v>
      </c>
    </row>
    <row r="627" spans="1:1" x14ac:dyDescent="0.25">
      <c r="A627" t="s">
        <v>341</v>
      </c>
    </row>
    <row r="628" spans="1:1" x14ac:dyDescent="0.25">
      <c r="A628" t="s">
        <v>342</v>
      </c>
    </row>
    <row r="629" spans="1:1" x14ac:dyDescent="0.25">
      <c r="A629" t="s">
        <v>557</v>
      </c>
    </row>
    <row r="630" spans="1:1" x14ac:dyDescent="0.25">
      <c r="A630" t="s">
        <v>558</v>
      </c>
    </row>
    <row r="631" spans="1:1" x14ac:dyDescent="0.25">
      <c r="A631" t="s">
        <v>559</v>
      </c>
    </row>
    <row r="632" spans="1:1" x14ac:dyDescent="0.25">
      <c r="A632" t="s">
        <v>355</v>
      </c>
    </row>
    <row r="633" spans="1:1" x14ac:dyDescent="0.25">
      <c r="A633" t="s">
        <v>560</v>
      </c>
    </row>
    <row r="634" spans="1:1" x14ac:dyDescent="0.25">
      <c r="A634" t="s">
        <v>345</v>
      </c>
    </row>
    <row r="636" spans="1:1" x14ac:dyDescent="0.25">
      <c r="A636" t="s">
        <v>341</v>
      </c>
    </row>
    <row r="637" spans="1:1" x14ac:dyDescent="0.25">
      <c r="A637" t="s">
        <v>413</v>
      </c>
    </row>
    <row r="638" spans="1:1" x14ac:dyDescent="0.25">
      <c r="A638" t="s">
        <v>561</v>
      </c>
    </row>
    <row r="639" spans="1:1" x14ac:dyDescent="0.25">
      <c r="A639" t="s">
        <v>562</v>
      </c>
    </row>
    <row r="640" spans="1:1" x14ac:dyDescent="0.25">
      <c r="A640" t="s">
        <v>519</v>
      </c>
    </row>
    <row r="641" spans="1:1" x14ac:dyDescent="0.25">
      <c r="A641" t="s">
        <v>355</v>
      </c>
    </row>
    <row r="642" spans="1:1" x14ac:dyDescent="0.25">
      <c r="A642" t="s">
        <v>563</v>
      </c>
    </row>
    <row r="643" spans="1:1" x14ac:dyDescent="0.25">
      <c r="A643" t="s">
        <v>345</v>
      </c>
    </row>
    <row r="645" spans="1:1" x14ac:dyDescent="0.25">
      <c r="A645" t="s">
        <v>341</v>
      </c>
    </row>
    <row r="646" spans="1:1" x14ac:dyDescent="0.25">
      <c r="A646" t="s">
        <v>413</v>
      </c>
    </row>
    <row r="647" spans="1:1" x14ac:dyDescent="0.25">
      <c r="A647" t="s">
        <v>564</v>
      </c>
    </row>
    <row r="648" spans="1:1" x14ac:dyDescent="0.25">
      <c r="A648" t="s">
        <v>565</v>
      </c>
    </row>
    <row r="649" spans="1:1" x14ac:dyDescent="0.25">
      <c r="A649" t="s">
        <v>566</v>
      </c>
    </row>
    <row r="650" spans="1:1" x14ac:dyDescent="0.25">
      <c r="A650" t="s">
        <v>355</v>
      </c>
    </row>
    <row r="651" spans="1:1" x14ac:dyDescent="0.25">
      <c r="A651" t="s">
        <v>567</v>
      </c>
    </row>
    <row r="652" spans="1:1" x14ac:dyDescent="0.25">
      <c r="A652" t="s">
        <v>345</v>
      </c>
    </row>
    <row r="654" spans="1:1" x14ac:dyDescent="0.25">
      <c r="A654" t="s">
        <v>341</v>
      </c>
    </row>
    <row r="655" spans="1:1" x14ac:dyDescent="0.25">
      <c r="A655" t="s">
        <v>342</v>
      </c>
    </row>
    <row r="656" spans="1:1" x14ac:dyDescent="0.25">
      <c r="A656" t="s">
        <v>568</v>
      </c>
    </row>
    <row r="657" spans="1:1" x14ac:dyDescent="0.25">
      <c r="A657" t="s">
        <v>569</v>
      </c>
    </row>
    <row r="658" spans="1:1" x14ac:dyDescent="0.25">
      <c r="A658" t="s">
        <v>570</v>
      </c>
    </row>
    <row r="659" spans="1:1" x14ac:dyDescent="0.25">
      <c r="A659" t="s">
        <v>355</v>
      </c>
    </row>
    <row r="660" spans="1:1" x14ac:dyDescent="0.25">
      <c r="A660" t="s">
        <v>571</v>
      </c>
    </row>
    <row r="661" spans="1:1" x14ac:dyDescent="0.25">
      <c r="A661" t="s">
        <v>345</v>
      </c>
    </row>
    <row r="663" spans="1:1" x14ac:dyDescent="0.25">
      <c r="A663" t="s">
        <v>341</v>
      </c>
    </row>
    <row r="664" spans="1:1" x14ac:dyDescent="0.25">
      <c r="A664" t="s">
        <v>342</v>
      </c>
    </row>
    <row r="665" spans="1:1" x14ac:dyDescent="0.25">
      <c r="A665" t="s">
        <v>572</v>
      </c>
    </row>
    <row r="666" spans="1:1" x14ac:dyDescent="0.25">
      <c r="A666" t="s">
        <v>573</v>
      </c>
    </row>
    <row r="667" spans="1:1" x14ac:dyDescent="0.25">
      <c r="A667" t="s">
        <v>574</v>
      </c>
    </row>
    <row r="668" spans="1:1" x14ac:dyDescent="0.25">
      <c r="A668" t="s">
        <v>355</v>
      </c>
    </row>
    <row r="669" spans="1:1" x14ac:dyDescent="0.25">
      <c r="A669" t="s">
        <v>575</v>
      </c>
    </row>
    <row r="670" spans="1:1" x14ac:dyDescent="0.25">
      <c r="A670" t="s">
        <v>345</v>
      </c>
    </row>
    <row r="672" spans="1:1" x14ac:dyDescent="0.25">
      <c r="A672" t="s">
        <v>341</v>
      </c>
    </row>
    <row r="673" spans="1:1" x14ac:dyDescent="0.25">
      <c r="A673" t="s">
        <v>342</v>
      </c>
    </row>
    <row r="674" spans="1:1" x14ac:dyDescent="0.25">
      <c r="A674" t="s">
        <v>576</v>
      </c>
    </row>
    <row r="675" spans="1:1" x14ac:dyDescent="0.25">
      <c r="A675" t="s">
        <v>577</v>
      </c>
    </row>
    <row r="676" spans="1:1" x14ac:dyDescent="0.25">
      <c r="A676" t="s">
        <v>578</v>
      </c>
    </row>
    <row r="677" spans="1:1" x14ac:dyDescent="0.25">
      <c r="A677" t="s">
        <v>355</v>
      </c>
    </row>
    <row r="678" spans="1:1" x14ac:dyDescent="0.25">
      <c r="A678" t="s">
        <v>579</v>
      </c>
    </row>
    <row r="679" spans="1:1" x14ac:dyDescent="0.25">
      <c r="A679" t="s">
        <v>345</v>
      </c>
    </row>
    <row r="681" spans="1:1" x14ac:dyDescent="0.25">
      <c r="A681" t="s">
        <v>341</v>
      </c>
    </row>
    <row r="682" spans="1:1" x14ac:dyDescent="0.25">
      <c r="A682" t="s">
        <v>342</v>
      </c>
    </row>
    <row r="683" spans="1:1" x14ac:dyDescent="0.25">
      <c r="A683" t="s">
        <v>580</v>
      </c>
    </row>
    <row r="684" spans="1:1" x14ac:dyDescent="0.25">
      <c r="A684" t="s">
        <v>581</v>
      </c>
    </row>
    <row r="685" spans="1:1" x14ac:dyDescent="0.25">
      <c r="A685" t="s">
        <v>566</v>
      </c>
    </row>
    <row r="686" spans="1:1" x14ac:dyDescent="0.25">
      <c r="A686" t="s">
        <v>355</v>
      </c>
    </row>
    <row r="687" spans="1:1" x14ac:dyDescent="0.25">
      <c r="A687" t="s">
        <v>582</v>
      </c>
    </row>
    <row r="688" spans="1:1" x14ac:dyDescent="0.25">
      <c r="A688" t="s">
        <v>583</v>
      </c>
    </row>
    <row r="689" spans="1:1" x14ac:dyDescent="0.25">
      <c r="A689" t="s">
        <v>345</v>
      </c>
    </row>
    <row r="691" spans="1:1" x14ac:dyDescent="0.25">
      <c r="A691" t="s">
        <v>341</v>
      </c>
    </row>
    <row r="692" spans="1:1" x14ac:dyDescent="0.25">
      <c r="A692" t="s">
        <v>342</v>
      </c>
    </row>
    <row r="693" spans="1:1" x14ac:dyDescent="0.25">
      <c r="A693" t="s">
        <v>584</v>
      </c>
    </row>
    <row r="694" spans="1:1" x14ac:dyDescent="0.25">
      <c r="A694" t="s">
        <v>585</v>
      </c>
    </row>
    <row r="695" spans="1:1" x14ac:dyDescent="0.25">
      <c r="A695" t="s">
        <v>574</v>
      </c>
    </row>
    <row r="696" spans="1:1" x14ac:dyDescent="0.25">
      <c r="A696" t="s">
        <v>355</v>
      </c>
    </row>
    <row r="697" spans="1:1" x14ac:dyDescent="0.25">
      <c r="A697" t="s">
        <v>586</v>
      </c>
    </row>
    <row r="698" spans="1:1" x14ac:dyDescent="0.25">
      <c r="A698" t="s">
        <v>345</v>
      </c>
    </row>
    <row r="700" spans="1:1" x14ac:dyDescent="0.25">
      <c r="A700" t="s">
        <v>341</v>
      </c>
    </row>
    <row r="701" spans="1:1" x14ac:dyDescent="0.25">
      <c r="A701" t="s">
        <v>342</v>
      </c>
    </row>
    <row r="702" spans="1:1" x14ac:dyDescent="0.25">
      <c r="A702" t="s">
        <v>587</v>
      </c>
    </row>
    <row r="703" spans="1:1" x14ac:dyDescent="0.25">
      <c r="A703" t="s">
        <v>588</v>
      </c>
    </row>
    <row r="704" spans="1:1" x14ac:dyDescent="0.25">
      <c r="A704" t="s">
        <v>566</v>
      </c>
    </row>
    <row r="705" spans="1:1" x14ac:dyDescent="0.25">
      <c r="A705" t="s">
        <v>355</v>
      </c>
    </row>
    <row r="706" spans="1:1" x14ac:dyDescent="0.25">
      <c r="A706" t="s">
        <v>589</v>
      </c>
    </row>
    <row r="707" spans="1:1" x14ac:dyDescent="0.25">
      <c r="A707" t="s">
        <v>590</v>
      </c>
    </row>
    <row r="708" spans="1:1" x14ac:dyDescent="0.25">
      <c r="A708" t="s">
        <v>345</v>
      </c>
    </row>
    <row r="710" spans="1:1" x14ac:dyDescent="0.25">
      <c r="A710" t="s">
        <v>341</v>
      </c>
    </row>
    <row r="711" spans="1:1" x14ac:dyDescent="0.25">
      <c r="A711" t="s">
        <v>342</v>
      </c>
    </row>
    <row r="712" spans="1:1" x14ac:dyDescent="0.25">
      <c r="A712" t="s">
        <v>591</v>
      </c>
    </row>
    <row r="713" spans="1:1" x14ac:dyDescent="0.25">
      <c r="A713" t="s">
        <v>592</v>
      </c>
    </row>
    <row r="714" spans="1:1" x14ac:dyDescent="0.25">
      <c r="A714" t="s">
        <v>593</v>
      </c>
    </row>
    <row r="715" spans="1:1" x14ac:dyDescent="0.25">
      <c r="A715" t="s">
        <v>355</v>
      </c>
    </row>
    <row r="716" spans="1:1" x14ac:dyDescent="0.25">
      <c r="A716" t="s">
        <v>594</v>
      </c>
    </row>
    <row r="717" spans="1:1" x14ac:dyDescent="0.25">
      <c r="A717" t="s">
        <v>595</v>
      </c>
    </row>
    <row r="718" spans="1:1" x14ac:dyDescent="0.25">
      <c r="A718" t="s">
        <v>345</v>
      </c>
    </row>
    <row r="720" spans="1:1" x14ac:dyDescent="0.25">
      <c r="A720" t="s">
        <v>341</v>
      </c>
    </row>
    <row r="721" spans="1:1" x14ac:dyDescent="0.25">
      <c r="A721" t="s">
        <v>342</v>
      </c>
    </row>
    <row r="722" spans="1:1" x14ac:dyDescent="0.25">
      <c r="A722" t="s">
        <v>596</v>
      </c>
    </row>
    <row r="723" spans="1:1" x14ac:dyDescent="0.25">
      <c r="A723" t="s">
        <v>597</v>
      </c>
    </row>
    <row r="724" spans="1:1" x14ac:dyDescent="0.25">
      <c r="A724" t="s">
        <v>433</v>
      </c>
    </row>
    <row r="725" spans="1:1" x14ac:dyDescent="0.25">
      <c r="A725" t="s">
        <v>355</v>
      </c>
    </row>
    <row r="726" spans="1:1" x14ac:dyDescent="0.25">
      <c r="A726" t="s">
        <v>598</v>
      </c>
    </row>
    <row r="727" spans="1:1" x14ac:dyDescent="0.25">
      <c r="A727" t="s">
        <v>345</v>
      </c>
    </row>
    <row r="729" spans="1:1" x14ac:dyDescent="0.25">
      <c r="A729" t="s">
        <v>380</v>
      </c>
    </row>
    <row r="730" spans="1:1" x14ac:dyDescent="0.25">
      <c r="A730" t="s">
        <v>599</v>
      </c>
    </row>
    <row r="731" spans="1:1" x14ac:dyDescent="0.25">
      <c r="A731" t="s">
        <v>600</v>
      </c>
    </row>
    <row r="732" spans="1:1" x14ac:dyDescent="0.25">
      <c r="A732" t="s">
        <v>601</v>
      </c>
    </row>
    <row r="733" spans="1:1" x14ac:dyDescent="0.25">
      <c r="A733" t="s">
        <v>602</v>
      </c>
    </row>
    <row r="734" spans="1:1" x14ac:dyDescent="0.25">
      <c r="A734" t="s">
        <v>351</v>
      </c>
    </row>
    <row r="735" spans="1:1" x14ac:dyDescent="0.25">
      <c r="A735" t="s">
        <v>454</v>
      </c>
    </row>
    <row r="736" spans="1:1" x14ac:dyDescent="0.25">
      <c r="A736" t="s">
        <v>603</v>
      </c>
    </row>
    <row r="738" spans="1:1" x14ac:dyDescent="0.25">
      <c r="A738" t="s">
        <v>604</v>
      </c>
    </row>
  </sheetData>
  <autoFilter ref="A1:A738" xr:uid="{81C6A6DD-B3CB-4317-8AE8-46AB8069406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A90D-39A3-4C36-A861-5C1D280F5A8F}">
  <dimension ref="A1:A875"/>
  <sheetViews>
    <sheetView workbookViewId="0">
      <selection activeCell="A6" sqref="A6"/>
    </sheetView>
  </sheetViews>
  <sheetFormatPr defaultRowHeight="15" x14ac:dyDescent="0.25"/>
  <cols>
    <col min="1" max="1" width="254" bestFit="1" customWidth="1"/>
  </cols>
  <sheetData>
    <row r="1" spans="1:1" x14ac:dyDescent="0.25">
      <c r="A1" t="s">
        <v>337</v>
      </c>
    </row>
    <row r="3" spans="1:1" x14ac:dyDescent="0.25">
      <c r="A3" t="s">
        <v>338</v>
      </c>
    </row>
    <row r="5" spans="1:1" x14ac:dyDescent="0.25">
      <c r="A5" t="s">
        <v>363</v>
      </c>
    </row>
    <row r="6" spans="1:1" x14ac:dyDescent="0.25">
      <c r="A6" t="s">
        <v>364</v>
      </c>
    </row>
    <row r="7" spans="1:1" x14ac:dyDescent="0.25">
      <c r="A7" t="s">
        <v>365</v>
      </c>
    </row>
    <row r="8" spans="1:1" x14ac:dyDescent="0.25">
      <c r="A8" t="s">
        <v>643</v>
      </c>
    </row>
    <row r="9" spans="1:1" x14ac:dyDescent="0.25">
      <c r="A9" t="s">
        <v>644</v>
      </c>
    </row>
    <row r="10" spans="1:1" x14ac:dyDescent="0.25">
      <c r="A10" t="s">
        <v>645</v>
      </c>
    </row>
    <row r="11" spans="1:1" x14ac:dyDescent="0.25">
      <c r="A11" t="s">
        <v>368</v>
      </c>
    </row>
    <row r="12" spans="1:1" x14ac:dyDescent="0.25">
      <c r="A12" t="s">
        <v>369</v>
      </c>
    </row>
    <row r="14" spans="1:1" x14ac:dyDescent="0.25">
      <c r="A14" t="s">
        <v>646</v>
      </c>
    </row>
    <row r="16" spans="1:1" x14ac:dyDescent="0.25">
      <c r="A16" t="s">
        <v>365</v>
      </c>
    </row>
    <row r="17" spans="1:1" x14ac:dyDescent="0.25">
      <c r="A17" t="s">
        <v>643</v>
      </c>
    </row>
    <row r="18" spans="1:1" x14ac:dyDescent="0.25">
      <c r="A18" t="s">
        <v>647</v>
      </c>
    </row>
    <row r="19" spans="1:1" x14ac:dyDescent="0.25">
      <c r="A19" t="s">
        <v>648</v>
      </c>
    </row>
    <row r="20" spans="1:1" x14ac:dyDescent="0.25">
      <c r="A20" t="s">
        <v>649</v>
      </c>
    </row>
    <row r="21" spans="1:1" x14ac:dyDescent="0.25">
      <c r="A21" t="s">
        <v>650</v>
      </c>
    </row>
    <row r="22" spans="1:1" x14ac:dyDescent="0.25">
      <c r="A22" t="s">
        <v>651</v>
      </c>
    </row>
    <row r="23" spans="1:1" x14ac:dyDescent="0.25">
      <c r="A23" t="s">
        <v>652</v>
      </c>
    </row>
    <row r="24" spans="1:1" x14ac:dyDescent="0.25">
      <c r="A24" t="s">
        <v>368</v>
      </c>
    </row>
    <row r="26" spans="1:1" x14ac:dyDescent="0.25">
      <c r="A26" t="s">
        <v>365</v>
      </c>
    </row>
    <row r="27" spans="1:1" x14ac:dyDescent="0.25">
      <c r="A27" t="s">
        <v>643</v>
      </c>
    </row>
    <row r="28" spans="1:1" x14ac:dyDescent="0.25">
      <c r="A28" t="s">
        <v>653</v>
      </c>
    </row>
    <row r="29" spans="1:1" x14ac:dyDescent="0.25">
      <c r="A29" t="s">
        <v>654</v>
      </c>
    </row>
    <row r="30" spans="1:1" x14ac:dyDescent="0.25">
      <c r="A30" t="s">
        <v>649</v>
      </c>
    </row>
    <row r="31" spans="1:1" x14ac:dyDescent="0.25">
      <c r="A31" t="s">
        <v>650</v>
      </c>
    </row>
    <row r="32" spans="1:1" x14ac:dyDescent="0.25">
      <c r="A32" t="s">
        <v>655</v>
      </c>
    </row>
    <row r="33" spans="1:1" x14ac:dyDescent="0.25">
      <c r="A33" t="s">
        <v>656</v>
      </c>
    </row>
    <row r="34" spans="1:1" x14ac:dyDescent="0.25">
      <c r="A34" t="s">
        <v>368</v>
      </c>
    </row>
    <row r="36" spans="1:1" x14ac:dyDescent="0.25">
      <c r="A36" t="s">
        <v>365</v>
      </c>
    </row>
    <row r="37" spans="1:1" x14ac:dyDescent="0.25">
      <c r="A37" t="s">
        <v>643</v>
      </c>
    </row>
    <row r="38" spans="1:1" x14ac:dyDescent="0.25">
      <c r="A38" t="s">
        <v>657</v>
      </c>
    </row>
    <row r="39" spans="1:1" x14ac:dyDescent="0.25">
      <c r="A39" t="s">
        <v>654</v>
      </c>
    </row>
    <row r="40" spans="1:1" x14ac:dyDescent="0.25">
      <c r="A40" t="s">
        <v>649</v>
      </c>
    </row>
    <row r="41" spans="1:1" x14ac:dyDescent="0.25">
      <c r="A41" t="s">
        <v>650</v>
      </c>
    </row>
    <row r="42" spans="1:1" x14ac:dyDescent="0.25">
      <c r="A42" t="s">
        <v>658</v>
      </c>
    </row>
    <row r="43" spans="1:1" x14ac:dyDescent="0.25">
      <c r="A43" t="s">
        <v>659</v>
      </c>
    </row>
    <row r="44" spans="1:1" x14ac:dyDescent="0.25">
      <c r="A44" t="s">
        <v>660</v>
      </c>
    </row>
    <row r="45" spans="1:1" x14ac:dyDescent="0.25">
      <c r="A45" t="s">
        <v>368</v>
      </c>
    </row>
    <row r="47" spans="1:1" x14ac:dyDescent="0.25">
      <c r="A47" t="s">
        <v>365</v>
      </c>
    </row>
    <row r="48" spans="1:1" x14ac:dyDescent="0.25">
      <c r="A48" t="s">
        <v>661</v>
      </c>
    </row>
    <row r="49" spans="1:1" x14ac:dyDescent="0.25">
      <c r="A49" t="s">
        <v>662</v>
      </c>
    </row>
    <row r="50" spans="1:1" x14ac:dyDescent="0.25">
      <c r="A50" t="s">
        <v>663</v>
      </c>
    </row>
    <row r="51" spans="1:1" x14ac:dyDescent="0.25">
      <c r="A51" t="s">
        <v>649</v>
      </c>
    </row>
    <row r="52" spans="1:1" x14ac:dyDescent="0.25">
      <c r="A52" t="s">
        <v>664</v>
      </c>
    </row>
    <row r="53" spans="1:1" x14ac:dyDescent="0.25">
      <c r="A53" t="s">
        <v>665</v>
      </c>
    </row>
    <row r="54" spans="1:1" x14ac:dyDescent="0.25">
      <c r="A54" t="s">
        <v>666</v>
      </c>
    </row>
    <row r="55" spans="1:1" x14ac:dyDescent="0.25">
      <c r="A55" t="s">
        <v>368</v>
      </c>
    </row>
    <row r="57" spans="1:1" x14ac:dyDescent="0.25">
      <c r="A57" t="s">
        <v>365</v>
      </c>
    </row>
    <row r="58" spans="1:1" x14ac:dyDescent="0.25">
      <c r="A58" t="s">
        <v>643</v>
      </c>
    </row>
    <row r="59" spans="1:1" x14ac:dyDescent="0.25">
      <c r="A59" t="s">
        <v>667</v>
      </c>
    </row>
    <row r="60" spans="1:1" x14ac:dyDescent="0.25">
      <c r="A60" t="s">
        <v>668</v>
      </c>
    </row>
    <row r="61" spans="1:1" x14ac:dyDescent="0.25">
      <c r="A61" t="s">
        <v>669</v>
      </c>
    </row>
    <row r="62" spans="1:1" x14ac:dyDescent="0.25">
      <c r="A62" t="s">
        <v>650</v>
      </c>
    </row>
    <row r="63" spans="1:1" x14ac:dyDescent="0.25">
      <c r="A63" t="s">
        <v>655</v>
      </c>
    </row>
    <row r="64" spans="1:1" x14ac:dyDescent="0.25">
      <c r="A64" t="s">
        <v>670</v>
      </c>
    </row>
    <row r="65" spans="1:1" x14ac:dyDescent="0.25">
      <c r="A65" t="s">
        <v>368</v>
      </c>
    </row>
    <row r="67" spans="1:1" x14ac:dyDescent="0.25">
      <c r="A67" t="s">
        <v>365</v>
      </c>
    </row>
    <row r="68" spans="1:1" x14ac:dyDescent="0.25">
      <c r="A68" t="s">
        <v>643</v>
      </c>
    </row>
    <row r="69" spans="1:1" x14ac:dyDescent="0.25">
      <c r="A69" t="s">
        <v>671</v>
      </c>
    </row>
    <row r="70" spans="1:1" x14ac:dyDescent="0.25">
      <c r="A70" t="s">
        <v>672</v>
      </c>
    </row>
    <row r="71" spans="1:1" x14ac:dyDescent="0.25">
      <c r="A71" t="s">
        <v>673</v>
      </c>
    </row>
    <row r="72" spans="1:1" x14ac:dyDescent="0.25">
      <c r="A72" t="s">
        <v>650</v>
      </c>
    </row>
    <row r="73" spans="1:1" x14ac:dyDescent="0.25">
      <c r="A73" t="s">
        <v>674</v>
      </c>
    </row>
    <row r="74" spans="1:1" x14ac:dyDescent="0.25">
      <c r="A74" t="s">
        <v>368</v>
      </c>
    </row>
    <row r="76" spans="1:1" x14ac:dyDescent="0.25">
      <c r="A76" t="s">
        <v>365</v>
      </c>
    </row>
    <row r="77" spans="1:1" x14ac:dyDescent="0.25">
      <c r="A77" t="s">
        <v>643</v>
      </c>
    </row>
    <row r="78" spans="1:1" x14ac:dyDescent="0.25">
      <c r="A78" t="s">
        <v>675</v>
      </c>
    </row>
    <row r="79" spans="1:1" x14ac:dyDescent="0.25">
      <c r="A79" t="s">
        <v>676</v>
      </c>
    </row>
    <row r="80" spans="1:1" x14ac:dyDescent="0.25">
      <c r="A80" t="s">
        <v>677</v>
      </c>
    </row>
    <row r="81" spans="1:1" x14ac:dyDescent="0.25">
      <c r="A81" t="s">
        <v>650</v>
      </c>
    </row>
    <row r="82" spans="1:1" x14ac:dyDescent="0.25">
      <c r="A82" t="s">
        <v>678</v>
      </c>
    </row>
    <row r="83" spans="1:1" x14ac:dyDescent="0.25">
      <c r="A83" t="s">
        <v>368</v>
      </c>
    </row>
    <row r="85" spans="1:1" x14ac:dyDescent="0.25">
      <c r="A85" t="s">
        <v>365</v>
      </c>
    </row>
    <row r="86" spans="1:1" x14ac:dyDescent="0.25">
      <c r="A86" t="s">
        <v>643</v>
      </c>
    </row>
    <row r="87" spans="1:1" x14ac:dyDescent="0.25">
      <c r="A87" t="s">
        <v>679</v>
      </c>
    </row>
    <row r="88" spans="1:1" x14ac:dyDescent="0.25">
      <c r="A88" t="s">
        <v>680</v>
      </c>
    </row>
    <row r="89" spans="1:1" x14ac:dyDescent="0.25">
      <c r="A89" t="s">
        <v>677</v>
      </c>
    </row>
    <row r="90" spans="1:1" x14ac:dyDescent="0.25">
      <c r="A90" t="s">
        <v>650</v>
      </c>
    </row>
    <row r="91" spans="1:1" x14ac:dyDescent="0.25">
      <c r="A91" t="s">
        <v>681</v>
      </c>
    </row>
    <row r="92" spans="1:1" x14ac:dyDescent="0.25">
      <c r="A92" t="s">
        <v>682</v>
      </c>
    </row>
    <row r="93" spans="1:1" x14ac:dyDescent="0.25">
      <c r="A93" t="s">
        <v>368</v>
      </c>
    </row>
    <row r="95" spans="1:1" x14ac:dyDescent="0.25">
      <c r="A95" t="s">
        <v>365</v>
      </c>
    </row>
    <row r="96" spans="1:1" x14ac:dyDescent="0.25">
      <c r="A96" t="s">
        <v>643</v>
      </c>
    </row>
    <row r="97" spans="1:1" x14ac:dyDescent="0.25">
      <c r="A97" t="s">
        <v>683</v>
      </c>
    </row>
    <row r="98" spans="1:1" x14ac:dyDescent="0.25">
      <c r="A98" t="s">
        <v>684</v>
      </c>
    </row>
    <row r="99" spans="1:1" x14ac:dyDescent="0.25">
      <c r="A99" t="s">
        <v>649</v>
      </c>
    </row>
    <row r="100" spans="1:1" x14ac:dyDescent="0.25">
      <c r="A100" t="s">
        <v>650</v>
      </c>
    </row>
    <row r="101" spans="1:1" x14ac:dyDescent="0.25">
      <c r="A101" t="s">
        <v>685</v>
      </c>
    </row>
    <row r="102" spans="1:1" x14ac:dyDescent="0.25">
      <c r="A102" t="s">
        <v>652</v>
      </c>
    </row>
    <row r="103" spans="1:1" x14ac:dyDescent="0.25">
      <c r="A103" t="s">
        <v>368</v>
      </c>
    </row>
    <row r="105" spans="1:1" x14ac:dyDescent="0.25">
      <c r="A105" t="s">
        <v>365</v>
      </c>
    </row>
    <row r="106" spans="1:1" x14ac:dyDescent="0.25">
      <c r="A106" t="s">
        <v>643</v>
      </c>
    </row>
    <row r="107" spans="1:1" x14ac:dyDescent="0.25">
      <c r="A107" t="s">
        <v>686</v>
      </c>
    </row>
    <row r="108" spans="1:1" x14ac:dyDescent="0.25">
      <c r="A108" t="s">
        <v>687</v>
      </c>
    </row>
    <row r="109" spans="1:1" x14ac:dyDescent="0.25">
      <c r="A109" t="s">
        <v>649</v>
      </c>
    </row>
    <row r="110" spans="1:1" x14ac:dyDescent="0.25">
      <c r="A110" t="s">
        <v>650</v>
      </c>
    </row>
    <row r="111" spans="1:1" x14ac:dyDescent="0.25">
      <c r="A111" t="s">
        <v>688</v>
      </c>
    </row>
    <row r="112" spans="1:1" x14ac:dyDescent="0.25">
      <c r="A112" t="s">
        <v>652</v>
      </c>
    </row>
    <row r="113" spans="1:1" x14ac:dyDescent="0.25">
      <c r="A113" t="s">
        <v>368</v>
      </c>
    </row>
    <row r="115" spans="1:1" x14ac:dyDescent="0.25">
      <c r="A115" t="s">
        <v>365</v>
      </c>
    </row>
    <row r="116" spans="1:1" x14ac:dyDescent="0.25">
      <c r="A116" t="s">
        <v>661</v>
      </c>
    </row>
    <row r="117" spans="1:1" x14ac:dyDescent="0.25">
      <c r="A117" t="s">
        <v>689</v>
      </c>
    </row>
    <row r="118" spans="1:1" x14ac:dyDescent="0.25">
      <c r="A118" t="s">
        <v>690</v>
      </c>
    </row>
    <row r="119" spans="1:1" x14ac:dyDescent="0.25">
      <c r="A119" t="s">
        <v>691</v>
      </c>
    </row>
    <row r="120" spans="1:1" x14ac:dyDescent="0.25">
      <c r="A120" t="s">
        <v>650</v>
      </c>
    </row>
    <row r="121" spans="1:1" x14ac:dyDescent="0.25">
      <c r="A121" t="s">
        <v>692</v>
      </c>
    </row>
    <row r="122" spans="1:1" x14ac:dyDescent="0.25">
      <c r="A122" t="s">
        <v>368</v>
      </c>
    </row>
    <row r="124" spans="1:1" x14ac:dyDescent="0.25">
      <c r="A124" t="s">
        <v>365</v>
      </c>
    </row>
    <row r="125" spans="1:1" x14ac:dyDescent="0.25">
      <c r="A125" t="s">
        <v>693</v>
      </c>
    </row>
    <row r="126" spans="1:1" x14ac:dyDescent="0.25">
      <c r="A126" t="s">
        <v>694</v>
      </c>
    </row>
    <row r="127" spans="1:1" x14ac:dyDescent="0.25">
      <c r="A127" t="s">
        <v>695</v>
      </c>
    </row>
    <row r="128" spans="1:1" x14ac:dyDescent="0.25">
      <c r="A128" t="s">
        <v>696</v>
      </c>
    </row>
    <row r="129" spans="1:1" x14ac:dyDescent="0.25">
      <c r="A129" t="s">
        <v>650</v>
      </c>
    </row>
    <row r="130" spans="1:1" x14ac:dyDescent="0.25">
      <c r="A130" t="s">
        <v>697</v>
      </c>
    </row>
    <row r="131" spans="1:1" x14ac:dyDescent="0.25">
      <c r="A131" t="s">
        <v>698</v>
      </c>
    </row>
    <row r="132" spans="1:1" x14ac:dyDescent="0.25">
      <c r="A132" t="s">
        <v>699</v>
      </c>
    </row>
    <row r="133" spans="1:1" x14ac:dyDescent="0.25">
      <c r="A133" t="s">
        <v>368</v>
      </c>
    </row>
    <row r="135" spans="1:1" x14ac:dyDescent="0.25">
      <c r="A135" t="s">
        <v>365</v>
      </c>
    </row>
    <row r="136" spans="1:1" x14ac:dyDescent="0.25">
      <c r="A136" t="s">
        <v>661</v>
      </c>
    </row>
    <row r="137" spans="1:1" x14ac:dyDescent="0.25">
      <c r="A137" t="s">
        <v>700</v>
      </c>
    </row>
    <row r="138" spans="1:1" x14ac:dyDescent="0.25">
      <c r="A138" t="s">
        <v>701</v>
      </c>
    </row>
    <row r="139" spans="1:1" x14ac:dyDescent="0.25">
      <c r="A139" t="s">
        <v>702</v>
      </c>
    </row>
    <row r="140" spans="1:1" x14ac:dyDescent="0.25">
      <c r="A140" t="s">
        <v>650</v>
      </c>
    </row>
    <row r="141" spans="1:1" x14ac:dyDescent="0.25">
      <c r="A141" t="s">
        <v>703</v>
      </c>
    </row>
    <row r="142" spans="1:1" x14ac:dyDescent="0.25">
      <c r="A142" t="s">
        <v>704</v>
      </c>
    </row>
    <row r="143" spans="1:1" x14ac:dyDescent="0.25">
      <c r="A143" t="s">
        <v>368</v>
      </c>
    </row>
    <row r="145" spans="1:1" x14ac:dyDescent="0.25">
      <c r="A145" t="s">
        <v>365</v>
      </c>
    </row>
    <row r="146" spans="1:1" x14ac:dyDescent="0.25">
      <c r="A146" t="s">
        <v>661</v>
      </c>
    </row>
    <row r="147" spans="1:1" x14ac:dyDescent="0.25">
      <c r="A147" t="s">
        <v>705</v>
      </c>
    </row>
    <row r="148" spans="1:1" x14ac:dyDescent="0.25">
      <c r="A148" t="s">
        <v>706</v>
      </c>
    </row>
    <row r="149" spans="1:1" x14ac:dyDescent="0.25">
      <c r="A149" t="s">
        <v>707</v>
      </c>
    </row>
    <row r="150" spans="1:1" x14ac:dyDescent="0.25">
      <c r="A150" t="s">
        <v>650</v>
      </c>
    </row>
    <row r="151" spans="1:1" x14ac:dyDescent="0.25">
      <c r="A151" t="s">
        <v>665</v>
      </c>
    </row>
    <row r="152" spans="1:1" x14ac:dyDescent="0.25">
      <c r="A152" t="s">
        <v>708</v>
      </c>
    </row>
    <row r="153" spans="1:1" x14ac:dyDescent="0.25">
      <c r="A153" t="s">
        <v>368</v>
      </c>
    </row>
    <row r="155" spans="1:1" x14ac:dyDescent="0.25">
      <c r="A155" t="s">
        <v>365</v>
      </c>
    </row>
    <row r="156" spans="1:1" x14ac:dyDescent="0.25">
      <c r="A156" t="s">
        <v>661</v>
      </c>
    </row>
    <row r="157" spans="1:1" x14ac:dyDescent="0.25">
      <c r="A157" t="s">
        <v>709</v>
      </c>
    </row>
    <row r="158" spans="1:1" x14ac:dyDescent="0.25">
      <c r="A158" t="s">
        <v>706</v>
      </c>
    </row>
    <row r="159" spans="1:1" x14ac:dyDescent="0.25">
      <c r="A159" t="s">
        <v>707</v>
      </c>
    </row>
    <row r="160" spans="1:1" x14ac:dyDescent="0.25">
      <c r="A160" t="s">
        <v>650</v>
      </c>
    </row>
    <row r="161" spans="1:1" x14ac:dyDescent="0.25">
      <c r="A161" t="s">
        <v>655</v>
      </c>
    </row>
    <row r="162" spans="1:1" x14ac:dyDescent="0.25">
      <c r="A162" t="s">
        <v>708</v>
      </c>
    </row>
    <row r="163" spans="1:1" x14ac:dyDescent="0.25">
      <c r="A163" t="s">
        <v>368</v>
      </c>
    </row>
    <row r="165" spans="1:1" x14ac:dyDescent="0.25">
      <c r="A165" t="s">
        <v>365</v>
      </c>
    </row>
    <row r="166" spans="1:1" x14ac:dyDescent="0.25">
      <c r="A166" t="s">
        <v>661</v>
      </c>
    </row>
    <row r="167" spans="1:1" x14ac:dyDescent="0.25">
      <c r="A167" t="s">
        <v>710</v>
      </c>
    </row>
    <row r="168" spans="1:1" x14ac:dyDescent="0.25">
      <c r="A168" t="s">
        <v>706</v>
      </c>
    </row>
    <row r="169" spans="1:1" x14ac:dyDescent="0.25">
      <c r="A169" t="s">
        <v>711</v>
      </c>
    </row>
    <row r="170" spans="1:1" x14ac:dyDescent="0.25">
      <c r="A170" t="s">
        <v>650</v>
      </c>
    </row>
    <row r="171" spans="1:1" x14ac:dyDescent="0.25">
      <c r="A171" t="s">
        <v>658</v>
      </c>
    </row>
    <row r="172" spans="1:1" x14ac:dyDescent="0.25">
      <c r="A172" t="s">
        <v>708</v>
      </c>
    </row>
    <row r="173" spans="1:1" x14ac:dyDescent="0.25">
      <c r="A173" t="s">
        <v>368</v>
      </c>
    </row>
    <row r="175" spans="1:1" x14ac:dyDescent="0.25">
      <c r="A175" t="s">
        <v>365</v>
      </c>
    </row>
    <row r="176" spans="1:1" x14ac:dyDescent="0.25">
      <c r="A176" t="s">
        <v>693</v>
      </c>
    </row>
    <row r="177" spans="1:1" x14ac:dyDescent="0.25">
      <c r="A177" t="s">
        <v>712</v>
      </c>
    </row>
    <row r="178" spans="1:1" x14ac:dyDescent="0.25">
      <c r="A178" t="s">
        <v>713</v>
      </c>
    </row>
    <row r="179" spans="1:1" x14ac:dyDescent="0.25">
      <c r="A179" t="s">
        <v>714</v>
      </c>
    </row>
    <row r="180" spans="1:1" x14ac:dyDescent="0.25">
      <c r="A180" t="s">
        <v>664</v>
      </c>
    </row>
    <row r="181" spans="1:1" x14ac:dyDescent="0.25">
      <c r="A181" t="s">
        <v>715</v>
      </c>
    </row>
    <row r="182" spans="1:1" x14ac:dyDescent="0.25">
      <c r="A182" t="s">
        <v>698</v>
      </c>
    </row>
    <row r="183" spans="1:1" x14ac:dyDescent="0.25">
      <c r="A183" t="s">
        <v>699</v>
      </c>
    </row>
    <row r="184" spans="1:1" x14ac:dyDescent="0.25">
      <c r="A184" t="s">
        <v>368</v>
      </c>
    </row>
    <row r="186" spans="1:1" x14ac:dyDescent="0.25">
      <c r="A186" t="s">
        <v>365</v>
      </c>
    </row>
    <row r="187" spans="1:1" x14ac:dyDescent="0.25">
      <c r="A187" t="s">
        <v>643</v>
      </c>
    </row>
    <row r="188" spans="1:1" x14ac:dyDescent="0.25">
      <c r="A188" t="s">
        <v>716</v>
      </c>
    </row>
    <row r="189" spans="1:1" x14ac:dyDescent="0.25">
      <c r="A189" t="s">
        <v>717</v>
      </c>
    </row>
    <row r="190" spans="1:1" x14ac:dyDescent="0.25">
      <c r="A190" t="s">
        <v>718</v>
      </c>
    </row>
    <row r="191" spans="1:1" x14ac:dyDescent="0.25">
      <c r="A191" t="s">
        <v>719</v>
      </c>
    </row>
    <row r="192" spans="1:1" x14ac:dyDescent="0.25">
      <c r="A192" t="s">
        <v>720</v>
      </c>
    </row>
    <row r="193" spans="1:1" x14ac:dyDescent="0.25">
      <c r="A193" t="s">
        <v>721</v>
      </c>
    </row>
    <row r="194" spans="1:1" x14ac:dyDescent="0.25">
      <c r="A194" t="s">
        <v>368</v>
      </c>
    </row>
    <row r="196" spans="1:1" x14ac:dyDescent="0.25">
      <c r="A196" t="s">
        <v>365</v>
      </c>
    </row>
    <row r="197" spans="1:1" x14ac:dyDescent="0.25">
      <c r="A197" t="s">
        <v>643</v>
      </c>
    </row>
    <row r="198" spans="1:1" x14ac:dyDescent="0.25">
      <c r="A198" t="s">
        <v>722</v>
      </c>
    </row>
    <row r="199" spans="1:1" x14ac:dyDescent="0.25">
      <c r="A199" t="s">
        <v>723</v>
      </c>
    </row>
    <row r="200" spans="1:1" x14ac:dyDescent="0.25">
      <c r="A200" t="s">
        <v>718</v>
      </c>
    </row>
    <row r="201" spans="1:1" x14ac:dyDescent="0.25">
      <c r="A201" t="s">
        <v>719</v>
      </c>
    </row>
    <row r="202" spans="1:1" x14ac:dyDescent="0.25">
      <c r="A202" t="s">
        <v>724</v>
      </c>
    </row>
    <row r="203" spans="1:1" x14ac:dyDescent="0.25">
      <c r="A203" t="s">
        <v>725</v>
      </c>
    </row>
    <row r="204" spans="1:1" x14ac:dyDescent="0.25">
      <c r="A204" t="s">
        <v>368</v>
      </c>
    </row>
    <row r="206" spans="1:1" x14ac:dyDescent="0.25">
      <c r="A206" t="s">
        <v>726</v>
      </c>
    </row>
    <row r="207" spans="1:1" x14ac:dyDescent="0.25">
      <c r="A207" t="s">
        <v>727</v>
      </c>
    </row>
    <row r="208" spans="1:1" x14ac:dyDescent="0.25">
      <c r="A208" t="s">
        <v>728</v>
      </c>
    </row>
    <row r="209" spans="1:1" x14ac:dyDescent="0.25">
      <c r="A209" t="s">
        <v>729</v>
      </c>
    </row>
    <row r="210" spans="1:1" x14ac:dyDescent="0.25">
      <c r="A210" t="s">
        <v>730</v>
      </c>
    </row>
    <row r="211" spans="1:1" x14ac:dyDescent="0.25">
      <c r="A211" t="s">
        <v>731</v>
      </c>
    </row>
    <row r="212" spans="1:1" x14ac:dyDescent="0.25">
      <c r="A212" t="s">
        <v>732</v>
      </c>
    </row>
    <row r="213" spans="1:1" x14ac:dyDescent="0.25">
      <c r="A213" t="s">
        <v>733</v>
      </c>
    </row>
    <row r="214" spans="1:1" x14ac:dyDescent="0.25">
      <c r="A214" t="s">
        <v>734</v>
      </c>
    </row>
    <row r="216" spans="1:1" x14ac:dyDescent="0.25">
      <c r="A216" t="s">
        <v>727</v>
      </c>
    </row>
    <row r="217" spans="1:1" x14ac:dyDescent="0.25">
      <c r="A217" t="s">
        <v>728</v>
      </c>
    </row>
    <row r="218" spans="1:1" x14ac:dyDescent="0.25">
      <c r="A218" t="s">
        <v>735</v>
      </c>
    </row>
    <row r="219" spans="1:1" x14ac:dyDescent="0.25">
      <c r="A219" t="s">
        <v>736</v>
      </c>
    </row>
    <row r="220" spans="1:1" x14ac:dyDescent="0.25">
      <c r="A220" t="s">
        <v>731</v>
      </c>
    </row>
    <row r="221" spans="1:1" x14ac:dyDescent="0.25">
      <c r="A221" t="s">
        <v>732</v>
      </c>
    </row>
    <row r="222" spans="1:1" x14ac:dyDescent="0.25">
      <c r="A222" t="s">
        <v>737</v>
      </c>
    </row>
    <row r="223" spans="1:1" x14ac:dyDescent="0.25">
      <c r="A223" t="s">
        <v>734</v>
      </c>
    </row>
    <row r="225" spans="1:1" x14ac:dyDescent="0.25">
      <c r="A225" t="s">
        <v>727</v>
      </c>
    </row>
    <row r="226" spans="1:1" x14ac:dyDescent="0.25">
      <c r="A226" t="s">
        <v>728</v>
      </c>
    </row>
    <row r="227" spans="1:1" x14ac:dyDescent="0.25">
      <c r="A227" t="s">
        <v>738</v>
      </c>
    </row>
    <row r="228" spans="1:1" x14ac:dyDescent="0.25">
      <c r="A228" t="s">
        <v>736</v>
      </c>
    </row>
    <row r="229" spans="1:1" x14ac:dyDescent="0.25">
      <c r="A229" t="s">
        <v>731</v>
      </c>
    </row>
    <row r="230" spans="1:1" x14ac:dyDescent="0.25">
      <c r="A230" t="s">
        <v>732</v>
      </c>
    </row>
    <row r="231" spans="1:1" x14ac:dyDescent="0.25">
      <c r="A231" t="s">
        <v>739</v>
      </c>
    </row>
    <row r="232" spans="1:1" x14ac:dyDescent="0.25">
      <c r="A232" t="s">
        <v>734</v>
      </c>
    </row>
    <row r="234" spans="1:1" x14ac:dyDescent="0.25">
      <c r="A234" t="s">
        <v>727</v>
      </c>
    </row>
    <row r="235" spans="1:1" x14ac:dyDescent="0.25">
      <c r="A235" t="s">
        <v>728</v>
      </c>
    </row>
    <row r="236" spans="1:1" x14ac:dyDescent="0.25">
      <c r="A236" t="s">
        <v>740</v>
      </c>
    </row>
    <row r="237" spans="1:1" x14ac:dyDescent="0.25">
      <c r="A237" t="s">
        <v>741</v>
      </c>
    </row>
    <row r="238" spans="1:1" x14ac:dyDescent="0.25">
      <c r="A238" t="s">
        <v>731</v>
      </c>
    </row>
    <row r="239" spans="1:1" x14ac:dyDescent="0.25">
      <c r="A239" t="s">
        <v>732</v>
      </c>
    </row>
    <row r="240" spans="1:1" x14ac:dyDescent="0.25">
      <c r="A240" t="s">
        <v>742</v>
      </c>
    </row>
    <row r="241" spans="1:1" x14ac:dyDescent="0.25">
      <c r="A241" t="s">
        <v>734</v>
      </c>
    </row>
    <row r="243" spans="1:1" x14ac:dyDescent="0.25">
      <c r="A243" t="s">
        <v>727</v>
      </c>
    </row>
    <row r="244" spans="1:1" x14ac:dyDescent="0.25">
      <c r="A244" t="s">
        <v>728</v>
      </c>
    </row>
    <row r="245" spans="1:1" x14ac:dyDescent="0.25">
      <c r="A245" t="s">
        <v>743</v>
      </c>
    </row>
    <row r="246" spans="1:1" x14ac:dyDescent="0.25">
      <c r="A246" t="s">
        <v>744</v>
      </c>
    </row>
    <row r="247" spans="1:1" x14ac:dyDescent="0.25">
      <c r="A247" t="s">
        <v>745</v>
      </c>
    </row>
    <row r="248" spans="1:1" x14ac:dyDescent="0.25">
      <c r="A248" t="s">
        <v>732</v>
      </c>
    </row>
    <row r="249" spans="1:1" x14ac:dyDescent="0.25">
      <c r="A249" t="s">
        <v>746</v>
      </c>
    </row>
    <row r="250" spans="1:1" x14ac:dyDescent="0.25">
      <c r="A250" t="s">
        <v>734</v>
      </c>
    </row>
    <row r="252" spans="1:1" x14ac:dyDescent="0.25">
      <c r="A252" t="s">
        <v>727</v>
      </c>
    </row>
    <row r="253" spans="1:1" x14ac:dyDescent="0.25">
      <c r="A253" t="s">
        <v>728</v>
      </c>
    </row>
    <row r="254" spans="1:1" x14ac:dyDescent="0.25">
      <c r="A254" t="s">
        <v>747</v>
      </c>
    </row>
    <row r="255" spans="1:1" x14ac:dyDescent="0.25">
      <c r="A255" t="s">
        <v>748</v>
      </c>
    </row>
    <row r="256" spans="1:1" x14ac:dyDescent="0.25">
      <c r="A256" t="s">
        <v>745</v>
      </c>
    </row>
    <row r="257" spans="1:1" x14ac:dyDescent="0.25">
      <c r="A257" t="s">
        <v>749</v>
      </c>
    </row>
    <row r="258" spans="1:1" x14ac:dyDescent="0.25">
      <c r="A258" t="s">
        <v>750</v>
      </c>
    </row>
    <row r="259" spans="1:1" x14ac:dyDescent="0.25">
      <c r="A259" t="s">
        <v>734</v>
      </c>
    </row>
    <row r="261" spans="1:1" x14ac:dyDescent="0.25">
      <c r="A261" t="s">
        <v>727</v>
      </c>
    </row>
    <row r="262" spans="1:1" x14ac:dyDescent="0.25">
      <c r="A262" t="s">
        <v>751</v>
      </c>
    </row>
    <row r="263" spans="1:1" x14ac:dyDescent="0.25">
      <c r="A263" t="s">
        <v>752</v>
      </c>
    </row>
    <row r="264" spans="1:1" x14ac:dyDescent="0.25">
      <c r="A264" t="s">
        <v>753</v>
      </c>
    </row>
    <row r="265" spans="1:1" x14ac:dyDescent="0.25">
      <c r="A265" t="s">
        <v>754</v>
      </c>
    </row>
    <row r="266" spans="1:1" x14ac:dyDescent="0.25">
      <c r="A266" t="s">
        <v>732</v>
      </c>
    </row>
    <row r="267" spans="1:1" x14ac:dyDescent="0.25">
      <c r="A267" t="s">
        <v>755</v>
      </c>
    </row>
    <row r="268" spans="1:1" x14ac:dyDescent="0.25">
      <c r="A268" t="s">
        <v>734</v>
      </c>
    </row>
    <row r="270" spans="1:1" x14ac:dyDescent="0.25">
      <c r="A270" t="s">
        <v>727</v>
      </c>
    </row>
    <row r="271" spans="1:1" x14ac:dyDescent="0.25">
      <c r="A271" t="s">
        <v>751</v>
      </c>
    </row>
    <row r="272" spans="1:1" x14ac:dyDescent="0.25">
      <c r="A272" t="s">
        <v>756</v>
      </c>
    </row>
    <row r="273" spans="1:1" x14ac:dyDescent="0.25">
      <c r="A273" t="s">
        <v>757</v>
      </c>
    </row>
    <row r="274" spans="1:1" x14ac:dyDescent="0.25">
      <c r="A274" t="s">
        <v>754</v>
      </c>
    </row>
    <row r="275" spans="1:1" x14ac:dyDescent="0.25">
      <c r="A275" t="s">
        <v>732</v>
      </c>
    </row>
    <row r="276" spans="1:1" x14ac:dyDescent="0.25">
      <c r="A276" t="s">
        <v>758</v>
      </c>
    </row>
    <row r="277" spans="1:1" x14ac:dyDescent="0.25">
      <c r="A277" t="s">
        <v>734</v>
      </c>
    </row>
    <row r="279" spans="1:1" x14ac:dyDescent="0.25">
      <c r="A279" t="s">
        <v>727</v>
      </c>
    </row>
    <row r="280" spans="1:1" x14ac:dyDescent="0.25">
      <c r="A280" t="s">
        <v>728</v>
      </c>
    </row>
    <row r="281" spans="1:1" x14ac:dyDescent="0.25">
      <c r="A281" t="s">
        <v>759</v>
      </c>
    </row>
    <row r="282" spans="1:1" x14ac:dyDescent="0.25">
      <c r="A282" t="s">
        <v>760</v>
      </c>
    </row>
    <row r="283" spans="1:1" x14ac:dyDescent="0.25">
      <c r="A283" t="s">
        <v>731</v>
      </c>
    </row>
    <row r="284" spans="1:1" x14ac:dyDescent="0.25">
      <c r="A284" t="s">
        <v>749</v>
      </c>
    </row>
    <row r="285" spans="1:1" x14ac:dyDescent="0.25">
      <c r="A285" t="s">
        <v>761</v>
      </c>
    </row>
    <row r="286" spans="1:1" x14ac:dyDescent="0.25">
      <c r="A286" t="s">
        <v>734</v>
      </c>
    </row>
    <row r="288" spans="1:1" x14ac:dyDescent="0.25">
      <c r="A288" t="s">
        <v>727</v>
      </c>
    </row>
    <row r="289" spans="1:1" x14ac:dyDescent="0.25">
      <c r="A289" t="s">
        <v>728</v>
      </c>
    </row>
    <row r="290" spans="1:1" x14ac:dyDescent="0.25">
      <c r="A290" t="s">
        <v>762</v>
      </c>
    </row>
    <row r="291" spans="1:1" x14ac:dyDescent="0.25">
      <c r="A291" t="s">
        <v>763</v>
      </c>
    </row>
    <row r="292" spans="1:1" x14ac:dyDescent="0.25">
      <c r="A292" t="s">
        <v>731</v>
      </c>
    </row>
    <row r="293" spans="1:1" x14ac:dyDescent="0.25">
      <c r="A293" t="s">
        <v>749</v>
      </c>
    </row>
    <row r="294" spans="1:1" x14ac:dyDescent="0.25">
      <c r="A294" t="s">
        <v>764</v>
      </c>
    </row>
    <row r="295" spans="1:1" x14ac:dyDescent="0.25">
      <c r="A295" t="s">
        <v>734</v>
      </c>
    </row>
    <row r="297" spans="1:1" x14ac:dyDescent="0.25">
      <c r="A297" t="s">
        <v>727</v>
      </c>
    </row>
    <row r="298" spans="1:1" x14ac:dyDescent="0.25">
      <c r="A298" t="s">
        <v>728</v>
      </c>
    </row>
    <row r="299" spans="1:1" x14ac:dyDescent="0.25">
      <c r="A299" t="s">
        <v>765</v>
      </c>
    </row>
    <row r="300" spans="1:1" x14ac:dyDescent="0.25">
      <c r="A300" t="s">
        <v>766</v>
      </c>
    </row>
    <row r="301" spans="1:1" x14ac:dyDescent="0.25">
      <c r="A301" t="s">
        <v>731</v>
      </c>
    </row>
    <row r="302" spans="1:1" x14ac:dyDescent="0.25">
      <c r="A302" t="s">
        <v>732</v>
      </c>
    </row>
    <row r="303" spans="1:1" x14ac:dyDescent="0.25">
      <c r="A303" t="s">
        <v>767</v>
      </c>
    </row>
    <row r="304" spans="1:1" x14ac:dyDescent="0.25">
      <c r="A304" t="s">
        <v>734</v>
      </c>
    </row>
    <row r="306" spans="1:1" x14ac:dyDescent="0.25">
      <c r="A306" t="s">
        <v>727</v>
      </c>
    </row>
    <row r="307" spans="1:1" x14ac:dyDescent="0.25">
      <c r="A307" t="s">
        <v>751</v>
      </c>
    </row>
    <row r="308" spans="1:1" x14ac:dyDescent="0.25">
      <c r="A308" t="s">
        <v>768</v>
      </c>
    </row>
    <row r="309" spans="1:1" x14ac:dyDescent="0.25">
      <c r="A309" t="s">
        <v>769</v>
      </c>
    </row>
    <row r="310" spans="1:1" x14ac:dyDescent="0.25">
      <c r="A310" t="s">
        <v>731</v>
      </c>
    </row>
    <row r="311" spans="1:1" x14ac:dyDescent="0.25">
      <c r="A311" t="s">
        <v>732</v>
      </c>
    </row>
    <row r="312" spans="1:1" x14ac:dyDescent="0.25">
      <c r="A312" t="s">
        <v>770</v>
      </c>
    </row>
    <row r="313" spans="1:1" x14ac:dyDescent="0.25">
      <c r="A313" t="s">
        <v>734</v>
      </c>
    </row>
    <row r="315" spans="1:1" x14ac:dyDescent="0.25">
      <c r="A315" t="s">
        <v>727</v>
      </c>
    </row>
    <row r="316" spans="1:1" x14ac:dyDescent="0.25">
      <c r="A316" t="s">
        <v>751</v>
      </c>
    </row>
    <row r="317" spans="1:1" x14ac:dyDescent="0.25">
      <c r="A317" t="s">
        <v>771</v>
      </c>
    </row>
    <row r="318" spans="1:1" x14ac:dyDescent="0.25">
      <c r="A318" t="s">
        <v>772</v>
      </c>
    </row>
    <row r="319" spans="1:1" x14ac:dyDescent="0.25">
      <c r="A319" t="s">
        <v>731</v>
      </c>
    </row>
    <row r="320" spans="1:1" x14ac:dyDescent="0.25">
      <c r="A320" t="s">
        <v>732</v>
      </c>
    </row>
    <row r="321" spans="1:1" x14ac:dyDescent="0.25">
      <c r="A321" t="s">
        <v>773</v>
      </c>
    </row>
    <row r="322" spans="1:1" x14ac:dyDescent="0.25">
      <c r="A322" t="s">
        <v>734</v>
      </c>
    </row>
    <row r="324" spans="1:1" x14ac:dyDescent="0.25">
      <c r="A324" t="s">
        <v>727</v>
      </c>
    </row>
    <row r="325" spans="1:1" x14ac:dyDescent="0.25">
      <c r="A325" t="s">
        <v>728</v>
      </c>
    </row>
    <row r="326" spans="1:1" x14ac:dyDescent="0.25">
      <c r="A326" t="s">
        <v>774</v>
      </c>
    </row>
    <row r="327" spans="1:1" x14ac:dyDescent="0.25">
      <c r="A327" t="s">
        <v>775</v>
      </c>
    </row>
    <row r="328" spans="1:1" x14ac:dyDescent="0.25">
      <c r="A328" t="s">
        <v>776</v>
      </c>
    </row>
    <row r="329" spans="1:1" x14ac:dyDescent="0.25">
      <c r="A329" t="s">
        <v>732</v>
      </c>
    </row>
    <row r="330" spans="1:1" x14ac:dyDescent="0.25">
      <c r="A330" t="s">
        <v>777</v>
      </c>
    </row>
    <row r="331" spans="1:1" x14ac:dyDescent="0.25">
      <c r="A331" t="s">
        <v>734</v>
      </c>
    </row>
    <row r="333" spans="1:1" x14ac:dyDescent="0.25">
      <c r="A333" t="s">
        <v>727</v>
      </c>
    </row>
    <row r="334" spans="1:1" x14ac:dyDescent="0.25">
      <c r="A334" t="s">
        <v>751</v>
      </c>
    </row>
    <row r="335" spans="1:1" x14ac:dyDescent="0.25">
      <c r="A335" t="s">
        <v>778</v>
      </c>
    </row>
    <row r="336" spans="1:1" x14ac:dyDescent="0.25">
      <c r="A336" t="s">
        <v>779</v>
      </c>
    </row>
    <row r="337" spans="1:1" x14ac:dyDescent="0.25">
      <c r="A337" t="s">
        <v>776</v>
      </c>
    </row>
    <row r="338" spans="1:1" x14ac:dyDescent="0.25">
      <c r="A338" t="s">
        <v>732</v>
      </c>
    </row>
    <row r="339" spans="1:1" x14ac:dyDescent="0.25">
      <c r="A339" t="s">
        <v>780</v>
      </c>
    </row>
    <row r="340" spans="1:1" x14ac:dyDescent="0.25">
      <c r="A340" t="s">
        <v>781</v>
      </c>
    </row>
    <row r="341" spans="1:1" x14ac:dyDescent="0.25">
      <c r="A341" t="s">
        <v>734</v>
      </c>
    </row>
    <row r="343" spans="1:1" x14ac:dyDescent="0.25">
      <c r="A343" t="s">
        <v>727</v>
      </c>
    </row>
    <row r="344" spans="1:1" x14ac:dyDescent="0.25">
      <c r="A344" t="s">
        <v>751</v>
      </c>
    </row>
    <row r="345" spans="1:1" x14ac:dyDescent="0.25">
      <c r="A345" t="s">
        <v>782</v>
      </c>
    </row>
    <row r="346" spans="1:1" x14ac:dyDescent="0.25">
      <c r="A346" t="s">
        <v>783</v>
      </c>
    </row>
    <row r="347" spans="1:1" x14ac:dyDescent="0.25">
      <c r="A347" t="s">
        <v>776</v>
      </c>
    </row>
    <row r="348" spans="1:1" x14ac:dyDescent="0.25">
      <c r="A348" t="s">
        <v>732</v>
      </c>
    </row>
    <row r="349" spans="1:1" x14ac:dyDescent="0.25">
      <c r="A349" t="s">
        <v>784</v>
      </c>
    </row>
    <row r="350" spans="1:1" x14ac:dyDescent="0.25">
      <c r="A350" t="s">
        <v>785</v>
      </c>
    </row>
    <row r="351" spans="1:1" x14ac:dyDescent="0.25">
      <c r="A351" t="s">
        <v>734</v>
      </c>
    </row>
    <row r="353" spans="1:1" x14ac:dyDescent="0.25">
      <c r="A353" t="s">
        <v>727</v>
      </c>
    </row>
    <row r="354" spans="1:1" x14ac:dyDescent="0.25">
      <c r="A354" t="s">
        <v>751</v>
      </c>
    </row>
    <row r="355" spans="1:1" x14ac:dyDescent="0.25">
      <c r="A355" t="s">
        <v>786</v>
      </c>
    </row>
    <row r="356" spans="1:1" x14ac:dyDescent="0.25">
      <c r="A356" t="s">
        <v>787</v>
      </c>
    </row>
    <row r="357" spans="1:1" x14ac:dyDescent="0.25">
      <c r="A357" t="s">
        <v>731</v>
      </c>
    </row>
    <row r="358" spans="1:1" x14ac:dyDescent="0.25">
      <c r="A358" t="s">
        <v>732</v>
      </c>
    </row>
    <row r="359" spans="1:1" x14ac:dyDescent="0.25">
      <c r="A359" t="s">
        <v>788</v>
      </c>
    </row>
    <row r="360" spans="1:1" x14ac:dyDescent="0.25">
      <c r="A360" t="s">
        <v>734</v>
      </c>
    </row>
    <row r="362" spans="1:1" x14ac:dyDescent="0.25">
      <c r="A362" t="s">
        <v>727</v>
      </c>
    </row>
    <row r="363" spans="1:1" x14ac:dyDescent="0.25">
      <c r="A363" t="s">
        <v>728</v>
      </c>
    </row>
    <row r="364" spans="1:1" x14ac:dyDescent="0.25">
      <c r="A364" t="s">
        <v>789</v>
      </c>
    </row>
    <row r="365" spans="1:1" x14ac:dyDescent="0.25">
      <c r="A365" t="s">
        <v>790</v>
      </c>
    </row>
    <row r="366" spans="1:1" x14ac:dyDescent="0.25">
      <c r="A366" t="s">
        <v>791</v>
      </c>
    </row>
    <row r="367" spans="1:1" x14ac:dyDescent="0.25">
      <c r="A367" t="s">
        <v>732</v>
      </c>
    </row>
    <row r="368" spans="1:1" x14ac:dyDescent="0.25">
      <c r="A368" t="s">
        <v>792</v>
      </c>
    </row>
    <row r="369" spans="1:1" x14ac:dyDescent="0.25">
      <c r="A369" t="s">
        <v>734</v>
      </c>
    </row>
    <row r="371" spans="1:1" x14ac:dyDescent="0.25">
      <c r="A371" t="s">
        <v>727</v>
      </c>
    </row>
    <row r="372" spans="1:1" x14ac:dyDescent="0.25">
      <c r="A372" t="s">
        <v>728</v>
      </c>
    </row>
    <row r="373" spans="1:1" x14ac:dyDescent="0.25">
      <c r="A373" t="s">
        <v>793</v>
      </c>
    </row>
    <row r="374" spans="1:1" x14ac:dyDescent="0.25">
      <c r="A374" t="s">
        <v>794</v>
      </c>
    </row>
    <row r="375" spans="1:1" x14ac:dyDescent="0.25">
      <c r="A375" t="s">
        <v>795</v>
      </c>
    </row>
    <row r="376" spans="1:1" x14ac:dyDescent="0.25">
      <c r="A376" t="s">
        <v>732</v>
      </c>
    </row>
    <row r="377" spans="1:1" x14ac:dyDescent="0.25">
      <c r="A377" t="s">
        <v>796</v>
      </c>
    </row>
    <row r="378" spans="1:1" x14ac:dyDescent="0.25">
      <c r="A378" t="s">
        <v>734</v>
      </c>
    </row>
    <row r="380" spans="1:1" x14ac:dyDescent="0.25">
      <c r="A380" t="s">
        <v>727</v>
      </c>
    </row>
    <row r="381" spans="1:1" x14ac:dyDescent="0.25">
      <c r="A381" t="s">
        <v>751</v>
      </c>
    </row>
    <row r="382" spans="1:1" x14ac:dyDescent="0.25">
      <c r="A382" t="s">
        <v>797</v>
      </c>
    </row>
    <row r="383" spans="1:1" x14ac:dyDescent="0.25">
      <c r="A383" t="s">
        <v>798</v>
      </c>
    </row>
    <row r="384" spans="1:1" x14ac:dyDescent="0.25">
      <c r="A384" t="s">
        <v>731</v>
      </c>
    </row>
    <row r="385" spans="1:1" x14ac:dyDescent="0.25">
      <c r="A385" t="s">
        <v>732</v>
      </c>
    </row>
    <row r="386" spans="1:1" x14ac:dyDescent="0.25">
      <c r="A386" t="s">
        <v>799</v>
      </c>
    </row>
    <row r="387" spans="1:1" x14ac:dyDescent="0.25">
      <c r="A387" t="s">
        <v>800</v>
      </c>
    </row>
    <row r="388" spans="1:1" x14ac:dyDescent="0.25">
      <c r="A388" t="s">
        <v>734</v>
      </c>
    </row>
    <row r="390" spans="1:1" x14ac:dyDescent="0.25">
      <c r="A390" t="s">
        <v>727</v>
      </c>
    </row>
    <row r="391" spans="1:1" x14ac:dyDescent="0.25">
      <c r="A391" t="s">
        <v>728</v>
      </c>
    </row>
    <row r="392" spans="1:1" x14ac:dyDescent="0.25">
      <c r="A392" t="s">
        <v>801</v>
      </c>
    </row>
    <row r="393" spans="1:1" x14ac:dyDescent="0.25">
      <c r="A393" t="s">
        <v>802</v>
      </c>
    </row>
    <row r="394" spans="1:1" x14ac:dyDescent="0.25">
      <c r="A394" t="s">
        <v>745</v>
      </c>
    </row>
    <row r="395" spans="1:1" x14ac:dyDescent="0.25">
      <c r="A395" t="s">
        <v>732</v>
      </c>
    </row>
    <row r="396" spans="1:1" x14ac:dyDescent="0.25">
      <c r="A396" t="s">
        <v>803</v>
      </c>
    </row>
    <row r="397" spans="1:1" x14ac:dyDescent="0.25">
      <c r="A397" t="s">
        <v>804</v>
      </c>
    </row>
    <row r="398" spans="1:1" x14ac:dyDescent="0.25">
      <c r="A398" t="s">
        <v>805</v>
      </c>
    </row>
    <row r="399" spans="1:1" x14ac:dyDescent="0.25">
      <c r="A399" t="s">
        <v>734</v>
      </c>
    </row>
    <row r="401" spans="1:1" x14ac:dyDescent="0.25">
      <c r="A401" t="s">
        <v>727</v>
      </c>
    </row>
    <row r="402" spans="1:1" x14ac:dyDescent="0.25">
      <c r="A402" t="s">
        <v>728</v>
      </c>
    </row>
    <row r="403" spans="1:1" x14ac:dyDescent="0.25">
      <c r="A403" t="s">
        <v>806</v>
      </c>
    </row>
    <row r="404" spans="1:1" x14ac:dyDescent="0.25">
      <c r="A404" t="s">
        <v>807</v>
      </c>
    </row>
    <row r="405" spans="1:1" x14ac:dyDescent="0.25">
      <c r="A405" t="s">
        <v>808</v>
      </c>
    </row>
    <row r="406" spans="1:1" x14ac:dyDescent="0.25">
      <c r="A406" t="s">
        <v>732</v>
      </c>
    </row>
    <row r="407" spans="1:1" x14ac:dyDescent="0.25">
      <c r="A407" t="s">
        <v>799</v>
      </c>
    </row>
    <row r="408" spans="1:1" x14ac:dyDescent="0.25">
      <c r="A408" t="s">
        <v>809</v>
      </c>
    </row>
    <row r="409" spans="1:1" x14ac:dyDescent="0.25">
      <c r="A409" t="s">
        <v>734</v>
      </c>
    </row>
    <row r="411" spans="1:1" x14ac:dyDescent="0.25">
      <c r="A411" t="s">
        <v>727</v>
      </c>
    </row>
    <row r="412" spans="1:1" x14ac:dyDescent="0.25">
      <c r="A412" t="s">
        <v>728</v>
      </c>
    </row>
    <row r="413" spans="1:1" x14ac:dyDescent="0.25">
      <c r="A413" t="s">
        <v>810</v>
      </c>
    </row>
    <row r="414" spans="1:1" x14ac:dyDescent="0.25">
      <c r="A414" t="s">
        <v>811</v>
      </c>
    </row>
    <row r="415" spans="1:1" x14ac:dyDescent="0.25">
      <c r="A415" t="s">
        <v>745</v>
      </c>
    </row>
    <row r="416" spans="1:1" x14ac:dyDescent="0.25">
      <c r="A416" t="s">
        <v>732</v>
      </c>
    </row>
    <row r="417" spans="1:1" x14ac:dyDescent="0.25">
      <c r="A417" t="s">
        <v>812</v>
      </c>
    </row>
    <row r="418" spans="1:1" x14ac:dyDescent="0.25">
      <c r="A418" t="s">
        <v>734</v>
      </c>
    </row>
    <row r="420" spans="1:1" x14ac:dyDescent="0.25">
      <c r="A420" t="s">
        <v>727</v>
      </c>
    </row>
    <row r="421" spans="1:1" x14ac:dyDescent="0.25">
      <c r="A421" t="s">
        <v>728</v>
      </c>
    </row>
    <row r="422" spans="1:1" x14ac:dyDescent="0.25">
      <c r="A422" t="s">
        <v>813</v>
      </c>
    </row>
    <row r="423" spans="1:1" x14ac:dyDescent="0.25">
      <c r="A423" t="s">
        <v>814</v>
      </c>
    </row>
    <row r="424" spans="1:1" x14ac:dyDescent="0.25">
      <c r="A424" t="s">
        <v>754</v>
      </c>
    </row>
    <row r="425" spans="1:1" x14ac:dyDescent="0.25">
      <c r="A425" t="s">
        <v>732</v>
      </c>
    </row>
    <row r="426" spans="1:1" x14ac:dyDescent="0.25">
      <c r="A426" t="s">
        <v>815</v>
      </c>
    </row>
    <row r="427" spans="1:1" x14ac:dyDescent="0.25">
      <c r="A427" t="s">
        <v>816</v>
      </c>
    </row>
    <row r="428" spans="1:1" x14ac:dyDescent="0.25">
      <c r="A428" t="s">
        <v>734</v>
      </c>
    </row>
    <row r="430" spans="1:1" x14ac:dyDescent="0.25">
      <c r="A430" t="s">
        <v>727</v>
      </c>
    </row>
    <row r="431" spans="1:1" x14ac:dyDescent="0.25">
      <c r="A431" t="s">
        <v>728</v>
      </c>
    </row>
    <row r="432" spans="1:1" x14ac:dyDescent="0.25">
      <c r="A432" t="s">
        <v>817</v>
      </c>
    </row>
    <row r="433" spans="1:1" x14ac:dyDescent="0.25">
      <c r="A433" t="s">
        <v>818</v>
      </c>
    </row>
    <row r="434" spans="1:1" x14ac:dyDescent="0.25">
      <c r="A434" t="s">
        <v>808</v>
      </c>
    </row>
    <row r="435" spans="1:1" x14ac:dyDescent="0.25">
      <c r="A435" t="s">
        <v>732</v>
      </c>
    </row>
    <row r="436" spans="1:1" x14ac:dyDescent="0.25">
      <c r="A436" t="s">
        <v>819</v>
      </c>
    </row>
    <row r="437" spans="1:1" x14ac:dyDescent="0.25">
      <c r="A437" t="s">
        <v>734</v>
      </c>
    </row>
    <row r="439" spans="1:1" x14ac:dyDescent="0.25">
      <c r="A439" t="s">
        <v>727</v>
      </c>
    </row>
    <row r="440" spans="1:1" x14ac:dyDescent="0.25">
      <c r="A440" t="s">
        <v>728</v>
      </c>
    </row>
    <row r="441" spans="1:1" x14ac:dyDescent="0.25">
      <c r="A441" t="s">
        <v>820</v>
      </c>
    </row>
    <row r="442" spans="1:1" x14ac:dyDescent="0.25">
      <c r="A442" t="s">
        <v>821</v>
      </c>
    </row>
    <row r="443" spans="1:1" x14ac:dyDescent="0.25">
      <c r="A443" t="s">
        <v>822</v>
      </c>
    </row>
    <row r="444" spans="1:1" x14ac:dyDescent="0.25">
      <c r="A444" t="s">
        <v>732</v>
      </c>
    </row>
    <row r="445" spans="1:1" x14ac:dyDescent="0.25">
      <c r="A445" t="s">
        <v>823</v>
      </c>
    </row>
    <row r="446" spans="1:1" x14ac:dyDescent="0.25">
      <c r="A446" t="s">
        <v>734</v>
      </c>
    </row>
    <row r="448" spans="1:1" x14ac:dyDescent="0.25">
      <c r="A448" t="s">
        <v>727</v>
      </c>
    </row>
    <row r="449" spans="1:1" x14ac:dyDescent="0.25">
      <c r="A449" t="s">
        <v>751</v>
      </c>
    </row>
    <row r="450" spans="1:1" x14ac:dyDescent="0.25">
      <c r="A450" t="s">
        <v>824</v>
      </c>
    </row>
    <row r="451" spans="1:1" x14ac:dyDescent="0.25">
      <c r="A451" t="s">
        <v>825</v>
      </c>
    </row>
    <row r="452" spans="1:1" x14ac:dyDescent="0.25">
      <c r="A452" t="s">
        <v>731</v>
      </c>
    </row>
    <row r="453" spans="1:1" x14ac:dyDescent="0.25">
      <c r="A453" t="s">
        <v>732</v>
      </c>
    </row>
    <row r="454" spans="1:1" x14ac:dyDescent="0.25">
      <c r="A454" t="s">
        <v>826</v>
      </c>
    </row>
    <row r="455" spans="1:1" x14ac:dyDescent="0.25">
      <c r="A455" t="s">
        <v>734</v>
      </c>
    </row>
    <row r="457" spans="1:1" x14ac:dyDescent="0.25">
      <c r="A457" t="s">
        <v>727</v>
      </c>
    </row>
    <row r="458" spans="1:1" x14ac:dyDescent="0.25">
      <c r="A458" t="s">
        <v>751</v>
      </c>
    </row>
    <row r="459" spans="1:1" x14ac:dyDescent="0.25">
      <c r="A459" t="s">
        <v>827</v>
      </c>
    </row>
    <row r="460" spans="1:1" x14ac:dyDescent="0.25">
      <c r="A460" t="s">
        <v>828</v>
      </c>
    </row>
    <row r="461" spans="1:1" x14ac:dyDescent="0.25">
      <c r="A461" t="s">
        <v>731</v>
      </c>
    </row>
    <row r="462" spans="1:1" x14ac:dyDescent="0.25">
      <c r="A462" t="s">
        <v>732</v>
      </c>
    </row>
    <row r="463" spans="1:1" x14ac:dyDescent="0.25">
      <c r="A463" t="s">
        <v>829</v>
      </c>
    </row>
    <row r="464" spans="1:1" x14ac:dyDescent="0.25">
      <c r="A464" t="s">
        <v>734</v>
      </c>
    </row>
    <row r="466" spans="1:1" x14ac:dyDescent="0.25">
      <c r="A466" t="s">
        <v>727</v>
      </c>
    </row>
    <row r="467" spans="1:1" x14ac:dyDescent="0.25">
      <c r="A467" t="s">
        <v>751</v>
      </c>
    </row>
    <row r="468" spans="1:1" x14ac:dyDescent="0.25">
      <c r="A468" t="s">
        <v>830</v>
      </c>
    </row>
    <row r="469" spans="1:1" x14ac:dyDescent="0.25">
      <c r="A469" t="s">
        <v>831</v>
      </c>
    </row>
    <row r="470" spans="1:1" x14ac:dyDescent="0.25">
      <c r="A470" t="s">
        <v>776</v>
      </c>
    </row>
    <row r="471" spans="1:1" x14ac:dyDescent="0.25">
      <c r="A471" t="s">
        <v>732</v>
      </c>
    </row>
    <row r="472" spans="1:1" x14ac:dyDescent="0.25">
      <c r="A472" t="s">
        <v>832</v>
      </c>
    </row>
    <row r="473" spans="1:1" x14ac:dyDescent="0.25">
      <c r="A473" t="s">
        <v>734</v>
      </c>
    </row>
    <row r="475" spans="1:1" x14ac:dyDescent="0.25">
      <c r="A475" t="s">
        <v>727</v>
      </c>
    </row>
    <row r="476" spans="1:1" x14ac:dyDescent="0.25">
      <c r="A476" t="s">
        <v>751</v>
      </c>
    </row>
    <row r="477" spans="1:1" x14ac:dyDescent="0.25">
      <c r="A477" t="s">
        <v>833</v>
      </c>
    </row>
    <row r="478" spans="1:1" x14ac:dyDescent="0.25">
      <c r="A478" t="s">
        <v>834</v>
      </c>
    </row>
    <row r="479" spans="1:1" x14ac:dyDescent="0.25">
      <c r="A479" t="s">
        <v>776</v>
      </c>
    </row>
    <row r="480" spans="1:1" x14ac:dyDescent="0.25">
      <c r="A480" t="s">
        <v>732</v>
      </c>
    </row>
    <row r="481" spans="1:1" x14ac:dyDescent="0.25">
      <c r="A481" t="s">
        <v>835</v>
      </c>
    </row>
    <row r="482" spans="1:1" x14ac:dyDescent="0.25">
      <c r="A482" t="s">
        <v>836</v>
      </c>
    </row>
    <row r="483" spans="1:1" x14ac:dyDescent="0.25">
      <c r="A483" t="s">
        <v>734</v>
      </c>
    </row>
    <row r="485" spans="1:1" x14ac:dyDescent="0.25">
      <c r="A485" t="s">
        <v>727</v>
      </c>
    </row>
    <row r="486" spans="1:1" x14ac:dyDescent="0.25">
      <c r="A486" t="s">
        <v>751</v>
      </c>
    </row>
    <row r="487" spans="1:1" x14ac:dyDescent="0.25">
      <c r="A487" t="s">
        <v>837</v>
      </c>
    </row>
    <row r="488" spans="1:1" x14ac:dyDescent="0.25">
      <c r="A488" t="s">
        <v>838</v>
      </c>
    </row>
    <row r="489" spans="1:1" x14ac:dyDescent="0.25">
      <c r="A489" t="s">
        <v>839</v>
      </c>
    </row>
    <row r="490" spans="1:1" x14ac:dyDescent="0.25">
      <c r="A490" t="s">
        <v>732</v>
      </c>
    </row>
    <row r="491" spans="1:1" x14ac:dyDescent="0.25">
      <c r="A491" t="s">
        <v>840</v>
      </c>
    </row>
    <row r="492" spans="1:1" x14ac:dyDescent="0.25">
      <c r="A492" t="s">
        <v>734</v>
      </c>
    </row>
    <row r="494" spans="1:1" x14ac:dyDescent="0.25">
      <c r="A494" t="s">
        <v>727</v>
      </c>
    </row>
    <row r="495" spans="1:1" x14ac:dyDescent="0.25">
      <c r="A495" t="s">
        <v>728</v>
      </c>
    </row>
    <row r="496" spans="1:1" x14ac:dyDescent="0.25">
      <c r="A496" t="s">
        <v>841</v>
      </c>
    </row>
    <row r="497" spans="1:1" x14ac:dyDescent="0.25">
      <c r="A497" t="s">
        <v>842</v>
      </c>
    </row>
    <row r="498" spans="1:1" x14ac:dyDescent="0.25">
      <c r="A498" t="s">
        <v>843</v>
      </c>
    </row>
    <row r="499" spans="1:1" x14ac:dyDescent="0.25">
      <c r="A499" t="s">
        <v>732</v>
      </c>
    </row>
    <row r="500" spans="1:1" x14ac:dyDescent="0.25">
      <c r="A500" t="s">
        <v>844</v>
      </c>
    </row>
    <row r="501" spans="1:1" x14ac:dyDescent="0.25">
      <c r="A501" t="s">
        <v>734</v>
      </c>
    </row>
    <row r="503" spans="1:1" x14ac:dyDescent="0.25">
      <c r="A503" t="s">
        <v>727</v>
      </c>
    </row>
    <row r="504" spans="1:1" x14ac:dyDescent="0.25">
      <c r="A504" t="s">
        <v>728</v>
      </c>
    </row>
    <row r="505" spans="1:1" x14ac:dyDescent="0.25">
      <c r="A505" t="s">
        <v>845</v>
      </c>
    </row>
    <row r="506" spans="1:1" x14ac:dyDescent="0.25">
      <c r="A506" t="s">
        <v>846</v>
      </c>
    </row>
    <row r="507" spans="1:1" x14ac:dyDescent="0.25">
      <c r="A507" t="s">
        <v>731</v>
      </c>
    </row>
    <row r="508" spans="1:1" x14ac:dyDescent="0.25">
      <c r="A508" t="s">
        <v>732</v>
      </c>
    </row>
    <row r="509" spans="1:1" x14ac:dyDescent="0.25">
      <c r="A509" t="s">
        <v>847</v>
      </c>
    </row>
    <row r="510" spans="1:1" x14ac:dyDescent="0.25">
      <c r="A510" t="s">
        <v>734</v>
      </c>
    </row>
    <row r="512" spans="1:1" x14ac:dyDescent="0.25">
      <c r="A512" t="s">
        <v>727</v>
      </c>
    </row>
    <row r="513" spans="1:1" x14ac:dyDescent="0.25">
      <c r="A513" t="s">
        <v>728</v>
      </c>
    </row>
    <row r="514" spans="1:1" x14ac:dyDescent="0.25">
      <c r="A514" t="s">
        <v>848</v>
      </c>
    </row>
    <row r="515" spans="1:1" x14ac:dyDescent="0.25">
      <c r="A515" t="s">
        <v>849</v>
      </c>
    </row>
    <row r="516" spans="1:1" x14ac:dyDescent="0.25">
      <c r="A516" t="s">
        <v>731</v>
      </c>
    </row>
    <row r="517" spans="1:1" x14ac:dyDescent="0.25">
      <c r="A517" t="s">
        <v>732</v>
      </c>
    </row>
    <row r="518" spans="1:1" x14ac:dyDescent="0.25">
      <c r="A518" t="s">
        <v>850</v>
      </c>
    </row>
    <row r="519" spans="1:1" x14ac:dyDescent="0.25">
      <c r="A519" t="s">
        <v>851</v>
      </c>
    </row>
    <row r="520" spans="1:1" x14ac:dyDescent="0.25">
      <c r="A520" t="s">
        <v>734</v>
      </c>
    </row>
    <row r="522" spans="1:1" x14ac:dyDescent="0.25">
      <c r="A522" t="s">
        <v>727</v>
      </c>
    </row>
    <row r="523" spans="1:1" x14ac:dyDescent="0.25">
      <c r="A523" t="s">
        <v>728</v>
      </c>
    </row>
    <row r="524" spans="1:1" x14ac:dyDescent="0.25">
      <c r="A524" t="s">
        <v>852</v>
      </c>
    </row>
    <row r="525" spans="1:1" x14ac:dyDescent="0.25">
      <c r="A525" t="s">
        <v>853</v>
      </c>
    </row>
    <row r="526" spans="1:1" x14ac:dyDescent="0.25">
      <c r="A526" t="s">
        <v>854</v>
      </c>
    </row>
    <row r="527" spans="1:1" x14ac:dyDescent="0.25">
      <c r="A527" t="s">
        <v>732</v>
      </c>
    </row>
    <row r="528" spans="1:1" x14ac:dyDescent="0.25">
      <c r="A528" t="s">
        <v>850</v>
      </c>
    </row>
    <row r="529" spans="1:1" x14ac:dyDescent="0.25">
      <c r="A529" t="s">
        <v>855</v>
      </c>
    </row>
    <row r="530" spans="1:1" x14ac:dyDescent="0.25">
      <c r="A530" t="s">
        <v>734</v>
      </c>
    </row>
    <row r="532" spans="1:1" x14ac:dyDescent="0.25">
      <c r="A532" t="s">
        <v>727</v>
      </c>
    </row>
    <row r="533" spans="1:1" x14ac:dyDescent="0.25">
      <c r="A533" t="s">
        <v>751</v>
      </c>
    </row>
    <row r="534" spans="1:1" x14ac:dyDescent="0.25">
      <c r="A534" t="s">
        <v>856</v>
      </c>
    </row>
    <row r="535" spans="1:1" x14ac:dyDescent="0.25">
      <c r="A535" t="s">
        <v>857</v>
      </c>
    </row>
    <row r="536" spans="1:1" x14ac:dyDescent="0.25">
      <c r="A536" t="s">
        <v>858</v>
      </c>
    </row>
    <row r="537" spans="1:1" x14ac:dyDescent="0.25">
      <c r="A537" t="s">
        <v>732</v>
      </c>
    </row>
    <row r="538" spans="1:1" x14ac:dyDescent="0.25">
      <c r="A538" t="s">
        <v>859</v>
      </c>
    </row>
    <row r="539" spans="1:1" x14ac:dyDescent="0.25">
      <c r="A539" t="s">
        <v>734</v>
      </c>
    </row>
    <row r="541" spans="1:1" x14ac:dyDescent="0.25">
      <c r="A541" t="s">
        <v>727</v>
      </c>
    </row>
    <row r="542" spans="1:1" x14ac:dyDescent="0.25">
      <c r="A542" t="s">
        <v>751</v>
      </c>
    </row>
    <row r="543" spans="1:1" x14ac:dyDescent="0.25">
      <c r="A543" t="s">
        <v>860</v>
      </c>
    </row>
    <row r="544" spans="1:1" x14ac:dyDescent="0.25">
      <c r="A544" t="s">
        <v>861</v>
      </c>
    </row>
    <row r="545" spans="1:1" x14ac:dyDescent="0.25">
      <c r="A545" t="s">
        <v>862</v>
      </c>
    </row>
    <row r="546" spans="1:1" x14ac:dyDescent="0.25">
      <c r="A546" t="s">
        <v>732</v>
      </c>
    </row>
    <row r="547" spans="1:1" x14ac:dyDescent="0.25">
      <c r="A547" t="s">
        <v>863</v>
      </c>
    </row>
    <row r="548" spans="1:1" x14ac:dyDescent="0.25">
      <c r="A548" t="s">
        <v>734</v>
      </c>
    </row>
    <row r="550" spans="1:1" x14ac:dyDescent="0.25">
      <c r="A550" t="s">
        <v>727</v>
      </c>
    </row>
    <row r="551" spans="1:1" x14ac:dyDescent="0.25">
      <c r="A551" t="s">
        <v>751</v>
      </c>
    </row>
    <row r="552" spans="1:1" x14ac:dyDescent="0.25">
      <c r="A552" t="s">
        <v>864</v>
      </c>
    </row>
    <row r="553" spans="1:1" x14ac:dyDescent="0.25">
      <c r="A553" t="s">
        <v>865</v>
      </c>
    </row>
    <row r="554" spans="1:1" x14ac:dyDescent="0.25">
      <c r="A554" t="s">
        <v>858</v>
      </c>
    </row>
    <row r="555" spans="1:1" x14ac:dyDescent="0.25">
      <c r="A555" t="s">
        <v>732</v>
      </c>
    </row>
    <row r="556" spans="1:1" x14ac:dyDescent="0.25">
      <c r="A556" t="s">
        <v>866</v>
      </c>
    </row>
    <row r="557" spans="1:1" x14ac:dyDescent="0.25">
      <c r="A557" t="s">
        <v>734</v>
      </c>
    </row>
    <row r="559" spans="1:1" x14ac:dyDescent="0.25">
      <c r="A559" t="s">
        <v>727</v>
      </c>
    </row>
    <row r="560" spans="1:1" x14ac:dyDescent="0.25">
      <c r="A560" t="s">
        <v>751</v>
      </c>
    </row>
    <row r="561" spans="1:1" x14ac:dyDescent="0.25">
      <c r="A561" t="s">
        <v>867</v>
      </c>
    </row>
    <row r="562" spans="1:1" x14ac:dyDescent="0.25">
      <c r="A562" t="s">
        <v>868</v>
      </c>
    </row>
    <row r="563" spans="1:1" x14ac:dyDescent="0.25">
      <c r="A563" t="s">
        <v>862</v>
      </c>
    </row>
    <row r="564" spans="1:1" x14ac:dyDescent="0.25">
      <c r="A564" t="s">
        <v>732</v>
      </c>
    </row>
    <row r="565" spans="1:1" x14ac:dyDescent="0.25">
      <c r="A565" t="s">
        <v>869</v>
      </c>
    </row>
    <row r="566" spans="1:1" x14ac:dyDescent="0.25">
      <c r="A566" t="s">
        <v>734</v>
      </c>
    </row>
    <row r="568" spans="1:1" x14ac:dyDescent="0.25">
      <c r="A568" t="s">
        <v>727</v>
      </c>
    </row>
    <row r="569" spans="1:1" x14ac:dyDescent="0.25">
      <c r="A569" t="s">
        <v>751</v>
      </c>
    </row>
    <row r="570" spans="1:1" x14ac:dyDescent="0.25">
      <c r="A570" t="s">
        <v>870</v>
      </c>
    </row>
    <row r="571" spans="1:1" x14ac:dyDescent="0.25">
      <c r="A571" t="s">
        <v>871</v>
      </c>
    </row>
    <row r="572" spans="1:1" x14ac:dyDescent="0.25">
      <c r="A572" t="s">
        <v>858</v>
      </c>
    </row>
    <row r="573" spans="1:1" x14ac:dyDescent="0.25">
      <c r="A573" t="s">
        <v>732</v>
      </c>
    </row>
    <row r="574" spans="1:1" x14ac:dyDescent="0.25">
      <c r="A574" t="s">
        <v>872</v>
      </c>
    </row>
    <row r="575" spans="1:1" x14ac:dyDescent="0.25">
      <c r="A575" t="s">
        <v>734</v>
      </c>
    </row>
    <row r="577" spans="1:1" x14ac:dyDescent="0.25">
      <c r="A577" t="s">
        <v>727</v>
      </c>
    </row>
    <row r="578" spans="1:1" x14ac:dyDescent="0.25">
      <c r="A578" t="s">
        <v>728</v>
      </c>
    </row>
    <row r="579" spans="1:1" x14ac:dyDescent="0.25">
      <c r="A579" t="s">
        <v>873</v>
      </c>
    </row>
    <row r="580" spans="1:1" x14ac:dyDescent="0.25">
      <c r="A580" t="s">
        <v>874</v>
      </c>
    </row>
    <row r="581" spans="1:1" x14ac:dyDescent="0.25">
      <c r="A581" t="s">
        <v>732</v>
      </c>
    </row>
    <row r="582" spans="1:1" x14ac:dyDescent="0.25">
      <c r="A582" t="s">
        <v>875</v>
      </c>
    </row>
    <row r="583" spans="1:1" x14ac:dyDescent="0.25">
      <c r="A583" t="s">
        <v>734</v>
      </c>
    </row>
    <row r="585" spans="1:1" x14ac:dyDescent="0.25">
      <c r="A585" t="s">
        <v>727</v>
      </c>
    </row>
    <row r="586" spans="1:1" x14ac:dyDescent="0.25">
      <c r="A586" t="s">
        <v>728</v>
      </c>
    </row>
    <row r="587" spans="1:1" x14ac:dyDescent="0.25">
      <c r="A587" t="s">
        <v>876</v>
      </c>
    </row>
    <row r="588" spans="1:1" x14ac:dyDescent="0.25">
      <c r="A588" t="s">
        <v>877</v>
      </c>
    </row>
    <row r="589" spans="1:1" x14ac:dyDescent="0.25">
      <c r="A589" t="s">
        <v>732</v>
      </c>
    </row>
    <row r="590" spans="1:1" x14ac:dyDescent="0.25">
      <c r="A590" t="s">
        <v>878</v>
      </c>
    </row>
    <row r="591" spans="1:1" x14ac:dyDescent="0.25">
      <c r="A591" t="s">
        <v>734</v>
      </c>
    </row>
    <row r="593" spans="1:1" x14ac:dyDescent="0.25">
      <c r="A593" t="s">
        <v>727</v>
      </c>
    </row>
    <row r="594" spans="1:1" x14ac:dyDescent="0.25">
      <c r="A594" t="s">
        <v>728</v>
      </c>
    </row>
    <row r="595" spans="1:1" x14ac:dyDescent="0.25">
      <c r="A595" t="s">
        <v>879</v>
      </c>
    </row>
    <row r="596" spans="1:1" x14ac:dyDescent="0.25">
      <c r="A596" t="s">
        <v>791</v>
      </c>
    </row>
    <row r="597" spans="1:1" x14ac:dyDescent="0.25">
      <c r="A597" t="s">
        <v>732</v>
      </c>
    </row>
    <row r="598" spans="1:1" x14ac:dyDescent="0.25">
      <c r="A598" t="s">
        <v>792</v>
      </c>
    </row>
    <row r="599" spans="1:1" x14ac:dyDescent="0.25">
      <c r="A599" t="s">
        <v>734</v>
      </c>
    </row>
    <row r="602" spans="1:1" x14ac:dyDescent="0.25">
      <c r="A602" t="s">
        <v>727</v>
      </c>
    </row>
    <row r="603" spans="1:1" x14ac:dyDescent="0.25">
      <c r="A603" t="s">
        <v>728</v>
      </c>
    </row>
    <row r="604" spans="1:1" x14ac:dyDescent="0.25">
      <c r="A604" t="s">
        <v>880</v>
      </c>
    </row>
    <row r="605" spans="1:1" x14ac:dyDescent="0.25">
      <c r="A605" t="s">
        <v>881</v>
      </c>
    </row>
    <row r="606" spans="1:1" x14ac:dyDescent="0.25">
      <c r="A606" t="s">
        <v>732</v>
      </c>
    </row>
    <row r="607" spans="1:1" x14ac:dyDescent="0.25">
      <c r="A607" t="s">
        <v>882</v>
      </c>
    </row>
    <row r="608" spans="1:1" x14ac:dyDescent="0.25">
      <c r="A608" t="s">
        <v>734</v>
      </c>
    </row>
    <row r="610" spans="1:1" x14ac:dyDescent="0.25">
      <c r="A610" t="s">
        <v>727</v>
      </c>
    </row>
    <row r="611" spans="1:1" x14ac:dyDescent="0.25">
      <c r="A611" t="s">
        <v>728</v>
      </c>
    </row>
    <row r="612" spans="1:1" x14ac:dyDescent="0.25">
      <c r="A612" t="s">
        <v>883</v>
      </c>
    </row>
    <row r="613" spans="1:1" x14ac:dyDescent="0.25">
      <c r="A613" t="s">
        <v>822</v>
      </c>
    </row>
    <row r="614" spans="1:1" x14ac:dyDescent="0.25">
      <c r="A614" t="s">
        <v>732</v>
      </c>
    </row>
    <row r="615" spans="1:1" x14ac:dyDescent="0.25">
      <c r="A615" t="s">
        <v>884</v>
      </c>
    </row>
    <row r="616" spans="1:1" x14ac:dyDescent="0.25">
      <c r="A616" t="s">
        <v>734</v>
      </c>
    </row>
    <row r="618" spans="1:1" x14ac:dyDescent="0.25">
      <c r="A618" t="s">
        <v>727</v>
      </c>
    </row>
    <row r="619" spans="1:1" x14ac:dyDescent="0.25">
      <c r="A619" t="s">
        <v>728</v>
      </c>
    </row>
    <row r="620" spans="1:1" x14ac:dyDescent="0.25">
      <c r="A620" t="s">
        <v>885</v>
      </c>
    </row>
    <row r="621" spans="1:1" x14ac:dyDescent="0.25">
      <c r="A621" t="s">
        <v>886</v>
      </c>
    </row>
    <row r="622" spans="1:1" x14ac:dyDescent="0.25">
      <c r="A622" t="s">
        <v>822</v>
      </c>
    </row>
    <row r="623" spans="1:1" x14ac:dyDescent="0.25">
      <c r="A623" t="s">
        <v>732</v>
      </c>
    </row>
    <row r="624" spans="1:1" x14ac:dyDescent="0.25">
      <c r="A624" t="s">
        <v>887</v>
      </c>
    </row>
    <row r="625" spans="1:1" x14ac:dyDescent="0.25">
      <c r="A625" t="s">
        <v>734</v>
      </c>
    </row>
    <row r="627" spans="1:1" x14ac:dyDescent="0.25">
      <c r="A627" t="s">
        <v>727</v>
      </c>
    </row>
    <row r="628" spans="1:1" x14ac:dyDescent="0.25">
      <c r="A628" t="s">
        <v>751</v>
      </c>
    </row>
    <row r="629" spans="1:1" x14ac:dyDescent="0.25">
      <c r="A629" t="s">
        <v>888</v>
      </c>
    </row>
    <row r="630" spans="1:1" x14ac:dyDescent="0.25">
      <c r="A630" t="s">
        <v>831</v>
      </c>
    </row>
    <row r="631" spans="1:1" x14ac:dyDescent="0.25">
      <c r="A631" t="s">
        <v>776</v>
      </c>
    </row>
    <row r="632" spans="1:1" x14ac:dyDescent="0.25">
      <c r="A632" t="s">
        <v>732</v>
      </c>
    </row>
    <row r="633" spans="1:1" x14ac:dyDescent="0.25">
      <c r="A633" t="s">
        <v>889</v>
      </c>
    </row>
    <row r="634" spans="1:1" x14ac:dyDescent="0.25">
      <c r="A634" t="s">
        <v>890</v>
      </c>
    </row>
    <row r="635" spans="1:1" x14ac:dyDescent="0.25">
      <c r="A635" t="s">
        <v>734</v>
      </c>
    </row>
    <row r="637" spans="1:1" x14ac:dyDescent="0.25">
      <c r="A637" t="s">
        <v>727</v>
      </c>
    </row>
    <row r="638" spans="1:1" x14ac:dyDescent="0.25">
      <c r="A638" t="s">
        <v>751</v>
      </c>
    </row>
    <row r="639" spans="1:1" x14ac:dyDescent="0.25">
      <c r="A639" t="s">
        <v>891</v>
      </c>
    </row>
    <row r="640" spans="1:1" x14ac:dyDescent="0.25">
      <c r="A640" t="s">
        <v>892</v>
      </c>
    </row>
    <row r="641" spans="1:1" x14ac:dyDescent="0.25">
      <c r="A641" t="s">
        <v>776</v>
      </c>
    </row>
    <row r="642" spans="1:1" x14ac:dyDescent="0.25">
      <c r="A642" t="s">
        <v>732</v>
      </c>
    </row>
    <row r="643" spans="1:1" x14ac:dyDescent="0.25">
      <c r="A643" t="s">
        <v>893</v>
      </c>
    </row>
    <row r="644" spans="1:1" x14ac:dyDescent="0.25">
      <c r="A644" t="s">
        <v>734</v>
      </c>
    </row>
    <row r="646" spans="1:1" x14ac:dyDescent="0.25">
      <c r="A646" t="s">
        <v>727</v>
      </c>
    </row>
    <row r="647" spans="1:1" x14ac:dyDescent="0.25">
      <c r="A647" t="s">
        <v>728</v>
      </c>
    </row>
    <row r="648" spans="1:1" x14ac:dyDescent="0.25">
      <c r="A648" t="s">
        <v>894</v>
      </c>
    </row>
    <row r="649" spans="1:1" x14ac:dyDescent="0.25">
      <c r="A649" t="s">
        <v>895</v>
      </c>
    </row>
    <row r="650" spans="1:1" x14ac:dyDescent="0.25">
      <c r="A650" t="s">
        <v>896</v>
      </c>
    </row>
    <row r="651" spans="1:1" x14ac:dyDescent="0.25">
      <c r="A651" t="s">
        <v>732</v>
      </c>
    </row>
    <row r="652" spans="1:1" x14ac:dyDescent="0.25">
      <c r="A652" t="s">
        <v>897</v>
      </c>
    </row>
    <row r="653" spans="1:1" x14ac:dyDescent="0.25">
      <c r="A653" t="s">
        <v>734</v>
      </c>
    </row>
    <row r="655" spans="1:1" x14ac:dyDescent="0.25">
      <c r="A655" t="s">
        <v>727</v>
      </c>
    </row>
    <row r="656" spans="1:1" x14ac:dyDescent="0.25">
      <c r="A656" t="s">
        <v>728</v>
      </c>
    </row>
    <row r="657" spans="1:1" x14ac:dyDescent="0.25">
      <c r="A657" t="s">
        <v>898</v>
      </c>
    </row>
    <row r="658" spans="1:1" x14ac:dyDescent="0.25">
      <c r="A658" t="s">
        <v>899</v>
      </c>
    </row>
    <row r="659" spans="1:1" x14ac:dyDescent="0.25">
      <c r="A659" t="s">
        <v>896</v>
      </c>
    </row>
    <row r="660" spans="1:1" x14ac:dyDescent="0.25">
      <c r="A660" t="s">
        <v>732</v>
      </c>
    </row>
    <row r="661" spans="1:1" x14ac:dyDescent="0.25">
      <c r="A661" t="s">
        <v>900</v>
      </c>
    </row>
    <row r="662" spans="1:1" x14ac:dyDescent="0.25">
      <c r="A662" t="s">
        <v>734</v>
      </c>
    </row>
    <row r="664" spans="1:1" x14ac:dyDescent="0.25">
      <c r="A664" t="s">
        <v>727</v>
      </c>
    </row>
    <row r="665" spans="1:1" x14ac:dyDescent="0.25">
      <c r="A665" t="s">
        <v>728</v>
      </c>
    </row>
    <row r="666" spans="1:1" x14ac:dyDescent="0.25">
      <c r="A666" t="s">
        <v>901</v>
      </c>
    </row>
    <row r="667" spans="1:1" x14ac:dyDescent="0.25">
      <c r="A667" t="s">
        <v>902</v>
      </c>
    </row>
    <row r="668" spans="1:1" x14ac:dyDescent="0.25">
      <c r="A668" t="s">
        <v>896</v>
      </c>
    </row>
    <row r="669" spans="1:1" x14ac:dyDescent="0.25">
      <c r="A669" t="s">
        <v>732</v>
      </c>
    </row>
    <row r="670" spans="1:1" x14ac:dyDescent="0.25">
      <c r="A670" t="s">
        <v>903</v>
      </c>
    </row>
    <row r="671" spans="1:1" x14ac:dyDescent="0.25">
      <c r="A671" t="s">
        <v>734</v>
      </c>
    </row>
    <row r="673" spans="1:1" x14ac:dyDescent="0.25">
      <c r="A673" t="s">
        <v>727</v>
      </c>
    </row>
    <row r="674" spans="1:1" x14ac:dyDescent="0.25">
      <c r="A674" t="s">
        <v>728</v>
      </c>
    </row>
    <row r="675" spans="1:1" x14ac:dyDescent="0.25">
      <c r="A675" t="s">
        <v>904</v>
      </c>
    </row>
    <row r="676" spans="1:1" x14ac:dyDescent="0.25">
      <c r="A676" t="s">
        <v>905</v>
      </c>
    </row>
    <row r="677" spans="1:1" x14ac:dyDescent="0.25">
      <c r="A677" t="s">
        <v>896</v>
      </c>
    </row>
    <row r="678" spans="1:1" x14ac:dyDescent="0.25">
      <c r="A678" t="s">
        <v>732</v>
      </c>
    </row>
    <row r="679" spans="1:1" x14ac:dyDescent="0.25">
      <c r="A679" t="s">
        <v>906</v>
      </c>
    </row>
    <row r="680" spans="1:1" x14ac:dyDescent="0.25">
      <c r="A680" t="s">
        <v>734</v>
      </c>
    </row>
    <row r="682" spans="1:1" x14ac:dyDescent="0.25">
      <c r="A682" t="s">
        <v>727</v>
      </c>
    </row>
    <row r="683" spans="1:1" x14ac:dyDescent="0.25">
      <c r="A683" t="s">
        <v>728</v>
      </c>
    </row>
    <row r="684" spans="1:1" x14ac:dyDescent="0.25">
      <c r="A684" t="s">
        <v>907</v>
      </c>
    </row>
    <row r="685" spans="1:1" x14ac:dyDescent="0.25">
      <c r="A685" t="s">
        <v>908</v>
      </c>
    </row>
    <row r="686" spans="1:1" x14ac:dyDescent="0.25">
      <c r="A686" t="s">
        <v>909</v>
      </c>
    </row>
    <row r="687" spans="1:1" x14ac:dyDescent="0.25">
      <c r="A687" t="s">
        <v>732</v>
      </c>
    </row>
    <row r="688" spans="1:1" x14ac:dyDescent="0.25">
      <c r="A688" t="s">
        <v>910</v>
      </c>
    </row>
    <row r="689" spans="1:1" x14ac:dyDescent="0.25">
      <c r="A689" t="s">
        <v>734</v>
      </c>
    </row>
    <row r="691" spans="1:1" x14ac:dyDescent="0.25">
      <c r="A691" t="s">
        <v>727</v>
      </c>
    </row>
    <row r="692" spans="1:1" x14ac:dyDescent="0.25">
      <c r="A692" t="s">
        <v>728</v>
      </c>
    </row>
    <row r="693" spans="1:1" x14ac:dyDescent="0.25">
      <c r="A693" t="s">
        <v>911</v>
      </c>
    </row>
    <row r="694" spans="1:1" x14ac:dyDescent="0.25">
      <c r="A694" t="s">
        <v>912</v>
      </c>
    </row>
    <row r="695" spans="1:1" x14ac:dyDescent="0.25">
      <c r="A695" t="s">
        <v>913</v>
      </c>
    </row>
    <row r="696" spans="1:1" x14ac:dyDescent="0.25">
      <c r="A696" t="s">
        <v>732</v>
      </c>
    </row>
    <row r="697" spans="1:1" x14ac:dyDescent="0.25">
      <c r="A697" t="s">
        <v>850</v>
      </c>
    </row>
    <row r="698" spans="1:1" x14ac:dyDescent="0.25">
      <c r="A698" t="s">
        <v>914</v>
      </c>
    </row>
    <row r="699" spans="1:1" x14ac:dyDescent="0.25">
      <c r="A699" t="s">
        <v>734</v>
      </c>
    </row>
    <row r="701" spans="1:1" x14ac:dyDescent="0.25">
      <c r="A701" t="s">
        <v>727</v>
      </c>
    </row>
    <row r="702" spans="1:1" x14ac:dyDescent="0.25">
      <c r="A702" t="s">
        <v>728</v>
      </c>
    </row>
    <row r="703" spans="1:1" x14ac:dyDescent="0.25">
      <c r="A703" t="s">
        <v>915</v>
      </c>
    </row>
    <row r="704" spans="1:1" x14ac:dyDescent="0.25">
      <c r="A704" t="s">
        <v>916</v>
      </c>
    </row>
    <row r="705" spans="1:1" x14ac:dyDescent="0.25">
      <c r="A705" t="s">
        <v>913</v>
      </c>
    </row>
    <row r="706" spans="1:1" x14ac:dyDescent="0.25">
      <c r="A706" t="s">
        <v>732</v>
      </c>
    </row>
    <row r="707" spans="1:1" x14ac:dyDescent="0.25">
      <c r="A707" t="s">
        <v>850</v>
      </c>
    </row>
    <row r="708" spans="1:1" x14ac:dyDescent="0.25">
      <c r="A708" t="s">
        <v>914</v>
      </c>
    </row>
    <row r="709" spans="1:1" x14ac:dyDescent="0.25">
      <c r="A709" t="s">
        <v>734</v>
      </c>
    </row>
    <row r="711" spans="1:1" x14ac:dyDescent="0.25">
      <c r="A711" t="s">
        <v>727</v>
      </c>
    </row>
    <row r="712" spans="1:1" x14ac:dyDescent="0.25">
      <c r="A712" t="s">
        <v>728</v>
      </c>
    </row>
    <row r="713" spans="1:1" x14ac:dyDescent="0.25">
      <c r="A713" t="s">
        <v>917</v>
      </c>
    </row>
    <row r="714" spans="1:1" x14ac:dyDescent="0.25">
      <c r="A714" t="s">
        <v>918</v>
      </c>
    </row>
    <row r="715" spans="1:1" x14ac:dyDescent="0.25">
      <c r="A715" t="s">
        <v>913</v>
      </c>
    </row>
    <row r="716" spans="1:1" x14ac:dyDescent="0.25">
      <c r="A716" t="s">
        <v>732</v>
      </c>
    </row>
    <row r="717" spans="1:1" x14ac:dyDescent="0.25">
      <c r="A717" t="s">
        <v>850</v>
      </c>
    </row>
    <row r="718" spans="1:1" x14ac:dyDescent="0.25">
      <c r="A718" t="s">
        <v>855</v>
      </c>
    </row>
    <row r="719" spans="1:1" x14ac:dyDescent="0.25">
      <c r="A719" t="s">
        <v>734</v>
      </c>
    </row>
    <row r="721" spans="1:1" x14ac:dyDescent="0.25">
      <c r="A721" t="s">
        <v>727</v>
      </c>
    </row>
    <row r="722" spans="1:1" x14ac:dyDescent="0.25">
      <c r="A722" t="s">
        <v>728</v>
      </c>
    </row>
    <row r="723" spans="1:1" x14ac:dyDescent="0.25">
      <c r="A723" t="s">
        <v>919</v>
      </c>
    </row>
    <row r="724" spans="1:1" x14ac:dyDescent="0.25">
      <c r="A724" t="s">
        <v>920</v>
      </c>
    </row>
    <row r="725" spans="1:1" x14ac:dyDescent="0.25">
      <c r="A725" t="s">
        <v>913</v>
      </c>
    </row>
    <row r="726" spans="1:1" x14ac:dyDescent="0.25">
      <c r="A726" t="s">
        <v>732</v>
      </c>
    </row>
    <row r="727" spans="1:1" x14ac:dyDescent="0.25">
      <c r="A727" t="s">
        <v>921</v>
      </c>
    </row>
    <row r="728" spans="1:1" x14ac:dyDescent="0.25">
      <c r="A728" t="s">
        <v>734</v>
      </c>
    </row>
    <row r="730" spans="1:1" x14ac:dyDescent="0.25">
      <c r="A730" t="s">
        <v>727</v>
      </c>
    </row>
    <row r="731" spans="1:1" x14ac:dyDescent="0.25">
      <c r="A731" t="s">
        <v>728</v>
      </c>
    </row>
    <row r="732" spans="1:1" x14ac:dyDescent="0.25">
      <c r="A732" t="s">
        <v>922</v>
      </c>
    </row>
    <row r="733" spans="1:1" x14ac:dyDescent="0.25">
      <c r="A733" t="s">
        <v>923</v>
      </c>
    </row>
    <row r="734" spans="1:1" x14ac:dyDescent="0.25">
      <c r="A734" t="s">
        <v>913</v>
      </c>
    </row>
    <row r="735" spans="1:1" x14ac:dyDescent="0.25">
      <c r="A735" t="s">
        <v>732</v>
      </c>
    </row>
    <row r="736" spans="1:1" x14ac:dyDescent="0.25">
      <c r="A736" t="s">
        <v>850</v>
      </c>
    </row>
    <row r="737" spans="1:1" x14ac:dyDescent="0.25">
      <c r="A737" t="s">
        <v>924</v>
      </c>
    </row>
    <row r="738" spans="1:1" x14ac:dyDescent="0.25">
      <c r="A738" t="s">
        <v>734</v>
      </c>
    </row>
    <row r="740" spans="1:1" x14ac:dyDescent="0.25">
      <c r="A740" t="s">
        <v>727</v>
      </c>
    </row>
    <row r="741" spans="1:1" x14ac:dyDescent="0.25">
      <c r="A741" t="s">
        <v>728</v>
      </c>
    </row>
    <row r="742" spans="1:1" x14ac:dyDescent="0.25">
      <c r="A742" t="s">
        <v>925</v>
      </c>
    </row>
    <row r="743" spans="1:1" x14ac:dyDescent="0.25">
      <c r="A743" t="s">
        <v>926</v>
      </c>
    </row>
    <row r="744" spans="1:1" x14ac:dyDescent="0.25">
      <c r="A744" t="s">
        <v>913</v>
      </c>
    </row>
    <row r="745" spans="1:1" x14ac:dyDescent="0.25">
      <c r="A745" t="s">
        <v>732</v>
      </c>
    </row>
    <row r="746" spans="1:1" x14ac:dyDescent="0.25">
      <c r="A746" t="s">
        <v>927</v>
      </c>
    </row>
    <row r="747" spans="1:1" x14ac:dyDescent="0.25">
      <c r="A747" t="s">
        <v>928</v>
      </c>
    </row>
    <row r="748" spans="1:1" x14ac:dyDescent="0.25">
      <c r="A748" t="s">
        <v>734</v>
      </c>
    </row>
    <row r="750" spans="1:1" x14ac:dyDescent="0.25">
      <c r="A750" t="s">
        <v>727</v>
      </c>
    </row>
    <row r="751" spans="1:1" x14ac:dyDescent="0.25">
      <c r="A751" t="s">
        <v>751</v>
      </c>
    </row>
    <row r="752" spans="1:1" x14ac:dyDescent="0.25">
      <c r="A752" t="s">
        <v>929</v>
      </c>
    </row>
    <row r="753" spans="1:1" x14ac:dyDescent="0.25">
      <c r="A753" t="s">
        <v>930</v>
      </c>
    </row>
    <row r="754" spans="1:1" x14ac:dyDescent="0.25">
      <c r="A754" t="s">
        <v>931</v>
      </c>
    </row>
    <row r="755" spans="1:1" x14ac:dyDescent="0.25">
      <c r="A755" t="s">
        <v>749</v>
      </c>
    </row>
    <row r="756" spans="1:1" x14ac:dyDescent="0.25">
      <c r="A756" t="s">
        <v>932</v>
      </c>
    </row>
    <row r="757" spans="1:1" x14ac:dyDescent="0.25">
      <c r="A757" t="s">
        <v>734</v>
      </c>
    </row>
    <row r="759" spans="1:1" x14ac:dyDescent="0.25">
      <c r="A759" t="s">
        <v>727</v>
      </c>
    </row>
    <row r="760" spans="1:1" x14ac:dyDescent="0.25">
      <c r="A760" t="s">
        <v>751</v>
      </c>
    </row>
    <row r="761" spans="1:1" x14ac:dyDescent="0.25">
      <c r="A761" t="s">
        <v>933</v>
      </c>
    </row>
    <row r="762" spans="1:1" x14ac:dyDescent="0.25">
      <c r="A762" t="s">
        <v>934</v>
      </c>
    </row>
    <row r="763" spans="1:1" x14ac:dyDescent="0.25">
      <c r="A763" t="s">
        <v>931</v>
      </c>
    </row>
    <row r="764" spans="1:1" x14ac:dyDescent="0.25">
      <c r="A764" t="s">
        <v>749</v>
      </c>
    </row>
    <row r="765" spans="1:1" x14ac:dyDescent="0.25">
      <c r="A765" t="s">
        <v>935</v>
      </c>
    </row>
    <row r="766" spans="1:1" x14ac:dyDescent="0.25">
      <c r="A766" t="s">
        <v>734</v>
      </c>
    </row>
    <row r="768" spans="1:1" x14ac:dyDescent="0.25">
      <c r="A768" t="s">
        <v>727</v>
      </c>
    </row>
    <row r="769" spans="1:1" x14ac:dyDescent="0.25">
      <c r="A769" t="s">
        <v>751</v>
      </c>
    </row>
    <row r="770" spans="1:1" x14ac:dyDescent="0.25">
      <c r="A770" t="s">
        <v>936</v>
      </c>
    </row>
    <row r="771" spans="1:1" x14ac:dyDescent="0.25">
      <c r="A771" t="s">
        <v>937</v>
      </c>
    </row>
    <row r="772" spans="1:1" x14ac:dyDescent="0.25">
      <c r="A772" t="s">
        <v>931</v>
      </c>
    </row>
    <row r="773" spans="1:1" x14ac:dyDescent="0.25">
      <c r="A773" t="s">
        <v>749</v>
      </c>
    </row>
    <row r="774" spans="1:1" x14ac:dyDescent="0.25">
      <c r="A774" t="s">
        <v>938</v>
      </c>
    </row>
    <row r="775" spans="1:1" x14ac:dyDescent="0.25">
      <c r="A775" t="s">
        <v>734</v>
      </c>
    </row>
    <row r="777" spans="1:1" x14ac:dyDescent="0.25">
      <c r="A777" t="s">
        <v>939</v>
      </c>
    </row>
    <row r="779" spans="1:1" x14ac:dyDescent="0.25">
      <c r="A779" t="s">
        <v>727</v>
      </c>
    </row>
    <row r="780" spans="1:1" x14ac:dyDescent="0.25">
      <c r="A780" t="s">
        <v>751</v>
      </c>
    </row>
    <row r="781" spans="1:1" x14ac:dyDescent="0.25">
      <c r="A781" t="s">
        <v>940</v>
      </c>
    </row>
    <row r="782" spans="1:1" x14ac:dyDescent="0.25">
      <c r="A782" t="s">
        <v>941</v>
      </c>
    </row>
    <row r="783" spans="1:1" x14ac:dyDescent="0.25">
      <c r="A783" t="s">
        <v>745</v>
      </c>
    </row>
    <row r="784" spans="1:1" x14ac:dyDescent="0.25">
      <c r="A784" t="s">
        <v>749</v>
      </c>
    </row>
    <row r="785" spans="1:1" x14ac:dyDescent="0.25">
      <c r="A785" t="s">
        <v>942</v>
      </c>
    </row>
    <row r="786" spans="1:1" x14ac:dyDescent="0.25">
      <c r="A786" t="s">
        <v>734</v>
      </c>
    </row>
    <row r="788" spans="1:1" x14ac:dyDescent="0.25">
      <c r="A788" t="s">
        <v>727</v>
      </c>
    </row>
    <row r="789" spans="1:1" x14ac:dyDescent="0.25">
      <c r="A789" t="s">
        <v>751</v>
      </c>
    </row>
    <row r="790" spans="1:1" x14ac:dyDescent="0.25">
      <c r="A790" t="s">
        <v>943</v>
      </c>
    </row>
    <row r="791" spans="1:1" x14ac:dyDescent="0.25">
      <c r="A791" t="s">
        <v>944</v>
      </c>
    </row>
    <row r="792" spans="1:1" x14ac:dyDescent="0.25">
      <c r="A792" t="s">
        <v>745</v>
      </c>
    </row>
    <row r="793" spans="1:1" x14ac:dyDescent="0.25">
      <c r="A793" t="s">
        <v>749</v>
      </c>
    </row>
    <row r="794" spans="1:1" x14ac:dyDescent="0.25">
      <c r="A794" t="s">
        <v>945</v>
      </c>
    </row>
    <row r="795" spans="1:1" x14ac:dyDescent="0.25">
      <c r="A795" t="s">
        <v>734</v>
      </c>
    </row>
    <row r="797" spans="1:1" x14ac:dyDescent="0.25">
      <c r="A797" t="s">
        <v>727</v>
      </c>
    </row>
    <row r="798" spans="1:1" x14ac:dyDescent="0.25">
      <c r="A798" t="s">
        <v>751</v>
      </c>
    </row>
    <row r="799" spans="1:1" x14ac:dyDescent="0.25">
      <c r="A799" t="s">
        <v>946</v>
      </c>
    </row>
    <row r="800" spans="1:1" x14ac:dyDescent="0.25">
      <c r="A800" t="s">
        <v>947</v>
      </c>
    </row>
    <row r="801" spans="1:1" x14ac:dyDescent="0.25">
      <c r="A801" t="s">
        <v>745</v>
      </c>
    </row>
    <row r="802" spans="1:1" x14ac:dyDescent="0.25">
      <c r="A802" t="s">
        <v>749</v>
      </c>
    </row>
    <row r="803" spans="1:1" x14ac:dyDescent="0.25">
      <c r="A803" t="s">
        <v>948</v>
      </c>
    </row>
    <row r="804" spans="1:1" x14ac:dyDescent="0.25">
      <c r="A804" t="s">
        <v>734</v>
      </c>
    </row>
    <row r="806" spans="1:1" x14ac:dyDescent="0.25">
      <c r="A806" t="s">
        <v>727</v>
      </c>
    </row>
    <row r="807" spans="1:1" x14ac:dyDescent="0.25">
      <c r="A807" t="s">
        <v>751</v>
      </c>
    </row>
    <row r="808" spans="1:1" x14ac:dyDescent="0.25">
      <c r="A808" t="s">
        <v>949</v>
      </c>
    </row>
    <row r="809" spans="1:1" x14ac:dyDescent="0.25">
      <c r="A809" t="s">
        <v>950</v>
      </c>
    </row>
    <row r="810" spans="1:1" x14ac:dyDescent="0.25">
      <c r="A810" t="s">
        <v>745</v>
      </c>
    </row>
    <row r="811" spans="1:1" x14ac:dyDescent="0.25">
      <c r="A811" t="s">
        <v>749</v>
      </c>
    </row>
    <row r="812" spans="1:1" x14ac:dyDescent="0.25">
      <c r="A812" t="s">
        <v>951</v>
      </c>
    </row>
    <row r="813" spans="1:1" x14ac:dyDescent="0.25">
      <c r="A813" t="s">
        <v>734</v>
      </c>
    </row>
    <row r="815" spans="1:1" x14ac:dyDescent="0.25">
      <c r="A815" t="s">
        <v>727</v>
      </c>
    </row>
    <row r="816" spans="1:1" x14ac:dyDescent="0.25">
      <c r="A816" t="s">
        <v>751</v>
      </c>
    </row>
    <row r="817" spans="1:1" x14ac:dyDescent="0.25">
      <c r="A817" t="s">
        <v>952</v>
      </c>
    </row>
    <row r="818" spans="1:1" x14ac:dyDescent="0.25">
      <c r="A818" t="s">
        <v>941</v>
      </c>
    </row>
    <row r="819" spans="1:1" x14ac:dyDescent="0.25">
      <c r="A819" t="s">
        <v>745</v>
      </c>
    </row>
    <row r="820" spans="1:1" x14ac:dyDescent="0.25">
      <c r="A820" t="s">
        <v>749</v>
      </c>
    </row>
    <row r="821" spans="1:1" x14ac:dyDescent="0.25">
      <c r="A821" t="s">
        <v>953</v>
      </c>
    </row>
    <row r="822" spans="1:1" x14ac:dyDescent="0.25">
      <c r="A822" t="s">
        <v>734</v>
      </c>
    </row>
    <row r="824" spans="1:1" x14ac:dyDescent="0.25">
      <c r="A824" t="s">
        <v>954</v>
      </c>
    </row>
    <row r="826" spans="1:1" x14ac:dyDescent="0.25">
      <c r="A826" t="s">
        <v>727</v>
      </c>
    </row>
    <row r="827" spans="1:1" x14ac:dyDescent="0.25">
      <c r="A827" t="s">
        <v>751</v>
      </c>
    </row>
    <row r="828" spans="1:1" x14ac:dyDescent="0.25">
      <c r="A828" t="s">
        <v>955</v>
      </c>
    </row>
    <row r="829" spans="1:1" x14ac:dyDescent="0.25">
      <c r="A829" t="s">
        <v>956</v>
      </c>
    </row>
    <row r="830" spans="1:1" x14ac:dyDescent="0.25">
      <c r="A830" t="s">
        <v>745</v>
      </c>
    </row>
    <row r="831" spans="1:1" x14ac:dyDescent="0.25">
      <c r="A831" t="s">
        <v>749</v>
      </c>
    </row>
    <row r="832" spans="1:1" x14ac:dyDescent="0.25">
      <c r="A832" t="s">
        <v>957</v>
      </c>
    </row>
    <row r="833" spans="1:1" x14ac:dyDescent="0.25">
      <c r="A833" t="s">
        <v>734</v>
      </c>
    </row>
    <row r="835" spans="1:1" x14ac:dyDescent="0.25">
      <c r="A835" t="s">
        <v>727</v>
      </c>
    </row>
    <row r="836" spans="1:1" x14ac:dyDescent="0.25">
      <c r="A836" t="s">
        <v>751</v>
      </c>
    </row>
    <row r="837" spans="1:1" x14ac:dyDescent="0.25">
      <c r="A837" t="s">
        <v>958</v>
      </c>
    </row>
    <row r="838" spans="1:1" x14ac:dyDescent="0.25">
      <c r="A838" t="s">
        <v>959</v>
      </c>
    </row>
    <row r="839" spans="1:1" x14ac:dyDescent="0.25">
      <c r="A839" t="s">
        <v>745</v>
      </c>
    </row>
    <row r="840" spans="1:1" x14ac:dyDescent="0.25">
      <c r="A840" t="s">
        <v>749</v>
      </c>
    </row>
    <row r="841" spans="1:1" x14ac:dyDescent="0.25">
      <c r="A841" t="s">
        <v>960</v>
      </c>
    </row>
    <row r="842" spans="1:1" x14ac:dyDescent="0.25">
      <c r="A842" t="s">
        <v>734</v>
      </c>
    </row>
    <row r="844" spans="1:1" x14ac:dyDescent="0.25">
      <c r="A844" t="s">
        <v>961</v>
      </c>
    </row>
    <row r="846" spans="1:1" x14ac:dyDescent="0.25">
      <c r="A846" t="s">
        <v>727</v>
      </c>
    </row>
    <row r="847" spans="1:1" x14ac:dyDescent="0.25">
      <c r="A847" t="s">
        <v>751</v>
      </c>
    </row>
    <row r="848" spans="1:1" x14ac:dyDescent="0.25">
      <c r="A848" t="s">
        <v>962</v>
      </c>
    </row>
    <row r="849" spans="1:1" x14ac:dyDescent="0.25">
      <c r="A849" t="s">
        <v>963</v>
      </c>
    </row>
    <row r="850" spans="1:1" x14ac:dyDescent="0.25">
      <c r="A850" t="s">
        <v>745</v>
      </c>
    </row>
    <row r="851" spans="1:1" x14ac:dyDescent="0.25">
      <c r="A851" t="s">
        <v>749</v>
      </c>
    </row>
    <row r="852" spans="1:1" x14ac:dyDescent="0.25">
      <c r="A852" t="s">
        <v>964</v>
      </c>
    </row>
    <row r="853" spans="1:1" x14ac:dyDescent="0.25">
      <c r="A853" t="s">
        <v>734</v>
      </c>
    </row>
    <row r="855" spans="1:1" x14ac:dyDescent="0.25">
      <c r="A855" t="s">
        <v>727</v>
      </c>
    </row>
    <row r="856" spans="1:1" x14ac:dyDescent="0.25">
      <c r="A856" t="s">
        <v>751</v>
      </c>
    </row>
    <row r="857" spans="1:1" x14ac:dyDescent="0.25">
      <c r="A857" t="s">
        <v>965</v>
      </c>
    </row>
    <row r="858" spans="1:1" x14ac:dyDescent="0.25">
      <c r="A858" t="s">
        <v>966</v>
      </c>
    </row>
    <row r="859" spans="1:1" x14ac:dyDescent="0.25">
      <c r="A859" t="s">
        <v>745</v>
      </c>
    </row>
    <row r="860" spans="1:1" x14ac:dyDescent="0.25">
      <c r="A860" t="s">
        <v>749</v>
      </c>
    </row>
    <row r="861" spans="1:1" x14ac:dyDescent="0.25">
      <c r="A861" t="s">
        <v>960</v>
      </c>
    </row>
    <row r="862" spans="1:1" x14ac:dyDescent="0.25">
      <c r="A862" t="s">
        <v>734</v>
      </c>
    </row>
    <row r="864" spans="1:1" x14ac:dyDescent="0.25">
      <c r="A864" t="s">
        <v>453</v>
      </c>
    </row>
    <row r="866" spans="1:1" x14ac:dyDescent="0.25">
      <c r="A866" t="s">
        <v>967</v>
      </c>
    </row>
    <row r="867" spans="1:1" x14ac:dyDescent="0.25">
      <c r="A867" t="s">
        <v>968</v>
      </c>
    </row>
    <row r="868" spans="1:1" x14ac:dyDescent="0.25">
      <c r="A868" t="s">
        <v>969</v>
      </c>
    </row>
    <row r="869" spans="1:1" x14ac:dyDescent="0.25">
      <c r="A869" t="s">
        <v>970</v>
      </c>
    </row>
    <row r="870" spans="1:1" x14ac:dyDescent="0.25">
      <c r="A870" t="s">
        <v>650</v>
      </c>
    </row>
    <row r="871" spans="1:1" x14ac:dyDescent="0.25">
      <c r="A871" t="s">
        <v>374</v>
      </c>
    </row>
    <row r="872" spans="1:1" x14ac:dyDescent="0.25">
      <c r="A872" t="s">
        <v>971</v>
      </c>
    </row>
    <row r="873" spans="1:1" x14ac:dyDescent="0.25">
      <c r="A873" t="s">
        <v>972</v>
      </c>
    </row>
    <row r="875" spans="1:1" x14ac:dyDescent="0.25">
      <c r="A875"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OG</vt:lpstr>
      <vt:lpstr>new</vt:lpstr>
      <vt:lpstr>ProdResults</vt:lpstr>
      <vt:lpstr>NewResults</vt:lpstr>
      <vt:lpstr>ProdAudit</vt:lpstr>
      <vt:lpstr>NewAudit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Simpson</dc:creator>
  <cp:lastModifiedBy>Brian Simpson</cp:lastModifiedBy>
  <dcterms:created xsi:type="dcterms:W3CDTF">2026-05-05T21:10:35Z</dcterms:created>
  <dcterms:modified xsi:type="dcterms:W3CDTF">2026-05-12T15:00:59Z</dcterms:modified>
</cp:coreProperties>
</file>