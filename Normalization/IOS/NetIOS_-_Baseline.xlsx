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PySC\"/>
    </mc:Choice>
  </mc:AlternateContent>
  <xr:revisionPtr revIDLastSave="0" documentId="13_ncr:b_{D2A7DC2D-1B81-4863-95A4-E4D051D60B71}" xr6:coauthVersionLast="47" xr6:coauthVersionMax="47" xr10:uidLastSave="{00000000-0000-0000-0000-000000000000}"/>
  <bookViews>
    <workbookView xWindow="-57720" yWindow="-120" windowWidth="29040" windowHeight="15720" xr2:uid="{69B01C83-DA74-426F-944B-A28B9442B6EC}"/>
  </bookViews>
  <sheets>
    <sheet name="AUDIT COMPARE REPORT" sheetId="5" r:id="rId1"/>
    <sheet name="Current" sheetId="1" r:id="rId2"/>
    <sheet name="Potential" sheetId="2" r:id="rId3"/>
    <sheet name="Already Pass Not Assessed" sheetId="7" r:id="rId4"/>
    <sheet name="CurrentAudit" sheetId="3" r:id="rId5"/>
    <sheet name="New and Current Audit" sheetId="6" r:id="rId6"/>
    <sheet name="All Potential Audit" sheetId="4" r:id="rId7"/>
  </sheets>
  <definedNames>
    <definedName name="_xlnm._FilterDatabase" localSheetId="2" hidden="1">Potential!$A$1:$BR$116</definedName>
  </definedNames>
  <calcPr calcId="0"/>
</workbook>
</file>

<file path=xl/calcChain.xml><?xml version="1.0" encoding="utf-8"?>
<calcChain xmlns="http://schemas.openxmlformats.org/spreadsheetml/2006/main">
  <c r="BR45" i="2" l="1"/>
  <c r="BR46" i="2"/>
  <c r="BR49" i="2"/>
  <c r="J3" i="2"/>
  <c r="K3" i="2"/>
  <c r="L3" i="2"/>
  <c r="M3" i="2"/>
  <c r="BR3" i="2" s="1"/>
  <c r="J4" i="2"/>
  <c r="K4" i="2"/>
  <c r="L4" i="2"/>
  <c r="M4" i="2"/>
  <c r="BR4" i="2" s="1"/>
  <c r="J5" i="2"/>
  <c r="K5" i="2"/>
  <c r="L5" i="2"/>
  <c r="M5" i="2"/>
  <c r="BR5" i="2" s="1"/>
  <c r="J6" i="2"/>
  <c r="K6" i="2"/>
  <c r="L6" i="2"/>
  <c r="M6" i="2"/>
  <c r="BR6" i="2" s="1"/>
  <c r="J7" i="2"/>
  <c r="K7" i="2"/>
  <c r="L7" i="2"/>
  <c r="M7" i="2"/>
  <c r="BR7" i="2" s="1"/>
  <c r="J8" i="2"/>
  <c r="K8" i="2"/>
  <c r="L8" i="2"/>
  <c r="M8" i="2"/>
  <c r="BR8" i="2" s="1"/>
  <c r="J9" i="2"/>
  <c r="K9" i="2"/>
  <c r="L9" i="2"/>
  <c r="M9" i="2"/>
  <c r="BR9" i="2" s="1"/>
  <c r="J10" i="2"/>
  <c r="K10" i="2"/>
  <c r="L10" i="2"/>
  <c r="M10" i="2"/>
  <c r="BR10" i="2" s="1"/>
  <c r="J11" i="2"/>
  <c r="K11" i="2"/>
  <c r="L11" i="2"/>
  <c r="M11" i="2"/>
  <c r="BR11" i="2" s="1"/>
  <c r="J12" i="2"/>
  <c r="K12" i="2"/>
  <c r="L12" i="2"/>
  <c r="M12" i="2"/>
  <c r="BR12" i="2" s="1"/>
  <c r="J13" i="2"/>
  <c r="K13" i="2"/>
  <c r="L13" i="2"/>
  <c r="M13" i="2"/>
  <c r="BR13" i="2" s="1"/>
  <c r="J14" i="2"/>
  <c r="K14" i="2"/>
  <c r="L14" i="2"/>
  <c r="M14" i="2"/>
  <c r="BR14" i="2" s="1"/>
  <c r="J15" i="2"/>
  <c r="K15" i="2"/>
  <c r="L15" i="2"/>
  <c r="M15" i="2"/>
  <c r="BR15" i="2" s="1"/>
  <c r="J16" i="2"/>
  <c r="K16" i="2"/>
  <c r="L16" i="2"/>
  <c r="M16" i="2"/>
  <c r="BR16" i="2" s="1"/>
  <c r="J17" i="2"/>
  <c r="K17" i="2"/>
  <c r="L17" i="2"/>
  <c r="M17" i="2"/>
  <c r="BR17" i="2" s="1"/>
  <c r="J18" i="2"/>
  <c r="K18" i="2"/>
  <c r="L18" i="2"/>
  <c r="M18" i="2"/>
  <c r="BR18" i="2" s="1"/>
  <c r="J19" i="2"/>
  <c r="K19" i="2"/>
  <c r="L19" i="2"/>
  <c r="M19" i="2"/>
  <c r="BR19" i="2" s="1"/>
  <c r="J20" i="2"/>
  <c r="K20" i="2"/>
  <c r="L20" i="2"/>
  <c r="M20" i="2"/>
  <c r="BR20" i="2" s="1"/>
  <c r="J21" i="2"/>
  <c r="K21" i="2"/>
  <c r="L21" i="2"/>
  <c r="M21" i="2"/>
  <c r="BR21" i="2" s="1"/>
  <c r="J22" i="2"/>
  <c r="K22" i="2"/>
  <c r="L22" i="2"/>
  <c r="M22" i="2"/>
  <c r="J23" i="2"/>
  <c r="K23" i="2"/>
  <c r="L23" i="2"/>
  <c r="M23" i="2"/>
  <c r="BR23" i="2" s="1"/>
  <c r="J24" i="2"/>
  <c r="K24" i="2"/>
  <c r="L24" i="2"/>
  <c r="M24" i="2"/>
  <c r="BR24" i="2" s="1"/>
  <c r="J25" i="2"/>
  <c r="K25" i="2"/>
  <c r="L25" i="2"/>
  <c r="M25" i="2"/>
  <c r="BR25" i="2" s="1"/>
  <c r="J26" i="2"/>
  <c r="K26" i="2"/>
  <c r="L26" i="2"/>
  <c r="M26" i="2"/>
  <c r="BR26" i="2" s="1"/>
  <c r="J27" i="2"/>
  <c r="K27" i="2"/>
  <c r="L27" i="2"/>
  <c r="M27" i="2"/>
  <c r="BR27" i="2" s="1"/>
  <c r="J28" i="2"/>
  <c r="K28" i="2"/>
  <c r="L28" i="2"/>
  <c r="M28" i="2"/>
  <c r="J29" i="2"/>
  <c r="K29" i="2"/>
  <c r="L29" i="2"/>
  <c r="M29" i="2"/>
  <c r="BR29" i="2" s="1"/>
  <c r="J30" i="2"/>
  <c r="K30" i="2"/>
  <c r="L30" i="2"/>
  <c r="M30" i="2"/>
  <c r="BR30" i="2" s="1"/>
  <c r="J31" i="2"/>
  <c r="K31" i="2"/>
  <c r="L31" i="2"/>
  <c r="M31" i="2"/>
  <c r="BR31" i="2" s="1"/>
  <c r="J32" i="2"/>
  <c r="K32" i="2"/>
  <c r="L32" i="2"/>
  <c r="M32" i="2"/>
  <c r="J33" i="2"/>
  <c r="K33" i="2"/>
  <c r="L33" i="2"/>
  <c r="M33" i="2"/>
  <c r="BR33" i="2" s="1"/>
  <c r="J34" i="2"/>
  <c r="K34" i="2"/>
  <c r="L34" i="2"/>
  <c r="M34" i="2"/>
  <c r="J35" i="2"/>
  <c r="K35" i="2"/>
  <c r="L35" i="2"/>
  <c r="M35" i="2"/>
  <c r="BR35" i="2" s="1"/>
  <c r="J36" i="2"/>
  <c r="K36" i="2"/>
  <c r="L36" i="2"/>
  <c r="M36" i="2"/>
  <c r="BR36" i="2" s="1"/>
  <c r="J37" i="2"/>
  <c r="K37" i="2"/>
  <c r="L37" i="2"/>
  <c r="M37" i="2"/>
  <c r="BR37" i="2" s="1"/>
  <c r="J38" i="2"/>
  <c r="K38" i="2"/>
  <c r="L38" i="2"/>
  <c r="M38" i="2"/>
  <c r="BR38" i="2" s="1"/>
  <c r="J39" i="2"/>
  <c r="K39" i="2"/>
  <c r="L39" i="2"/>
  <c r="M39" i="2"/>
  <c r="BR39" i="2" s="1"/>
  <c r="J40" i="2"/>
  <c r="K40" i="2"/>
  <c r="L40" i="2"/>
  <c r="M40" i="2"/>
  <c r="BR40" i="2" s="1"/>
  <c r="J41" i="2"/>
  <c r="K41" i="2"/>
  <c r="L41" i="2"/>
  <c r="M41" i="2"/>
  <c r="BR41" i="2" s="1"/>
  <c r="J42" i="2"/>
  <c r="K42" i="2"/>
  <c r="L42" i="2"/>
  <c r="M42" i="2"/>
  <c r="BR42" i="2" s="1"/>
  <c r="J43" i="2"/>
  <c r="K43" i="2"/>
  <c r="L43" i="2"/>
  <c r="M43" i="2"/>
  <c r="BR43" i="2" s="1"/>
  <c r="J44" i="2"/>
  <c r="K44" i="2"/>
  <c r="L44" i="2"/>
  <c r="M44" i="2"/>
  <c r="BR44" i="2" s="1"/>
  <c r="J45" i="2"/>
  <c r="K45" i="2"/>
  <c r="L45" i="2"/>
  <c r="M45" i="2"/>
  <c r="J46" i="2"/>
  <c r="K46" i="2"/>
  <c r="L46" i="2"/>
  <c r="M46" i="2"/>
  <c r="J47" i="2"/>
  <c r="K47" i="2"/>
  <c r="L47" i="2"/>
  <c r="M47" i="2"/>
  <c r="BR47" i="2" s="1"/>
  <c r="J48" i="2"/>
  <c r="K48" i="2"/>
  <c r="L48" i="2"/>
  <c r="M48" i="2"/>
  <c r="J49" i="2"/>
  <c r="K49" i="2"/>
  <c r="L49" i="2"/>
  <c r="M49" i="2"/>
  <c r="J50" i="2"/>
  <c r="K50" i="2"/>
  <c r="L50" i="2"/>
  <c r="M50" i="2"/>
  <c r="BR50" i="2" s="1"/>
  <c r="J51" i="2"/>
  <c r="K51" i="2"/>
  <c r="L51" i="2"/>
  <c r="M51" i="2"/>
  <c r="BR51" i="2" s="1"/>
  <c r="J52" i="2"/>
  <c r="K52" i="2"/>
  <c r="L52" i="2"/>
  <c r="M52" i="2"/>
  <c r="BR52" i="2" s="1"/>
  <c r="J53" i="2"/>
  <c r="K53" i="2"/>
  <c r="L53" i="2"/>
  <c r="M53" i="2"/>
  <c r="BR53" i="2" s="1"/>
  <c r="J54" i="2"/>
  <c r="K54" i="2"/>
  <c r="L54" i="2"/>
  <c r="M54" i="2"/>
  <c r="BR54" i="2" s="1"/>
  <c r="J55" i="2"/>
  <c r="K55" i="2"/>
  <c r="L55" i="2"/>
  <c r="M55" i="2"/>
  <c r="BR55" i="2" s="1"/>
  <c r="J56" i="2"/>
  <c r="K56" i="2"/>
  <c r="L56" i="2"/>
  <c r="M56" i="2"/>
  <c r="BR56" i="2" s="1"/>
  <c r="J57" i="2"/>
  <c r="K57" i="2"/>
  <c r="L57" i="2"/>
  <c r="M57" i="2"/>
  <c r="BR57" i="2" s="1"/>
  <c r="J58" i="2"/>
  <c r="K58" i="2"/>
  <c r="L58" i="2"/>
  <c r="M58" i="2"/>
  <c r="BR58" i="2" s="1"/>
  <c r="J59" i="2"/>
  <c r="K59" i="2"/>
  <c r="L59" i="2"/>
  <c r="M59" i="2"/>
  <c r="BR59" i="2" s="1"/>
  <c r="M2" i="2"/>
  <c r="L2" i="2"/>
  <c r="K2" i="2"/>
  <c r="J2" i="2"/>
  <c r="J3" i="1"/>
  <c r="K3" i="1"/>
  <c r="L3" i="1"/>
  <c r="M3" i="1"/>
  <c r="J4" i="1"/>
  <c r="K4" i="1"/>
  <c r="L4" i="1"/>
  <c r="M4" i="1"/>
  <c r="J5" i="1"/>
  <c r="K5" i="1"/>
  <c r="L5" i="1"/>
  <c r="M5" i="1"/>
  <c r="J6" i="1"/>
  <c r="K6" i="1"/>
  <c r="L6" i="1"/>
  <c r="M6" i="1"/>
  <c r="J7" i="1"/>
  <c r="K7" i="1"/>
  <c r="L7" i="1"/>
  <c r="M7" i="1"/>
  <c r="J8" i="1"/>
  <c r="K8" i="1"/>
  <c r="L8" i="1"/>
  <c r="M8" i="1"/>
  <c r="J9" i="1"/>
  <c r="K9" i="1"/>
  <c r="L9" i="1"/>
  <c r="M9" i="1"/>
  <c r="J10" i="1"/>
  <c r="K10" i="1"/>
  <c r="L10" i="1"/>
  <c r="M10" i="1"/>
  <c r="J11" i="1"/>
  <c r="K11" i="1"/>
  <c r="L11" i="1"/>
  <c r="M11" i="1"/>
  <c r="J12" i="1"/>
  <c r="K12" i="1"/>
  <c r="L12" i="1"/>
  <c r="M12" i="1"/>
  <c r="J13" i="1"/>
  <c r="K13" i="1"/>
  <c r="L13" i="1"/>
  <c r="M13" i="1"/>
  <c r="J14" i="1"/>
  <c r="K14" i="1"/>
  <c r="L14" i="1"/>
  <c r="M14" i="1"/>
  <c r="J15" i="1"/>
  <c r="K15" i="1"/>
  <c r="L15" i="1"/>
  <c r="M15" i="1"/>
  <c r="J16" i="1"/>
  <c r="K16" i="1"/>
  <c r="L16" i="1"/>
  <c r="M16" i="1"/>
  <c r="J17" i="1"/>
  <c r="K17" i="1"/>
  <c r="L17" i="1"/>
  <c r="M17" i="1"/>
  <c r="J18" i="1"/>
  <c r="K18" i="1"/>
  <c r="L18" i="1"/>
  <c r="M18" i="1"/>
  <c r="J19" i="1"/>
  <c r="K19" i="1"/>
  <c r="L19" i="1"/>
  <c r="M19" i="1"/>
  <c r="J20" i="1"/>
  <c r="K20" i="1"/>
  <c r="L20" i="1"/>
  <c r="M20" i="1"/>
  <c r="J21" i="1"/>
  <c r="K21" i="1"/>
  <c r="L21" i="1"/>
  <c r="M21" i="1"/>
  <c r="J22" i="1"/>
  <c r="K22" i="1"/>
  <c r="L22" i="1"/>
  <c r="M22" i="1"/>
  <c r="J23" i="1"/>
  <c r="K23" i="1"/>
  <c r="L23" i="1"/>
  <c r="M23" i="1"/>
  <c r="J24" i="1"/>
  <c r="K24" i="1"/>
  <c r="L24" i="1"/>
  <c r="M24" i="1"/>
  <c r="J25" i="1"/>
  <c r="K25" i="1"/>
  <c r="L25" i="1"/>
  <c r="M25" i="1"/>
  <c r="J26" i="1"/>
  <c r="K26" i="1"/>
  <c r="L26" i="1"/>
  <c r="M26" i="1"/>
  <c r="J27" i="1"/>
  <c r="K27" i="1"/>
  <c r="L27" i="1"/>
  <c r="M27" i="1"/>
  <c r="J28" i="1"/>
  <c r="K28" i="1"/>
  <c r="L28" i="1"/>
  <c r="M28" i="1"/>
  <c r="J29" i="1"/>
  <c r="K29" i="1"/>
  <c r="L29" i="1"/>
  <c r="M29" i="1"/>
  <c r="J30" i="1"/>
  <c r="K30" i="1"/>
  <c r="L30" i="1"/>
  <c r="M30" i="1"/>
  <c r="J31" i="1"/>
  <c r="K31" i="1"/>
  <c r="L31" i="1"/>
  <c r="M31" i="1"/>
  <c r="J32" i="1"/>
  <c r="K32" i="1"/>
  <c r="L32" i="1"/>
  <c r="M32" i="1"/>
  <c r="J33" i="1"/>
  <c r="K33" i="1"/>
  <c r="L33" i="1"/>
  <c r="M33" i="1"/>
  <c r="J34" i="1"/>
  <c r="K34" i="1"/>
  <c r="L34" i="1"/>
  <c r="M34" i="1"/>
  <c r="J35" i="1"/>
  <c r="K35" i="1"/>
  <c r="L35" i="1"/>
  <c r="M35" i="1"/>
  <c r="J36" i="1"/>
  <c r="K36" i="1"/>
  <c r="L36" i="1"/>
  <c r="M36" i="1"/>
  <c r="J37" i="1"/>
  <c r="K37" i="1"/>
  <c r="L37" i="1"/>
  <c r="M37" i="1"/>
  <c r="J38" i="1"/>
  <c r="K38" i="1"/>
  <c r="L38" i="1"/>
  <c r="M38" i="1"/>
  <c r="J39" i="1"/>
  <c r="K39" i="1"/>
  <c r="L39" i="1"/>
  <c r="M39" i="1"/>
  <c r="J40" i="1"/>
  <c r="K40" i="1"/>
  <c r="L40" i="1"/>
  <c r="M40" i="1"/>
  <c r="J41" i="1"/>
  <c r="K41" i="1"/>
  <c r="L41" i="1"/>
  <c r="M41" i="1"/>
  <c r="J42" i="1"/>
  <c r="K42" i="1"/>
  <c r="L42" i="1"/>
  <c r="M42" i="1"/>
  <c r="J43" i="1"/>
  <c r="K43" i="1"/>
  <c r="L43" i="1"/>
  <c r="M43" i="1"/>
  <c r="J44" i="1"/>
  <c r="K44" i="1"/>
  <c r="L44" i="1"/>
  <c r="M44" i="1"/>
  <c r="J45" i="1"/>
  <c r="K45" i="1"/>
  <c r="L45" i="1"/>
  <c r="M45" i="1"/>
  <c r="J46" i="1"/>
  <c r="K46" i="1"/>
  <c r="L46" i="1"/>
  <c r="M46" i="1"/>
  <c r="J47" i="1"/>
  <c r="K47" i="1"/>
  <c r="L47" i="1"/>
  <c r="M47" i="1"/>
  <c r="J48" i="1"/>
  <c r="K48" i="1"/>
  <c r="L48" i="1"/>
  <c r="M48" i="1"/>
  <c r="J49" i="1"/>
  <c r="K49" i="1"/>
  <c r="L49" i="1"/>
  <c r="M49" i="1"/>
  <c r="K2" i="1"/>
  <c r="M2" i="1"/>
  <c r="L2" i="1"/>
  <c r="J2" i="1"/>
  <c r="D2" i="1"/>
  <c r="C2" i="1"/>
  <c r="B2" i="1"/>
  <c r="A2" i="1"/>
  <c r="BR34" i="2" l="1"/>
  <c r="BR22" i="2"/>
  <c r="BR2" i="2"/>
  <c r="BR28" i="2"/>
  <c r="BR32" i="2"/>
  <c r="BR48" i="2"/>
</calcChain>
</file>

<file path=xl/sharedStrings.xml><?xml version="1.0" encoding="utf-8"?>
<sst xmlns="http://schemas.openxmlformats.org/spreadsheetml/2006/main" count="4905" uniqueCount="1039">
  <si>
    <t>Plugin ID</t>
  </si>
  <si>
    <t>CVE</t>
  </si>
  <si>
    <t>CVSS</t>
  </si>
  <si>
    <t>Risk</t>
  </si>
  <si>
    <t>Host</t>
  </si>
  <si>
    <t>Protocol</t>
  </si>
  <si>
    <t>Port</t>
  </si>
  <si>
    <t>Name</t>
  </si>
  <si>
    <t>Synopsis</t>
  </si>
  <si>
    <t>Description</t>
  </si>
  <si>
    <t>Solution</t>
  </si>
  <si>
    <t>See Also</t>
  </si>
  <si>
    <t>Plugin Output</t>
  </si>
  <si>
    <t>Asset UUID</t>
  </si>
  <si>
    <t>Vulnerability State</t>
  </si>
  <si>
    <t>IP Address</t>
  </si>
  <si>
    <t>FQDN</t>
  </si>
  <si>
    <t>NetBios</t>
  </si>
  <si>
    <t>OS</t>
  </si>
  <si>
    <t>MAC Address</t>
  </si>
  <si>
    <t>Plugin Family</t>
  </si>
  <si>
    <t>CVSS Base Score</t>
  </si>
  <si>
    <t>CVSS Temporal Score</t>
  </si>
  <si>
    <t>CVSS Temporal Vector</t>
  </si>
  <si>
    <t>CVSS Vector</t>
  </si>
  <si>
    <t>CVSS3 Base Score</t>
  </si>
  <si>
    <t>CVSS3 Temporal Score</t>
  </si>
  <si>
    <t>CVSS3 Temporal Vector</t>
  </si>
  <si>
    <t>CVSS3 Vector</t>
  </si>
  <si>
    <t>System Type</t>
  </si>
  <si>
    <t>Host Start</t>
  </si>
  <si>
    <t>Host End</t>
  </si>
  <si>
    <t>Vulnerability Priority Rating (VPR)</t>
  </si>
  <si>
    <t>First Found</t>
  </si>
  <si>
    <t>Last Found</t>
  </si>
  <si>
    <t>Host Scan Schedule ID</t>
  </si>
  <si>
    <t>Host Scan ID</t>
  </si>
  <si>
    <t>Indexed At</t>
  </si>
  <si>
    <t>Last Authenticated Results Date</t>
  </si>
  <si>
    <t>Last Unauthenticated Results Date</t>
  </si>
  <si>
    <t>Tracked</t>
  </si>
  <si>
    <t>Risk Factor</t>
  </si>
  <si>
    <t>Severity</t>
  </si>
  <si>
    <t>Original Severity</t>
  </si>
  <si>
    <t>Modification</t>
  </si>
  <si>
    <t>Plugin Family ID</t>
  </si>
  <si>
    <t>Plugin Type</t>
  </si>
  <si>
    <t>Plugin Version</t>
  </si>
  <si>
    <t>Service</t>
  </si>
  <si>
    <t>Plugin Modification Date</t>
  </si>
  <si>
    <t>Plugin Publication Date</t>
  </si>
  <si>
    <t>Checks for Malware</t>
  </si>
  <si>
    <t>Exploit Available</t>
  </si>
  <si>
    <t>Exploited by Malware</t>
  </si>
  <si>
    <t>Exploited by Nessus</t>
  </si>
  <si>
    <t>CANVAS</t>
  </si>
  <si>
    <t>D2 Elliot</t>
  </si>
  <si>
    <t>Metasploit</t>
  </si>
  <si>
    <t>Core Exploits</t>
  </si>
  <si>
    <t>ExploitHub</t>
  </si>
  <si>
    <t>Default Account</t>
  </si>
  <si>
    <t>Patch Available</t>
  </si>
  <si>
    <t>In The News</t>
  </si>
  <si>
    <t>Unsupported By Vendor</t>
  </si>
  <si>
    <t>Last Fixed</t>
  </si>
  <si>
    <t>None</t>
  </si>
  <si>
    <t>hth2-ipflex-hth2-cube1.hilltop.systems</t>
  </si>
  <si>
    <t>549e7be8-1405-4274-a37c-56853449b396</t>
  </si>
  <si>
    <t>10.2.166.4</t>
  </si>
  <si>
    <t>A4:6C:2A:B4:73:81
A4:6C:2A:B4:73:82
A4:6C:2A:B4:73:80</t>
  </si>
  <si>
    <t>2026-04-20T14:59:05.184Z</t>
  </si>
  <si>
    <t>2026-04-20T15:05:16.326Z</t>
  </si>
  <si>
    <t>null</t>
  </si>
  <si>
    <t>template-80295fee-c9f5-bb4f-0422-3f46012f5e2bba99a3058425a248</t>
  </si>
  <si>
    <t>c4785404-6646-486d-b008-461e60f4e791</t>
  </si>
  <si>
    <t>2026-04-20T15:07:01.225Z</t>
  </si>
  <si>
    <t>2026-04-20T15:05:04Z</t>
  </si>
  <si>
    <t>N/A</t>
  </si>
  <si>
    <t>2026-04-20T15:07:01.217Z</t>
  </si>
  <si>
    <t>local</t>
  </si>
  <si>
    <t>tcp</t>
  </si>
  <si>
    <t>Cisco IOS Compliance Checks</t>
  </si>
  <si>
    <t>Compliance checks for Cisco IOS devices.</t>
  </si>
  <si>
    <t>"1.0011 - NETIOS - Do not set 'RW' for any 'snmp-server community: [PASSED]"
Specifies read-write access.
See Also:
See HTH Policies and Standards
Reference:
NIST 800-53r5|CM-7
Policy Value:
CONFIG_CHECK_NOT
item: snmp-server community .+ [Rr][Ww]
Actual Value:
snmp-server community .+ [Rr][Ww] not found in the configuration file</t>
  </si>
  <si>
    <t>Policy Compliance</t>
  </si>
  <si>
    <t>2026-04-20T15:07:01.212Z</t>
  </si>
  <si>
    <t>$Revision: 1.887 $</t>
  </si>
  <si>
    <t>2026-04-16T00:00:00Z</t>
  </si>
  <si>
    <t>2010-05-17T00:00:00Z</t>
  </si>
  <si>
    <t>"1.0019 - NETIOS - Set 'service tcp-keepalives-out: [PASSED]"
Generate keepalive packets on idle outgoing network connections.
See Also:
See HTH Policies and Standards
Reference:
NIST 800-53r5|CM-7
Policy Value:
CONFIG_CHECK
item: service tcp-keepalives-out
Actual Value:
service tcp-keepalives-out &lt;----</t>
  </si>
  <si>
    <t>"1.0023 - NETIOS - Set 'no ip source-route: [PASSED]"
Disable the handling of IP datagrams with source routing header options.
See Also:
See HTH Policies and Standards
Reference:
NIST 800-53r5|CM-7
Policy Value:
CONFIG_CHECK
item: no ip source-route
Actual Value:
no ip source-route &lt;----</t>
  </si>
  <si>
    <t>"1.0014 - NETIOS - Set the 'ip domain-name: [PASSED]"
Define a default domain name that the Cisco IOS software uses to complete unqualified hostnames
See Also:
See HTH Policies and Standards
Reference:
NIST 800-53r5|CM-6
Policy Value:
CONFIG_CHECK
item: ip domain(-| )name .+
Actual Value:
ip domain name hilltop.systems &lt;----</t>
  </si>
  <si>
    <t>2026-04-20T15:07:01.213Z</t>
  </si>
  <si>
    <t>"1.0006 - NETIOS - Enable 'service password-encryption: [PASSED]"
When password encryption is enabled, the encrypted form of the passwords is displayed when a more system:running-config command is entered.
See Also:
See HTH Policies and Standards
Reference:
NIST 800-53r5|IA-5(1) SC-28 SC-28(1)
Policy Value:
CONFIG_CHECK
item: service password-encryption
Actual Value:
service password-encryption &lt;----</t>
  </si>
  <si>
    <t>"1.0007 - NETIOS - Set 'username secret' for all local users: [PASSED]"
Username secret password type 5 and enable secret password type 5 must be migrated to the stronger password type 8 or 9.
See Also:
See HTH Policies and Standards
Reference:
NIST 800-53r5|IA-5(1) SC-28 SC-28(1)
Policy Value:
CONFIG_CHECK
item: username [^ ]+
regex: username .+ secret [^ ]+
Actual Value:
username globaladmin privilege 15 secret 5 $1$iknv$WmqdYILsqNKDVIO.mBTZ80 &lt;----</t>
  </si>
  <si>
    <t>High</t>
  </si>
  <si>
    <t>"1.0016 - NETIOS - Set 'no cdp run: [FAILED]"
Disable Cisco Discovery Protocol (CDP) service at device level.
See Also:
See HTH Policies and Standards
Reference:
NIST 800-53r5|CM-7
Policy Value:
CONFIG_CHECK
item: no cdp run
Actual Value:
no cdp run not found in the configuration file</t>
  </si>
  <si>
    <t>"1.0022 - NETIOS - Set 'service timestamps debug datetime: [PASSED]"
Configure the system to apply a time stamp to debugging messages or system logging messages
See Also:
See HTH Policies and Standards
Reference:
NIST 800-53r5|AU-3 AU-3(1) AU-7 AU-12
Policy Value:
CONFIG_CHECK
item: service timestamps debug datetime
Actual Value:
service timestamps debug datetime msec &lt;----</t>
  </si>
  <si>
    <t>"1.0008 - NETIOS - Set 'no snmp-server' to disable SNMP when unused: [PASSED]"
If not in use, disable simple network management protocol (SNMP), read and write access.
See Also:
See HTH Policies and Standards
Reference:
NIST 800-53r5|CM-7
Policy Value:
CONFIG_CHECK_NOT
item: snmp-server community .+
Actual Value:
snmp-server community .+ not found in the configuration file</t>
  </si>
  <si>
    <t>"1.0018 - NETIOS - Set 'service tcp-keepalives-in: [PASSED]"
Generate keepalive packets on idle incoming network connections.
See Also:
See HTH Policies and Standards
Reference:
NIST 800-53r5|CM-7
Policy Value:
CONFIG_CHECK
item: service tcp-keepalives-in
Actual Value:
service tcp-keepalives-in &lt;----</t>
  </si>
  <si>
    <t>"1.0005 - NETIOS - Set 'password' for 'enable secret: [PASSED]"
Enable secret password type 5 and enable secret password type 5 must be migrated to the stronger password type 8 or 9.
See Also:
See HTH Policies and Standards
Reference:
NIST 800-53r5|AC-6(2) AC-6(5)
Policy Value:
CONFIG_CHECK
item: enable secret [^ ]+
Actual Value:
enable secret 5 $1$uhIg$.BzYCWKUy20Kl3.f78xEz/ &lt;----</t>
  </si>
  <si>
    <t>2026-04-20T15:07:01.218Z</t>
  </si>
  <si>
    <t>"1.0010 - NETIOS - Unset 'public' for 'snmp-server community: [PASSED]"
An SNMP community string permits read-only access to all objects.
See Also:
See HTH Policies and Standards
Reference:
NIST 800-53r5|CM-7
Policy Value:
CONFIG_CHECK_NOT
item: snmp-server community public
Actual Value:
snmp-server community public not found in the configuration file</t>
  </si>
  <si>
    <t>"1.0012 - NETIOS - Set 'snmp-server host' when using SNMP: [FAILED]"
SNMP notifications can be sent as traps to authorized management systems.
See Also:
See HTH Policies and Standards
Reference:
NIST 800-53r5|AC-17(3) SI-7
Policy Value:
CONFIG_CHECK
item: snmp-server host 192.168.0.2 .+
Actual Value:
snmp-server host 192.168.0.2 .+ not found in the configuration file</t>
  </si>
  <si>
    <t>"1.0001 - NETIOS - Enable 'aaa new-model: [PASSED]"
This command enables the AAA access control system.
See Also:
See HTH Policies and Standards
Reference:
NIST 800-53r5|AC-2(1)
Policy Value:
CONFIG_CHECK
item: aaa new-model$
Actual Value:
aaa new-model &lt;----</t>
  </si>
  <si>
    <t>"1.0020 - NETIOS - Set 'logging console critical: [FAILED]"
Verify logging to device console is enabled and limited to a rational severity level to avoid impacting system performance and management.
See Also:
See HTH Policies and Standards
Reference:
NIST 800-53r5|AU-3 AU-3(1) AU-7 AU-12
Policy Value:
CONFIG_CHECK
item: logging console critical
Actual Value:
logging console critical not found in the configuration file</t>
  </si>
  <si>
    <t>2026-04-20T15:07:01.219Z</t>
  </si>
  <si>
    <t>"1.0021 - NETIOS - Set 'logging trap informational: [FAILED]"
Limit messages logged to the syslog servers based on severity level informational.
See Also:
See HTH Policies and Standards
Reference:
NIST 800-53r5|AU-3 AU-3(1) AU-7 AU-12
Policy Value:
CONFIG_CHECK
item: logging trap .+
regex: logging trap (debugging|7|informational|6)
Actual Value:
logging trap .+ not found in the configuration file</t>
  </si>
  <si>
    <t>2026-04-20T15:07:01.223Z</t>
  </si>
  <si>
    <t>"1.0017 - NETIOS - Set 'no service dhcp: [FAILED]"
Disable the Dynamic Host Configuration Protocol (DHCP) server and relay agent features on your router.
See Also:
See HTH Policies and Standards
Reference:
NIST 800-53r5|CM-7
Policy Value:
CONFIG_CHECK
item: no service dhcp
Actual Value:
no service dhcp not found in the configuration file</t>
  </si>
  <si>
    <t>"1.0009 - NETIOS - Unset 'private' for 'snmp-server community: [PASSED]"
An SNMP community string permits read-only access to all objects.
See Also:
See HTH Policies and Standards
Reference:
NIST 800-53r5|CM-7
Policy Value:
CONFIG_CHECK_NOT
item: snmp-server community private
Actual Value:
snmp-server community private not found in the configuration file</t>
  </si>
  <si>
    <t>"1.0013 - NETIOS - Set 'snmp-server enable traps snmp: [FAILED]"
SNMP notifications can be sent as traps to authorized management systems.
See Also:
See HTH Policies and Standards
Reference:
NIST 800-53r5|AC-17(3) SI-7
Policy Value:
CONFIG_CHECK
item: snmp-server enable traps
regex: ^Manual Review Required$
Actual Value:
snmp-server enable traps not found in the configuration file</t>
  </si>
  <si>
    <t>"1.0003 - NETIOS - Set 'login authentication for 'line vty: [PASSED]"
Authenticates users who access the router or switch remotely through the VTY port.
See Also:
See HTH Policies and Standards
Reference:
NIST 800-53r5|AC-2(1)
Policy Value:
CONFIG_CHECK
item: login authentication .+
context: line vty .+
Actual Value:
line vty 0 4
 exec-timeout 15 0
 privilege level 15
 password 7 04681B07012A551F
 logging synchronous
 login authentication VTY-Access &lt;----
 length 0
 transport input ssh
 transport output ssh</t>
  </si>
  <si>
    <t>2026-04-20T15:07:01.224Z</t>
  </si>
  <si>
    <t>"1.0024 - NETIOS - Enable 'aaa new-model: [PASSED]"
This command enables the AAA access control system.
See Also:
See HTH Policies and Standards
Reference:
NIST 800-53r5|AC-2(1)
Policy Value:
CONFIG_CHECK
item: aaa new-model[ ]*$
Actual Value:
aaa new-model &lt;----</t>
  </si>
  <si>
    <t>"1.0004 - NETIOS - Set 'transport input ssh' for 'line vty' connections: [PASSED]"
Selects the Secure Shell (SSH) protocol.
See Also:
See HTH Policies and Standards
Reference:
NIST 800-53r5|IA-2(1)
Policy Value:
CONFIG_CHECK
item: transport input ssh$
context: line vty .+
Actual Value:
line vty 0 4
 exec-timeout 15 0
 privilege level 15
 password 7 04681B07012A551F
 logging synchronous
 login authentication VTY-Access
 length 0
 transport input ssh &lt;----
 transport output ssh</t>
  </si>
  <si>
    <t>"1.0002 - NETIOS - Enable 'aaa authentication login: [PASSED]"
Sets authentication, authorization and accounting (AAA) authentication at login.
See Also:
See HTH Policies and Standards
Reference:
NIST 800-53r5|AC-2(1)
Policy Value:
CONFIG_CHECK
item: aaa authentication login
Actual Value:
aaa authentication login CON-Access group ISE-TACACS local &lt;----
aaa authentication login VTY-Access group ISE-TACACS local &lt;----</t>
  </si>
  <si>
    <t>"1.0015 - NETIOS - Set version 2 for 'ip ssh version: [PASSED]"
Specify the version of Secure Shell (SSH) to be run on a router
See Also:
See HTH Policies and Standards
Reference:
NIST 800-53r5|CM-6
Policy Value:
CONFIG_CHECK
item: ip ssh version 2
Actual Value:
ip ssh version 2 &lt;----</t>
  </si>
  <si>
    <t>wc-harwd-sa-3202-image</t>
  </si>
  <si>
    <t>ed63f2e6-8ee8-4077-bff4-4307d8534492</t>
  </si>
  <si>
    <t>10.132.172.254</t>
  </si>
  <si>
    <t>2C:F8:9B:C8:7E:09
2C:F8:9B:C8:7E:07
2C:F8:9B:C8:7E:08
2C:F8:9B:C8:7E:0E
2C:F8:9B:C8:7E:0F
2C:F8:9B:C8:7E:0C
2C:F8:9B:C8:7E:0D
2C:F8:9B:C8:7E:0A
2C:F8:9B:C8:7E:0B
2C:F8:9B:C8:7E:16
2C:F8:9B:C8:7E:17
2C:F8:9B:C8:7E:14
2C:F8:9B:C8:7E:15
2C:F8:9B:C8:7E:12
2C:F8:9B:C8:7E:13
2C:F8:9B:C8:7E:10
2C:F8:9B:C8:7E:11
2C:F8:9B:C8:7E:05
2C:F8:9B:C8:7E:06
2C:F8:9B:C8:7E:03
2C:F8:9B:C8:7E:47
2C:F8:9B:C8:7E:04
2C:F8:9B:C8:7E:01
2C:F8:9B:C8:7E:02
2C:F8:9B:C8:7E:00
2C:F8:9B:C8:7E:29
2C:F8:9B:C8:7E:2E
2C:F8:9B:C8:7E:2F
2C:F8:9B:C8:7E:2C
2C:F8:9B:C8:7E:2D
2C:F8:9B:C8:7E:2A
2C:F8:9B:C8:7E:2B
2C:F8:9B:C8:7E:30
2C:F8:9B:C8:7E:31
2C:F8:9B:C8:7E:73
2C:F8:9B:C8:7E:70
2C:F8:9B:C8:7E:34
2C:F8:9B:C8:7E:32
2C:F8:9B:C8:7E:33
2C:F8:9B:C8:7E:18
2C:F8:9B:C8:7E:19
2C:F8:9B:C8:7E:1F
2C:F8:9B:C8:7E:1D
2C:F8:9B:C8:7E:1E
2C:F8:9B:C8:7E:1B
2C:F8:9B:C8:7E:1C
2C:F8:9B:C8:7E:1A
2C:F8:9B:C8:7E:20
2C:F8:9B:C8:7E:27
2C:F8:9B:C8:7E:28
2C:F8:9B:C8:7E:25
2C:F8:9B:C8:7E:26
2C:F8:9B:C8:7E:23
2C:F8:9B:C8:7E:24
2C:F8:9B:C8:7E:21
2C:F8:9B:C8:7E:22</t>
  </si>
  <si>
    <t>2026-04-20T15:07:01.237Z</t>
  </si>
  <si>
    <t>2026-04-20T15:02:50Z</t>
  </si>
  <si>
    <t>2026-04-20T15:07:01.230Z</t>
  </si>
  <si>
    <t>"1.0018 - NETIOS - Set 'service tcp-keepalives-in: [FAILED]"
Generate keepalive packets on idle incoming network connections.
See Also:
See HTH Policies and Standards
Reference:
NIST 800-53r5|CM-7
Policy Value:
CONFIG_CHECK
item: service tcp-keepalives-in
Actual Value:
service tcp-keepalives-in not found in the configuration file</t>
  </si>
  <si>
    <t>"1.0004 - NETIOS - Set 'transport input ssh' for 'line vty' connections: [PASSED]"
Selects the Secure Shell (SSH) protocol.
See Also:
See HTH Policies and Standards
Reference:
NIST 800-53r5|IA-2(1)
Policy Value:
CONFIG_CHECK
item: transport input ssh$
context: line vty .+
Actual Value:
line vty 0 4
 transport input ssh &lt;----
line vty 5 31
 transport input ssh &lt;----</t>
  </si>
  <si>
    <t>2026-04-20T15:07:01.226Z</t>
  </si>
  <si>
    <t>2026-04-20T15:07:01.227Z</t>
  </si>
  <si>
    <t>2026-04-20T15:07:01.231Z</t>
  </si>
  <si>
    <t>2026-04-20T15:07:01.232Z</t>
  </si>
  <si>
    <t>"1.0013 - NETIOS - Set 'snmp-server enable traps snmp: [FAILED]"
SNMP notifications can be sent as traps to authorized management systems.
See Also:
See HTH Policies and Standards
Reference:
NIST 800-53r5|AC-17(3) SI-7
Policy Value:
CONFIG_CHECK
item: snmp-server enable traps
regex: ^Manual Review Required$
Actual Value:
snmp-server enable traps config</t>
  </si>
  <si>
    <t>2026-04-20T15:07:01.236Z</t>
  </si>
  <si>
    <t>"1.0002 - NETIOS - Enable 'aaa authentication login: [PASSED]"
Sets authentication, authorization and accounting (AAA) authentication at login.
See Also:
See HTH Policies and Standards
Reference:
NIST 800-53r5|AC-2(1)
Policy Value:
CONFIG_CHECK
item: aaa authentication login
Actual Value:
aaa authentication login default group HTH-ISE local-case &lt;----
aaa authentication login HTH-ISE local-case &lt;----</t>
  </si>
  <si>
    <t>"1.0019 - NETIOS - Set 'service tcp-keepalives-out: [FAILED]"
Generate keepalive packets on idle outgoing network connections.
See Also:
See HTH Policies and Standards
Reference:
NIST 800-53r5|CM-7
Policy Value:
CONFIG_CHECK
item: service tcp-keepalives-out
Actual Value:
service tcp-keepalives-out not found in the configuration file</t>
  </si>
  <si>
    <t>"1.0005 - NETIOS - Set 'password' for 'enable secret: [PASSED]"
Enable secret password type 5 and enable secret password type 5 must be migrated to the stronger password type 8 or 9.
See Also:
See HTH Policies and Standards
Reference:
NIST 800-53r5|AC-6(2) AC-6(5)
Policy Value:
CONFIG_CHECK
item: enable secret [^ ]+
Actual Value:
enable secret 9 $14$Z1NL$53wlqErEEDCDlk$td5Z8TPaISnbZwCbf7oi51kS9Y0cQas2ClrSu4JqoiY &lt;----</t>
  </si>
  <si>
    <t>2026-04-20T15:07:01.238Z</t>
  </si>
  <si>
    <t>"1.0014 - NETIOS - Set the 'ip domain-name: [PASSED]"
Define a default domain name that the Cisco IOS software uses to complete unqualified hostnames
See Also:
See HTH Policies and Standards
Reference:
NIST 800-53r5|CM-6
Policy Value:
CONFIG_CHECK
item: ip domain(-| )name .+
Actual Value:
ip domain name hilltopsecurities.global &lt;----</t>
  </si>
  <si>
    <t>"1.0003 - NETIOS - Set 'login authentication for 'line vty: [FAILED]"
Authenticates users who access the router or switch remotely through the VTY port.
See Also:
See HTH Policies and Standards
Reference:
NIST 800-53r5|AC-2(1)
Policy Value:
CONFIG_CHECK
item: login authentication .+
context: line vty .+
Actual Value:
line vty 0 4
 transport input ssh
Expected configuration: 
login authentication .+
line vty 5 31
 transport input ssh
Expected configuration: 
login authentication .+</t>
  </si>
  <si>
    <t>2026-04-20T15:07:01.239Z</t>
  </si>
  <si>
    <t>"1.0023 - NETIOS - Set 'no ip source-route: [FAILED]"
Disable the handling of IP datagrams with source routing header options.
See Also:
See HTH Policies and Standards
Reference:
NIST 800-53r5|CM-7
Policy Value:
CONFIG_CHECK
item: no ip source-route
Actual Value:
no ip source-route not found in the configuration file</t>
  </si>
  <si>
    <t>"1.0008 - NETIOS - Set 'no snmp-server' to disable SNMP when unused: [FAILED]"
If not in use, disable simple network management protocol (SNMP), read and write access.
See Also:
See HTH Policies and Standards
Reference:
NIST 800-53r5|CM-7
Policy Value:
CONFIG_CHECK_NOT
item: snmp-server community .+
Actual Value:
snmp-server community ~2fESM.!duC#Jt RO &lt;----</t>
  </si>
  <si>
    <t>2026-04-20T15:07:01.240Z</t>
  </si>
  <si>
    <t>"1.0021 - NETIOS - Set 'logging trap informational: [PASSED]"
Limit messages logged to the syslog servers based on severity level informational.
See Also:
See HTH Policies and Standards
Reference:
NIST 800-53r5|AU-3 AU-3(1) AU-7 AU-12
Policy Value:
CONFIG_CHECK
item: logging trap .+
regex: logging trap (debugging|7|informational|6)
Actual Value:
logging trap debugging &lt;----</t>
  </si>
  <si>
    <t>2026-04-20T15:07:01.241Z</t>
  </si>
  <si>
    <t>"1.0007 - NETIOS - Set 'username secret' for all local users: [PASSED]"
Username secret password type 5 and enable secret password type 5 must be migrated to the stronger password type 8 or 9.
See Also:
See HTH Policies and Standards
Reference:
NIST 800-53r5|IA-5(1) SC-28 SC-28(1)
Policy Value:
CONFIG_CHECK
item: username [^ ]+
regex: username .+ secret [^ ]+
Actual Value:
username netadmin privilege 15 secret 9 $14$B0ho$7D3BRJupYDdF7.$lJeus8bA4cujy6yUAvyfwL.JoJ.DcNgIioCnBo.C3Lw &lt;----</t>
  </si>
  <si>
    <t>2026-04-20T15:07:01.245Z</t>
  </si>
  <si>
    <t>2026-04-20T15:07:01.246Z</t>
  </si>
  <si>
    <t>2026-04-20T14:36:10.744Z</t>
  </si>
  <si>
    <t>2026-04-20T14:42:23.901Z</t>
  </si>
  <si>
    <t>dda80223-7230-4f84-93c3-cc2b0802dfe9</t>
  </si>
  <si>
    <t>2026-04-20T14:45:52.602Z</t>
  </si>
  <si>
    <t>2026-04-20T14:42:12Z</t>
  </si>
  <si>
    <t>2026-04-20T14:45:52.590Z</t>
  </si>
  <si>
    <t>"1.0069 - NETIOS - Set 'ntp source' to Loopback Interface: [FAILED]"
Use a particular source address in Network Time Protocol (NTP) packets.
See Also:
See HTH Policies and Standards
Reference:
NIST 800-53r5|AU-7 AU-8
Policy Value:
CONFIG_CHECK
item: ntp source [Ll]oopback
Actual Value:
ntp source [Ll]oopback not found in the configuration file</t>
  </si>
  <si>
    <t>2026-04-20T14:45:52.579Z</t>
  </si>
  <si>
    <t>"1.0050 - NETIOS - Set 'authentication mode md5: [FAILED]"
Configure authentication to prevent unapproved sources from introducing unauthorized or false service messages.
See Also:
See HTH Policies and Standards
Reference:
NIST 800-53r5|AC-18 AC-18(1) AC-18(3) CM-2 CM-6 CM-7 CM-7(1) CM-9
Policy Value:
CONFIG_CHECK
item: authentication mode md5
context: router eigrp .+
Actual Value:
router eigrp .+ not found in the configuration file</t>
  </si>
  <si>
    <t>"1.0034 - NETIOS - Set the 'banner-text' for 'banner motd: [FAILED]"
This MOTD banner is displayed to all terminals connected and is useful for sending messages that affect all users (such as impending system shutdowns).
See Also:
See HTH Policies and Standards
Reference:
NIST 800-53r5|AT-1 AT-2 PM-13
Policy Value:
BANNER_CHECK
item: banner motd
content: All unauthorized activity is monitored and logged.
Actual Value:
___,,___
,d8888888888b,_
_,d889'        8888b,
_,d8888'          8888888b,
_,d8889'           888888888888b,_
_,d8889'             888888889'688888, /b
_,d8889'               88888889'     `6888d 6,_
,d88886'              _d888889'           ,8d  b888b,  d\
,d889'888,             d8889'               8d   9888888Y  )
,d889'   `88,          ,d88'                 d8    `,88aa88 9
d889'      `88,        ,88'                   `8b     )88a88'
d88'         `88       ,88                   88 `8b,_ d888888
d89            88,      88                  d888b  `88`_  8888
88             88b      88                 d888888 8: (6`) 88')
88             8888b,   88                d888aaa8888, `   'Y'
88b          ,888888888888                 `d88aa `88888b ,d8
`88b       ,88886 `88888888                 d88a  d8a88` `8/
`q8b    ,88'`888  `888'"`88          d8b  d8888,` 88/ 9)_6
88  ,88"   `88  88p    `88        d88888888888bd8( Z~/
88b 8p      88 68'      `88      88888888' `688889`
`88 8        `8 8,       `88    888 `8888,   `qp'
8 8,        `q 8b       `88  88"    `888b
q8 8b        "888        `8888'
"888                     `q88b
"888'
XXXXXXXXXXXXXXXXXXXXXXXXXXXXXXXXXXXXXXXXXXXXXXXXXXXXXXXXXXXXXXXXXXXXX  
XX                         !! WARNING !!                           XX  
XX    Access to this system is restricted to authorized users.     XX  
XX   All users expressly consent to the monitoring and recording   XX  
XX       of all activity. System violations are subject to         XX  
XX    disciplinary action. Evidence of criminal activity may be    XX  
XX   reported to corporate security and local, state and federal   XX  
XX    law enforcement agencies. By using this system the user      XX  
XX            accepts these terms and conditions.                  XX  
XXXXXXXXXXXXXXXXXXXXXXXXXXXXXXXXXXXXXXXXXXXXXXXXXXXXXXXXXXXXXXXXXXXXX
Expected configuration: 
banner motd
First ERROR: ___,,___ ,d8888888888b,_ != All unauthorized</t>
  </si>
  <si>
    <t>"1.0064 - NETIOS - Set 'logging enable: [FAILED]"
Enable logging of system messages.
See Also:
See HTH Policies and Standards
Reference:
NIST 800-53r5|AU-3 AU-3(1) AU-7 AU-12
Policy Value:
CONFIG_CHECK
item: logging enable
context: archive
Actual Value:
archive not found in the configuration file</t>
  </si>
  <si>
    <t>2026-04-20T14:45:52.580Z</t>
  </si>
  <si>
    <t>"1.0048 - NETIOS - Set 'no interface tunnel: [PASSED]"
Verify no tunnel interfaces are defined.
See Also:
See HTH Policies and Standards
Reference:
NIST 800-53r5|CM-7
Policy Value:
CONFIG_CHECK_NOT
item: interface [Tt]unnel[0-9]+
Actual Value:
interface [Tt]unnel[0-9]+ not found in the configuration file</t>
  </si>
  <si>
    <t>"1.0068 - NETIOS - Set the 'ntp trusted-key: [FAILED]"
Ensure you authenticate the identity of a system to which Network Time Protocol (NTP) will synchronize
See Also:
See HTH Policies and Standards
Reference:
NIST 800-53r5|AU-7 AU-8
Policy Value:
CONFIG_CHECK
item: ntp trusted-key .+
regex: ntp trusted-key 1
Actual Value:
ntp trusted-key .+ not found in the configuration file</t>
  </si>
  <si>
    <t>"1.0037 - NETIOS - Set the 'hostname: [PASSED]"
The hostname is used in prompts and default configuration filenames.
See Also:
See HTH Policies and Standards
Reference:
NIST 800-53r5|CM-6
Policy Value:
CONFIG_CHECK_NOT
item: hostname .+
regex: hostname Router$
Actual Value:
hostname HTH2-IPFLEX-HTH2-CUBE1.hilltop.systems</t>
  </si>
  <si>
    <t>2026-04-20T14:45:52.581Z</t>
  </si>
  <si>
    <t>"1.0056 - NETIOS - Set 'aaa accounting network: [FAILED]"
Runs accounting for all network-related service requests.
See Also:
See HTH Policies and Standards
Reference:
NIST 800-53r5|AU-2 AU-3 AU-3(1) AU-7 AU-12
Policy Value:
CONFIG_CHECK
item: aaa accounting network [^ ]+
Actual Value:
aaa accounting network [^ ]+ not found in the configuration file</t>
  </si>
  <si>
    <t>"1.0065 - NETIOS - Set 'login success/failure logging: [FAILED]"
Without generating audit records that are specific to the security and mission needs of the organization, it would be difficult to establish, correlate, and investigate the events relating to an incident or identify those responsible for one.
See Also:
See HTH Policies and Standards
Reference:
NIST 800-53r5|AU-3 AU-3(1) AU-7 AU-12
Policy Value:
CONFIG_CHECK
item: login on-(failure|success) log
Actual Value:
login on-(failure|success) log not found in the configuration file</t>
  </si>
  <si>
    <t>"1.0025 - NETIOS - Enable 'aaa authentication enable default: [PASSED]"
Authenticates users who access privileged EXEC mode when they use the enable command.
See Also:
See HTH Policies and Standards
Reference:
NIST 800-53r5|AC-2(1)
Policy Value:
CONFIG_CHECK
item: aaa authentication enable default
Actual Value:
aaa authentication enable default group ISE-TACACS enable &lt;----</t>
  </si>
  <si>
    <t>"1.0042 - NETIOS - Set 'no service pad: [PASSED]"
Disable X.
See Also:
See HTH Policies and Standards
Reference:
NIST 800-53r5|CM-7
Policy Value:
CONFIG_CHECK
item: no service pad
Actual Value:
no service pad &lt;----</t>
  </si>
  <si>
    <t>2026-04-20T14:45:52.582Z</t>
  </si>
  <si>
    <t>"1.0067 - NETIOS - Set 'ntp authentication-key: [FAILED]"
Define an authentication key for Network Time Protocol (NTP).
See Also:
See HTH Policies and Standards
Reference:
NIST 800-53r5|AU-7 AU-8
Policy Value:
CONFIG_CHECK
item: ntp authentication-key
Actual Value:
ntp authentication-key not found in the configuration file</t>
  </si>
  <si>
    <t>"1.0047 - NETIOS - Set 'ip address' for 'ntp server: [FAILED]"
Use this command if you want to allow the system to synchronize the system software clock with the specified NTP server.
See Also:
See HTH Policies and Standards
Reference:
NIST 800-53r5|AU-7 AU-8
Policy Value:
CONFIG_CHECK
item: ntp server 192.168.3.1
Actual Value:
ntp server 192.168.3.1 not found in the configuration file</t>
  </si>
  <si>
    <t>"1.0032 - NETIOS - Set the 'banner-text' for 'banner exec: [FAILED]"
This command specifies a message to be displayed when an EXEC process is created (a line is activated, or an incoming connection is made to a vty).
See Also:
See HTH Policies and Standards
Reference:
NIST 800-53r5|AT-1 AT-2 PM-13
Policy Value:
BANNER_CHECK
item: banner exec
content: All unauthorized activity is monitored and logged.
Actual Value:
banner exec not found in the configuration file</t>
  </si>
  <si>
    <t>"1.0038 - NETIOS - Set 'modulus' to greater than or equal to 2048 for 'crypto key generate rsa: [FAILED]"
Use this command to generate RSA key pairs for your Cisco device.
See Also:
See HTH Policies and Standards
Reference:
NIST 800-53r5|SA-15
Policy Value:
CONFIG_CHECK
item: .*
regex: ^Manual Review Required$
Actual Value:
Using 18281 out of 262136 bytes
!
! Last configuration change at 19:39:52 UTC Tue Nov 18 2025 by hth-priv1-steague
! NVRAM config last updated at 19:39:52 UTC Tue Nov 18 2025 by hth-priv1-steague
!
version 15.4
no service pad
service tcp-keepalives-in
service tcp-keepalives-out
service timestamps debug datetime msec
service timestamps log datetime
service password-encryption
!
hostname HTH2-IPFLEX-HTH2-CUBE1.hilltop.systems
!
boot-start-marker
boot system flash:c3900-universalk9-mz.SPA.154-3.M8.bin
boot-end-marker
!
!
logging buffered 64000
logging console informational
enable secret 5 $1$uhIg$.BzYCWKUy20Kl3.f78xEz/
enable password 7 0235145A050D1673
!
aaa new-model
!
!
aaa group server tacacs+ ISE-TACACS
 server-private 10.248.240.226 key 7 02360B491F031D761E7A081701121F4F2B05262A3C31
 server-private 10.248.240.231 key 7 046B04141B245E195B2D0419160E01400D2A28292B2C
 ip tacacs source-interface GigabitEthernet0/0
!
aaa authentication login CON-Access group ISE-TACACS local
aaa authentication login VTY-Access group ISE-TACACS local
aaa authentication enable default group ISE-TACACS enable
aaa authorization config-commands
aaa authorization exec CON-Access group ISE-TACACS local 
aaa authorization exec VTY-Access group ISE-TACACS local if-authenticated 
aaa authorization commands 15 VTY-Access group ISE-TACACS local if-authenticated 
aaa authorization commands 15 CON-Access group ISE-TACACS local if-authenticated 
aaa accounting exec default start-stop group ISE-TACACS
aaa accounting commands 15 default start-stop group ISE-TACACS
!
!
!
!
!
aaa session-id common
!
!
!
!
!
!
!
!
no ip source-route
!
!
!
!
!
!
!
!
no ip bootp server
ip domain name hilltop.systems
ip cef
no ipv6 cef
!
!
multilink bundle-name authenticated
!
!
domain hilltop.syste
!
!
!
!
chat-script lte "" "AT!CALL" TIMEOUT 60 "OK"
cts logging verbose
voice-card 0
 dspfarm
 dsp services dspfarm
!
!
!
voice service voip
 ip address trusted list
  ipv4 32.47.235.26 255.255.255.255
  ipv4 32.47.235.25 255.255.255.255
  ipv4 10.0.0.0 255.0.0.0
  ipv4 12.253.20.181 255.255.255.255
  ipv4 12.253.15.101 255.255.255.255
  ipv4 12.194.129.213 255.255.255.255
  ipv4 12.253.17.197 255.255.255.255
  ipv4 12.253.20.190 255.255.255.255
  ipv4 12.253.15.110 255.255.255.255
  ipv4 12.253.17.206 255.255.255.255
  ipv4 12.194.129.222 255.255.255.255
  ipv4 12.253.24.5 255.255.255.255
  ipv4 12.253.24.37 255.255.255.255
  ipv4 12.253.24.46 255.255.255.255
 address-hiding
 mode border-element 
 allow-connections sip to sip
 no supplementary-service sip moved-temporarily
 redirect ip2ip
 fax protocol t38 version 0 ls-redundancy 0 hs-redundancy 0 fallback none
 h323
 sip
  min-se 1800 session-expires 3600
  session refresh
  error-passthru
  asserted-id pai
  early-offer forced
  midcall-signaling passthru
  privacy-policy passthru
  g729 annexb-all
  sip-profiles inbound
  sip-profiles 2 inbound
  no call service stop
!
!
voice class uri ATT sip
 host ipv4:12.253.20.181
 host ipv4:12.253.20.190
 host ipv4:12.253.24.5
 host ipv4:12.194.129.213
 host ipv4:12.253.17.197
!
voice class uri HTS sip
 host ipv4:10.192.251.31
 host ipv4:10.192.251.30
 host ipv4:10.30.243.10
 host ipv4:10.90.252.62
voice class codec 1
 codec preference 1 g711ulaw
 codec preference 2 g711alaw
 codec preference 3 g729r8
!
!
voice class sip-profiles 1
 response ANY sip-header Allow-Header modify "UPDATE," "" 
 request INVITE sip-header Remote-Party-ID modify "Remote-Party-ID: (.*&lt;)(.*&gt;)" "Remote-Party-ID: Plainscapital Bank &lt;\2" 
 request INVITE sip-header From modify "From: (.*&lt;)(.*&gt;)" "From: Plainscapital Bank &lt;\2" 
 request INVITE sip-header P-Asserted-Identity modify "P-Asserted-Identity: (.*&lt;)(.*&gt;)" "P-Asserted-Identity: Plainscapital Bank &lt;\2" 
 request REINVITE sdp-header Attribute modify "a=T38FaxFillBitRemoval:0" "" 
!
voice class sip-profiles 2
 response ANY sip-header Allow-Header modify "UPDATE," "" 
 response ANY sip-header Allow-Header modify "UPDATE," "" 
 request INVITE sip-header To copy "sip:(.*)@" u01 
 request INVITE sip-header SIP-Req-URI modify ".*@(.*)" "INVITE sip:\u01@\1" 
 request REINVITE sdp-header Attribute modify "a=T38FaxFillBitRemoval:0" "" 
!
voice class sip-profiles 150
 response ANY sip-header Allow-Header modify "UPDATE," "" 
 response ANY sip-header Allow-Header modify "UPDATE," "" 
 request ANY sip-header Diversion remove 
 response ANY sip-header Diversion remove 
 request REINVITE sdp-header Attribute modify "a=T38FaxFillBitRemoval:0" "" 
!
voice class sip-profiles 81
 response ANY sip-header Allow-Header modify "UPDATE," "" 
 request INVITE sip-header To copy "sip:(.*)@" u01 
 response ANY sip-header Diversion modify "sip:(.*)@" "sip:5128232982@" 
 request INVITE sdp-header Audio-Attribute modify "a=ptime:20" "a=ptime:30" 
 response ANY sdp-header Audio-Attribute modify "a=ptime:20" "a=ptime:30" 
 request REINVITE sdp-header Attribute modify "a=T38FaxFillBitRemoval:0" "" 
!
voice class sip-profiles 82
 request INVITE sip-header From modify "(&lt;.*:.*)(@.*&gt;)" "&lt;sip:5128232982@12.229.217.194&gt;" 
 request INVITE sip-header P-Asserted-Identity modify "(&lt;.*:.*)(@.*&gt;)" "&lt;sip:5128232982@12.229.217.194&gt;" 
 request INVITE sip-header Contact modify "(&lt;.*:.*)(@.*&gt;)" "&lt;sip:5128232982@12.229.217.194&gt;" 
!
!
voice class sip-copylist 1
 sip-header TO
!
voice class e164-pattern-map 3
  e164 9176581289
  e164 91411
  e164 9011T
  e164 9911
  e164 91[2-9]..[2-9]......
  e164 9[24589]11
  e164 9[2-9]..[2-9]......
 !
!
voice class e164-pattern-map 81
 description 
  e164 9402084119
 !
!
voice class e164-pattern-map 100
  e164 +.
  e164 [2-9]11
 !
!
voice class e164-pattern-map 200
  e164 ..........$
 !
!
voice class e164-pattern-map 201
 url flash:hts-DID-blocks.cfg
!
voice class server-group 81
 ipv4 10.192.251.31 preference 1
 ipv4 10.90.252.62 preference 2
 ipv4 10.30.243.10 preference 3
 ipv4 10.192.251.30 preference 4
 description LAN side HTS CUCM server list
!
voice class server-group 2
 ipv4 12.253.20.181 preference 1
 ipv4 12.253.15.101 preference 2
 ipv4 12.194.129.213 preference 3
 ipv4 12.253.17.197 preference 4
!
voice class sip-options-keepalive 1
 retry 2
 transport udp
!
!
!
!
voice translation-rule 1
 rule 1 /^[2-9]..[2-9]......$/ /+1\0/
 rule 2 /^[2-9]+/ /+\0/
!
voice translation-rule 2
 rule 1 /^\+\([2-9].*\)/ /011\1/
 rule 2 /^\+1\([2-9].*\)/ /\1/
 rule 3 /[2-9]11/ /\0/
!
voice translation-rule 10
 rule 1 /9/ //
!
voice translation-rule 12
 rule 1 /\(.*\)/ /24700/
!
voice translation-rule 50
 rule 1 reject /7328001522/
 rule 2 reject /6023329586/
!
!
voice translation-profile ANI-CALL-BLOCK
 translate calling 998
!
voice translation-profile DR-FAILOVER-TESTING
 translate called 999
!
voice translation-profile GLOBALIZE-EGRESS-TO-UCM
 translate calling 1
 translate called 1
!
voice translation-profile LOCALIZE-EGRESS-TO-ATT
 translate calling 2
 translate called 2
 translate redirect-called 2
!
voice translation-profile Test-BTN
 translate called 12
!
voice translation-profile callblock
 translate calling 50
!
voice translation-profile digit-strip-9
 translate called 10
!
voice translation-profile prefix-digit
 translate called 11
!
!
!
license udi pid C3900-SPE150/K9 sn FOC19142JQ8
hw-module pvdm 0/0
!
!
!
username globaladmin privilege 15 secret 5 $1$iknv$WmqdYILsqNKDVIO.mBTZ80
!
redundancy
!
!
!
!
lldp run
!
!
translation-rule 11
!
! 
!
!
!
!
!
!
!
!
interface Loopback0
 description ##CRIT## 
 no ip address
!
interface Embedded-Service-Engine0/0
 ip address 3.3.5.1 255.255.255.0
 shutdown
!
interface GigabitEthernet0/0
 description ##CRIT## 
 ip address 10.2.166.4 255.255.255.0
 duplex auto
 speed auto
 no mop enabled
!
interface GigabitEthernet0/1
 description ##CRIT## 
 ip address 12.229.217.194 255.255.255.240
 duplex full
 speed 1000
 media-type rj45
 no mop enabled
!
interface GigabitEthernet0/2
 ip address 3.3.5.7 255.255.255.0
 duplex auto
 speed auto
!
ip forward-protocol nd
!
no ip http server
no ip http secure-server
!
ip route 0.0.0.0 0.0.0.0 10.255.253.1
ip route 0.0.0.0 0.0.0.0 10.255.252.1
ip route 0.0.0.0 0.0.0.0 10.2.166.1
ip route 12.192.129.213 255.255.255.255 12.229.217.193
ip route 12.194.129.213 255.255.255.255 12.229.217.193
ip route 12.194.129.222 255.255.255.255 12.229.217.193
ip route 12.197.128.213 255.255.255.255 12.229.217.193
ip route 12.253.15.101 255.255.255.255 12.229.217.193
ip route 12.253.15.110 255.255.255.255 12.229.217.193
ip route 12.253.17.197 255.255.255.255 12.229.217.193
ip route 12.253.17.206 255.255.255.255 12.229.217.193
ip route 12.253.20.181 255.255.255.255 12.229.217.193
ip route 12.253.20.190 255.255.255.255 12.229.217.193
ip route 12.253.24.5 255.255.255.255 12.229.217.193
ip route 12.253.24.37 255.255.255.255 12.229.217.193
ip route 12.253.24.46 255.255.255.255 12.229.217.193
ip route 32.47.235.25 255.255.255.255 12.229.217.193
ip route 32.47.235.26 255.255.255.255 12.229.217.193
ip ssh rsa keypair-name SSH-KEY
ip ssh version 2
ip ssh dh min size 4096
ip ssh server algorithm mac hmac-sha1
ip ssh server algorithm encryption aes256-ctr
!
ip access-list standard CSNTC
 permit 10.248.240.78
 permit 10.248.241.117
ip access-list standard LogicMon
 permit 10.248.241.12
 permit 10.248.240.239
 permit 10.248.240.243
 permit 10.248.240.246
 permit 10.248.240.247
 permit 10.248.240.244
 permit 10.248.240.245
 permit 10.248.240.250
 permit 10.248.240.251
 permit 10.248.240.248
 permit 10.248.240.249
 permit 10.248.240.254
 permit 10.248.240.255
 permit 10.248.240.252
 permit 10.248.240.253
 deny   any log
ip access-list standard NetBrain
 permit 10.248.241.12
 permit 10.248.240.78
!
logging facility local0
logging host 10.10.77.20
!
nls resp-timeout 1
cpd cr-id 1
!
snmp-server group CSNTCSNMPv3Group v3 auth 
snmp-server group CSNTCSNMPv3Group v3 priv read CSNTCSNMPv3View 
snmp-server group NetBrainSNMPv3Group v3 priv read NetBrainSNMPv3View write NetBrainSNMPv3View 
snmp-server group LogicMonSNMPv3User-HTH-a1 v3 auth 
snmp-server group NetBrainSNMPv3User-HTH-a1 v3 auth 
snmp-server view CSNTCSNMPv3View internet included
snmp-server view NetBrainSNMPv3View internet included
snmp-server contact helpdesk@plainscapital.com
snmp-server chassis-id HTH-AUSTIN-HTH2-3945
snmp-server host 10.248.241.117 version 3 auth CSNTCSNMPv3User 
snmp-server host 10.248.240.249 version 3 auth LogicMonSNMPv3User-HTH-a1 
snmp-server host 10.248.240.250 version 3 auth LogicMonSNMPv3User-HTH-a1 
snmp-server host 10.248.240.251 version 3 auth LogicMonSNMPv3User-HTH-a1 
snmp-server host 10.248.240.252 version 3 auth LogicMonSNMPv3User-HTH-a1 
snmp-server host 10.248.240.253 version 3 auth LogicMonSNMPv3User-HTH-a1 
snmp-server host 10.248.240.254 version 3 auth LogicMonSNMPv3User-HTH-a1 
snmp-server host 10.248.240.255 version 3 auth LogicMonSNMPv3User-HTH-a1 
snmp-server host 10.248.241.12 version 3 auth LogicMonSNMPv3User-HTH-a1 
tacacs server ISE1
 timeout 10
 single-connection
!
!
!
control-plane
!
!
voice-port 0/0/0
!
voice-port 0/0/1
!
voice-port 0/0/2
!
voice-port 0/0/3
uc wsapi
 message-exchange max-failures 20
 source-address 10.2.166.4
 probing interval negative 20
 probing interval keepalive 255
 probing max-failures 5
 !
 provider xmf
  remote-url 1 http://10.192.251.30:8090/ucm_xmf
  remote-url 2 http://10.192.251.31:8090/ucm_xmf
  remote-url 3 http://10.90.252.62:8090/ucm_xmf
  remote-url 4 http://10.30.243.10:8090/ucm_xmf
 !
 !
 !
!
mgcp behavior rsip-range tgcp-only
mgcp behavior comedia-role none
mgcp behavior comedia-check-media-src disable
mgcp behavior comedia-sdp-force disable
!
mgcp profile default
!
sccp local GigabitEthernet0/0
sccp ccm 10.10.2.71 identifier 1 version 7.0 
sccp ccm 10.2.7.27 identifier 2 version 7.0 
sccp ccm 10.10.2.70 identifier 3 version 7.0 
sccp
!
sccp ccm group 1
 bind interface GigabitEthernet0/0
 associate ccm 1 priority 1
 associate ccm 2 priority 2
 associate ccm 3 priority 3
 associate profile 2 register ATTXCODE-DFW
 signaling dscp default
 audio dscp default
!
!
!
dspfarm profile 2 transcode  
 codec g729abr8
 codec g729ar8
 codec g711alaw
 codec g711ulaw
 codec g729r8
 codec pass-through
 maximum sessions 14
 associate application SCCP
!
dial-peer voice 2002 voip
 description Outbound - CUCM Facing Peer
 translation-profile outgoing prefix-digit
 shutdown
 session protocol sipv2
 voice-class codec 1  
 voice-class sip bind control source-interface GigabitEthernet0/0
 voice-class sip bind media source-interface GigabitEthernet0/0
 dtmf-relay rtp-nte
 fax-relay sg3-to-g3
 fax rate 14400 bytes 48
 fax protocol t38 version 0 ls-redundancy 0 hs-redundancy 0 fallback none
 ip qos dscp cs5 media
 ip qos dscp cs4 signaling
 no vad
!
dial-peer voice 82 voip
 description Inbound/Outbound dial-peer from/to AT&amp;T
 translation-profile incoming ANI-CALL-BLOCK
 translation-profile outgoing LOCALIZE-EGRESS-TO-ATT
 preference 1
 max-conn 200
 shutdown
 session protocol sipv2
 destination e164-pattern-map 81
 incoming uri via ATT
 voice-class codec 1  
 voice-class sip early-offer forced
 voice-class sip profiles 82
 voice-class sip options-keepalive profile 1
 voice-class sip bind control source-interface GigabitEthernet0/1
 voice-class sip bind media source-interface GigabitEthernet0/1
 dtmf-relay rtp-nte sip-kpml
 fax-relay ecm disable
 fax-relay sg3-to-g3
 fax rate 14400
 fax nsf 000000
 fax protocol t38 version 3 ls-redundancy 2 hs-redundancy 2 fallback pass-through g711ulaw
 ip qos dscp cs3 signaling
 no vad
!
dial-peer voice 81 voip
 description Inbound/Outbound dial-peer to/from UCM-HTS
 translation-profile outgoing GLOBALIZE-EGRESS-TO-UCM
 preference 2
 session protocol sipv2
 session transport udp
 session server-group 81
 destination e164-pattern-map 201
 incoming uri via HTS
 voice-class codec 1  
 voice-class sip profiles 2
 voice-class sip options-keepalive profile 1
 voice-class sip bind control source-interface GigabitEthernet0/0
 voice-class sip bind media source-interface GigabitEthernet0/0
 dtmf-relay rtp-nte sip-kpml
 fax-relay ecm disable
 fax-relay sg3-to-g3
 fax rate 14400
 fax nsf 000000
 fax protocol t38 version 3 ls-redundancy 2 hs-redundancy 2 fallback pass-through g711ulaw
 ip qos dscp cs3 signaling
 no vad
!
dial-peer voice 84 voip
 translation-profile outgoing LOCALIZE-EGRESS-TO-ATT
 preference 1
 max-conn 200
 session protocol sipv2
 session server-group 2
 destination e164-pattern-map 100
 incoming uri via ATT
 voice-class codec 1  
 voice-class sip early-offer forced
 voice-class sip profiles 82
 voice-class sip options-keepalive profile 1
 voice-class sip bind control source-interface GigabitEthernet0/1
 voice-class sip bind media source-interface GigabitEthernet0/1
 dtmf-relay rtp-nte sip-kpml
 fax-relay ecm disable
 fax-relay sg3-to-g3
 fax rate 14400
 fax nsf 000000
 fax protocol t38 version 3 ls-redundancy 2 hs-redundancy 2 fallback pass-through g711ulaw
 ip qos dscp cs3 signaling
 no vad
!
dial-peer voice 83 voip
 description Inbound/Outbound dial-peer to/from UCM-HTS
 translation-profile outgoing GLOBALIZE-EGRESS-TO-UCM
 preference 2
 shutdown
 session protocol sipv2
 session transport udp
 incoming called-number .
 incoming uri via HTS
 voice-class codec 1  
 voice-class sip profiles 2
 voice-class sip options-keepalive profile 1
 voice-class sip bind control source-interface GigabitEthernet0/0
 voice-class sip bind media source-interface GigabitEthernet0/0
 dtmf-relay rtp-nte sip-kpml
 fax-relay ecm disable
 fax-relay sg3-to-g3
 fax rate 14400
 fax nsf 000000
 fax protocol t38 version 3 ls-redundancy 2 hs-redundancy 2 fallback pass-through g711ulaw
 ip qos dscp cs3 signaling
!
!
sip-ua 
 no remote-party-id
 disable-early-media 180
 set pstn-cause 63 sip-status 503
 retry invite 2
!
!
!
gatekeeper
 shutdown
!
!
 vstack
banner motd 
                                   ___,,___
                                ,d8888888888b,_
                            _,d889'        8888b,
                        _,d8888'          8888888b,
                    _,d8889'           888888888888b,_
                _,d8889'             888888889'688888, /b
            _,d8889'               88888889'     `6888d 6,_
         ,d88886'              _d888889'           ,8d  b888b,  d\
       ,d889'888,             d8889'               8d   9888888Y  )
     ,d889'   `88,          ,d88'                 d8    `,88aa88 9
    d889'      `88,        ,88'                   `8b     )88a88'
   d88'         `88       ,88                   88 `8b,_ d888888
  d89            88,      88                  d888b  `88`_  8888
  88             88b      88                 d888888 8: (6`) 88')
  88             8888b,   88                d888aaa8888, `   'Y'
  88b          ,888888888888                 `d88aa `88888b ,d8
  `88b       ,88886 `88888888                 d88a  d8a88` `8/
   `q8b    ,88'`888  `888'"`88          d8b  d8888,` 88/ 9)_6
     88  ,88"   `88  88p    `88        d88888888888bd8( Z~/
     88b 8p      88 68'      `88      88888888' `688889`
     `88 8        `8 8,       `88    888 `8888,   `qp'
       8 8,        `q 8b       `88  88"    `888b
       q8 8b        "888        `8888'
        "888                     `q88b
                                  "888'
XXXXXXXXXXXXXXXXXXXXXXXXXXXXXXXXXXXXXXXXXXXXXXXXXXXXXXXXXXXXXXXXXXXXX  
XX                         !! WARNING !!                           XX  
XX    Access to this system is restricted to authorized users.     XX  
XX   All users expressly consent to the monitoring and recording   XX  
XX       of all activity. System violations are subject to         XX  
XX    disciplinary action. Evidence of criminal activity may be    XX  
XX   reported to corporate security and local, state and federal   XX  
XX    law enforcement agencies. By using this system the user      XX  
XX            accepts these terms and conditions.                  XX  
XXXXXXXXXXXXXXXXXXXXXXXXXXXXXXXXXXXXXXXXXXXXXXXXXXXXXXXXXXXXXXXXXXXXX
!
line con 0
line aux 0
 no exec
line 2
 no activation-character
 no exec
 transport preferred none
 transport output pad telnet rlogin lapb-ta mop udptn v120 ssh
 stopbits 1
line vty 0 4
 exec-timeout 15 0
 privilege level 15
 password 7 04681B07012A551F
 logging synchronous
 login authentication VTY-Access
 length 0
 transport input ssh
 transport output ssh
!
monitor event-trace voip ccsip api size 50
scheduler allocate 20000 1000
ntp server 10.248.232.10
ntp server 10.248.232.210
!
end</t>
  </si>
  <si>
    <t>2026-04-20T14:45:52.583Z</t>
  </si>
  <si>
    <t>"1.0071 - NETIOS - Set 'authentication key-chain: [FAILED]"
Configure the EIGRP address family key chain.
See Also:
See HTH Policies and Standards
Reference:
NIST 800-53r5|AC-18 AC-18(1) AC-18(3) CA-9 CM-2 CM-6 CM-7 CM-7(1) CM-9 SC-7 SC-7(5)
Policy Value:
CONFIG_CHECK
item: authentication key-chain .+
regex: authentication key-chain CIS-KEY-CHAIN
context: router eigrp .+
Actual Value:
router eigrp .+ not found in the configuration file</t>
  </si>
  <si>
    <t>"1.0058 - NETIOS - Set 'exec-timeout' to less than or equal to 10 minutes for 'line aux 0: [PASSED]"
If no input is detected during the interval, the EXEC facility resumes the current connection.
See Also:
See HTH Policies and Standards
Reference:
NIST 800-53r5|AC-2(5) AC-11 AC-11(1) AC-12
Policy Value:
CONFIG_CHECK_NOT
item: exec-timeout (1[1-9]|[2-9][0-9]|[0-9]{3,}) [0-9]+$
context: line aux 0
Actual Value:
line aux 0
 no exec
Expected configuration: 
exec-timeout (1[1-9]|[2-9][0-9]|[0-9]{3,}) [0-9]+$</t>
  </si>
  <si>
    <t>"1.0052 - NETIOS - Set 'login authentication for 'ip http: [FAILED]"
If account management functions are not automatically enforced, an attacker could gain privileged access to a vital element of the network security architecture
See Also:
See HTH Policies and Standards
Reference:
NIST 800-53r5|AC-2(1)
Policy Value:
CONFIG_CHECK
item: ^[ ]*ip http authentication (local|aaa_list_name)
Actual Value:
^[ ]*ip http authentication (local|aaa_list_name) not found in the configuration file</t>
  </si>
  <si>
    <t>2026-04-20T14:45:52.584Z</t>
  </si>
  <si>
    <t>"1.0045 - NETIOS - Set IP address for 'logging host: [FAILED]"
Log system messages and debug output to a remote host.
See Also:
See HTH Policies and Standards
Reference:
NIST 800-53r5|AU-6(1) AU-7 IR-4(1) SI-4 SI-4(2) SI-4(5)
Policy Value:
CONFIG_CHECK
item: logging host 192.168.2.1
Actual Value:
logging host 192.168.2.1 not found in the configuration file</t>
  </si>
  <si>
    <t>"1.0029 - NETIOS - Set 'no exec' for 'line aux 0: [PASSED]"
The 'no exec' command restricts a line to outgoing connections only.
See Also:
See HTH Policies and Standards
Reference:
NIST 800-53r5|CM-7
Policy Value:
CONFIG_CHECK
item: no exec
context: line aux .+
Actual Value:
line aux 0
 no exec &lt;----</t>
  </si>
  <si>
    <t>"1.0036 - NETIOS - Set the ACL for each 'snmp-server community: [FAILED]"
This feature specifies a list of IP addresses that are allowed to use the community string to gain access to the SNMP agent.
See Also:
See HTH Policies and Standards
Reference:
NIST 800-53r5|AC-17(3) SI-7
Policy Value:
CONFIG_CHECK
item: snmp-server community .+ .+
regex: snmp-server community .+ .+ 1$
Actual Value:
snmp-server community .+ .+ not found in the configuration file</t>
  </si>
  <si>
    <t>"1.0027 - NETIOS - Set 'http Secure-server' limit: [FAILED]"
Device management includes the ability to control the number of administrators and management sessions that manage a device.
See Also:
See HTH Policies and Standards
Reference:
NIST 800-53r5|AC-10
Policy Value:
CONFIG_CHECK
item: ip http max-connections 2
Actual Value:
ip http max-connections 2 not found in the configuration file</t>
  </si>
  <si>
    <t>2026-04-20T14:45:52.585Z</t>
  </si>
  <si>
    <t>"1.0031 - NETIOS - Set 'transport input none' for 'line aux 0: [PASSED]"
When you want to allow only an outgoing connection on a line, use the no exec command.
See Also:
See HTH Policies and Standards
Reference:
NIST 800-53r5|AC-2(5) AC-11 AC-11(1) AC-12
Policy Value:
CONFIG_CHECK_NOT
item: transport input (all|ssh|telnet)$
context: line aux .+
Actual Value:
line aux 0
 no exec
Expected configuration: 
transport input (all|ssh|telnet)$</t>
  </si>
  <si>
    <t>"1.0041 - NETIOS - Set 'no ip bootp server: [PASSED]"
Disable the Bootstrap Protocol (BOOTP) service on your routing device.
See Also:
See HTH Policies and Standards
Reference:
NIST 800-53r5|CM-7
Policy Value:
CONFIG_CHECK
item: no ip bootp server
Actual Value:
no ip bootp server &lt;----</t>
  </si>
  <si>
    <t>"1.0046 - NETIOS - Set 'logging source interface: [FAILED]"
Specify the source IPv4 or IPv6 address of system logging packets
See Also:
See HTH Policies and Standards
Reference:
NIST 800-53r5|AU-3 AU-3(1) AU-7 AU-12
Policy Value:
CONFIG_CHECK
item: logging source-interface .+
Actual Value:
logging source-interface .+ not found in the configuration file</t>
  </si>
  <si>
    <t>2026-04-20T14:45:52.586Z</t>
  </si>
  <si>
    <t>"1.0076 - NETIOS - Set 'neighbor password: [FAILED]"
Enable message digest5 (MD5) authentication on a TCP connection between two BGP peers
See Also:
See HTH Policies and Standards
Reference:
NIST 800-53r5|AC-18 AC-18(1) AC-18(3) CA-9 CM-2 CM-6 CM-7 CM-7(1) CM-9 SC-7 SC-7(5)
Policy Value:
CONFIG_CHECK
item: neighbor [^ ]+ password .+
regex: neighbor [^ ]+ password ([A-Za-z0-9\/\$]+)
context: router [Bb][Gg][Pp] .+
Actual Value:
router [Bb][Gg][Pp] .+ not found in the configuration file</t>
  </si>
  <si>
    <t>"1.0039 - NETIOS - Set 'seconds' for 'ip ssh timeout' for 60 seconds or less: [FAILED]"
The time interval that the router waits for the SSH client to respond before disconnecting an uncompleted login attempt.
See Also:
See HTH Policies and Standards
Reference:
NIST 800-53r5|AC-2(5) AC-11 AC-11(1) AC-12
Policy Value:
CONFIG_CHECK
item: ip ssh time-out
regex: ip ssh time-out ([1-9]|[1-5][0-9]|60)$
Actual Value:
ip ssh time-out not found in the configuration file</t>
  </si>
  <si>
    <t>"1.0026 - NETIOS - Set 'privilege 1' for local users: [FAILED]"
Sets the privilege level for the user.
See Also:
See HTH Policies and Standards
Reference:
NIST 800-53r5|IA-2(2) IA-5(1)
Policy Value:
CONFIG_CHECK_NOT
item: username .+ privilege ([2-9]|1[0-5])
Actual Value:
username globaladmin privilege 15 secret 5 $1$iknv$WmqdYILsqNKDVIO.mBTZ80 &lt;----</t>
  </si>
  <si>
    <t>2026-04-20T14:45:52.591Z</t>
  </si>
  <si>
    <t>"1.0033 - NETIOS - Set the 'banner-text' for 'banner login: [FAILED]"
Follow the banner login command with one or more blank spaces and a delimiting character of your choice.
See Also:
See HTH Policies and Standards
Reference:
NIST 800-53r5|AT-1 AT-2 PM-13
Policy Value:
BANNER_CHECK
item: banner login
content: All unauthorized activity is monitored and logged.
Actual Value:
banner login not found in the configuration file</t>
  </si>
  <si>
    <t>"1.0062 - NETIOS - Set 'priv' for each 'snmp-server group' using SNMPv3: [FAILED]"
Specifies authentication of a packet with encryption when using SNMPv3
See Also:
See HTH Policies and Standards
Reference:
NIST 800-53r5|IA-2(1)
Policy Value:
CONFIG_CHECK
item: snmp-server group .+ v3
regex: snmp-server group .+ v3 priv
Actual Value:
snmp-server group CSNTCSNMPv3Group v3 auth 
snmp-server group CSNTCSNMPv3Group v3 priv read CSNTCSNMPv3View &lt;----
snmp-server group NetBrainSNMPv3Group v3 priv read NetBrainSNMPv3View write NetBrainSNMPv3View &lt;----
snmp-server group LogicMonSNMPv3User-HTH-a1 v3 auth 
snmp-server group NetBrainSNMPv3User-HTH-a1 v3 auth</t>
  </si>
  <si>
    <t>"1.0072 - NETIOS - Set 'ip authentication key-chain eigrp: [FAILED]"
Specify the type of authentication used in Enhanced Interior Gateway Routing Protocol (EIGRP) packets per interface.
See Also:
See HTH Policies and Standards
Reference:
NIST 800-53r5|AC-18 AC-18(1) AC-18(3) CA-9 CM-2 CM-6 CM-7 CM-7(1) CM-9 SC-7 SC-7(5)
Policy Value:
CONFIG_CHECK
item: ip authentication key-chain eigrp
regex: ip authentication key-chain eigrp 100 CIS-KEY-CHAIN
context: interface GigabitEthernet2
Actual Value:
interface GigabitEthernet2 not found in the configuration file</t>
  </si>
  <si>
    <t>"1.0057 - NETIOS - Set 'exec-timeout' to less than or equal to 10 min on 'ip http: [FAILED]"
If no input is detected during the interval, the EXEC facility resumes the current connection.
See Also:
See HTH Policies and Standards
Reference:
NIST 800-53r5|SC-10
Policy Value:
CONFIG_CHECK
item: ^[ ]*ip http timeout-policy
regex: ^[ ]*ip http timeout-policy idle ([1-9]|[1-9][0-9]|[1-5][0-9]{2}|600) life .+ requests .+
Actual Value:
^[ ]*ip http timeout-policy not found in the configuration file</t>
  </si>
  <si>
    <t>2026-04-20T14:45:52.592Z</t>
  </si>
  <si>
    <t>"1.0035 - NETIOS - Set the 'banner-text' for 'webauth banner: [FAILED]"
This banner is displayed to all terminals connected and is useful for sending messages that affect all users (such as impending system shutdowns).
See Also:
See HTH Policies and Standards
Reference:
NIST 800-53r5|AT-1 AT-2 PM-13
Policy Value:
CONFIG_CHECK
item: ip admission auth-proxy-banner http .+
Actual Value:
ip admission auth-proxy-banner http .+ not found in the configuration file</t>
  </si>
  <si>
    <t>"1.0066 - NETIOS - Set 'ntp authenticate: [FAILED]"
Enable NTP authentication.
See Also:
See HTH Policies and Standards
Reference:
NIST 800-53r5|AU-7 AU-8
Policy Value:
CONFIG_CHECK
item: ntp authenticate
Actual Value:
ntp authenticate not found in the configuration file</t>
  </si>
  <si>
    <t>"1.0043 - NETIOS - Set 'logging enable: [PASSED]"
Enable logging of system messages.
See Also:
See HTH Policies and Standards
Reference:
NIST 800-53r5|AU-3 AU-3(1) AU-7 AU-12
Policy Value:
CONFIG_CHECK
item: logging host
Actual Value:
logging host 10.10.77.20 &lt;----</t>
  </si>
  <si>
    <t>2026-04-20T14:45:52.597Z</t>
  </si>
  <si>
    <t>"1.0073 - NETIOS - Set 'ip authentication mode eigrp: [FAILED]"
Configure authentication to prevent unapproved sources from introducing unauthorized or false routing messages.
See Also:
See HTH Policies and Standards
Reference:
NIST 800-53r5|AC-18 AC-18(1) AC-18(3) CA-9 CM-2 CM-6 CM-7 CM-7(1) CM-9 SC-7 SC-7(5)
Policy Value:
CONFIG_CHECK
item: ip authentication mode eigrp
regex: ip authentication mode eigrp 100 md5
context: interface GigabitEthernet2
Actual Value:
interface GigabitEthernet2 not found in the configuration file</t>
  </si>
  <si>
    <t>"1.0059 - NETIOS - Set 'http Secure-server' limit: [FAILED]"
Device management includes the ability to control the number of administrators and management sessions that manage a device.
See Also:
See HTH Policies and Standards
Reference:
NIST 800-53r5|AC-10
Policy Value:
CONFIG_CHECK
item: ^[ ]*ip http max-connections 2
Actual Value:
^[ ]*ip http max-connections 2 not found in the configuration file</t>
  </si>
  <si>
    <t>"1.0044 - NETIOS - Set 'buffer size' for 'logging buffered: [PASSED]"
Enable system message logging to a local buffer.
See Also:
See HTH Policies and Standards
Reference:
NIST 800-53r5|AU-3 AU-3(1) AU-7 AU-12
Policy Value:
CONFIG_CHECK
item: logging buffered
regex: logging buffered 64000( *|$)
Actual Value:
logging buffered 64000 &lt;----</t>
  </si>
  <si>
    <t>2026-04-20T14:45:52.598Z</t>
  </si>
  <si>
    <t>"1.0063 - NETIOS - Set maximum value for 'ip ssh authentication-retries: [PASSED]"
The number of retries before the SSH login session disconnects.
See Also:
See HTH Policies and Standards
Reference:
NIST 800-53r5|IA-2(1)
Policy Value:
CONFIG_CHECK_NOT
item: ip ssh authentication-retries ([4-9]|[1-9][0-9]+)$
Actual Value:
ip ssh authentication-retries ([4-9]|[1-9][0-9]+)$ not found in the configuration file</t>
  </si>
  <si>
    <t>"1.0030 - NETIOS - Set 'access-class' for 'line vty: [FAILED]"
The 'access-class' setting restricts incoming and outgoing connections between a particular vty (into a Cisco device) and the networking devices associated with addresses in an access list.
See Also:
See HTH Policies and Standards
Reference:
NIST 800-53r5|AC-17(3) SI-7
Policy Value:
CONFIG_CHECK
item: access-class 100 in
context: line vty .+
Actual Value:
line vty 0 4
 exec-timeout 15 0
 privilege level 15
 password 7 04681B07012A551F
 logging synchronous
 login authentication VTY-Access
 length 0
 transport input ssh
 transport output ssh
Expected configuration: 
access-class 100 in</t>
  </si>
  <si>
    <t>"1.0051 - NETIOS - Set 'aaa accounting system: [FAILED]"
Performs accounting for all system-level events not associated with users, such as reloads.
See Also:
See HTH Policies and Standards
Reference:
NIST 800-53r5|AU-2 AU-3 AU-3(1) AU-7 AU-12
Policy Value:
CONFIG_CHECK
item: aaa accounting system [^ ]+
Actual Value:
aaa accounting system [^ ]+ not found in the configuration file</t>
  </si>
  <si>
    <t>"1.0040 - NETIOS - Set maximum value for 'ip ssh authentication-retries: [FAILED]"
The number of retries before the SSH login session disconnects.
See Also:
See HTH Policies and Standards
Reference:
NIST 800-53r5|IA-2(1)
Policy Value:
CONFIG_CHECK
item: Authentication timeout: .* secs; Authentication retries: [1-3]
Actual Value:
Authentication timeout: .* secs; Authentication retries: [1-3] not found in the configuration file</t>
  </si>
  <si>
    <t>2026-04-20T14:45:52.599Z</t>
  </si>
  <si>
    <t>"1.0060 - NETIOS - Set the 'banner-text' for 'webauth banner: [FAILED]"
This banner is displayed to all terminals connected and is useful for sending messages that affect all users (such as impending system shutdowns).
See Also:
See HTH Policies and Standards
Reference:
NIST 800-53r5|AT-1 AT-2 PM-13
Policy Value:
CONFIG_CHECK
item: ^[ ]*ip admission auth-proxy-banner http .+
Actual Value:
^[ ]*ip admission auth-proxy-banner http .+ not found in the configuration file</t>
  </si>
  <si>
    <t>"1.0053 - NETIOS - Set 'aaa accounting' to log all privileged use commands using 'commands 15: [PASSED]"
Runs accounting for all commands at the specified privilege level.
See Also:
See HTH Policies and Standards
Reference:
NIST 800-53r5|AU-2 AU-3 AU-3(1) AU-7 AU-12
Policy Value:
CONFIG_CHECK
item: aaa accounting commands 15 [^ ]+
Actual Value:
aaa accounting commands 15 default start-stop group ISE-TACACS &lt;----</t>
  </si>
  <si>
    <t>"1.0070 - NETIOS - Set 'ip tftp source-interface' to the Loopback Interface: [FAILED]"
Specify the IP address of an interface as the source address for TFTP connections.
See Also:
See HTH Policies and Standards
Reference:
NIST 800-53r5|CA-9 SC-7 SC-7(5)
Policy Value:
CONFIG_CHECK
item: ip tftp source-interface [Ll]oopback
Actual Value:
ip tftp source-interface [Ll]oopback not found in the configuration file</t>
  </si>
  <si>
    <t>2026-04-20T14:45:52.600Z</t>
  </si>
  <si>
    <t>"1.0061 - NETIOS - Require 'aes 128' as minimum for 'snmp-server user' when using SNMPv3: [FAILED]"
Specify the use of a minimum of 128-bit AES algorithm for encryption when using SNMPv3.
See Also:
See HTH Policies and Standards
Reference:
NIST 800-53r5|IA-2(1)
Policy Value:
CONFIG_CHECK
item: Privacy Protocol: AES128
Actual Value:
Privacy Protocol: AES128 not found in the configuration file</t>
  </si>
  <si>
    <t>"1.0074 - NETIOS - Set 'authentication message-digest' for OSPF area: [FAILED]"
Enable MD5 authentication for OSPF.
See Also:
See HTH Policies and Standards
Reference:
NIST 800-53r5|AC-18 AC-18(1) AC-18(3) CA-9 CM-2 CM-6 CM-7 CM-7(1) CM-9 SC-7 SC-7(5)
Policy Value:
CONFIG_CHECK
item: area [^ ]+ authentication message-digest
context: router ospf .+
Actual Value:
router ospf .+ not found in the configuration file</t>
  </si>
  <si>
    <t>"1.0049 - NETIOS - Set 'ip verify unicast source reachable-via: [FAILED]"
Examines incoming packets to determine whether the source address is in the Forwarding Information Base (FIB) and permits the packet only if the source is reachable through the interface on which the packet was received (sometimes referred to as strict mode).
See Also:
See HTH Policies and Standards
Reference:
NIST 800-53r5|CM-7
Policy Value:
CONFIG_CHECK
item: ip verify unicast
regex: ip verify unicast source reachable-via
context: interface .+
Actual Value:
interface Loopback0
 description ##CRIT## 
 no ip address
interface Embedded-Service-Engine0/0
 ip address 3.3.5.1 255.255.255.0
 shutdown
interface GigabitEthernet0/0
 description ##CRIT## 
 ip address 10.2.166.4 255.255.255.0
 duplex auto
 speed auto
 no mop enabled
interface GigabitEthernet0/1
 description ##CRIT## 
 ip address 12.229.217.194 255.255.255.240
 duplex full
 speed 1000
 media-type rj45
 no mop enabled
interface GigabitEthernet0/2
 ip address 3.3.5.7 255.255.255.0
 duplex auto
 speed auto</t>
  </si>
  <si>
    <t>2026-04-20T14:45:52.601Z</t>
  </si>
  <si>
    <t>"1.0054 - NETIOS - Set 'aaa accounting connection: [FAILED]"
Provides information about all outbound connections made from the network access server.
See Also:
See HTH Policies and Standards
Reference:
NIST 800-53r5|AC-2(1)
Policy Value:
CONFIG_CHECK
item: aaa accounting connection [^ ]+
Actual Value:
aaa accounting connection [^ ]+ not found in the configuration file</t>
  </si>
  <si>
    <t>"1.0028 - NETIOS - Set 'exec-timeout' to less than or equal to 10 min on 'ip http: [FAILED]"
If no input is detected during the interval, the EXEC facility resumes the current connection.
See Also:
See HTH Policies and Standards
Reference:
NIST 800-53r5|AC-2(5) AC-11 AC-11(1) AC-12
Policy Value:
CONFIG_CHECK
item: ip http timeout-policy idle ([1-9]|[1-9][0-9]|[1-5][0-9]{2}|600) life .+ requests .+
Actual Value:
ip http timeout-policy idle ([1-9]|[1-9][0-9]|[1-5][0-9]{2}|600) life .+ requests .+ not found in the configuration file</t>
  </si>
  <si>
    <t>"1.0055 - NETIOS - Set 'aaa accounting exec: [PASSED]"
Runs accounting for the EXEC shell session.
See Also:
See HTH Policies and Standards
Reference:
NIST 800-53r5|AU-2 AU-3 AU-3(1) AU-7 AU-12
Policy Value:
CONFIG_CHECK
item: aaa accounting exec [^ ]+
Actual Value:
aaa accounting exec default start-stop group ISE-TACACS &lt;----</t>
  </si>
  <si>
    <t>"1.0075 - NETIOS - Set 'ip ospf message-digest-key md5: [FAILED]"
Enable Open Shortest Path First (OSPF) Message Digest 5 (MD5) authentication.
See Also:
See HTH Policies and Standards
Reference:
NIST 800-53r5|AC-18 AC-18(1) AC-18(3) CA-9 CM-2 CM-6 CM-7 CM-7(1) CM-9 SC-7 SC-7(5)
Policy Value:
CONFIG_CHECK
item: ip ospf message-digest-key 1
regex: ip ospf message-digest-key 1 md5 [0-7] ([A-Za-z0-9]+)
context: interface GigabitEthernet2
Actual Value:
interface GigabitEthernet2 not found in the configuration file</t>
  </si>
  <si>
    <t>2026-04-20T14:40:07Z</t>
  </si>
  <si>
    <t>"1.0029 - NETIOS - Set 'no exec' for 'line aux 0: [FAILED]"
The 'no exec' command restricts a line to outgoing connections only.
See Also:
See HTH Policies and Standards
Reference:
NIST 800-53r5|CM-7
Policy Value:
CONFIG_CHECK
item: no exec
context: line aux .+
Actual Value:
line aux 0
 stopbits 1
Expected configuration: 
no exec</t>
  </si>
  <si>
    <t>2026-04-20T14:45:52.605Z</t>
  </si>
  <si>
    <t>2026-04-20T14:45:52.606Z</t>
  </si>
  <si>
    <t>"1.0051 - NETIOS - Set 'aaa accounting system: [PASSED]"
Performs accounting for all system-level events not associated with users, such as reloads.
See Also:
See HTH Policies and Standards
Reference:
NIST 800-53r5|AU-2 AU-3 AU-3(1) AU-7 AU-12
Policy Value:
CONFIG_CHECK
item: aaa accounting system [^ ]+
Actual Value:
aaa accounting system default start-stop group HTH-ISE &lt;----</t>
  </si>
  <si>
    <t>2026-04-20T14:45:52.607Z</t>
  </si>
  <si>
    <t>"1.0044 - NETIOS - Set 'buffer size' for 'logging buffered: [FAILED]"
Enable system message logging to a local buffer.
See Also:
See HTH Policies and Standards
Reference:
NIST 800-53r5|AU-3 AU-3(1) AU-7 AU-12
Policy Value:
CONFIG_CHECK
item: logging buffered
regex: logging buffered 64000( *|$)
Actual Value:
logging buffered 40960</t>
  </si>
  <si>
    <t>2026-04-20T14:45:52.613Z</t>
  </si>
  <si>
    <t>"1.0052 - NETIOS - Set 'login authentication for 'ip http: [PASSED]"
If account management functions are not automatically enforced, an attacker could gain privileged access to a vital element of the network security architecture
See Also:
See HTH Policies and Standards
Reference:
NIST 800-53r5|AC-2(1)
Policy Value:
CONFIG_CHECK
item: ^[ ]*ip http authentication (local|aaa_list_name)
Actual Value:
ip http authentication local &lt;----</t>
  </si>
  <si>
    <t>"1.0041 - NETIOS - Set 'no ip bootp server: [FAILED]"
Disable the Bootstrap Protocol (BOOTP) service on your routing device.
See Also:
See HTH Policies and Standards
Reference:
NIST 800-53r5|CM-7
Policy Value:
CONFIG_CHECK
item: no ip bootp server
Actual Value:
no ip bootp server not found in the configuration file</t>
  </si>
  <si>
    <t>2026-04-20T14:45:52.625Z</t>
  </si>
  <si>
    <t>2026-04-20T14:45:52.626Z</t>
  </si>
  <si>
    <t>"1.0065 - NETIOS - Set 'login success/failure logging: [PASSED]"
Without generating audit records that are specific to the security and mission needs of the organization, it would be difficult to establish, correlate, and investigate the events relating to an incident or identify those responsible for one.
See Also:
See HTH Policies and Standards
Reference:
NIST 800-53r5|AU-3 AU-3(1) AU-7 AU-12
Policy Value:
CONFIG_CHECK
item: login on-(failure|success) log
Actual Value:
login on-failure log &lt;----
login on-success log &lt;----</t>
  </si>
  <si>
    <t>Item</t>
  </si>
  <si>
    <t>Short Description</t>
  </si>
  <si>
    <t>Audit Name</t>
  </si>
  <si>
    <t>Status</t>
  </si>
  <si>
    <t>PASSED</t>
  </si>
  <si>
    <t>Already Pass/Not Assessed</t>
  </si>
  <si>
    <t>#HTH Cisco IOS  Baseline</t>
  </si>
  <si>
    <t>&lt;check_type:"Cisco"&gt;</t>
  </si>
  <si>
    <t>&lt;if&gt;</t>
  </si>
  <si>
    <t>  &lt;condition type:"AND"&gt;</t>
  </si>
  <si>
    <t>    &lt;item&gt;</t>
  </si>
  <si>
    <t>      type                : CONFIG_CHECK</t>
  </si>
  <si>
    <t>      description         : "Check if Cisco IOS is installed"</t>
  </si>
  <si>
    <t>      item                : "^version"</t>
  </si>
  <si>
    <t>    &lt;/item&gt;</t>
  </si>
  <si>
    <t>  &lt;/condition&gt;</t>
  </si>
  <si>
    <t>  &lt;then&gt;</t>
  </si>
  <si>
    <t>      description         : "1.0001 - NETIOS - Enable 'aaa new-model"</t>
  </si>
  <si>
    <t>      info                : "This command enables the AAA access control system."</t>
  </si>
  <si>
    <t>      reference           : "NIST 800-53r5|AC-2(1)"</t>
  </si>
  <si>
    <t>      see_also            : "See HTH Policies and Standards"</t>
  </si>
  <si>
    <t>      item                : "aaa new-model$"</t>
  </si>
  <si>
    <t>      description         : "1.0002 - NETIOS - Enable 'aaa authentication login"</t>
  </si>
  <si>
    <t>      info                : "Sets authentication, authorization and accounting (AAA) authentication at login."</t>
  </si>
  <si>
    <t>      item                : "aaa authentication login"</t>
  </si>
  <si>
    <t>      description         : "1.0003 - NETIOS - Set 'login authentication for 'line vty"</t>
  </si>
  <si>
    <t>      info                : "Authenticates users who access the router or switch remotely through the VTY port."</t>
  </si>
  <si>
    <t>      context             : "line vty .+"</t>
  </si>
  <si>
    <t>      item                : "login authentication .+"</t>
  </si>
  <si>
    <t>      description         : "1.0004 - NETIOS - Set 'transport input ssh' for 'line vty' connections"</t>
  </si>
  <si>
    <t>      info                : "Selects the Secure Shell (SSH) protocol."</t>
  </si>
  <si>
    <t>      reference           : "NIST 800-53r5|IA-2(1)"</t>
  </si>
  <si>
    <t>      item                : "transport input ssh$"</t>
  </si>
  <si>
    <t>      description         : "1.0005 - NETIOS - Set 'password' for 'enable secret"</t>
  </si>
  <si>
    <t>      info                : "Enable secret password type 5 and enable secret password type 5 must be migrated to the stronger password type 8 or 9."</t>
  </si>
  <si>
    <t>      reference           : "NIST 800-53r5|AC-6(2) AC-6(5)"</t>
  </si>
  <si>
    <t>      item                : "enable secret [^ ]+"</t>
  </si>
  <si>
    <t>      description         : "1.0006 - NETIOS - Enable 'service password-encryption"</t>
  </si>
  <si>
    <t>      info                : "When password encryption is enabled, the encrypted form of the passwords is displayed when a more system:running-config command is entered."</t>
  </si>
  <si>
    <t>      reference           : "NIST 800-53r5|IA-5(1) SC-28 SC-28(1)"</t>
  </si>
  <si>
    <t>      item                : "service password-encryption"</t>
  </si>
  <si>
    <t>      description         : "1.0007 - NETIOS - Set 'username secret' for all local users"</t>
  </si>
  <si>
    <t>      info                : "Username secret password type 5 and enable secret password type 5 must be migrated to the stronger password type 8 or 9."</t>
  </si>
  <si>
    <t>      item                : "username [^ ]+"</t>
  </si>
  <si>
    <t>      regex               : "username .+ secret [^ ]+"</t>
  </si>
  <si>
    <t>      type                : CONFIG_CHECK_NOT</t>
  </si>
  <si>
    <t>      description         : "1.0008 - NETIOS - Set 'no snmp-server' to disable SNMP when unused"</t>
  </si>
  <si>
    <t>      info                : "If not in use, disable simple network management protocol (SNMP), read and write access."</t>
  </si>
  <si>
    <t>      reference           : "NIST 800-53r5|CM-7"</t>
  </si>
  <si>
    <t>      item                : "snmp-server community .+"</t>
  </si>
  <si>
    <t>      description         : "1.0009 - NETIOS - Unset 'private' for 'snmp-server community"</t>
  </si>
  <si>
    <t>      info                : "An SNMP community string permits read-only access to all objects."</t>
  </si>
  <si>
    <t>      item                : "snmp-server community private"</t>
  </si>
  <si>
    <t>      description         : "1.0010 - NETIOS - Unset 'public' for 'snmp-server community"</t>
  </si>
  <si>
    <t>      item                : "snmp-server community public"</t>
  </si>
  <si>
    <t>      description         : "1.0011 - NETIOS - Do not set 'RW' for any 'snmp-server community"</t>
  </si>
  <si>
    <t>      info                : "Specifies read-write access."</t>
  </si>
  <si>
    <t>      item                : "snmp-server community .+ [Rr][Ww]"</t>
  </si>
  <si>
    <t>      description         : "1.0012 - NETIOS - Set 'snmp-server host' when using SNMP"</t>
  </si>
  <si>
    <t>      info                : "SNMP notifications can be sent as traps to authorized management systems."</t>
  </si>
  <si>
    <t>      reference           : "NIST 800-53r5|AC-17(3) SI-7"</t>
  </si>
  <si>
    <t>      item                : "snmp-server host 192\.168\.0\.2 .+"</t>
  </si>
  <si>
    <t>      description         : "1.0013 - NETIOS - Set 'snmp-server enable traps snmp"</t>
  </si>
  <si>
    <t>      item                : "snmp-server enable traps"</t>
  </si>
  <si>
    <t>      regex               : "^Manual Review Required$"</t>
  </si>
  <si>
    <t>      description         : "1.0014 - NETIOS - Set the 'ip domain-name"</t>
  </si>
  <si>
    <t>      info                : "Define a default domain name that the Cisco IOS software uses to complete unqualified hostnames"</t>
  </si>
  <si>
    <t>      reference           : "NIST 800-53r5|CM-6"</t>
  </si>
  <si>
    <t>      item                : "ip domain(-| )name .+"</t>
  </si>
  <si>
    <t>      description         : "1.0015 - NETIOS - Set version 2 for 'ip ssh version"</t>
  </si>
  <si>
    <t>      info                : "Specify the version of Secure Shell (SSH) to be run on a router"</t>
  </si>
  <si>
    <t>      item                : "ip ssh version 2"</t>
  </si>
  <si>
    <t>      description         : "1.0016 - NETIOS - Set 'no cdp run"</t>
  </si>
  <si>
    <t>      info                : "Disable Cisco Discovery Protocol (CDP) service at device level."</t>
  </si>
  <si>
    <t>      item                : "no cdp run"</t>
  </si>
  <si>
    <t>      description         : "1.0017 - NETIOS - Set 'no service dhcp"</t>
  </si>
  <si>
    <t>      info                : "Disable the Dynamic Host Configuration Protocol (DHCP) server and relay agent features on your router."</t>
  </si>
  <si>
    <t>      item                : "no service dhcp"</t>
  </si>
  <si>
    <t>      description         : "1.0018 - NETIOS - Set 'service tcp-keepalives-in"</t>
  </si>
  <si>
    <t>      info                : "Generate keepalive packets on idle incoming network connections."</t>
  </si>
  <si>
    <t>      item                : "service tcp-keepalives-in"</t>
  </si>
  <si>
    <t>      description         : "1.0019 - NETIOS - Set 'service tcp-keepalives-out"</t>
  </si>
  <si>
    <t>      info                : "Generate keepalive packets on idle outgoing network connections."</t>
  </si>
  <si>
    <t>      item                : "service tcp-keepalives-out"</t>
  </si>
  <si>
    <t>      description         : "1.0020 - NETIOS - Set 'logging console critical"</t>
  </si>
  <si>
    <t>      info                : "Verify logging to device console is enabled and limited to a rational severity level to avoid impacting system performance and management."</t>
  </si>
  <si>
    <t>      reference           : "NIST 800-53r5|AU-3 AU-3(1) AU-7 AU-12"</t>
  </si>
  <si>
    <t>      item                : "logging console critical"</t>
  </si>
  <si>
    <t>      description         : "1.0021 - NETIOS - Set 'logging trap informational"</t>
  </si>
  <si>
    <t>      info                : "Limit messages logged to the syslog servers based on severity level informational."</t>
  </si>
  <si>
    <t>      item                : "logging trap .+"</t>
  </si>
  <si>
    <t>      regex               : "logging trap (debugging|7|informational|6)"</t>
  </si>
  <si>
    <t>      description         : "1.0022 - NETIOS - Set 'service timestamps debug datetime"</t>
  </si>
  <si>
    <t>      info                : "Configure the system to apply a time stamp to debugging messages or system logging messages"</t>
  </si>
  <si>
    <t>      item                : "service timestamps debug datetime"</t>
  </si>
  <si>
    <t>      description         : "1.0023 - NETIOS - Set 'no ip source-route"</t>
  </si>
  <si>
    <t>      info                : "Disable the handling of IP datagrams with source routing header options."</t>
  </si>
  <si>
    <t>      item                : "no ip source-route"</t>
  </si>
  <si>
    <t>      description         : "1.0024 - NETIOS - Enable 'aaa new-model"</t>
  </si>
  <si>
    <t>      item                : "aaa new-model[ ]*$"</t>
  </si>
  <si>
    <t>#     &lt;item&gt;</t>
  </si>
  <si>
    <t>#       type                : CONFIG_CHECK</t>
  </si>
  <si>
    <t>#       description         : "1.0025 - NETIOS - Enable 'aaa authentication enable default"</t>
  </si>
  <si>
    <t>#       info                : "Authenticates users who access privileged EXEC mode when they use the enable command."</t>
  </si>
  <si>
    <t>#       reference           : "NIST 800-53r5|AC-2(1)"</t>
  </si>
  <si>
    <t>#       see_also            : "See HTH Policies and Standards"</t>
  </si>
  <si>
    <t>#       item                : "aaa authentication enable default"</t>
  </si>
  <si>
    <t>#     &lt;/item&gt;</t>
  </si>
  <si>
    <t>#       type                : CONFIG_CHECK_NOT</t>
  </si>
  <si>
    <t>#       description         : "1.0026 - NETIOS - Set 'privilege 1' for local users"</t>
  </si>
  <si>
    <t>#       info                : "Sets the privilege level for the user."</t>
  </si>
  <si>
    <t>#       reference           : "NIST 800-53r5|IA-2(2) IA-5(1)"</t>
  </si>
  <si>
    <t>#       item                : "username .+ privilege ([2-9]|1[0-5])"</t>
  </si>
  <si>
    <t>#       description         : "1.0027 - NETIOS - Set 'http Secure-server' limit"</t>
  </si>
  <si>
    <t>#       info                : "Device management includes the ability to control the number of administrators and management sessions that manage a device."</t>
  </si>
  <si>
    <t>#       reference           : "NIST 800-53r5|AC-10"</t>
  </si>
  <si>
    <t>#       item                : "ip http max-connections 2"</t>
  </si>
  <si>
    <t>#       description         : "1.0028 - NETIOS - Set 'exec-timeout' to less than or equal to 10 min on 'ip http"</t>
  </si>
  <si>
    <t>#       info                : "If no input is detected during the interval, the EXEC facility resumes the current connection."</t>
  </si>
  <si>
    <t>#       reference           : "NIST 800-53r5|AC-2(5) AC-11 AC-11(1) AC-12"</t>
  </si>
  <si>
    <t>#       item                : "ip http timeout-policy idle ([1-9]|[1-9][0-9]|[1-5][0-9]{2}|600) life .+ requests .+"</t>
  </si>
  <si>
    <t>#       description         : "1.0029 - NETIOS - Set 'no exec' for 'line aux 0"</t>
  </si>
  <si>
    <t>#       info                : "The 'no exec' command restricts a line to outgoing connections only."</t>
  </si>
  <si>
    <t>#       reference           : "NIST 800-53r5|CM-7"</t>
  </si>
  <si>
    <t>#       context             : "line aux .+"</t>
  </si>
  <si>
    <t>#       item                : "no exec"</t>
  </si>
  <si>
    <t>#       description         : "1.0030 - NETIOS - Set 'access-class' for 'line vty"</t>
  </si>
  <si>
    <t>#       info                : "The 'access-class' setting restricts incoming and outgoing connections between a particular vty (into a Cisco device) and the networking devices associated with addresses in an access list."</t>
  </si>
  <si>
    <t>#       reference           : "NIST 800-53r5|AC-17(3) SI-7"</t>
  </si>
  <si>
    <t>#       context             : "line vty .+"</t>
  </si>
  <si>
    <t>#       item                : "access-class 100 in"</t>
  </si>
  <si>
    <t>#       description         : "1.0031 - NETIOS - Set 'transport input none' for 'line aux 0"</t>
  </si>
  <si>
    <t>#       info                : "When you want to allow only an outgoing connection on a line, use the no exec command."</t>
  </si>
  <si>
    <t>#       item                : "transport input (all|ssh|telnet)$"</t>
  </si>
  <si>
    <t>#       type                : BANNER_CHECK</t>
  </si>
  <si>
    <t>#       description         : "1.0032 - NETIOS - Set the 'banner-text' for 'banner exec"</t>
  </si>
  <si>
    <t>#       info                : "This command specifies a message to be displayed when an EXEC process is created (a line is activated, or an incoming connection is made to a vty)."</t>
  </si>
  <si>
    <t>#       reference           : "NIST 800-53r5|AT-1 AT-2 PM-13"</t>
  </si>
  <si>
    <t>#       item                : "banner exec"</t>
  </si>
  <si>
    <t>#       content             : "All unauthorized activity is monitored and logged."</t>
  </si>
  <si>
    <t>#       description         : "1.0033 - NETIOS - Set the 'banner-text' for 'banner login"</t>
  </si>
  <si>
    <t>#       info                : "Follow the banner login command with one or more blank spaces and a delimiting character of your choice."</t>
  </si>
  <si>
    <t>#       item                : "banner login"</t>
  </si>
  <si>
    <t>#       description         : "1.0034 - NETIOS - Set the 'banner-text' for 'banner motd"</t>
  </si>
  <si>
    <t>#       info                : "This MOTD banner is displayed to all terminals connected and is useful for sending messages that affect all users (such as impending system shutdowns)."</t>
  </si>
  <si>
    <t>#       item                : "banner motd"</t>
  </si>
  <si>
    <t>#       description         : "1.0035 - NETIOS - Set the 'banner-text' for 'webauth banner"</t>
  </si>
  <si>
    <t>#       info                : "This banner is displayed to all terminals connected and is useful for sending messages that affect all users (such as impending system shutdowns)."</t>
  </si>
  <si>
    <t>#       item                : "ip admission auth-proxy-banner http .+"</t>
  </si>
  <si>
    <t>#       description         : "1.0036 - NETIOS - Set the ACL for each 'snmp-server community"</t>
  </si>
  <si>
    <t>#       info                : "This feature specifies a list of IP addresses that are allowed to use the community string to gain access to the SNMP agent."</t>
  </si>
  <si>
    <t>#       item                : "snmp-server community .+ .+"</t>
  </si>
  <si>
    <t>#       regex               : "snmp-server community .+ .+ 1$"</t>
  </si>
  <si>
    <t>#       description         : "1.0037 - NETIOS - Set the 'hostname"</t>
  </si>
  <si>
    <t>#       info                : "The hostname is used in prompts and default configuration filenames."</t>
  </si>
  <si>
    <t>#       reference           : "NIST 800-53r5|CM-6"</t>
  </si>
  <si>
    <t>#       item                : "hostname .+"</t>
  </si>
  <si>
    <t>#       regex               : "hostname Router$"</t>
  </si>
  <si>
    <t>#       description         : "1.0038 - NETIOS - Set 'modulus' to greater than or equal to 2048 for 'crypto key generate rsa"</t>
  </si>
  <si>
    <t>#       info                : "Use this command to generate RSA key pairs for your Cisco device."</t>
  </si>
  <si>
    <t>#       reference           : "NIST 800-53r5|SA-15"</t>
  </si>
  <si>
    <t>#       item                : ".*"</t>
  </si>
  <si>
    <t>#       regex               : "^Manual Review Required$"</t>
  </si>
  <si>
    <t>#       description         : "1.0039 - NETIOS - Set 'seconds' for 'ip ssh timeout' for 60 seconds or less"</t>
  </si>
  <si>
    <t>#       info                : "The time interval that the router waits for the SSH client to respond before disconnecting an uncompleted login attempt."</t>
  </si>
  <si>
    <t>#       item                : "ip ssh time-out"</t>
  </si>
  <si>
    <t>#       regex               : "ip ssh time-out ([1-9]|[1-5][0-9]|60)$"</t>
  </si>
  <si>
    <t>#       description         : "1.0040 - NETIOS - Set maximum value for 'ip ssh authentication-retries"</t>
  </si>
  <si>
    <t>#       info                : "The number of retries before the SSH login session disconnects."</t>
  </si>
  <si>
    <t>#       reference           : "NIST 800-53r5|IA-2(1)"</t>
  </si>
  <si>
    <t>#       item                : "Authentication timeout: .* secs; Authentication retries: [1-3]"</t>
  </si>
  <si>
    <t>#       description         : "1.0041 - NETIOS - Set 'no ip bootp server"</t>
  </si>
  <si>
    <t>#       info                : "Disable the Bootstrap Protocol (BOOTP) service on your routing device."</t>
  </si>
  <si>
    <t>#       item                : "no ip bootp server"</t>
  </si>
  <si>
    <t>#       description         : "1.0042 - NETIOS - Set 'no service pad"</t>
  </si>
  <si>
    <t>#       info                : "Disable X."</t>
  </si>
  <si>
    <t>#       item                : "no service pad"</t>
  </si>
  <si>
    <t>#       description         : "1.0043 - NETIOS - Set 'logging enable"</t>
  </si>
  <si>
    <t>#       info                : "Enable logging of system messages."</t>
  </si>
  <si>
    <t>#       reference           : "NIST 800-53r5|AU-3 AU-3(1) AU-7 AU-12"</t>
  </si>
  <si>
    <t>#       item                : "logging host"</t>
  </si>
  <si>
    <t>#       description         : "1.0044 - NETIOS - Set 'buffer size' for 'logging buffered"</t>
  </si>
  <si>
    <t>#       info                : "Enable system message logging to a local buffer."</t>
  </si>
  <si>
    <t>#       item                : "logging buffered"</t>
  </si>
  <si>
    <t>#       regex               : "logging buffered 64000( *|$)"</t>
  </si>
  <si>
    <t>#       description         : "1.0045 - NETIOS - Set IP address for 'logging host"</t>
  </si>
  <si>
    <t>#       info                : "Log system messages and debug output to a remote host."</t>
  </si>
  <si>
    <t>#       reference           : "NIST 800-53r5|AU-6(1) AU-7 IR-4(1) SI-4 SI-4(2) SI-4(5)"</t>
  </si>
  <si>
    <t>#       item                : "logging host 192\.168\.2\.1"</t>
  </si>
  <si>
    <t>#       description         : "1.0046 - NETIOS - Set 'logging source interface"</t>
  </si>
  <si>
    <t>#       info                : "Specify the source IPv4 or IPv6 address of system logging packets"</t>
  </si>
  <si>
    <t>#       item                : "logging source-interface .+"</t>
  </si>
  <si>
    <t>#       description         : "1.0047 - NETIOS - Set 'ip address' for 'ntp server"</t>
  </si>
  <si>
    <t>#       info                : "Use this command if you want to allow the system to synchronize the system software clock with the specified NTP server."</t>
  </si>
  <si>
    <t>#       reference           : "NIST 800-53r5|AU-7 AU-8"</t>
  </si>
  <si>
    <t>#       item                : "ntp server 192\.168\.3\.1"</t>
  </si>
  <si>
    <t>#       description         : "1.0048 - NETIOS - Set 'no interface tunnel"</t>
  </si>
  <si>
    <t>#       info                : "Verify no tunnel interfaces are defined."</t>
  </si>
  <si>
    <t>#       item                : "interface [Tt]unnel[0-9]+"</t>
  </si>
  <si>
    <t>#       description         : "1.0049 - NETIOS - Set 'ip verify unicast source reachable-via"</t>
  </si>
  <si>
    <t>#       info                : "Examines incoming packets to determine whether the source address is in the Forwarding Information Base (FIB) and permits the packet only if the source is reachable through the interface on which the packet was received (sometimes referred to as strict mode)."</t>
  </si>
  <si>
    <t>#       context             : "interface .+"</t>
  </si>
  <si>
    <t>#       item                : "ip verify unicast"</t>
  </si>
  <si>
    <t>#       regex               : "ip verify unicast source reachable-via"</t>
  </si>
  <si>
    <t>#       description         : "1.0050 - NETIOS - Set 'authentication mode md5"</t>
  </si>
  <si>
    <t>#       info                : "Configure authentication to prevent unapproved sources from introducing unauthorized or false service messages."</t>
  </si>
  <si>
    <t>#       reference           : "NIST 800-53r5|AC-18 AC-18(1) AC-18(3) CM-2 CM-6 CM-7 CM-7(1) CM-9"</t>
  </si>
  <si>
    <t>#       context             : "router eigrp .+"</t>
  </si>
  <si>
    <t>#       item                : "authentication mode md5"</t>
  </si>
  <si>
    <t>#       description         : "1.0051 - NETIOS - Set 'aaa accounting system"</t>
  </si>
  <si>
    <t>#       info                : "Performs accounting for all system-level events not associated with users, such as reloads."</t>
  </si>
  <si>
    <t>#       reference           : "NIST 800-53r5|AU-2 AU-3 AU-3(1) AU-7 AU-12"</t>
  </si>
  <si>
    <t>#       item                : "aaa accounting system [^ ]+"</t>
  </si>
  <si>
    <t>#       description         : "1.0052 - NETIOS - Set 'login authentication for 'ip http"</t>
  </si>
  <si>
    <t>#       info                : "If account management functions are not automatically enforced, an attacker could gain privileged access to a vital element of the network security architecture"</t>
  </si>
  <si>
    <t>#       item                : "^[ ]*ip http authentication (local|aaa_list_name)"</t>
  </si>
  <si>
    <t>#       description         : "1.0053 - NETIOS - Set 'aaa accounting' to log all privileged use commands using 'commands 15"</t>
  </si>
  <si>
    <t>#       info                : "Runs accounting for all commands at the specified privilege level."</t>
  </si>
  <si>
    <t>#       item                : "aaa accounting commands 15 [^ ]+"</t>
  </si>
  <si>
    <t>#       description         : "1.0054 - NETIOS - Set 'aaa accounting connection"</t>
  </si>
  <si>
    <t>#       info                : "Provides information about all outbound connections made from the network access server."</t>
  </si>
  <si>
    <t>#       item                : "aaa accounting connection [^ ]+"</t>
  </si>
  <si>
    <t>#       description         : "1.0055 - NETIOS - Set 'aaa accounting exec"</t>
  </si>
  <si>
    <t>#       info                : "Runs accounting for the EXEC shell session."</t>
  </si>
  <si>
    <t>#       item                : "aaa accounting exec [^ ]+"</t>
  </si>
  <si>
    <t>#       description         : "1.0056 - NETIOS - Set 'aaa accounting network"</t>
  </si>
  <si>
    <t>#       info                : "Runs accounting for all network-related service requests."</t>
  </si>
  <si>
    <t>#       item                : "aaa accounting network [^ ]+"</t>
  </si>
  <si>
    <t>#       description         : "1.0057 - NETIOS - Set 'exec-timeout' to less than or equal to 10 min on 'ip http"</t>
  </si>
  <si>
    <t>#       reference           : "NIST 800-53r5|SC-10"</t>
  </si>
  <si>
    <t>#       item                : "^[ ]*ip http timeout-policy"</t>
  </si>
  <si>
    <t>#       regex               : "^[ ]*ip http timeout-policy idle ([1-9]|[1-9][0-9]|[1-5][0-9]{2}|600) life .+ requests .+"</t>
  </si>
  <si>
    <t>#       description         : "1.0058 - NETIOS - Set 'exec-timeout' to less than or equal to 10 minutes for 'line aux 0"</t>
  </si>
  <si>
    <t>#       context             : "line aux 0"</t>
  </si>
  <si>
    <t>#       item                : "exec-timeout (1[1-9]|[2-9][0-9]|[0-9]{3,}) [0-9]+$"</t>
  </si>
  <si>
    <t>#       description         : "1.0059 - NETIOS - Set 'http Secure-server' limit"</t>
  </si>
  <si>
    <t>#       item                : "^[ ]*ip http max-connections 2"</t>
  </si>
  <si>
    <t>#       description         : "1.0060 - NETIOS - Set the 'banner-text' for 'webauth banner"</t>
  </si>
  <si>
    <t>#       item                : "^[ ]*ip admission auth-proxy-banner http .+"</t>
  </si>
  <si>
    <t>#       description         : "1.0061 - NETIOS - Require 'aes 128' as minimum for 'snmp-server user' when using SNMPv3"</t>
  </si>
  <si>
    <t>#       info                : "Specify the use of a minimum of 128-bit AES algorithm for encryption when using SNMPv3."</t>
  </si>
  <si>
    <t>#       item                : "Privacy Protocol: AES128"</t>
  </si>
  <si>
    <t>#       description         : "1.0062 - NETIOS - Set 'priv' for each 'snmp-server group' using SNMPv3"</t>
  </si>
  <si>
    <t>#       info                : "Specifies authentication of a packet with encryption when using SNMPv3"</t>
  </si>
  <si>
    <t>#       item                : "snmp-server group .+ v3"</t>
  </si>
  <si>
    <t>#       regex               : "snmp-server group .+ v3 priv"</t>
  </si>
  <si>
    <t>#       description         : "1.0063 - NETIOS - Set maximum value for 'ip ssh authentication-retries"</t>
  </si>
  <si>
    <t>#       item                : "ip ssh authentication-retries ([4-9]|[1-9][0-9]+)$"</t>
  </si>
  <si>
    <t>#       description         : "1.0064 - NETIOS - Set 'logging enable"</t>
  </si>
  <si>
    <t>#       context             : "archive"</t>
  </si>
  <si>
    <t>#       item                : "logging enable"</t>
  </si>
  <si>
    <t>#       description         : "1.0065 - NETIOS - Set 'login success/failure logging"</t>
  </si>
  <si>
    <t>#       info                : "Without generating audit records that are specific to the security and mission needs of the organization, it would be difficult to establish, correlate, and investigate the events relating to an incident or identify those responsible for one."</t>
  </si>
  <si>
    <t>#       item                : "login on-(failure|success) log"</t>
  </si>
  <si>
    <t>#       description         : "1.0066 - NETIOS - Set 'ntp authenticate"</t>
  </si>
  <si>
    <t>#       info                : "Enable NTP authentication."</t>
  </si>
  <si>
    <t>#       item                : "ntp authenticate"</t>
  </si>
  <si>
    <t>#       description         : "1.0067 - NETIOS - Set 'ntp authentication-key"</t>
  </si>
  <si>
    <t>#       info                : "Define an authentication key for Network Time Protocol (NTP)."</t>
  </si>
  <si>
    <t>#       item                : "ntp authentication-key"</t>
  </si>
  <si>
    <t>#       description         : "1.0068 - NETIOS - Set the 'ntp trusted-key"</t>
  </si>
  <si>
    <t>#       info                : "Ensure you authenticate the identity of a system to which Network Time Protocol (NTP) will synchronize"</t>
  </si>
  <si>
    <t>#       item                : "ntp trusted-key .+"</t>
  </si>
  <si>
    <t>#       regex               : "ntp trusted-key 1"</t>
  </si>
  <si>
    <t>#       description         : "1.0069 - NETIOS - Set 'ntp source' to Loopback Interface"</t>
  </si>
  <si>
    <t>#       info                : "Use a particular source address in Network Time Protocol (NTP) packets."</t>
  </si>
  <si>
    <t>#       item                : "ntp source [Ll]oopback"</t>
  </si>
  <si>
    <t>#       description         : "1.0070 - NETIOS - Set 'ip tftp source-interface' to the Loopback Interface"</t>
  </si>
  <si>
    <t>#       info                : "Specify the IP address of an interface as the source address for TFTP connections."</t>
  </si>
  <si>
    <t>#       reference           : "NIST 800-53r5|CA-9 SC-7 SC-7(5)"</t>
  </si>
  <si>
    <t>#       item                : "ip tftp source-interface [Ll]oopback"</t>
  </si>
  <si>
    <t>#       description         : "1.0071 - NETIOS - Set 'authentication key-chain"</t>
  </si>
  <si>
    <t>#       info                : "Configure the EIGRP address family key chain."</t>
  </si>
  <si>
    <t>#       reference           : "NIST 800-53r5|AC-18 AC-18(1) AC-18(3) CA-9 CM-2 CM-6 CM-7 CM-7(1) CM-9 SC-7 SC-7(5)"</t>
  </si>
  <si>
    <t>#       item                : "authentication key-chain .+"</t>
  </si>
  <si>
    <t>#       regex               : "authentication key-chain CIS-KEY-CHAIN"</t>
  </si>
  <si>
    <t>#       description         : "1.0072 - NETIOS - Set 'ip authentication key-chain eigrp"</t>
  </si>
  <si>
    <t>#       info                : "Specify the type of authentication used in Enhanced Interior Gateway Routing Protocol (EIGRP) packets per interface."</t>
  </si>
  <si>
    <t>#       context             : "interface GigabitEthernet2"</t>
  </si>
  <si>
    <t>#       item                : "ip authentication key-chain eigrp"</t>
  </si>
  <si>
    <t>#       regex               : "ip authentication key-chain eigrp 100 CIS-KEY-CHAIN"</t>
  </si>
  <si>
    <t>#       description         : "1.0073 - NETIOS - Set 'ip authentication mode eigrp"</t>
  </si>
  <si>
    <t>#       info                : "Configure authentication to prevent unapproved sources from introducing unauthorized or false routing messages."</t>
  </si>
  <si>
    <t>#       item                : "ip authentication mode eigrp"</t>
  </si>
  <si>
    <t>#       regex               : "ip authentication mode eigrp 100 md5"</t>
  </si>
  <si>
    <t>#       description         : "1.0074 - NETIOS - Set 'authentication message-digest' for OSPF area"</t>
  </si>
  <si>
    <t>#       info                : "Enable MD5 authentication for OSPF."</t>
  </si>
  <si>
    <t>#       context             : "router ospf .+"</t>
  </si>
  <si>
    <t>#       item                : "area [^ ]+ authentication message-digest"</t>
  </si>
  <si>
    <t>#       description         : "1.0075 - NETIOS - Set 'ip ospf message-digest-key md5"</t>
  </si>
  <si>
    <t>#       info                : "Enable Open Shortest Path First (OSPF) Message Digest 5 (MD5) authentication."</t>
  </si>
  <si>
    <t>#       item                : "ip ospf message-digest-key 1"</t>
  </si>
  <si>
    <t>#       regex               : "ip ospf message-digest-key 1 md5 [0-7] ([A-Za-z0-9]+)"</t>
  </si>
  <si>
    <t>#       description         : "1.0076 - NETIOS - Set 'neighbor password"</t>
  </si>
  <si>
    <t>#       info                : "Enable message digest5 (MD5) authentication on a TCP connection between two BGP peers"</t>
  </si>
  <si>
    <t>#       context             : "router [Bb][Gg][Pp] .+"</t>
  </si>
  <si>
    <t>#       item                : "neighbor [^ ]+ password .+"</t>
  </si>
  <si>
    <t>#       regex               : "neighbor [^ ]+ password ([A-Za-z0-9\\/\\$]+)"</t>
  </si>
  <si>
    <t>  &lt;/then&gt;</t>
  </si>
  <si>
    <t>  &lt;else&gt;</t>
  </si>
  <si>
    <t>    &lt;report type:"WARNING"&gt;</t>
  </si>
  <si>
    <t>      description         : "WARNING - TARGET OS DOESNT MATCH BASELINE - IOS"</t>
  </si>
  <si>
    <t>      info                : "NOTE: Nessus has identified that the chosen audit does not apply to the target device."</t>
  </si>
  <si>
    <t>    &lt;/report&gt;</t>
  </si>
  <si>
    <t>  &lt;/else&gt;</t>
  </si>
  <si>
    <t>&lt;/if&gt;</t>
  </si>
  <si>
    <t>&lt;/check_type&gt;</t>
  </si>
  <si>
    <t>      description         : "1.0001 - NETIOS - Authentication -  Enable 'aaa new-model'"</t>
  </si>
  <si>
    <t>      see_also            : "See cooresponding HTH Standards and Policies"</t>
  </si>
  <si>
    <t>      item                : "aaa new-model"</t>
  </si>
  <si>
    <t>      description         : "1.0002 - NETIOS - Authentication -  Enable 'aaa authentication login'"</t>
  </si>
  <si>
    <t>      info                : "Sets authentication, authorization and accounting (AAA) authentication at login.'"</t>
  </si>
  <si>
    <t>      description         : "1.0003 - NETIOS - Authentication -  Enable 'aaa authentication enable default'"</t>
  </si>
  <si>
    <t>      info                : "Authenticates users who access privileged EXEC mode when they use the enable command."</t>
  </si>
  <si>
    <t>      item                : "aaa authentication enable"</t>
  </si>
  <si>
    <t>      description         : "1.0004 - NETIOS - Authentication - line con 0"</t>
  </si>
  <si>
    <t>      info                : "Authenticates users who access the router or switch using the serial console port."</t>
  </si>
  <si>
    <t>      context             : "line con .+"</t>
  </si>
  <si>
    <t>      description         : "1.0005 - NETIOS - Authentication - line tty"</t>
  </si>
  <si>
    <t>      info                : "Authenticates users who access the router or switch using the TTY port."</t>
  </si>
  <si>
    <t>      reference           : "NIST 800-53|AC-2(1)"</t>
  </si>
  <si>
    <t>      see_also            : "HTH"</t>
  </si>
  <si>
    <t>      context             : "line tty .+"</t>
  </si>
  <si>
    <t>      description         : "1.0006 - NETIOS - Authentication - line vty"</t>
  </si>
  <si>
    <t>      description         : "1.0007 - NETIOS - Set 'privilege 1' for local users - 'All users have encrypted passwords'"</t>
  </si>
  <si>
    <t>      info                : "Sets the privilege level for the user."</t>
  </si>
  <si>
    <t>      reference           : "NIST 800-53r5|AC-6 AC-6(5)"</t>
  </si>
  <si>
    <t>      item                : "username .+ secret [5|8|9] .+"</t>
  </si>
  <si>
    <t>      description         : "1.0008 - NETIOS - Set 'transport input ssh' for 'line vty' connections"</t>
  </si>
  <si>
    <t>      item                : "transport input ssh *$"</t>
  </si>
  <si>
    <t>      description         : "1.0009 - NETIOS - Set 'exec-timeout' to less than or equal to 10 minutes for 'line aux 0'as CONFIG_CHECK_NOT"</t>
  </si>
  <si>
    <t>      info                : "If no input is detected during the interval, the EXEC facility resumes the current connection."</t>
  </si>
  <si>
    <t>      reference           : "NIST 800-53r5|AC-11"</t>
  </si>
  <si>
    <t>      context             : "line aux 0"</t>
  </si>
  <si>
    <t>      item                : "exec-timeout (10|[1-9])$"</t>
  </si>
  <si>
    <t>      description         : "1.0010 - NETIOS - Set 'exec-timeout' to less than or equal to 10 minutes 'line console 0'as CONFIG_CHECK_NOT"</t>
  </si>
  <si>
    <t>      context             : "line con 0"</t>
  </si>
  <si>
    <t>      description         : "1.0011 - NETIOS - Set 'exec-timeout' less than or equal to 10 minutes 'line tty'as CONFIG_CHECK_NOT"</t>
  </si>
  <si>
    <t>      description         : "1.0012 - NETIOS - Set 'exec-timeout' to less than or equal to 10 minutes 'line vty'as CONFIG_CHECK_NOT"</t>
  </si>
  <si>
    <t>      type                : BANNER_CHECK</t>
  </si>
  <si>
    <t>      description         : "1.0013 - NETIOS - Banner - Enabled"</t>
  </si>
  <si>
    <t>      info                : "Follow the banner login command with one or more blank spaces and a delimiting character of your choice."</t>
  </si>
  <si>
    <t>      reference           : "NIST 800-53r5|AC-2"</t>
  </si>
  <si>
    <t>      item                : "banner login"</t>
  </si>
  <si>
    <t>      content             : "!! WARNING !!"</t>
  </si>
  <si>
    <t>      is_substring: YES</t>
  </si>
  <si>
    <t>      description         : "1.0014 - NETIOS - Set 'password' for 'enable secret'"</t>
  </si>
  <si>
    <t>      info                : "Use the enable secret command to provide an additional layer of security over the enable password."</t>
  </si>
  <si>
    <t>      reference           : "NIST 800-53r5|CM-6 CM-7 SC-23"</t>
  </si>
  <si>
    <t>      description         : "1.0015 - NETIOS - Enable 'service password-encryption"</t>
  </si>
  <si>
    <t>      description         : "1.0016 - NETIOS - Set 'username secret' for all local users"</t>
  </si>
  <si>
    <t>      info                : "Use the username secret command to configure a username and MD5-encrypted user password."</t>
  </si>
  <si>
    <t>      description         : "1.0017 - NETIOS - NTP Server Configured (2)"</t>
  </si>
  <si>
    <t>      info                : "Check to confirm 10.248.232.210 was configured."</t>
  </si>
  <si>
    <t>      reference           : "NIST 800-53|AU-7 AU-8"</t>
  </si>
  <si>
    <t>      regex               : "^(sntp|ntp)[\\s]+server([\\s]+vrf[\\s]+[a-zA-Z0-9_\\-]+)?[\\s]*10.248.232.210.*$"</t>
  </si>
  <si>
    <t>      item                : "^(sntp|ntp) server.*10.248.232.210"</t>
  </si>
  <si>
    <t>      description         : "1.0018 - NETIOS - NTP Server Configured (2)"</t>
  </si>
  <si>
    <t>      description         : "1.0019 - NETIOS - Set 'no snmp-server' to disable SNMP when unused"</t>
  </si>
  <si>
    <t>      description         : "1.0020 - NETIOS - Unset 'private' for 'snmp-server community'"</t>
  </si>
  <si>
    <t>      description         : "1.0021 - NETIOS - Unset 'public' for 'snmp-server community'"</t>
  </si>
  <si>
    <t>      description         : "1.0022 - NETIOS - Do not set 'RW' for any 'snmp-server community'"</t>
  </si>
  <si>
    <t>      info                : "Specifies read-write access. Authorized management stations can both retrieve and modify MIB objects."</t>
  </si>
  <si>
    <t>      description         : "1.0023 - NETIOS - Set the ACL for each 'snmp-server community'"</t>
  </si>
  <si>
    <t>      info                : "This feature specifies a list of IP addresses that are allowed to use the community string to gain access to the SNMP agent."</t>
  </si>
  <si>
    <t>      reference           : "NIST 800-53r5|AC-18 SC-23"</t>
  </si>
  <si>
    <t>      regex               : "snmp-server community .+ [Rr][Oo] 1"</t>
  </si>
  <si>
    <t>      item                : "snmp-server community .+ [Rr][Oo]"</t>
  </si>
  <si>
    <t>      description         : "1.0024 - NETIOS - Create an 'access-list' for use with SNMP - 'SNMP permit secured by ACL'"</t>
  </si>
  <si>
    <t>      info                : "You can use access lists to control the transmission of packets on an interface, control Simple Network Management Protocol (SNMP) access, and restrict the contents of routing updates."</t>
  </si>
  <si>
    <t>      regex               : "access-list 1 permit .+"</t>
  </si>
  <si>
    <t>      item                : "access-list 1 permit"</t>
  </si>
  <si>
    <t>      description         : "1.0025 - NETIOS - Create an 'access-list' for use with SNMP - 'SNMP deny secured by ACL'"</t>
  </si>
  <si>
    <t>      regex               : "access-list 1 deny[\\s]*any log"</t>
  </si>
  <si>
    <t>      item                : "access-list 1 deny"</t>
  </si>
  <si>
    <t>      description         : "1.0026 - NETIOS - Set 'snmp-server host' when using SNMP"</t>
  </si>
  <si>
    <t>      description         : "1.0027 - NETIOS - Set 'snmp-server enable traps snmp'"</t>
  </si>
  <si>
    <t>      description         : "1.0028 - NETIOS - Set the 'ip domain-name'"</t>
  </si>
  <si>
    <t>      description         : "1.0029 - NETIOS - Set 'modulus' to greater than or equal to 2048 for 'crypto key generate rsa'"</t>
  </si>
  <si>
    <t>      info                : "Use this command to generate RSA key pairs for your Cisco device."</t>
  </si>
  <si>
    <t>      item                : "Key name:"</t>
  </si>
  <si>
    <t>      description         : "1.0030 - NETIOS - Set 'seconds' for 'ip ssh timeout'"</t>
  </si>
  <si>
    <t>      info                : "The time interval that the router waits for the SSH client to respond before disconnecting an uncompleted login attempt."</t>
  </si>
  <si>
    <t>      item                : "Authentication timeout: [1-9][0-9]+ secs; Authentication retries: .*"</t>
  </si>
  <si>
    <t>      description         : "1.0031 - NETIOS - Set maximimum value for 'ip ssh authentication-retries'"</t>
  </si>
  <si>
    <t>      info                : "The number of retries before the SSH login session disconnects."</t>
  </si>
  <si>
    <t>      item                : "Authentication timeout: .* secs; Authentication retries: [1-9]+"</t>
  </si>
  <si>
    <t>      description         : "1.0032 - NETIOS - Set version 2 for 'ip ssh version'"</t>
  </si>
  <si>
    <t>      description         : "1.0033 - NETIOS - Set 'no cdp run'"</t>
  </si>
  <si>
    <t>      description         : "1.0034 - NETIOS - Set 'no ip bootp server'"</t>
  </si>
  <si>
    <t>      info                : "Disable the Bootstrap Protocol (BOOTP) service on your routing device."</t>
  </si>
  <si>
    <t>      item                : "(no ip bootp server|ip dhcp bootp ignore)"</t>
  </si>
  <si>
    <t>      description         : "1.0035 - NETIOS - Set 'no service dhcp'"</t>
  </si>
  <si>
    <t>      description         : "1.0036 - NETIOS - Set 'no service dhcp' - dhcp pool"</t>
  </si>
  <si>
    <t>      item                : "ip dhcp pool.*"</t>
  </si>
  <si>
    <t>      description         : "1.0037 - NETIOS - Set 'no ip identd'"</t>
  </si>
  <si>
    <t>      info                : "Disable the identification (identd) server."</t>
  </si>
  <si>
    <t>      item                : "no ip identd"</t>
  </si>
  <si>
    <t>      description         : "1.0038 - NETIOS - Set 'service tcp-keepalives-in'"</t>
  </si>
  <si>
    <t>      description         : "1.0039 - NETIOS - Set 'service tcp-keepalives-out'"</t>
  </si>
  <si>
    <t>      description         : "1.0040 - NETIOS - Set 'no service pad'"</t>
  </si>
  <si>
    <t>      info                : "Disable X.25 Packet Assembler/Disassembler (PAD) service."</t>
  </si>
  <si>
    <t>      item                : "^service pad"</t>
  </si>
  <si>
    <t>      description         : "1.0041 - NETIOS - Set 'logging on'"</t>
  </si>
  <si>
    <t>      info                : "Enable logging of system messages."</t>
  </si>
  <si>
    <t>      reference           : "NIST 800-53r5|AU-2 AU-7 AU-12"</t>
  </si>
  <si>
    <t>      item                : "no logging on"</t>
  </si>
  <si>
    <t>      description         : "1.0042 - NETIOS - Set 'buffer size' for 'logging buffered'"</t>
  </si>
  <si>
    <t>      info                : "Enable system message logging to a local buffer."</t>
  </si>
  <si>
    <t>      reference           : "NIST 800-53r5|AU-4"</t>
  </si>
  <si>
    <t>      item                : "logging buffered.*([0-9]+)"</t>
  </si>
  <si>
    <t>      description         : "1.0043 - NETIOS - Set 'logging console critical'"</t>
  </si>
  <si>
    <t>      description         : "1.0044 - NETIOS - Set IP address for 'logging host'"</t>
  </si>
  <si>
    <t>      info                : "Log system messages and debug output to a remote host."</t>
  </si>
  <si>
    <t>      reference           : "NIST 800-53r5|AU-6(3)"</t>
  </si>
  <si>
    <t>      item                : "logging (host )?192\.168\.2\.1"</t>
  </si>
  <si>
    <t>      description         : "1.0045 - NETIOS - Set 'logging trap informational'"</t>
  </si>
  <si>
    <t>      description         : "1.0046 - NETIOS - Set 'service timestamps debug datetime'"</t>
  </si>
  <si>
    <t>      description         : "1.0047 - NETIOS - Set 'logging source interface'"</t>
  </si>
  <si>
    <t>      info                : "Specify the source IPv4 or IPv6 address of system logging packets"</t>
  </si>
  <si>
    <t>      regex               : "logging source-interface [Ll]oopback[\\s]*[0-9]+"</t>
  </si>
  <si>
    <t>      item                : "logging source-interface [Ll]oopback.*"</t>
  </si>
  <si>
    <t>      description         : "1.0048 - NETIOS - Set 'ip address' for 'ntp server'"</t>
  </si>
  <si>
    <t>      info                : "Use this command if you want to allow the system to synchronize the system software clock with the specified NTP server."</t>
  </si>
  <si>
    <t>      reference           : "NIST 800-53r5|AU-7 AU-8"</t>
  </si>
  <si>
    <t>      regex               : "^(sntp|ntp)[\\s]+server([\\s]+vrf[\\s]+[a-zA-Z0-9_\\-]+)?[\\s]*192\.168\.3\.1.*$"</t>
  </si>
  <si>
    <t>      item                : "^(sntp|ntp) server.*192\.168\.3\.1"</t>
  </si>
  <si>
    <t>      description         : "1.0049 - NETIOS - Set 'no ip source-route'"</t>
  </si>
  <si>
    <t>      description         : "1.0050 - NETIOS - Enable 'aaa authentication enable default"</t>
  </si>
  <si>
    <t>      item                : "aaa authentication enable default"</t>
  </si>
  <si>
    <t>      description         : "1.0051 - NETIOS - Set 'privilege 1' for local users"</t>
  </si>
  <si>
    <t>      reference           : "NIST 800-53r5|IA-2(2) IA-5(1)"</t>
  </si>
  <si>
    <t>      item                : "username .+ privilege ([2-9]|1[0-5])"</t>
  </si>
  <si>
    <t>      description         : "1.0052 - NETIOS - Set 'http Secure-server' limit"</t>
  </si>
  <si>
    <t>      info                : "Device management includes the ability to control the number of administrators and management sessions that manage a device."</t>
  </si>
  <si>
    <t>      reference           : "NIST 800-53r5|AC-10"</t>
  </si>
  <si>
    <t>      item                : "ip http max-connections 2"</t>
  </si>
  <si>
    <t>      description         : "1.0053 - NETIOS - Set 'exec-timeout' to less than or equal to 10 min on 'ip http"</t>
  </si>
  <si>
    <t>      reference           : "NIST 800-53r5|AC-2(5) AC-11 AC-11(1) AC-12"</t>
  </si>
  <si>
    <t>      item                : "ip http timeout-policy idle ([1-9]|[1-9][0-9]|[1-5][0-9]{2}|600) life .+ requests .+"</t>
  </si>
  <si>
    <t>      description         : "1.0054 - NETIOS - Set 'no exec' for 'line aux 0"</t>
  </si>
  <si>
    <t>      info                : "The 'no exec' command restricts a line to outgoing connections only."</t>
  </si>
  <si>
    <t>      context             : "line aux .+"</t>
  </si>
  <si>
    <t>      item                : "no exec"</t>
  </si>
  <si>
    <t>      description         : "1.0055 - NETIOS - Set 'access-class' for 'line vty"</t>
  </si>
  <si>
    <t>      info                : "The 'access-class' setting restricts incoming and outgoing connections between a particular vty (into a Cisco device) and the networking devices associated with addresses in an access list."</t>
  </si>
  <si>
    <t>      item                : "access-class 100 in"</t>
  </si>
  <si>
    <t>      description         : "1.0056 - NETIOS - Set 'transport input none' for 'line aux 0"</t>
  </si>
  <si>
    <t>      info                : "When you want to allow only an outgoing connection on a line, use the no exec command."</t>
  </si>
  <si>
    <t>      item                : "transport input (all|ssh|telnet)$"</t>
  </si>
  <si>
    <t>      description         : "1.0057 - NETIOS - Set the 'banner-text' for 'banner exec"</t>
  </si>
  <si>
    <t>      info                : "This command specifies a message to be displayed when an EXEC process is created (a line is activated, or an incoming connection is made to a vty)."</t>
  </si>
  <si>
    <t>      reference           : "NIST 800-53r5|AT-1 AT-2 PM-13"</t>
  </si>
  <si>
    <t>      item                : "banner exec"</t>
  </si>
  <si>
    <t>      content             : "All unauthorized activity is monitored and logged."</t>
  </si>
  <si>
    <t>      description         : "1.0058 - NETIOS - Set the 'banner-text' for 'banner login"</t>
  </si>
  <si>
    <t>      description         : "1.0059 - NETIOS - Set the 'banner-text' for 'banner motd"</t>
  </si>
  <si>
    <t>      info                : "This MOTD banner is displayed to all terminals connected and is useful for sending messages that affect all users (such as impending system shutdowns)."</t>
  </si>
  <si>
    <t>      item                : "banner motd"</t>
  </si>
  <si>
    <t>      description         : "1.0060 - NETIOS - Set the 'banner-text' for 'webauth banner"</t>
  </si>
  <si>
    <t>      info                : "This banner is displayed to all terminals connected and is useful for sending messages that affect all users (such as impending system shutdowns)."</t>
  </si>
  <si>
    <t>      item                : "ip admission auth-proxy-banner http .+"</t>
  </si>
  <si>
    <t>      description         : "1.0061 - NETIOS - Set the ACL for each 'snmp-server community"</t>
  </si>
  <si>
    <t>      item                : "snmp-server community .+ .+"</t>
  </si>
  <si>
    <t>      regex               : "snmp-server community .+ .+ 1$"</t>
  </si>
  <si>
    <t>      description         : "1.0062 - NETIOS - Set the 'hostname"</t>
  </si>
  <si>
    <t>      info                : "The hostname is used in prompts and default configuration filenames."</t>
  </si>
  <si>
    <t>      item                : "hostname .+"</t>
  </si>
  <si>
    <t>      regex               : "hostname Router$"</t>
  </si>
  <si>
    <t>      description         : "1.0063 - NETIOS - Set 'modulus' to greater than or equal to 2048 for 'crypto key generate rsa"</t>
  </si>
  <si>
    <t>      reference           : "NIST 800-53r5|SA-15"</t>
  </si>
  <si>
    <t>      item                : ".*"</t>
  </si>
  <si>
    <t>      description         : "1.0064 - NETIOS - Set 'seconds' for 'ip ssh timeout' for 60 seconds or less"</t>
  </si>
  <si>
    <t>      item                : "ip ssh time-out"</t>
  </si>
  <si>
    <t>      regex               : "ip ssh time-out ([1-9]|[1-5][0-9]|60)$"</t>
  </si>
  <si>
    <t>      description         : "1.0065 - NETIOS - Set maximum value for 'ip ssh authentication-retries"</t>
  </si>
  <si>
    <t>      item                : "Authentication timeout: .* secs; Authentication retries: [1-3]"</t>
  </si>
  <si>
    <t>      description         : "1.0066 - NETIOS - Set 'no ip bootp server"</t>
  </si>
  <si>
    <t>      item                : "no ip bootp server"</t>
  </si>
  <si>
    <t>      description         : "1.0067 - NETIOS - Set 'no service pad"</t>
  </si>
  <si>
    <t>      info                : "Disable X."</t>
  </si>
  <si>
    <t>      item                : "no service pad"</t>
  </si>
  <si>
    <t>      description         : "1.0068 - NETIOS - Set 'logging enable"</t>
  </si>
  <si>
    <t>      item                : "logging host"</t>
  </si>
  <si>
    <t>      description         : "1.0069 - NETIOS - Set 'buffer size' for 'logging buffered"</t>
  </si>
  <si>
    <t>      item                : "logging buffered"</t>
  </si>
  <si>
    <t>      regex               : "logging buffered 64000( *|$)"</t>
  </si>
  <si>
    <t>      description         : "1.0070 - NETIOS - Set IP address for 'logging host"</t>
  </si>
  <si>
    <t>      reference           : "NIST 800-53r5|AU-6(1) AU-7 IR-4(1) SI-4 SI-4(2) SI-4(5)"</t>
  </si>
  <si>
    <t>      item                : "logging host 192\.168\.2\.1"</t>
  </si>
  <si>
    <t>      description         : "1.0071 - NETIOS - Set 'logging source interface"</t>
  </si>
  <si>
    <t>      item                : "logging source-interface .+"</t>
  </si>
  <si>
    <t>      description         : "1.0072 - NETIOS - Set 'ip address' for 'ntp server"</t>
  </si>
  <si>
    <t>      item                : "ntp server 192\.168\.3\.1"</t>
  </si>
  <si>
    <t>      description         : "1.0073 - NETIOS - Set 'no interface tunnel"</t>
  </si>
  <si>
    <t>      info                : "Verify no tunnel interfaces are defined."</t>
  </si>
  <si>
    <t>      item                : "interface [Tt]unnel[0-9]+"</t>
  </si>
  <si>
    <t>      description         : "1.0074 - NETIOS - Set 'ip verify unicast source reachable-via"</t>
  </si>
  <si>
    <t>      info                : "Examines incoming packets to determine whether the source address is in the Forwarding Information Base (FIB) and permits the packet only if the source is reachable through the interface on which the packet was received (sometimes referred to as strict mode)."</t>
  </si>
  <si>
    <t>      context             : "interface .+"</t>
  </si>
  <si>
    <t>      item                : "ip verify unicast"</t>
  </si>
  <si>
    <t>      regex               : "ip verify unicast source reachable-via"</t>
  </si>
  <si>
    <t>      description         : "1.0075 - NETIOS - Set 'authentication mode md5"</t>
  </si>
  <si>
    <t>      info                : "Configure authentication to prevent unapproved sources from introducing unauthorized or false service messages."</t>
  </si>
  <si>
    <t>      reference           : "NIST 800-53r5|AC-18 AC-18(1) AC-18(3) CM-2 CM-6 CM-7 CM-7(1) CM-9"</t>
  </si>
  <si>
    <t>      context             : "router eigrp .+"</t>
  </si>
  <si>
    <t>      item                : "authentication mode md5"</t>
  </si>
  <si>
    <t>      description         : "1.0076 - NETIOS - Set 'aaa accounting system"</t>
  </si>
  <si>
    <t>      info                : "Performs accounting for all system-level events not associated with users, such as reloads."</t>
  </si>
  <si>
    <t>      reference           : "NIST 800-53r5|AU-2 AU-3 AU-3(1) AU-7 AU-12"</t>
  </si>
  <si>
    <t>      item                : "aaa accounting system [^ ]+"</t>
  </si>
  <si>
    <t>      description         : "1.0077 - NETIOS - Set 'login authentication for 'ip http"</t>
  </si>
  <si>
    <t>      info                : "If account management functions are not automatically enforced, an attacker could gain privileged access to a vital element of the network security architecture"</t>
  </si>
  <si>
    <t>      item                : "^[ ]*ip http authentication (local|aaa_list_name)"</t>
  </si>
  <si>
    <t>      description         : "1.0078 - NETIOS - Set 'aaa accounting' to log all privileged use commands using 'commands 15"</t>
  </si>
  <si>
    <t>      info                : "Runs accounting for all commands at the specified privilege level."</t>
  </si>
  <si>
    <t>      item                : "aaa accounting commands 15 [^ ]+"</t>
  </si>
  <si>
    <t>      description         : "1.0079 - NETIOS - Set 'aaa accounting connection"</t>
  </si>
  <si>
    <t>      info                : "Provides information about all outbound connections made from the network access server."</t>
  </si>
  <si>
    <t>      item                : "aaa accounting connection [^ ]+"</t>
  </si>
  <si>
    <t>      description         : "1.0080 - NETIOS - Set 'aaa accounting exec"</t>
  </si>
  <si>
    <t>      info                : "Runs accounting for the EXEC shell session."</t>
  </si>
  <si>
    <t>      item                : "aaa accounting exec [^ ]+"</t>
  </si>
  <si>
    <t>      description         : "1.0081 - NETIOS - Set 'aaa accounting network"</t>
  </si>
  <si>
    <t>      info                : "Runs accounting for all network-related service requests."</t>
  </si>
  <si>
    <t>      item                : "aaa accounting network [^ ]+"</t>
  </si>
  <si>
    <t>      description         : "1.0082 - NETIOS - Set 'exec-timeout' to less than or equal to 10 min on 'ip http"</t>
  </si>
  <si>
    <t>      reference           : "NIST 800-53r5|SC-10"</t>
  </si>
  <si>
    <t>      item                : "^[ ]*ip http timeout-policy"</t>
  </si>
  <si>
    <t>      regex               : "^[ ]*ip http timeout-policy idle ([1-9]|[1-9][0-9]|[1-5][0-9]{2}|600) life .+ requests .+"</t>
  </si>
  <si>
    <t>      description         : "1.0083 - NETIOS - Set 'exec-timeout' to less than or equal to 10 minutes for 'line aux 0"</t>
  </si>
  <si>
    <t>      item                : "exec-timeout (1[1-9]|[2-9][0-9]|[0-9]{3,}) [0-9]+$"</t>
  </si>
  <si>
    <t>      description         : "1.0084 - NETIOS - Set 'http Secure-server' limit"</t>
  </si>
  <si>
    <t>      item                : "^[ ]*ip http max-connections 2"</t>
  </si>
  <si>
    <t>      description         : "1.0085 - NETIOS - Set the 'banner-text' for 'webauth banner"</t>
  </si>
  <si>
    <t>      item                : "^[ ]*ip admission auth-proxy-banner http .+"</t>
  </si>
  <si>
    <t>      description         : "1.0086 - NETIOS - Require 'aes 128' as minimum for 'snmp-server user' when using SNMPv3"</t>
  </si>
  <si>
    <t>      info                : "Specify the use of a minimum of 128-bit AES algorithm for encryption when using SNMPv3."</t>
  </si>
  <si>
    <t>      item                : "Privacy Protocol: AES128"</t>
  </si>
  <si>
    <t>      description         : "1.0087 - NETIOS - Set 'priv' for each 'snmp-server group' using SNMPv3"</t>
  </si>
  <si>
    <t>      info                : "Specifies authentication of a packet with encryption when using SNMPv3"</t>
  </si>
  <si>
    <t>      item                : "snmp-server group .+ v3"</t>
  </si>
  <si>
    <t>      regex               : "snmp-server group .+ v3 priv"</t>
  </si>
  <si>
    <t>      description         : "1.0088 - NETIOS - Set maximum value for 'ip ssh authentication-retries"</t>
  </si>
  <si>
    <t>      item                : "ip ssh authentication-retries ([4-9]|[1-9][0-9]+)$"</t>
  </si>
  <si>
    <t>      description         : "1.0089 - NETIOS - Set 'logging enable"</t>
  </si>
  <si>
    <t>      context             : "archive"</t>
  </si>
  <si>
    <t>      item                : "logging enable"</t>
  </si>
  <si>
    <t>      description         : "1.0090 - NETIOS - Set 'login success/failure logging"</t>
  </si>
  <si>
    <t>      info                : "Without generating audit records that are specific to the security and mission needs of the organization, it would be difficult to establish, correlate, and investigate the events relating to an incident or identify those responsible for one."</t>
  </si>
  <si>
    <t>      item                : "login on-(failure|success) log"</t>
  </si>
  <si>
    <t>      description         : "1.0091 - NETIOS - Set 'ntp authenticate"</t>
  </si>
  <si>
    <t>      info                : "Enable NTP authentication."</t>
  </si>
  <si>
    <t>      item                : "ntp authenticate"</t>
  </si>
  <si>
    <t>      description         : "1.0092 - NETIOS - Set 'ntp authentication-key"</t>
  </si>
  <si>
    <t>      info                : "Define an authentication key for Network Time Protocol (NTP)."</t>
  </si>
  <si>
    <t>      item                : "ntp authentication-key"</t>
  </si>
  <si>
    <t>      description         : "1.0093 - NETIOS - Set the 'ntp trusted-key"</t>
  </si>
  <si>
    <t>      info                : "Ensure you authenticate the identity of a system to which Network Time Protocol (NTP) will synchronize"</t>
  </si>
  <si>
    <t>      item                : "ntp trusted-key .+"</t>
  </si>
  <si>
    <t>      regex               : "ntp trusted-key 1"</t>
  </si>
  <si>
    <t>      description         : "1.0094 - NETIOS - Set 'ntp source' to Loopback Interface"</t>
  </si>
  <si>
    <t>      info                : "Use a particular source address in Network Time Protocol (NTP) packets."</t>
  </si>
  <si>
    <t>      item                : "ntp source [Ll]oopback"</t>
  </si>
  <si>
    <t>      description         : "1.0095 - NETIOS - Set 'ip tftp source-interface' to the Loopback Interface"</t>
  </si>
  <si>
    <t>      info                : "Specify the IP address of an interface as the source address for TFTP connections."</t>
  </si>
  <si>
    <t>      reference           : "NIST 800-53r5|CA-9 SC-7 SC-7(5)"</t>
  </si>
  <si>
    <t>      item                : "ip tftp source-interface [Ll]oopback"</t>
  </si>
  <si>
    <t>      description         : "1.0096 - NETIOS - Set 'authentication key-chain"</t>
  </si>
  <si>
    <t>      info                : "Configure the EIGRP address family key chain."</t>
  </si>
  <si>
    <t>      reference           : "NIST 800-53r5|AC-18 AC-18(1) AC-18(3) CA-9 CM-2 CM-6 CM-7 CM-7(1) CM-9 SC-7 SC-7(5)"</t>
  </si>
  <si>
    <t>      item                : "authentication key-chain .+"</t>
  </si>
  <si>
    <t>      regex               : "authentication key-chain CIS-KEY-CHAIN"</t>
  </si>
  <si>
    <t>      description         : "1.0097 - NETIOS - Set 'ip authentication key-chain eigrp"</t>
  </si>
  <si>
    <t>      info                : "Specify the type of authentication used in Enhanced Interior Gateway Routing Protocol (EIGRP) packets per interface."</t>
  </si>
  <si>
    <t>      context             : "interface GigabitEthernet2"</t>
  </si>
  <si>
    <t>      item                : "ip authentication key-chain eigrp"</t>
  </si>
  <si>
    <t>      regex               : "ip authentication key-chain eigrp 100 CIS-KEY-CHAIN"</t>
  </si>
  <si>
    <t>      description         : "1.0098 - NETIOS - Set 'ip authentication mode eigrp"</t>
  </si>
  <si>
    <t>      info                : "Configure authentication to prevent unapproved sources from introducing unauthorized or false routing messages."</t>
  </si>
  <si>
    <t>      item                : "ip authentication mode eigrp"</t>
  </si>
  <si>
    <t>      regex               : "ip authentication mode eigrp 100 md5"</t>
  </si>
  <si>
    <t>      description         : "1.0099 - NETIOS - Set 'authentication message-digest' for OSPF area"</t>
  </si>
  <si>
    <t>      info                : "Enable MD5 authentication for OSPF."</t>
  </si>
  <si>
    <t>      context             : "router ospf .+"</t>
  </si>
  <si>
    <t>      item                : "area [^ ]+ authentication message-digest"</t>
  </si>
  <si>
    <t>      description         : "1.0100 - NETIOS - Set 'ip ospf message-digest-key md5"</t>
  </si>
  <si>
    <t>      info                : "Enable Open Shortest Path First (OSPF) Message Digest 5 (MD5) authentication."</t>
  </si>
  <si>
    <t>      item                : "ip ospf message-digest-key 1"</t>
  </si>
  <si>
    <t>      regex               : "ip ospf message-digest-key 1 md5 [0-7] ([A-Za-z0-9]+)"</t>
  </si>
  <si>
    <t>      description         : "1.0101 - NETIOS - Set 'neighbor password"</t>
  </si>
  <si>
    <t>      info                : "Enable message digest5 (MD5) authentication on a TCP connection between two BGP peers"</t>
  </si>
  <si>
    <t>      context             : "router [Bb][Gg][Pp] .+"</t>
  </si>
  <si>
    <t>      item                : "neighbor [^ ]+ password .+"</t>
  </si>
  <si>
    <t>      regex               : "neighbor [^ ]+ password ([A-Za-z0-9\\/\\$]+)"</t>
  </si>
  <si>
    <t>===============================================================================</t>
  </si>
  <si>
    <t>IOS AUDIT COMPARE REPORT</t>
  </si>
  <si>
    <t>Generated  : 2026-04-20 09:30:45</t>
  </si>
  <si>
    <t>Reference  : OGNetIOS.audit</t>
  </si>
  <si>
    <t>New/combined: IOS_Combined.audit</t>
  </si>
  <si>
    <t>Reference items  : 49</t>
  </si>
  <si>
    <t>New items        : 76</t>
  </si>
  <si>
    <t>Already in ref   : 24 (deduped — active in New_Only)</t>
  </si>
  <si>
    <t>Genuinely new    : 52</t>
  </si>
  <si>
    <t>Final total      : 101</t>
  </si>
  <si>
    <t>--- Items already in reference (deduped) ---</t>
  </si>
  <si>
    <t xml:space="preserve">  NEW : 1.0001 - NETIOS - Enable 'aaa new-model</t>
  </si>
  <si>
    <t xml:space="preserve">  REF : AC - NetIOS - Authentication -  Enable 'aaa new-model'</t>
  </si>
  <si>
    <t xml:space="preserve">  NEW : 1.0002 - NETIOS - Enable 'aaa authentication login</t>
  </si>
  <si>
    <t xml:space="preserve">  REF : AC - NetIOS - Authentication -  Enable 'aaa authentication login'</t>
  </si>
  <si>
    <t xml:space="preserve">  NEW : 1.0004 - NETIOS - Set 'login authentication for 'line vty</t>
  </si>
  <si>
    <t xml:space="preserve">  REF : AC - NetIOS - Authentication - line vty</t>
  </si>
  <si>
    <t xml:space="preserve">  NEW : 1.0008 - NETIOS - Set 'transport input ssh' for 'line vty' connections</t>
  </si>
  <si>
    <t xml:space="preserve">  REF : IA - NetIOS - Set 'transport input ssh' for 'line vty' connections</t>
  </si>
  <si>
    <t xml:space="preserve">  NEW : 1.0016 - NETIOS - Set 'password' for 'enable secret</t>
  </si>
  <si>
    <t xml:space="preserve">  REF : CM - NetIOS - Set 'password' for 'enable secret'</t>
  </si>
  <si>
    <t xml:space="preserve">  NEW : 1.0017 - NETIOS - Enable 'service password-encryption</t>
  </si>
  <si>
    <t xml:space="preserve">  REF : CM - NetIOS - Enable 'service password-encryption</t>
  </si>
  <si>
    <t xml:space="preserve">  NEW : 1.0018 - NETIOS - Set 'username secret' for all local users</t>
  </si>
  <si>
    <t xml:space="preserve">  REF : CM - NetIOS - Set 'username secret' for all local users</t>
  </si>
  <si>
    <t xml:space="preserve">  NEW : 1.0019 - NETIOS - Set 'no snmp-server' to disable SNMP when unused</t>
  </si>
  <si>
    <t xml:space="preserve">  REF : CM - NetIOS - Set 'no snmp-server' to disable SNMP when unused</t>
  </si>
  <si>
    <t xml:space="preserve">  NEW : 1.0020 - NETIOS - Unset 'private' for 'snmp-server community</t>
  </si>
  <si>
    <t xml:space="preserve">  REF : CM - NetIOS - Unset 'private' for 'snmp-server community'</t>
  </si>
  <si>
    <t xml:space="preserve">  NEW : 1.0021 - NETIOS - Unset 'public' for 'snmp-server community</t>
  </si>
  <si>
    <t xml:space="preserve">  REF : CM - NetIOS - Unset 'public' for 'snmp-server community'</t>
  </si>
  <si>
    <t xml:space="preserve">  NEW : 1.0022 - NETIOS - Do not set 'RW' for any 'snmp-server community</t>
  </si>
  <si>
    <t xml:space="preserve">  REF : CM - NetIOS - Do not set 'RW' for any 'snmp-server community'</t>
  </si>
  <si>
    <t xml:space="preserve">  NEW : 1.0024 - NETIOS - Set 'snmp-server host' when using SNMP</t>
  </si>
  <si>
    <t xml:space="preserve">  REF : AC - NetIOS - Set 'snmp-server host' when using SNMP</t>
  </si>
  <si>
    <t xml:space="preserve">  NEW : 1.0025 - NETIOS - Set 'snmp-server enable traps snmp</t>
  </si>
  <si>
    <t xml:space="preserve">  REF : AC - NetIOS - Set 'snmp-server enable traps snmp'</t>
  </si>
  <si>
    <t xml:space="preserve">  NEW : 1.0027 - NETIOS - Set the 'ip domain-name</t>
  </si>
  <si>
    <t xml:space="preserve">  REF : Set the 'ip domain-name'</t>
  </si>
  <si>
    <t xml:space="preserve">  NEW : 1.0031 - NETIOS - Set version 2 for 'ip ssh version</t>
  </si>
  <si>
    <t xml:space="preserve">  REF : AC - NetIOS - Set version 2 for 'ip ssh version'</t>
  </si>
  <si>
    <t xml:space="preserve">  NEW : 1.0032 - NETIOS - Set 'no cdp run</t>
  </si>
  <si>
    <t xml:space="preserve">  REF : AC - NetIOS - Set 'no cdp run'</t>
  </si>
  <si>
    <t xml:space="preserve">  NEW : 1.0034 - NETIOS - Set 'no service dhcp</t>
  </si>
  <si>
    <t xml:space="preserve">  REF : AC - NetIOS - Set 'no service dhcp'</t>
  </si>
  <si>
    <t xml:space="preserve">  NEW : 1.0035 - NETIOS - Set 'service tcp-keepalives-in</t>
  </si>
  <si>
    <t xml:space="preserve">  REF : AC - NetIOS - Set 'service tcp-keepalives-in'</t>
  </si>
  <si>
    <t xml:space="preserve">  NEW : 1.0036 - NETIOS - Set 'service tcp-keepalives-out</t>
  </si>
  <si>
    <t xml:space="preserve">  REF : CM - NetIOS - Set 'service tcp-keepalives-out'</t>
  </si>
  <si>
    <t xml:space="preserve">  NEW : 1.0040 - NETIOS - Set 'logging console critical</t>
  </si>
  <si>
    <t xml:space="preserve">  REF : AU - NetIOS - Set 'logging console critical'</t>
  </si>
  <si>
    <t xml:space="preserve">  NEW : 1.0042 - NETIOS - Set 'logging trap informational</t>
  </si>
  <si>
    <t xml:space="preserve">  REF : AU - NetIOS - Set 'logging trap informational'</t>
  </si>
  <si>
    <t xml:space="preserve">  NEW : 1.0043 - NETIOS - Set 'service timestamps debug datetime</t>
  </si>
  <si>
    <t xml:space="preserve">  REF : AU - NetIOS - Set 'service timestamps debug datetime'</t>
  </si>
  <si>
    <t xml:space="preserve">  NEW : 1.0046 - NETIOS - Set 'no ip source-route</t>
  </si>
  <si>
    <t xml:space="preserve">  REF : CM - NetIOS - Set 'no ip source-route'</t>
  </si>
  <si>
    <t xml:space="preserve">  NEW : 1.0050 - NETIOS - Enable 'aaa new-model</t>
  </si>
  <si>
    <t>--- Genuinely new items (added to Final, commented in New-Only) ---</t>
  </si>
  <si>
    <t xml:space="preserve">  1.0003 - NETIOS - Enable 'aaa authentication enable default</t>
  </si>
  <si>
    <t xml:space="preserve">  1.0005 - NETIOS - Set 'privilege 1' for local users</t>
  </si>
  <si>
    <t xml:space="preserve">  1.0006 - NETIOS - Set 'http Secure-server' limit</t>
  </si>
  <si>
    <t xml:space="preserve">  1.0007 - NETIOS - Set 'exec-timeout' to less than or equal to 10 min on 'ip</t>
  </si>
  <si>
    <t xml:space="preserve">  1.0009 - NETIOS - Set 'no exec' for 'line aux 0</t>
  </si>
  <si>
    <t xml:space="preserve">  1.0010 - NETIOS - Set 'access-class' for 'line vty</t>
  </si>
  <si>
    <t xml:space="preserve">  1.0011 - NETIOS - Set 'transport input none' for 'line aux 0</t>
  </si>
  <si>
    <t xml:space="preserve">  1.0012 - NETIOS - Set the 'banner-text' for 'banner exec</t>
  </si>
  <si>
    <t xml:space="preserve">  1.0013 - NETIOS - Set the 'banner-text' for 'banner login</t>
  </si>
  <si>
    <t xml:space="preserve">  1.0014 - NETIOS - Set the 'banner-text' for 'banner motd</t>
  </si>
  <si>
    <t xml:space="preserve">  1.0015 - NETIOS - Set the 'banner-text' for 'webauth banner</t>
  </si>
  <si>
    <t xml:space="preserve">  1.0023 - NETIOS - Set the ACL for each 'snmp-server community</t>
  </si>
  <si>
    <t xml:space="preserve">  1.0026 - NETIOS - Set the 'hostname</t>
  </si>
  <si>
    <t xml:space="preserve">  1.0028 - NETIOS - Set 'modulus' to greater than or equal to 2048 for 'crypt</t>
  </si>
  <si>
    <t xml:space="preserve">  1.0029 - NETIOS - Set 'seconds' for 'ip ssh timeout' for 60 seconds or less</t>
  </si>
  <si>
    <t xml:space="preserve">  1.0030 - NETIOS - Set maximum value for 'ip ssh authentication-retries</t>
  </si>
  <si>
    <t xml:space="preserve">  1.0033 - NETIOS - Set 'no ip bootp server</t>
  </si>
  <si>
    <t xml:space="preserve">  1.0037 - NETIOS - Set 'no service pad</t>
  </si>
  <si>
    <t xml:space="preserve">  1.0038 - NETIOS - Set 'logging enable</t>
  </si>
  <si>
    <t xml:space="preserve">  1.0039 - NETIOS - Set 'buffer size' for 'logging buffered</t>
  </si>
  <si>
    <t xml:space="preserve">  1.0041 - NETIOS - Set IP address for 'logging host</t>
  </si>
  <si>
    <t xml:space="preserve">  1.0044 - NETIOS - Set 'logging source interface</t>
  </si>
  <si>
    <t xml:space="preserve">  1.0045 - NETIOS - Set 'ip address' for 'ntp server</t>
  </si>
  <si>
    <t xml:space="preserve">  1.0047 - NETIOS - Set 'no interface tunnel</t>
  </si>
  <si>
    <t xml:space="preserve">  1.0048 - NETIOS - Set 'ip verify unicast source reachable-via</t>
  </si>
  <si>
    <t xml:space="preserve">  1.0049 - NETIOS - Set 'authentication mode md5</t>
  </si>
  <si>
    <t xml:space="preserve">  1.0051 - NETIOS - Set 'aaa accounting system</t>
  </si>
  <si>
    <t xml:space="preserve">  1.0052 - NETIOS - Set 'login authentication for 'ip http</t>
  </si>
  <si>
    <t xml:space="preserve">  1.0053 - NETIOS - Set 'aaa accounting' to log all privileged use commands u</t>
  </si>
  <si>
    <t xml:space="preserve">  1.0054 - NETIOS - Set 'aaa accounting connection</t>
  </si>
  <si>
    <t xml:space="preserve">  1.0055 - NETIOS - Set 'aaa accounting exec</t>
  </si>
  <si>
    <t xml:space="preserve">  1.0056 - NETIOS - Set 'aaa accounting network</t>
  </si>
  <si>
    <t xml:space="preserve">  1.0057 - NETIOS - Set 'exec-timeout' to less than or equal to 10 min on 'ip</t>
  </si>
  <si>
    <t xml:space="preserve">  1.0058 - NETIOS - Set 'exec-timeout' to less than or equal to 10 minutes fo</t>
  </si>
  <si>
    <t xml:space="preserve">  1.0059 - NETIOS - Set 'http Secure-server' limit</t>
  </si>
  <si>
    <t xml:space="preserve">  1.0060 - NETIOS - Set the 'banner-text' for 'webauth banner</t>
  </si>
  <si>
    <t xml:space="preserve">  1.0061 - NETIOS - Require 'aes 128' as minimum for 'snmp-server user' when </t>
  </si>
  <si>
    <t xml:space="preserve">  1.0062 - NETIOS - Set 'priv' for each 'snmp-server group' using SNMPv3</t>
  </si>
  <si>
    <t xml:space="preserve">  1.0063 - NETIOS - Set maximum value for 'ip ssh authentication-retries</t>
  </si>
  <si>
    <t xml:space="preserve">  1.0064 - NETIOS - Set 'logging enable</t>
  </si>
  <si>
    <t xml:space="preserve">  1.0065 - NETIOS - Set 'login success/failure logging</t>
  </si>
  <si>
    <t xml:space="preserve">  1.0066 - NETIOS - Set 'ntp authenticate</t>
  </si>
  <si>
    <t xml:space="preserve">  1.0067 - NETIOS - Set 'ntp authentication-key</t>
  </si>
  <si>
    <t xml:space="preserve">  1.0068 - NETIOS - Set the 'ntp trusted-key</t>
  </si>
  <si>
    <t xml:space="preserve">  1.0069 - NETIOS - Set 'ntp source' to Loopback Interface</t>
  </si>
  <si>
    <t xml:space="preserve">  1.0070 - NETIOS - Set 'ip tftp source-interface' to the Loopback Interface</t>
  </si>
  <si>
    <t xml:space="preserve">  1.0071 - NETIOS - Set 'authentication key-chain</t>
  </si>
  <si>
    <t xml:space="preserve">  1.0072 - NETIOS - Set 'ip authentication key-chain eigrp</t>
  </si>
  <si>
    <t xml:space="preserve">  1.0073 - NETIOS - Set 'ip authentication mode eigrp</t>
  </si>
  <si>
    <t xml:space="preserve">  1.0074 - NETIOS - Set 'authentication message-digest' for OSPF area</t>
  </si>
  <si>
    <t xml:space="preserve">  1.0075 - NETIOS - Set 'ip ospf message-digest-key md5</t>
  </si>
  <si>
    <t xml:space="preserve">  1.0076 - NETIOS - Set 'neighbor password</t>
  </si>
  <si>
    <t>      description         : "1.0025 - NETIOS - Enable 'aaa authentication enable default"</t>
  </si>
  <si>
    <t>      description         : "1.0026 - NETIOS - Set 'privilege 1' for local users"</t>
  </si>
  <si>
    <t>      description         : "1.0027 - NETIOS - Set 'http Secure-server' limit"</t>
  </si>
  <si>
    <t>      description         : "1.0028 - NETIOS - Set 'exec-timeout' to less than or equal to 10 min on 'ip http"</t>
  </si>
  <si>
    <t>      description         : "1.0029 - NETIOS - Set 'no exec' for 'line aux 0"</t>
  </si>
  <si>
    <t>      description         : "1.0030 - NETIOS - Set 'access-class' for 'line vty"</t>
  </si>
  <si>
    <t>      description         : "1.0031 - NETIOS - Set 'transport input none' for 'line aux 0"</t>
  </si>
  <si>
    <t>      description         : "1.0032 - NETIOS - Set the 'banner-text' for 'banner exec"</t>
  </si>
  <si>
    <t>      description         : "1.0033 - NETIOS - Set the 'banner-text' for 'banner login"</t>
  </si>
  <si>
    <t>      description         : "1.0034 - NETIOS - Set the 'banner-text' for 'banner motd"</t>
  </si>
  <si>
    <t>      description         : "1.0035 - NETIOS - Set the 'banner-text' for 'webauth banner"</t>
  </si>
  <si>
    <t>      description         : "1.0036 - NETIOS - Set the ACL for each 'snmp-server community"</t>
  </si>
  <si>
    <t>      description         : "1.0037 - NETIOS - Set the 'hostname"</t>
  </si>
  <si>
    <t>      description         : "1.0038 - NETIOS - Set 'modulus' to greater than or equal to 2048 for 'crypto key generate rsa"</t>
  </si>
  <si>
    <t>      description         : "1.0039 - NETIOS - Set 'seconds' for 'ip ssh timeout' for 60 seconds or less"</t>
  </si>
  <si>
    <t>      description         : "1.0040 - NETIOS - Set maximum value for 'ip ssh authentication-retries"</t>
  </si>
  <si>
    <t>      description         : "1.0041 - NETIOS - Set 'no ip bootp server"</t>
  </si>
  <si>
    <t>      description         : "1.0042 - NETIOS - Set 'no service pad"</t>
  </si>
  <si>
    <t>      description         : "1.0043 - NETIOS - Set 'logging enable"</t>
  </si>
  <si>
    <t>      description         : "1.0044 - NETIOS - Set 'buffer size' for 'logging buffered"</t>
  </si>
  <si>
    <t>      description         : "1.0045 - NETIOS - Set IP address for 'logging host"</t>
  </si>
  <si>
    <t>      description         : "1.0046 - NETIOS - Set 'logging source interface"</t>
  </si>
  <si>
    <t>      description         : "1.0047 - NETIOS - Set 'ip address' for 'ntp server"</t>
  </si>
  <si>
    <t>      description         : "1.0048 - NETIOS - Set 'no interface tunnel"</t>
  </si>
  <si>
    <t>      description         : "1.0049 - NETIOS - Set 'ip verify unicast source reachable-via"</t>
  </si>
  <si>
    <t>      description         : "1.0050 - NETIOS - Set 'authentication mode md5"</t>
  </si>
  <si>
    <t>      description         : "1.0051 - NETIOS - Set 'aaa accounting system"</t>
  </si>
  <si>
    <t>      description         : "1.0052 - NETIOS - Set 'login authentication for 'ip http"</t>
  </si>
  <si>
    <t>      description         : "1.0053 - NETIOS - Set 'aaa accounting' to log all privileged use commands using 'commands 15"</t>
  </si>
  <si>
    <t>      description         : "1.0054 - NETIOS - Set 'aaa accounting connection"</t>
  </si>
  <si>
    <t>      description         : "1.0055 - NETIOS - Set 'aaa accounting exec"</t>
  </si>
  <si>
    <t>      description         : "1.0056 - NETIOS - Set 'aaa accounting network"</t>
  </si>
  <si>
    <t>      description         : "1.0057 - NETIOS - Set 'exec-timeout' to less than or equal to 10 min on 'ip http"</t>
  </si>
  <si>
    <t>      description         : "1.0058 - NETIOS - Set 'exec-timeout' to less than or equal to 10 minutes for 'line aux 0"</t>
  </si>
  <si>
    <t>      description         : "1.0059 - NETIOS - Set 'http Secure-server' limit"</t>
  </si>
  <si>
    <t>      description         : "1.0061 - NETIOS - Require 'aes 128' as minimum for 'snmp-server user' when using SNMPv3"</t>
  </si>
  <si>
    <t>      description         : "1.0062 - NETIOS - Set 'priv' for each 'snmp-server group' using SNMPv3"</t>
  </si>
  <si>
    <t>      description         : "1.0063 - NETIOS - Set maximum value for 'ip ssh authentication-retries"</t>
  </si>
  <si>
    <t>      description         : "1.0064 - NETIOS - Set 'logging enable"</t>
  </si>
  <si>
    <t>      description         : "1.0065 - NETIOS - Set 'login success/failure logging"</t>
  </si>
  <si>
    <t>      description         : "1.0066 - NETIOS - Set 'ntp authenticate"</t>
  </si>
  <si>
    <t>      description         : "1.0067 - NETIOS - Set 'ntp authentication-key"</t>
  </si>
  <si>
    <t>      description         : "1.0068 - NETIOS - Set the 'ntp trusted-key"</t>
  </si>
  <si>
    <t>      description         : "1.0069 - NETIOS - Set 'ntp source' to Loopback Interface"</t>
  </si>
  <si>
    <t>      description         : "1.0070 - NETIOS - Set 'ip tftp source-interface' to the Loopback Interface"</t>
  </si>
  <si>
    <t>      description         : "1.0071 - NETIOS - Set 'authentication key-chain"</t>
  </si>
  <si>
    <t>      description         : "1.0072 - NETIOS - Set 'ip authentication key-chain eigrp"</t>
  </si>
  <si>
    <t>      description         : "1.0073 - NETIOS - Set 'ip authentication mode eigrp"</t>
  </si>
  <si>
    <t>      description         : "1.0074 - NETIOS - Set 'authentication message-digest' for OSPF area"</t>
  </si>
  <si>
    <t>      description         : "1.0075 - NETIOS - Set 'ip ospf message-digest-key md5"</t>
  </si>
  <si>
    <t>      description         : "1.0076 - NETIOS - Set 'neighbor password"</t>
  </si>
  <si>
    <t>1.0025</t>
  </si>
  <si>
    <t xml:space="preserve"> Enable 'aaa authentication enable default</t>
  </si>
  <si>
    <t>1.0025 - NETIOS - Enable 'aaa authentication enable default</t>
  </si>
  <si>
    <t>1.0029</t>
  </si>
  <si>
    <t xml:space="preserve"> Set 'no exec' for 'line aux 0</t>
  </si>
  <si>
    <t>1.0029 - NETIOS - Set 'no exec' for 'line aux 0</t>
  </si>
  <si>
    <t>1.0031</t>
  </si>
  <si>
    <t xml:space="preserve"> Set 'transport input none' for 'line aux 0</t>
  </si>
  <si>
    <t>1.0031 - NETIOS - Set 'transport input none' for 'line aux 0</t>
  </si>
  <si>
    <t>1.0037</t>
  </si>
  <si>
    <t xml:space="preserve"> Set the 'hostname: [PASSED]"
The hostname is used in prompts and default configuration filenames.
See Also</t>
  </si>
  <si>
    <t>1.0037 - NETIOS - Set the 'hostname</t>
  </si>
  <si>
    <t>1.0041</t>
  </si>
  <si>
    <t xml:space="preserve"> Set 'no ip bootp server</t>
  </si>
  <si>
    <t>1.0041 - NETIOS - Set 'no ip bootp server</t>
  </si>
  <si>
    <t>1.0042</t>
  </si>
  <si>
    <t xml:space="preserve"> Set 'no service pad: [PASSED]"
Disable X.
See Also</t>
  </si>
  <si>
    <t>1.0042 - NETIOS - Set 'no service pad</t>
  </si>
  <si>
    <t>1.0043</t>
  </si>
  <si>
    <t xml:space="preserve"> Set 'logging enable: [PASSED]"
Enable logging of system messages.
See Also</t>
  </si>
  <si>
    <t>1.0043 - NETIOS - Set 'logging enable</t>
  </si>
  <si>
    <t>1.0044</t>
  </si>
  <si>
    <t xml:space="preserve"> Set 'buffer size' for 'logging buffered</t>
  </si>
  <si>
    <t>1.0044 - NETIOS - Set 'buffer size' for 'logging buffered</t>
  </si>
  <si>
    <t>1.0048</t>
  </si>
  <si>
    <t xml:space="preserve"> Set 'no interface tunnel</t>
  </si>
  <si>
    <t>1.0048 - NETIOS - Set 'no interface tunnel</t>
  </si>
  <si>
    <t>1.0051</t>
  </si>
  <si>
    <t xml:space="preserve"> Set 'aaa accounting system</t>
  </si>
  <si>
    <t>1.0051 - NETIOS - Set 'aaa accounting system</t>
  </si>
  <si>
    <t>1.0052</t>
  </si>
  <si>
    <t xml:space="preserve"> Set 'login authentication for 'ip http</t>
  </si>
  <si>
    <t>1.0052 - NETIOS - Set 'login authentication for 'ip http</t>
  </si>
  <si>
    <t>1.0053</t>
  </si>
  <si>
    <t xml:space="preserve"> Set 'aaa accounting' to log all privileged use commands using 'commands 15</t>
  </si>
  <si>
    <t>1.0053 - NETIOS - Set 'aaa accounting' to log all privileged use commands using 'commands 15</t>
  </si>
  <si>
    <t>1.0055</t>
  </si>
  <si>
    <t xml:space="preserve"> Set 'aaa accounting exec</t>
  </si>
  <si>
    <t>1.0055 - NETIOS - Set 'aaa accounting exec</t>
  </si>
  <si>
    <t>1.0058</t>
  </si>
  <si>
    <t xml:space="preserve"> Set 'exec-timeout' to less than or equal to 10 minutes for 'line aux 0</t>
  </si>
  <si>
    <t>1.0058 - NETIOS - Set 'exec-timeout' to less than or equal to 10 minutes for 'line aux 0</t>
  </si>
  <si>
    <t>1.0063</t>
  </si>
  <si>
    <t xml:space="preserve"> Set maximum value for 'ip ssh authentication-retries</t>
  </si>
  <si>
    <t>1.0063 - NETIOS - Set maximum value for 'ip ssh authentication-retries</t>
  </si>
  <si>
    <t>1.0065</t>
  </si>
  <si>
    <t xml:space="preserve"> Set 'login success/failure logging</t>
  </si>
  <si>
    <t>1.0065 - NETIOS - Set 'login success/failure logging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</si>
</sst>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F7028-96DA-4574-9286-8431BC1B9414}">
  <dimension ref="A1:A139"/>
  <sheetViews>
    <sheetView tabSelected="1" workbookViewId="0">
      <selection activeCell="E23" sqref="E23"/>
    </sheetView>
  </sheetViews>
  <sheetFormatPr defaultRowHeight="15" x14ac:dyDescent="0.25"/>
  <cols>
    <col min="1" max="1" width="95.5703125" customWidth="1"/>
  </cols>
  <sheetData>
    <row r="1" spans="1:1" x14ac:dyDescent="0.25">
      <c r="A1" t="s">
        <v>829</v>
      </c>
    </row>
    <row r="2" spans="1:1" x14ac:dyDescent="0.25">
      <c r="A2" t="s">
        <v>830</v>
      </c>
    </row>
    <row r="3" spans="1:1" x14ac:dyDescent="0.25">
      <c r="A3" t="s">
        <v>831</v>
      </c>
    </row>
    <row r="4" spans="1:1" x14ac:dyDescent="0.25">
      <c r="A4" t="s">
        <v>832</v>
      </c>
    </row>
    <row r="5" spans="1:1" x14ac:dyDescent="0.25">
      <c r="A5" t="s">
        <v>833</v>
      </c>
    </row>
    <row r="6" spans="1:1" x14ac:dyDescent="0.25">
      <c r="A6" t="s">
        <v>829</v>
      </c>
    </row>
    <row r="8" spans="1:1" x14ac:dyDescent="0.25">
      <c r="A8" t="s">
        <v>834</v>
      </c>
    </row>
    <row r="9" spans="1:1" x14ac:dyDescent="0.25">
      <c r="A9" t="s">
        <v>835</v>
      </c>
    </row>
    <row r="10" spans="1:1" x14ac:dyDescent="0.25">
      <c r="A10" t="s">
        <v>836</v>
      </c>
    </row>
    <row r="11" spans="1:1" x14ac:dyDescent="0.25">
      <c r="A11" t="s">
        <v>837</v>
      </c>
    </row>
    <row r="12" spans="1:1" x14ac:dyDescent="0.25">
      <c r="A12" t="s">
        <v>838</v>
      </c>
    </row>
    <row r="14" spans="1:1" x14ac:dyDescent="0.25">
      <c r="A14" t="s">
        <v>839</v>
      </c>
    </row>
    <row r="15" spans="1:1" x14ac:dyDescent="0.25">
      <c r="A15" t="s">
        <v>840</v>
      </c>
    </row>
    <row r="16" spans="1:1" x14ac:dyDescent="0.25">
      <c r="A16" t="s">
        <v>841</v>
      </c>
    </row>
    <row r="18" spans="1:1" x14ac:dyDescent="0.25">
      <c r="A18" t="s">
        <v>842</v>
      </c>
    </row>
    <row r="19" spans="1:1" x14ac:dyDescent="0.25">
      <c r="A19" t="s">
        <v>843</v>
      </c>
    </row>
    <row r="21" spans="1:1" x14ac:dyDescent="0.25">
      <c r="A21" t="s">
        <v>844</v>
      </c>
    </row>
    <row r="22" spans="1:1" x14ac:dyDescent="0.25">
      <c r="A22" t="s">
        <v>845</v>
      </c>
    </row>
    <row r="24" spans="1:1" x14ac:dyDescent="0.25">
      <c r="A24" t="s">
        <v>846</v>
      </c>
    </row>
    <row r="25" spans="1:1" x14ac:dyDescent="0.25">
      <c r="A25" t="s">
        <v>847</v>
      </c>
    </row>
    <row r="27" spans="1:1" x14ac:dyDescent="0.25">
      <c r="A27" t="s">
        <v>848</v>
      </c>
    </row>
    <row r="28" spans="1:1" x14ac:dyDescent="0.25">
      <c r="A28" t="s">
        <v>849</v>
      </c>
    </row>
    <row r="30" spans="1:1" x14ac:dyDescent="0.25">
      <c r="A30" t="s">
        <v>850</v>
      </c>
    </row>
    <row r="31" spans="1:1" x14ac:dyDescent="0.25">
      <c r="A31" t="s">
        <v>851</v>
      </c>
    </row>
    <row r="33" spans="1:1" x14ac:dyDescent="0.25">
      <c r="A33" t="s">
        <v>852</v>
      </c>
    </row>
    <row r="34" spans="1:1" x14ac:dyDescent="0.25">
      <c r="A34" t="s">
        <v>853</v>
      </c>
    </row>
    <row r="36" spans="1:1" x14ac:dyDescent="0.25">
      <c r="A36" t="s">
        <v>854</v>
      </c>
    </row>
    <row r="37" spans="1:1" x14ac:dyDescent="0.25">
      <c r="A37" t="s">
        <v>855</v>
      </c>
    </row>
    <row r="39" spans="1:1" x14ac:dyDescent="0.25">
      <c r="A39" t="s">
        <v>856</v>
      </c>
    </row>
    <row r="40" spans="1:1" x14ac:dyDescent="0.25">
      <c r="A40" t="s">
        <v>857</v>
      </c>
    </row>
    <row r="42" spans="1:1" x14ac:dyDescent="0.25">
      <c r="A42" t="s">
        <v>858</v>
      </c>
    </row>
    <row r="43" spans="1:1" x14ac:dyDescent="0.25">
      <c r="A43" t="s">
        <v>859</v>
      </c>
    </row>
    <row r="45" spans="1:1" x14ac:dyDescent="0.25">
      <c r="A45" t="s">
        <v>860</v>
      </c>
    </row>
    <row r="46" spans="1:1" x14ac:dyDescent="0.25">
      <c r="A46" t="s">
        <v>861</v>
      </c>
    </row>
    <row r="48" spans="1:1" x14ac:dyDescent="0.25">
      <c r="A48" t="s">
        <v>862</v>
      </c>
    </row>
    <row r="49" spans="1:1" x14ac:dyDescent="0.25">
      <c r="A49" t="s">
        <v>863</v>
      </c>
    </row>
    <row r="51" spans="1:1" x14ac:dyDescent="0.25">
      <c r="A51" t="s">
        <v>864</v>
      </c>
    </row>
    <row r="52" spans="1:1" x14ac:dyDescent="0.25">
      <c r="A52" t="s">
        <v>865</v>
      </c>
    </row>
    <row r="54" spans="1:1" x14ac:dyDescent="0.25">
      <c r="A54" t="s">
        <v>866</v>
      </c>
    </row>
    <row r="55" spans="1:1" x14ac:dyDescent="0.25">
      <c r="A55" t="s">
        <v>867</v>
      </c>
    </row>
    <row r="57" spans="1:1" x14ac:dyDescent="0.25">
      <c r="A57" t="s">
        <v>868</v>
      </c>
    </row>
    <row r="58" spans="1:1" x14ac:dyDescent="0.25">
      <c r="A58" t="s">
        <v>869</v>
      </c>
    </row>
    <row r="60" spans="1:1" x14ac:dyDescent="0.25">
      <c r="A60" t="s">
        <v>870</v>
      </c>
    </row>
    <row r="61" spans="1:1" x14ac:dyDescent="0.25">
      <c r="A61" t="s">
        <v>871</v>
      </c>
    </row>
    <row r="63" spans="1:1" x14ac:dyDescent="0.25">
      <c r="A63" t="s">
        <v>872</v>
      </c>
    </row>
    <row r="64" spans="1:1" x14ac:dyDescent="0.25">
      <c r="A64" t="s">
        <v>873</v>
      </c>
    </row>
    <row r="66" spans="1:1" x14ac:dyDescent="0.25">
      <c r="A66" t="s">
        <v>874</v>
      </c>
    </row>
    <row r="67" spans="1:1" x14ac:dyDescent="0.25">
      <c r="A67" t="s">
        <v>875</v>
      </c>
    </row>
    <row r="69" spans="1:1" x14ac:dyDescent="0.25">
      <c r="A69" t="s">
        <v>876</v>
      </c>
    </row>
    <row r="70" spans="1:1" x14ac:dyDescent="0.25">
      <c r="A70" t="s">
        <v>877</v>
      </c>
    </row>
    <row r="72" spans="1:1" x14ac:dyDescent="0.25">
      <c r="A72" t="s">
        <v>878</v>
      </c>
    </row>
    <row r="73" spans="1:1" x14ac:dyDescent="0.25">
      <c r="A73" t="s">
        <v>879</v>
      </c>
    </row>
    <row r="75" spans="1:1" x14ac:dyDescent="0.25">
      <c r="A75" t="s">
        <v>880</v>
      </c>
    </row>
    <row r="76" spans="1:1" x14ac:dyDescent="0.25">
      <c r="A76" t="s">
        <v>881</v>
      </c>
    </row>
    <row r="78" spans="1:1" x14ac:dyDescent="0.25">
      <c r="A78" t="s">
        <v>882</v>
      </c>
    </row>
    <row r="79" spans="1:1" x14ac:dyDescent="0.25">
      <c r="A79" t="s">
        <v>883</v>
      </c>
    </row>
    <row r="81" spans="1:1" x14ac:dyDescent="0.25">
      <c r="A81" t="s">
        <v>884</v>
      </c>
    </row>
    <row r="82" spans="1:1" x14ac:dyDescent="0.25">
      <c r="A82" t="s">
        <v>885</v>
      </c>
    </row>
    <row r="84" spans="1:1" x14ac:dyDescent="0.25">
      <c r="A84" t="s">
        <v>886</v>
      </c>
    </row>
    <row r="85" spans="1:1" x14ac:dyDescent="0.25">
      <c r="A85" t="s">
        <v>841</v>
      </c>
    </row>
    <row r="87" spans="1:1" x14ac:dyDescent="0.25">
      <c r="A87" t="s">
        <v>887</v>
      </c>
    </row>
    <row r="88" spans="1:1" x14ac:dyDescent="0.25">
      <c r="A88" t="s">
        <v>888</v>
      </c>
    </row>
    <row r="89" spans="1:1" x14ac:dyDescent="0.25">
      <c r="A89" t="s">
        <v>889</v>
      </c>
    </row>
    <row r="90" spans="1:1" x14ac:dyDescent="0.25">
      <c r="A90" t="s">
        <v>890</v>
      </c>
    </row>
    <row r="91" spans="1:1" x14ac:dyDescent="0.25">
      <c r="A91" t="s">
        <v>891</v>
      </c>
    </row>
    <row r="92" spans="1:1" x14ac:dyDescent="0.25">
      <c r="A92" t="s">
        <v>892</v>
      </c>
    </row>
    <row r="93" spans="1:1" x14ac:dyDescent="0.25">
      <c r="A93" t="s">
        <v>893</v>
      </c>
    </row>
    <row r="94" spans="1:1" x14ac:dyDescent="0.25">
      <c r="A94" t="s">
        <v>894</v>
      </c>
    </row>
    <row r="95" spans="1:1" x14ac:dyDescent="0.25">
      <c r="A95" t="s">
        <v>895</v>
      </c>
    </row>
    <row r="96" spans="1:1" x14ac:dyDescent="0.25">
      <c r="A96" t="s">
        <v>896</v>
      </c>
    </row>
    <row r="97" spans="1:1" x14ac:dyDescent="0.25">
      <c r="A97" t="s">
        <v>897</v>
      </c>
    </row>
    <row r="98" spans="1:1" x14ac:dyDescent="0.25">
      <c r="A98" t="s">
        <v>898</v>
      </c>
    </row>
    <row r="99" spans="1:1" x14ac:dyDescent="0.25">
      <c r="A99" t="s">
        <v>899</v>
      </c>
    </row>
    <row r="100" spans="1:1" x14ac:dyDescent="0.25">
      <c r="A100" t="s">
        <v>900</v>
      </c>
    </row>
    <row r="101" spans="1:1" x14ac:dyDescent="0.25">
      <c r="A101" t="s">
        <v>901</v>
      </c>
    </row>
    <row r="102" spans="1:1" x14ac:dyDescent="0.25">
      <c r="A102" t="s">
        <v>902</v>
      </c>
    </row>
    <row r="103" spans="1:1" x14ac:dyDescent="0.25">
      <c r="A103" t="s">
        <v>903</v>
      </c>
    </row>
    <row r="104" spans="1:1" x14ac:dyDescent="0.25">
      <c r="A104" t="s">
        <v>904</v>
      </c>
    </row>
    <row r="105" spans="1:1" x14ac:dyDescent="0.25">
      <c r="A105" t="s">
        <v>905</v>
      </c>
    </row>
    <row r="106" spans="1:1" x14ac:dyDescent="0.25">
      <c r="A106" t="s">
        <v>906</v>
      </c>
    </row>
    <row r="107" spans="1:1" x14ac:dyDescent="0.25">
      <c r="A107" t="s">
        <v>907</v>
      </c>
    </row>
    <row r="108" spans="1:1" x14ac:dyDescent="0.25">
      <c r="A108" t="s">
        <v>908</v>
      </c>
    </row>
    <row r="109" spans="1:1" x14ac:dyDescent="0.25">
      <c r="A109" t="s">
        <v>909</v>
      </c>
    </row>
    <row r="110" spans="1:1" x14ac:dyDescent="0.25">
      <c r="A110" t="s">
        <v>910</v>
      </c>
    </row>
    <row r="111" spans="1:1" x14ac:dyDescent="0.25">
      <c r="A111" t="s">
        <v>911</v>
      </c>
    </row>
    <row r="112" spans="1:1" x14ac:dyDescent="0.25">
      <c r="A112" t="s">
        <v>912</v>
      </c>
    </row>
    <row r="113" spans="1:1" x14ac:dyDescent="0.25">
      <c r="A113" t="s">
        <v>913</v>
      </c>
    </row>
    <row r="114" spans="1:1" x14ac:dyDescent="0.25">
      <c r="A114" t="s">
        <v>914</v>
      </c>
    </row>
    <row r="115" spans="1:1" x14ac:dyDescent="0.25">
      <c r="A115" t="s">
        <v>915</v>
      </c>
    </row>
    <row r="116" spans="1:1" x14ac:dyDescent="0.25">
      <c r="A116" t="s">
        <v>916</v>
      </c>
    </row>
    <row r="117" spans="1:1" x14ac:dyDescent="0.25">
      <c r="A117" t="s">
        <v>917</v>
      </c>
    </row>
    <row r="118" spans="1:1" x14ac:dyDescent="0.25">
      <c r="A118" t="s">
        <v>918</v>
      </c>
    </row>
    <row r="119" spans="1:1" x14ac:dyDescent="0.25">
      <c r="A119" t="s">
        <v>919</v>
      </c>
    </row>
    <row r="120" spans="1:1" x14ac:dyDescent="0.25">
      <c r="A120" t="s">
        <v>920</v>
      </c>
    </row>
    <row r="121" spans="1:1" x14ac:dyDescent="0.25">
      <c r="A121" t="s">
        <v>921</v>
      </c>
    </row>
    <row r="122" spans="1:1" x14ac:dyDescent="0.25">
      <c r="A122" t="s">
        <v>922</v>
      </c>
    </row>
    <row r="123" spans="1:1" x14ac:dyDescent="0.25">
      <c r="A123" t="s">
        <v>923</v>
      </c>
    </row>
    <row r="124" spans="1:1" x14ac:dyDescent="0.25">
      <c r="A124" t="s">
        <v>924</v>
      </c>
    </row>
    <row r="125" spans="1:1" x14ac:dyDescent="0.25">
      <c r="A125" t="s">
        <v>925</v>
      </c>
    </row>
    <row r="126" spans="1:1" x14ac:dyDescent="0.25">
      <c r="A126" t="s">
        <v>926</v>
      </c>
    </row>
    <row r="127" spans="1:1" x14ac:dyDescent="0.25">
      <c r="A127" t="s">
        <v>927</v>
      </c>
    </row>
    <row r="128" spans="1:1" x14ac:dyDescent="0.25">
      <c r="A128" t="s">
        <v>928</v>
      </c>
    </row>
    <row r="129" spans="1:1" x14ac:dyDescent="0.25">
      <c r="A129" t="s">
        <v>929</v>
      </c>
    </row>
    <row r="130" spans="1:1" x14ac:dyDescent="0.25">
      <c r="A130" t="s">
        <v>930</v>
      </c>
    </row>
    <row r="131" spans="1:1" x14ac:dyDescent="0.25">
      <c r="A131" t="s">
        <v>931</v>
      </c>
    </row>
    <row r="132" spans="1:1" x14ac:dyDescent="0.25">
      <c r="A132" t="s">
        <v>932</v>
      </c>
    </row>
    <row r="133" spans="1:1" x14ac:dyDescent="0.25">
      <c r="A133" t="s">
        <v>933</v>
      </c>
    </row>
    <row r="134" spans="1:1" x14ac:dyDescent="0.25">
      <c r="A134" t="s">
        <v>934</v>
      </c>
    </row>
    <row r="135" spans="1:1" x14ac:dyDescent="0.25">
      <c r="A135" t="s">
        <v>935</v>
      </c>
    </row>
    <row r="136" spans="1:1" x14ac:dyDescent="0.25">
      <c r="A136" t="s">
        <v>936</v>
      </c>
    </row>
    <row r="137" spans="1:1" x14ac:dyDescent="0.25">
      <c r="A137" t="s">
        <v>937</v>
      </c>
    </row>
    <row r="138" spans="1:1" x14ac:dyDescent="0.25">
      <c r="A138" t="s">
        <v>938</v>
      </c>
    </row>
    <row r="139" spans="1:1" x14ac:dyDescent="0.25">
      <c r="A139" t="s">
        <v>939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E87E1-E262-474B-9128-F33CA6CC91A8}">
  <dimension ref="A1:BQ49"/>
  <sheetViews>
    <sheetView topLeftCell="BA25" workbookViewId="0">
      <selection activeCell="J1" sqref="J1:M2"/>
    </sheetView>
  </sheetViews>
  <sheetFormatPr defaultColWidth="9.28515625" defaultRowHeight="15" customHeight="1" x14ac:dyDescent="0.25"/>
  <cols>
    <col min="1" max="1" width="8.85546875" hidden="1" customWidth="1"/>
    <col min="2" max="2" width="4.28515625" hidden="1" customWidth="1"/>
    <col min="3" max="3" width="5.28515625" hidden="1" customWidth="1"/>
    <col min="4" max="4" width="5.7109375" hidden="1" customWidth="1"/>
    <col min="5" max="5" width="35.7109375" hidden="1" customWidth="1"/>
    <col min="6" max="6" width="8.42578125" hidden="1" customWidth="1"/>
    <col min="7" max="7" width="4.5703125" hidden="1" customWidth="1"/>
    <col min="8" max="8" width="72.140625" hidden="1" customWidth="1"/>
    <col min="9" max="9" width="66.28515625" hidden="1" customWidth="1"/>
    <col min="10" max="13" width="66.28515625" customWidth="1"/>
    <col min="14" max="14" width="142.5703125" bestFit="1" customWidth="1"/>
    <col min="15" max="15" width="32.7109375" bestFit="1" customWidth="1"/>
    <col min="16" max="16" width="8.28515625" bestFit="1" customWidth="1"/>
    <col min="17" max="17" width="255.7109375" bestFit="1" customWidth="1"/>
    <col min="18" max="18" width="37.140625" bestFit="1" customWidth="1"/>
    <col min="19" max="19" width="17" bestFit="1" customWidth="1"/>
    <col min="20" max="20" width="13.85546875" bestFit="1" customWidth="1"/>
    <col min="21" max="21" width="35.7109375" bestFit="1" customWidth="1"/>
    <col min="22" max="22" width="7.85546875" bestFit="1" customWidth="1"/>
    <col min="23" max="23" width="3.42578125" bestFit="1" customWidth="1"/>
    <col min="24" max="24" width="12.42578125" bestFit="1" customWidth="1"/>
    <col min="25" max="25" width="17.5703125" bestFit="1" customWidth="1"/>
    <col min="26" max="26" width="15.42578125" bestFit="1" customWidth="1"/>
    <col min="27" max="27" width="19.7109375" bestFit="1" customWidth="1"/>
    <col min="28" max="28" width="20.42578125" bestFit="1" customWidth="1"/>
    <col min="29" max="29" width="11.28515625" bestFit="1" customWidth="1"/>
    <col min="30" max="30" width="16.42578125" bestFit="1" customWidth="1"/>
    <col min="31" max="31" width="20.7109375" bestFit="1" customWidth="1"/>
    <col min="32" max="32" width="21.5703125" bestFit="1" customWidth="1"/>
    <col min="33" max="33" width="12.28515625" bestFit="1" customWidth="1"/>
    <col min="34" max="34" width="11.5703125" bestFit="1" customWidth="1"/>
    <col min="35" max="36" width="23.5703125" bestFit="1" customWidth="1"/>
    <col min="37" max="37" width="30.85546875" bestFit="1" customWidth="1"/>
    <col min="38" max="39" width="23.5703125" bestFit="1" customWidth="1"/>
    <col min="40" max="40" width="60.85546875" bestFit="1" customWidth="1"/>
    <col min="41" max="41" width="36.5703125" bestFit="1" customWidth="1"/>
    <col min="42" max="42" width="23.5703125" bestFit="1" customWidth="1"/>
    <col min="43" max="43" width="29" bestFit="1" customWidth="1"/>
    <col min="44" max="44" width="31.5703125" bestFit="1" customWidth="1"/>
    <col min="45" max="45" width="8" bestFit="1" customWidth="1"/>
    <col min="46" max="46" width="10.7109375" bestFit="1" customWidth="1"/>
    <col min="47" max="47" width="7.5703125" bestFit="1" customWidth="1"/>
    <col min="48" max="48" width="15.28515625" bestFit="1" customWidth="1"/>
    <col min="49" max="49" width="12.140625" bestFit="1" customWidth="1"/>
    <col min="50" max="50" width="15.28515625" bestFit="1" customWidth="1"/>
    <col min="51" max="51" width="11" bestFit="1" customWidth="1"/>
    <col min="52" max="52" width="16.5703125" bestFit="1" customWidth="1"/>
    <col min="53" max="53" width="7.140625" bestFit="1" customWidth="1"/>
    <col min="54" max="54" width="23" bestFit="1" customWidth="1"/>
    <col min="55" max="55" width="22" bestFit="1" customWidth="1"/>
    <col min="56" max="56" width="18.42578125" bestFit="1" customWidth="1"/>
    <col min="57" max="57" width="15.5703125" bestFit="1" customWidth="1"/>
    <col min="58" max="58" width="19.7109375" bestFit="1" customWidth="1"/>
    <col min="59" max="59" width="18.7109375" bestFit="1" customWidth="1"/>
    <col min="60" max="60" width="8" bestFit="1" customWidth="1"/>
    <col min="61" max="61" width="8.140625" bestFit="1" customWidth="1"/>
    <col min="62" max="62" width="10.28515625" bestFit="1" customWidth="1"/>
    <col min="63" max="63" width="12.28515625" bestFit="1" customWidth="1"/>
    <col min="64" max="64" width="10.42578125" bestFit="1" customWidth="1"/>
    <col min="65" max="65" width="15" bestFit="1" customWidth="1"/>
    <col min="66" max="66" width="14.7109375" bestFit="1" customWidth="1"/>
    <col min="67" max="67" width="11.5703125" bestFit="1" customWidth="1"/>
    <col min="68" max="68" width="22" bestFit="1" customWidth="1"/>
    <col min="69" max="69" width="9.5703125" bestFit="1" customWidth="1"/>
  </cols>
  <sheetData>
    <row r="1" spans="1:69" ht="15" customHeight="1" x14ac:dyDescent="0.25">
      <c r="A1" t="s">
        <v>0</v>
      </c>
      <c r="B1" t="s">
        <v>1</v>
      </c>
      <c r="C1" t="s">
        <v>2</v>
      </c>
      <c r="D1" t="s">
        <v>3</v>
      </c>
      <c r="E1" t="s">
        <v>4</v>
      </c>
      <c r="F1" t="s">
        <v>5</v>
      </c>
      <c r="G1" t="s">
        <v>6</v>
      </c>
      <c r="H1" t="s">
        <v>7</v>
      </c>
      <c r="I1" t="s">
        <v>8</v>
      </c>
      <c r="J1" t="s">
        <v>234</v>
      </c>
      <c r="K1" t="s">
        <v>235</v>
      </c>
      <c r="L1" t="s">
        <v>236</v>
      </c>
      <c r="M1" t="s">
        <v>237</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row>
    <row r="2" spans="1:69" ht="15" customHeight="1" x14ac:dyDescent="0.25">
      <c r="A2" t="str">
        <f>MID($N2,FIND("1.",$N2),FIND("-",$N2)-FIND("1.",$N2)-1)</f>
        <v>1.0001</v>
      </c>
      <c r="B2" t="e">
        <f t="shared" ref="B2" si="0">MID($N2,FIND("MSWRK - ",$N2)+8,FIND(":",$N2,40)-FIND("MSWRK - ",$N2)-8)</f>
        <v>#VALUE!</v>
      </c>
      <c r="C2" t="str">
        <f t="shared" ref="C2" si="1">MID($N2,FIND("1.",$N2),FIND("[",$N2)-1-FIND("1.",$N2)-1)</f>
        <v>1.0001 - NETIOS - Enable 'aaa new-model</v>
      </c>
      <c r="D2" t="str">
        <f t="shared" ref="D2" si="2">MID($N2,FIND("[",$N2)+1,FIND("]",$N2)-FIND("[",$N2)-1)</f>
        <v>PASSED</v>
      </c>
      <c r="E2" t="s">
        <v>66</v>
      </c>
      <c r="F2" t="s">
        <v>80</v>
      </c>
      <c r="G2">
        <v>0</v>
      </c>
      <c r="H2" t="s">
        <v>81</v>
      </c>
      <c r="I2" t="s">
        <v>82</v>
      </c>
      <c r="J2" t="str">
        <f>MID($N2,FIND("1.",$N2),FIND("-",$N2)-FIND("1.",$N2)-1)</f>
        <v>1.0001</v>
      </c>
      <c r="K2" t="str">
        <f>MID($N2,FIND("NETIOS - ",$N2)+8,FIND(":",$N2,40)-FIND("NETIOS - ",$N2)-8)</f>
        <v xml:space="preserve"> Enable 'aaa new-model</v>
      </c>
      <c r="L2" t="str">
        <f t="shared" ref="L2:L49" si="3">MID($N2,FIND("1.",$N2),FIND("[",$N2)-1-FIND("1.",$N2)-1)</f>
        <v>1.0001 - NETIOS - Enable 'aaa new-model</v>
      </c>
      <c r="M2" t="str">
        <f t="shared" ref="M2:M49" si="4">MID($N2,FIND("[",$N2)+1,FIND("]",$N2)-FIND("[",$N2)-1)</f>
        <v>PASSED</v>
      </c>
      <c r="N2" s="1" t="s">
        <v>104</v>
      </c>
      <c r="O2" t="s">
        <v>77</v>
      </c>
      <c r="R2" t="s">
        <v>67</v>
      </c>
      <c r="T2" t="s">
        <v>68</v>
      </c>
      <c r="U2" t="s">
        <v>66</v>
      </c>
      <c r="X2" s="1" t="s">
        <v>69</v>
      </c>
      <c r="Y2" t="s">
        <v>84</v>
      </c>
      <c r="Z2">
        <v>0</v>
      </c>
      <c r="AA2">
        <v>0</v>
      </c>
      <c r="AD2">
        <v>0</v>
      </c>
      <c r="AE2">
        <v>0</v>
      </c>
      <c r="AI2" t="s">
        <v>70</v>
      </c>
      <c r="AJ2" t="s">
        <v>71</v>
      </c>
      <c r="AK2" t="s">
        <v>72</v>
      </c>
      <c r="AN2" t="s">
        <v>73</v>
      </c>
      <c r="AO2" t="s">
        <v>74</v>
      </c>
      <c r="AP2" t="s">
        <v>101</v>
      </c>
      <c r="AQ2" t="s">
        <v>76</v>
      </c>
      <c r="AS2" t="b">
        <v>1</v>
      </c>
      <c r="AT2" t="s">
        <v>65</v>
      </c>
      <c r="AU2">
        <v>0</v>
      </c>
      <c r="AV2">
        <v>0</v>
      </c>
      <c r="AX2">
        <v>39</v>
      </c>
      <c r="AY2" t="s">
        <v>79</v>
      </c>
      <c r="AZ2" t="s">
        <v>86</v>
      </c>
      <c r="BB2" t="s">
        <v>87</v>
      </c>
      <c r="BC2" t="s">
        <v>88</v>
      </c>
      <c r="BD2" t="b">
        <v>0</v>
      </c>
      <c r="BE2" t="b">
        <v>0</v>
      </c>
      <c r="BF2" t="b">
        <v>0</v>
      </c>
      <c r="BG2" t="b">
        <v>0</v>
      </c>
      <c r="BH2" t="b">
        <v>0</v>
      </c>
      <c r="BI2" t="b">
        <v>0</v>
      </c>
      <c r="BJ2" t="b">
        <v>0</v>
      </c>
      <c r="BK2" t="b">
        <v>0</v>
      </c>
      <c r="BL2" t="b">
        <v>0</v>
      </c>
      <c r="BM2" t="b">
        <v>0</v>
      </c>
      <c r="BN2" t="b">
        <v>0</v>
      </c>
      <c r="BO2" t="b">
        <v>0</v>
      </c>
      <c r="BP2" t="b">
        <v>0</v>
      </c>
    </row>
    <row r="3" spans="1:69" ht="15" customHeight="1" x14ac:dyDescent="0.25">
      <c r="A3">
        <v>46689</v>
      </c>
      <c r="C3">
        <v>0</v>
      </c>
      <c r="D3" t="s">
        <v>65</v>
      </c>
      <c r="E3" t="s">
        <v>118</v>
      </c>
      <c r="F3" t="s">
        <v>80</v>
      </c>
      <c r="G3">
        <v>0</v>
      </c>
      <c r="H3" t="s">
        <v>81</v>
      </c>
      <c r="I3" t="s">
        <v>82</v>
      </c>
      <c r="J3" t="str">
        <f t="shared" ref="J3:J49" si="5">MID($N3,FIND("1.",$N3),FIND("-",$N3)-FIND("1.",$N3)-1)</f>
        <v>1.0001</v>
      </c>
      <c r="K3" t="str">
        <f t="shared" ref="K3:K49" si="6">MID($N3,FIND("NETIOS - ",$N3)+8,FIND(":",$N3,40)-FIND("NETIOS - ",$N3)-8)</f>
        <v xml:space="preserve"> Enable 'aaa new-model</v>
      </c>
      <c r="L3" t="str">
        <f t="shared" si="3"/>
        <v>1.0001 - NETIOS - Enable 'aaa new-model</v>
      </c>
      <c r="M3" t="str">
        <f t="shared" si="4"/>
        <v>PASSED</v>
      </c>
      <c r="N3" s="1" t="s">
        <v>104</v>
      </c>
      <c r="O3" t="s">
        <v>77</v>
      </c>
      <c r="R3" t="s">
        <v>119</v>
      </c>
      <c r="T3" t="s">
        <v>120</v>
      </c>
      <c r="U3" t="s">
        <v>118</v>
      </c>
      <c r="X3" s="1" t="s">
        <v>121</v>
      </c>
      <c r="Y3" t="s">
        <v>84</v>
      </c>
      <c r="Z3">
        <v>0</v>
      </c>
      <c r="AA3">
        <v>0</v>
      </c>
      <c r="AD3">
        <v>0</v>
      </c>
      <c r="AE3">
        <v>0</v>
      </c>
      <c r="AI3" t="s">
        <v>70</v>
      </c>
      <c r="AJ3" t="s">
        <v>71</v>
      </c>
      <c r="AK3" t="s">
        <v>72</v>
      </c>
      <c r="AN3" t="s">
        <v>73</v>
      </c>
      <c r="AO3" t="s">
        <v>74</v>
      </c>
      <c r="AP3" t="s">
        <v>139</v>
      </c>
      <c r="AQ3" t="s">
        <v>123</v>
      </c>
      <c r="AS3" t="b">
        <v>1</v>
      </c>
      <c r="AT3" t="s">
        <v>65</v>
      </c>
      <c r="AU3">
        <v>0</v>
      </c>
      <c r="AV3">
        <v>0</v>
      </c>
      <c r="AX3">
        <v>39</v>
      </c>
      <c r="AY3" t="s">
        <v>79</v>
      </c>
      <c r="AZ3" t="s">
        <v>86</v>
      </c>
      <c r="BB3" t="s">
        <v>87</v>
      </c>
      <c r="BC3" t="s">
        <v>88</v>
      </c>
      <c r="BD3" t="b">
        <v>0</v>
      </c>
      <c r="BE3" t="b">
        <v>0</v>
      </c>
      <c r="BF3" t="b">
        <v>0</v>
      </c>
      <c r="BG3" t="b">
        <v>0</v>
      </c>
      <c r="BH3" t="b">
        <v>0</v>
      </c>
      <c r="BI3" t="b">
        <v>0</v>
      </c>
      <c r="BJ3" t="b">
        <v>0</v>
      </c>
      <c r="BK3" t="b">
        <v>0</v>
      </c>
      <c r="BL3" t="b">
        <v>0</v>
      </c>
      <c r="BM3" t="b">
        <v>0</v>
      </c>
      <c r="BN3" t="b">
        <v>0</v>
      </c>
      <c r="BO3" t="b">
        <v>0</v>
      </c>
      <c r="BP3" t="b">
        <v>0</v>
      </c>
    </row>
    <row r="4" spans="1:69" ht="15" customHeight="1" x14ac:dyDescent="0.25">
      <c r="A4">
        <v>46689</v>
      </c>
      <c r="C4">
        <v>0</v>
      </c>
      <c r="D4" t="s">
        <v>65</v>
      </c>
      <c r="E4" t="s">
        <v>66</v>
      </c>
      <c r="F4" t="s">
        <v>80</v>
      </c>
      <c r="G4">
        <v>0</v>
      </c>
      <c r="H4" t="s">
        <v>81</v>
      </c>
      <c r="I4" t="s">
        <v>82</v>
      </c>
      <c r="J4" t="str">
        <f t="shared" si="5"/>
        <v>1.0002</v>
      </c>
      <c r="K4" t="str">
        <f t="shared" si="6"/>
        <v xml:space="preserve"> Enable 'aaa authentication login</v>
      </c>
      <c r="L4" t="str">
        <f t="shared" si="3"/>
        <v>1.0002 - NETIOS - Enable 'aaa authentication login</v>
      </c>
      <c r="M4" t="str">
        <f t="shared" si="4"/>
        <v>PASSED</v>
      </c>
      <c r="N4" s="1" t="s">
        <v>116</v>
      </c>
      <c r="O4" t="s">
        <v>77</v>
      </c>
      <c r="R4" t="s">
        <v>67</v>
      </c>
      <c r="T4" t="s">
        <v>68</v>
      </c>
      <c r="U4" t="s">
        <v>66</v>
      </c>
      <c r="X4" s="1" t="s">
        <v>69</v>
      </c>
      <c r="Y4" t="s">
        <v>84</v>
      </c>
      <c r="Z4">
        <v>0</v>
      </c>
      <c r="AA4">
        <v>0</v>
      </c>
      <c r="AD4">
        <v>0</v>
      </c>
      <c r="AE4">
        <v>0</v>
      </c>
      <c r="AI4" t="s">
        <v>70</v>
      </c>
      <c r="AJ4" t="s">
        <v>71</v>
      </c>
      <c r="AK4" t="s">
        <v>72</v>
      </c>
      <c r="AN4" t="s">
        <v>73</v>
      </c>
      <c r="AO4" t="s">
        <v>74</v>
      </c>
      <c r="AP4" t="s">
        <v>75</v>
      </c>
      <c r="AQ4" t="s">
        <v>76</v>
      </c>
      <c r="AS4" t="b">
        <v>1</v>
      </c>
      <c r="AT4" t="s">
        <v>65</v>
      </c>
      <c r="AU4">
        <v>0</v>
      </c>
      <c r="AV4">
        <v>0</v>
      </c>
      <c r="AX4">
        <v>39</v>
      </c>
      <c r="AY4" t="s">
        <v>79</v>
      </c>
      <c r="AZ4" t="s">
        <v>86</v>
      </c>
      <c r="BB4" t="s">
        <v>87</v>
      </c>
      <c r="BC4" t="s">
        <v>88</v>
      </c>
      <c r="BD4" t="b">
        <v>0</v>
      </c>
      <c r="BE4" t="b">
        <v>0</v>
      </c>
      <c r="BF4" t="b">
        <v>0</v>
      </c>
      <c r="BG4" t="b">
        <v>0</v>
      </c>
      <c r="BH4" t="b">
        <v>0</v>
      </c>
      <c r="BI4" t="b">
        <v>0</v>
      </c>
      <c r="BJ4" t="b">
        <v>0</v>
      </c>
      <c r="BK4" t="b">
        <v>0</v>
      </c>
      <c r="BL4" t="b">
        <v>0</v>
      </c>
      <c r="BM4" t="b">
        <v>0</v>
      </c>
      <c r="BN4" t="b">
        <v>0</v>
      </c>
      <c r="BO4" t="b">
        <v>0</v>
      </c>
      <c r="BP4" t="b">
        <v>0</v>
      </c>
    </row>
    <row r="5" spans="1:69" ht="15" customHeight="1" x14ac:dyDescent="0.25">
      <c r="A5">
        <v>46689</v>
      </c>
      <c r="C5">
        <v>0</v>
      </c>
      <c r="D5" t="s">
        <v>65</v>
      </c>
      <c r="E5" t="s">
        <v>118</v>
      </c>
      <c r="F5" t="s">
        <v>80</v>
      </c>
      <c r="G5">
        <v>0</v>
      </c>
      <c r="H5" t="s">
        <v>81</v>
      </c>
      <c r="I5" t="s">
        <v>82</v>
      </c>
      <c r="J5" t="str">
        <f t="shared" si="5"/>
        <v>1.0002</v>
      </c>
      <c r="K5" t="str">
        <f t="shared" si="6"/>
        <v xml:space="preserve"> Enable 'aaa authentication login</v>
      </c>
      <c r="L5" t="str">
        <f t="shared" si="3"/>
        <v>1.0002 - NETIOS - Enable 'aaa authentication login</v>
      </c>
      <c r="M5" t="str">
        <f t="shared" si="4"/>
        <v>PASSED</v>
      </c>
      <c r="N5" s="1" t="s">
        <v>133</v>
      </c>
      <c r="O5" t="s">
        <v>77</v>
      </c>
      <c r="R5" t="s">
        <v>119</v>
      </c>
      <c r="T5" t="s">
        <v>120</v>
      </c>
      <c r="U5" t="s">
        <v>118</v>
      </c>
      <c r="X5" s="1" t="s">
        <v>121</v>
      </c>
      <c r="Y5" t="s">
        <v>84</v>
      </c>
      <c r="Z5">
        <v>0</v>
      </c>
      <c r="AA5">
        <v>0</v>
      </c>
      <c r="AD5">
        <v>0</v>
      </c>
      <c r="AE5">
        <v>0</v>
      </c>
      <c r="AI5" t="s">
        <v>70</v>
      </c>
      <c r="AJ5" t="s">
        <v>71</v>
      </c>
      <c r="AK5" t="s">
        <v>72</v>
      </c>
      <c r="AN5" t="s">
        <v>73</v>
      </c>
      <c r="AO5" t="s">
        <v>74</v>
      </c>
      <c r="AP5" t="s">
        <v>132</v>
      </c>
      <c r="AQ5" t="s">
        <v>123</v>
      </c>
      <c r="AS5" t="b">
        <v>1</v>
      </c>
      <c r="AT5" t="s">
        <v>65</v>
      </c>
      <c r="AU5">
        <v>0</v>
      </c>
      <c r="AV5">
        <v>0</v>
      </c>
      <c r="AX5">
        <v>39</v>
      </c>
      <c r="AY5" t="s">
        <v>79</v>
      </c>
      <c r="AZ5" t="s">
        <v>86</v>
      </c>
      <c r="BB5" t="s">
        <v>87</v>
      </c>
      <c r="BC5" t="s">
        <v>88</v>
      </c>
      <c r="BD5" t="b">
        <v>0</v>
      </c>
      <c r="BE5" t="b">
        <v>0</v>
      </c>
      <c r="BF5" t="b">
        <v>0</v>
      </c>
      <c r="BG5" t="b">
        <v>0</v>
      </c>
      <c r="BH5" t="b">
        <v>0</v>
      </c>
      <c r="BI5" t="b">
        <v>0</v>
      </c>
      <c r="BJ5" t="b">
        <v>0</v>
      </c>
      <c r="BK5" t="b">
        <v>0</v>
      </c>
      <c r="BL5" t="b">
        <v>0</v>
      </c>
      <c r="BM5" t="b">
        <v>0</v>
      </c>
      <c r="BN5" t="b">
        <v>0</v>
      </c>
      <c r="BO5" t="b">
        <v>0</v>
      </c>
      <c r="BP5" t="b">
        <v>0</v>
      </c>
    </row>
    <row r="6" spans="1:69" ht="15" customHeight="1" x14ac:dyDescent="0.25">
      <c r="A6">
        <v>46689</v>
      </c>
      <c r="C6">
        <v>0</v>
      </c>
      <c r="D6" t="s">
        <v>95</v>
      </c>
      <c r="E6" t="s">
        <v>118</v>
      </c>
      <c r="F6" t="s">
        <v>80</v>
      </c>
      <c r="G6">
        <v>0</v>
      </c>
      <c r="H6" t="s">
        <v>81</v>
      </c>
      <c r="I6" t="s">
        <v>82</v>
      </c>
      <c r="J6" t="str">
        <f t="shared" si="5"/>
        <v>1.0003</v>
      </c>
      <c r="K6" t="str">
        <f t="shared" si="6"/>
        <v xml:space="preserve"> Set 'login authentication for 'line vty</v>
      </c>
      <c r="L6" t="str">
        <f t="shared" si="3"/>
        <v>1.0003 - NETIOS - Set 'login authentication for 'line vty</v>
      </c>
      <c r="M6" t="str">
        <f t="shared" si="4"/>
        <v>FAILED</v>
      </c>
      <c r="N6" s="1" t="s">
        <v>138</v>
      </c>
      <c r="O6" t="s">
        <v>77</v>
      </c>
      <c r="R6" t="s">
        <v>119</v>
      </c>
      <c r="T6" t="s">
        <v>120</v>
      </c>
      <c r="U6" t="s">
        <v>118</v>
      </c>
      <c r="X6" s="1" t="s">
        <v>121</v>
      </c>
      <c r="Y6" t="s">
        <v>84</v>
      </c>
      <c r="Z6">
        <v>0</v>
      </c>
      <c r="AA6">
        <v>0</v>
      </c>
      <c r="AD6">
        <v>0</v>
      </c>
      <c r="AE6">
        <v>0</v>
      </c>
      <c r="AI6" t="s">
        <v>70</v>
      </c>
      <c r="AJ6" t="s">
        <v>71</v>
      </c>
      <c r="AK6" t="s">
        <v>72</v>
      </c>
      <c r="AN6" t="s">
        <v>73</v>
      </c>
      <c r="AO6" t="s">
        <v>74</v>
      </c>
      <c r="AP6" t="s">
        <v>139</v>
      </c>
      <c r="AQ6" t="s">
        <v>123</v>
      </c>
      <c r="AS6" t="b">
        <v>1</v>
      </c>
      <c r="AT6" t="s">
        <v>65</v>
      </c>
      <c r="AU6">
        <v>0</v>
      </c>
      <c r="AV6">
        <v>0</v>
      </c>
      <c r="AX6">
        <v>39</v>
      </c>
      <c r="AY6" t="s">
        <v>79</v>
      </c>
      <c r="AZ6" t="s">
        <v>86</v>
      </c>
      <c r="BB6" t="s">
        <v>87</v>
      </c>
      <c r="BC6" t="s">
        <v>88</v>
      </c>
      <c r="BD6" t="b">
        <v>0</v>
      </c>
      <c r="BE6" t="b">
        <v>0</v>
      </c>
      <c r="BF6" t="b">
        <v>0</v>
      </c>
      <c r="BG6" t="b">
        <v>0</v>
      </c>
      <c r="BH6" t="b">
        <v>0</v>
      </c>
      <c r="BI6" t="b">
        <v>0</v>
      </c>
      <c r="BJ6" t="b">
        <v>0</v>
      </c>
      <c r="BK6" t="b">
        <v>0</v>
      </c>
      <c r="BL6" t="b">
        <v>0</v>
      </c>
      <c r="BM6" t="b">
        <v>0</v>
      </c>
      <c r="BN6" t="b">
        <v>0</v>
      </c>
      <c r="BO6" t="b">
        <v>0</v>
      </c>
      <c r="BP6" t="b">
        <v>0</v>
      </c>
    </row>
    <row r="7" spans="1:69" ht="15" customHeight="1" x14ac:dyDescent="0.25">
      <c r="A7">
        <v>46689</v>
      </c>
      <c r="C7">
        <v>0</v>
      </c>
      <c r="D7" t="s">
        <v>65</v>
      </c>
      <c r="E7" t="s">
        <v>66</v>
      </c>
      <c r="F7" t="s">
        <v>80</v>
      </c>
      <c r="G7">
        <v>0</v>
      </c>
      <c r="H7" t="s">
        <v>81</v>
      </c>
      <c r="I7" t="s">
        <v>82</v>
      </c>
      <c r="J7" t="str">
        <f t="shared" si="5"/>
        <v>1.0003</v>
      </c>
      <c r="K7" t="str">
        <f t="shared" si="6"/>
        <v xml:space="preserve"> Set 'login authentication for 'line vty</v>
      </c>
      <c r="L7" t="str">
        <f t="shared" si="3"/>
        <v>1.0003 - NETIOS - Set 'login authentication for 'line vty</v>
      </c>
      <c r="M7" t="str">
        <f t="shared" si="4"/>
        <v>PASSED</v>
      </c>
      <c r="N7" s="1" t="s">
        <v>112</v>
      </c>
      <c r="O7" t="s">
        <v>77</v>
      </c>
      <c r="R7" t="s">
        <v>67</v>
      </c>
      <c r="T7" t="s">
        <v>68</v>
      </c>
      <c r="U7" t="s">
        <v>66</v>
      </c>
      <c r="X7" s="1" t="s">
        <v>69</v>
      </c>
      <c r="Y7" t="s">
        <v>84</v>
      </c>
      <c r="Z7">
        <v>0</v>
      </c>
      <c r="AA7">
        <v>0</v>
      </c>
      <c r="AD7">
        <v>0</v>
      </c>
      <c r="AE7">
        <v>0</v>
      </c>
      <c r="AI7" t="s">
        <v>70</v>
      </c>
      <c r="AJ7" t="s">
        <v>71</v>
      </c>
      <c r="AK7" t="s">
        <v>72</v>
      </c>
      <c r="AN7" t="s">
        <v>73</v>
      </c>
      <c r="AO7" t="s">
        <v>74</v>
      </c>
      <c r="AP7" t="s">
        <v>113</v>
      </c>
      <c r="AQ7" t="s">
        <v>76</v>
      </c>
      <c r="AS7" t="b">
        <v>1</v>
      </c>
      <c r="AT7" t="s">
        <v>65</v>
      </c>
      <c r="AU7">
        <v>0</v>
      </c>
      <c r="AV7">
        <v>0</v>
      </c>
      <c r="AX7">
        <v>39</v>
      </c>
      <c r="AY7" t="s">
        <v>79</v>
      </c>
      <c r="AZ7" t="s">
        <v>86</v>
      </c>
      <c r="BB7" t="s">
        <v>87</v>
      </c>
      <c r="BC7" t="s">
        <v>88</v>
      </c>
      <c r="BD7" t="b">
        <v>0</v>
      </c>
      <c r="BE7" t="b">
        <v>0</v>
      </c>
      <c r="BF7" t="b">
        <v>0</v>
      </c>
      <c r="BG7" t="b">
        <v>0</v>
      </c>
      <c r="BH7" t="b">
        <v>0</v>
      </c>
      <c r="BI7" t="b">
        <v>0</v>
      </c>
      <c r="BJ7" t="b">
        <v>0</v>
      </c>
      <c r="BK7" t="b">
        <v>0</v>
      </c>
      <c r="BL7" t="b">
        <v>0</v>
      </c>
      <c r="BM7" t="b">
        <v>0</v>
      </c>
      <c r="BN7" t="b">
        <v>0</v>
      </c>
      <c r="BO7" t="b">
        <v>0</v>
      </c>
      <c r="BP7" t="b">
        <v>0</v>
      </c>
    </row>
    <row r="8" spans="1:69" ht="15" customHeight="1" x14ac:dyDescent="0.25">
      <c r="A8">
        <v>46689</v>
      </c>
      <c r="C8">
        <v>0</v>
      </c>
      <c r="D8" t="s">
        <v>65</v>
      </c>
      <c r="E8" t="s">
        <v>66</v>
      </c>
      <c r="F8" t="s">
        <v>80</v>
      </c>
      <c r="G8">
        <v>0</v>
      </c>
      <c r="H8" t="s">
        <v>81</v>
      </c>
      <c r="I8" t="s">
        <v>82</v>
      </c>
      <c r="J8" t="str">
        <f t="shared" si="5"/>
        <v>1.0004</v>
      </c>
      <c r="K8" t="str">
        <f t="shared" si="6"/>
        <v xml:space="preserve"> Set 'transport input ssh' for 'line vty' connections</v>
      </c>
      <c r="L8" t="str">
        <f t="shared" si="3"/>
        <v>1.0004 - NETIOS - Set 'transport input ssh' for 'line vty' connections</v>
      </c>
      <c r="M8" t="str">
        <f t="shared" si="4"/>
        <v>PASSED</v>
      </c>
      <c r="N8" s="1" t="s">
        <v>115</v>
      </c>
      <c r="O8" t="s">
        <v>77</v>
      </c>
      <c r="R8" t="s">
        <v>67</v>
      </c>
      <c r="T8" t="s">
        <v>68</v>
      </c>
      <c r="U8" t="s">
        <v>66</v>
      </c>
      <c r="X8" s="1" t="s">
        <v>69</v>
      </c>
      <c r="Y8" t="s">
        <v>84</v>
      </c>
      <c r="Z8">
        <v>0</v>
      </c>
      <c r="AA8">
        <v>0</v>
      </c>
      <c r="AD8">
        <v>0</v>
      </c>
      <c r="AE8">
        <v>0</v>
      </c>
      <c r="AI8" t="s">
        <v>70</v>
      </c>
      <c r="AJ8" t="s">
        <v>71</v>
      </c>
      <c r="AK8" t="s">
        <v>72</v>
      </c>
      <c r="AN8" t="s">
        <v>73</v>
      </c>
      <c r="AO8" t="s">
        <v>74</v>
      </c>
      <c r="AP8" t="s">
        <v>113</v>
      </c>
      <c r="AQ8" t="s">
        <v>76</v>
      </c>
      <c r="AS8" t="b">
        <v>1</v>
      </c>
      <c r="AT8" t="s">
        <v>65</v>
      </c>
      <c r="AU8">
        <v>0</v>
      </c>
      <c r="AV8">
        <v>0</v>
      </c>
      <c r="AX8">
        <v>39</v>
      </c>
      <c r="AY8" t="s">
        <v>79</v>
      </c>
      <c r="AZ8" t="s">
        <v>86</v>
      </c>
      <c r="BB8" t="s">
        <v>87</v>
      </c>
      <c r="BC8" t="s">
        <v>88</v>
      </c>
      <c r="BD8" t="b">
        <v>0</v>
      </c>
      <c r="BE8" t="b">
        <v>0</v>
      </c>
      <c r="BF8" t="b">
        <v>0</v>
      </c>
      <c r="BG8" t="b">
        <v>0</v>
      </c>
      <c r="BH8" t="b">
        <v>0</v>
      </c>
      <c r="BI8" t="b">
        <v>0</v>
      </c>
      <c r="BJ8" t="b">
        <v>0</v>
      </c>
      <c r="BK8" t="b">
        <v>0</v>
      </c>
      <c r="BL8" t="b">
        <v>0</v>
      </c>
      <c r="BM8" t="b">
        <v>0</v>
      </c>
      <c r="BN8" t="b">
        <v>0</v>
      </c>
      <c r="BO8" t="b">
        <v>0</v>
      </c>
      <c r="BP8" t="b">
        <v>0</v>
      </c>
    </row>
    <row r="9" spans="1:69" ht="15" customHeight="1" x14ac:dyDescent="0.25">
      <c r="A9">
        <v>46689</v>
      </c>
      <c r="C9">
        <v>0</v>
      </c>
      <c r="D9" t="s">
        <v>65</v>
      </c>
      <c r="E9" t="s">
        <v>118</v>
      </c>
      <c r="F9" t="s">
        <v>80</v>
      </c>
      <c r="G9">
        <v>0</v>
      </c>
      <c r="H9" t="s">
        <v>81</v>
      </c>
      <c r="I9" t="s">
        <v>82</v>
      </c>
      <c r="J9" t="str">
        <f t="shared" si="5"/>
        <v>1.0004</v>
      </c>
      <c r="K9" t="str">
        <f t="shared" si="6"/>
        <v xml:space="preserve"> Set 'transport input ssh' for 'line vty' connections</v>
      </c>
      <c r="L9" t="str">
        <f t="shared" si="3"/>
        <v>1.0004 - NETIOS - Set 'transport input ssh' for 'line vty' connections</v>
      </c>
      <c r="M9" t="str">
        <f t="shared" si="4"/>
        <v>PASSED</v>
      </c>
      <c r="N9" s="1" t="s">
        <v>126</v>
      </c>
      <c r="O9" t="s">
        <v>77</v>
      </c>
      <c r="R9" t="s">
        <v>119</v>
      </c>
      <c r="T9" t="s">
        <v>120</v>
      </c>
      <c r="U9" t="s">
        <v>118</v>
      </c>
      <c r="X9" s="1" t="s">
        <v>121</v>
      </c>
      <c r="Y9" t="s">
        <v>84</v>
      </c>
      <c r="Z9">
        <v>0</v>
      </c>
      <c r="AA9">
        <v>0</v>
      </c>
      <c r="AD9">
        <v>0</v>
      </c>
      <c r="AE9">
        <v>0</v>
      </c>
      <c r="AI9" t="s">
        <v>70</v>
      </c>
      <c r="AJ9" t="s">
        <v>71</v>
      </c>
      <c r="AK9" t="s">
        <v>72</v>
      </c>
      <c r="AN9" t="s">
        <v>73</v>
      </c>
      <c r="AO9" t="s">
        <v>74</v>
      </c>
      <c r="AP9" t="s">
        <v>127</v>
      </c>
      <c r="AQ9" t="s">
        <v>123</v>
      </c>
      <c r="AS9" t="b">
        <v>1</v>
      </c>
      <c r="AT9" t="s">
        <v>65</v>
      </c>
      <c r="AU9">
        <v>0</v>
      </c>
      <c r="AV9">
        <v>0</v>
      </c>
      <c r="AX9">
        <v>39</v>
      </c>
      <c r="AY9" t="s">
        <v>79</v>
      </c>
      <c r="AZ9" t="s">
        <v>86</v>
      </c>
      <c r="BB9" t="s">
        <v>87</v>
      </c>
      <c r="BC9" t="s">
        <v>88</v>
      </c>
      <c r="BD9" t="b">
        <v>0</v>
      </c>
      <c r="BE9" t="b">
        <v>0</v>
      </c>
      <c r="BF9" t="b">
        <v>0</v>
      </c>
      <c r="BG9" t="b">
        <v>0</v>
      </c>
      <c r="BH9" t="b">
        <v>0</v>
      </c>
      <c r="BI9" t="b">
        <v>0</v>
      </c>
      <c r="BJ9" t="b">
        <v>0</v>
      </c>
      <c r="BK9" t="b">
        <v>0</v>
      </c>
      <c r="BL9" t="b">
        <v>0</v>
      </c>
      <c r="BM9" t="b">
        <v>0</v>
      </c>
      <c r="BN9" t="b">
        <v>0</v>
      </c>
      <c r="BO9" t="b">
        <v>0</v>
      </c>
      <c r="BP9" t="b">
        <v>0</v>
      </c>
    </row>
    <row r="10" spans="1:69" ht="15" customHeight="1" x14ac:dyDescent="0.25">
      <c r="A10">
        <v>46689</v>
      </c>
      <c r="C10">
        <v>0</v>
      </c>
      <c r="D10" t="s">
        <v>65</v>
      </c>
      <c r="E10" t="s">
        <v>66</v>
      </c>
      <c r="F10" t="s">
        <v>80</v>
      </c>
      <c r="G10">
        <v>0</v>
      </c>
      <c r="H10" t="s">
        <v>81</v>
      </c>
      <c r="I10" t="s">
        <v>82</v>
      </c>
      <c r="J10" t="str">
        <f t="shared" si="5"/>
        <v>1.0005</v>
      </c>
      <c r="K10" t="str">
        <f t="shared" si="6"/>
        <v xml:space="preserve"> Set 'password' for 'enable secret</v>
      </c>
      <c r="L10" t="str">
        <f t="shared" si="3"/>
        <v>1.0005 - NETIOS - Set 'password' for 'enable secret</v>
      </c>
      <c r="M10" t="str">
        <f t="shared" si="4"/>
        <v>PASSED</v>
      </c>
      <c r="N10" s="1" t="s">
        <v>100</v>
      </c>
      <c r="O10" t="s">
        <v>77</v>
      </c>
      <c r="R10" t="s">
        <v>67</v>
      </c>
      <c r="T10" t="s">
        <v>68</v>
      </c>
      <c r="U10" t="s">
        <v>66</v>
      </c>
      <c r="X10" s="1" t="s">
        <v>69</v>
      </c>
      <c r="Y10" t="s">
        <v>84</v>
      </c>
      <c r="Z10">
        <v>0</v>
      </c>
      <c r="AA10">
        <v>0</v>
      </c>
      <c r="AD10">
        <v>0</v>
      </c>
      <c r="AE10">
        <v>0</v>
      </c>
      <c r="AI10" t="s">
        <v>70</v>
      </c>
      <c r="AJ10" t="s">
        <v>71</v>
      </c>
      <c r="AK10" t="s">
        <v>72</v>
      </c>
      <c r="AN10" t="s">
        <v>73</v>
      </c>
      <c r="AO10" t="s">
        <v>74</v>
      </c>
      <c r="AP10" t="s">
        <v>101</v>
      </c>
      <c r="AQ10" t="s">
        <v>76</v>
      </c>
      <c r="AS10" t="b">
        <v>1</v>
      </c>
      <c r="AT10" t="s">
        <v>65</v>
      </c>
      <c r="AU10">
        <v>0</v>
      </c>
      <c r="AV10">
        <v>0</v>
      </c>
      <c r="AX10">
        <v>39</v>
      </c>
      <c r="AY10" t="s">
        <v>79</v>
      </c>
      <c r="AZ10" t="s">
        <v>86</v>
      </c>
      <c r="BB10" t="s">
        <v>87</v>
      </c>
      <c r="BC10" t="s">
        <v>88</v>
      </c>
      <c r="BD10" t="b">
        <v>0</v>
      </c>
      <c r="BE10" t="b">
        <v>0</v>
      </c>
      <c r="BF10" t="b">
        <v>0</v>
      </c>
      <c r="BG10" t="b">
        <v>0</v>
      </c>
      <c r="BH10" t="b">
        <v>0</v>
      </c>
      <c r="BI10" t="b">
        <v>0</v>
      </c>
      <c r="BJ10" t="b">
        <v>0</v>
      </c>
      <c r="BK10" t="b">
        <v>0</v>
      </c>
      <c r="BL10" t="b">
        <v>0</v>
      </c>
      <c r="BM10" t="b">
        <v>0</v>
      </c>
      <c r="BN10" t="b">
        <v>0</v>
      </c>
      <c r="BO10" t="b">
        <v>0</v>
      </c>
      <c r="BP10" t="b">
        <v>0</v>
      </c>
    </row>
    <row r="11" spans="1:69" ht="15" customHeight="1" x14ac:dyDescent="0.25">
      <c r="A11">
        <v>46689</v>
      </c>
      <c r="C11">
        <v>0</v>
      </c>
      <c r="D11" t="s">
        <v>65</v>
      </c>
      <c r="E11" t="s">
        <v>118</v>
      </c>
      <c r="F11" t="s">
        <v>80</v>
      </c>
      <c r="G11">
        <v>0</v>
      </c>
      <c r="H11" t="s">
        <v>81</v>
      </c>
      <c r="I11" t="s">
        <v>82</v>
      </c>
      <c r="J11" t="str">
        <f t="shared" si="5"/>
        <v>1.0005</v>
      </c>
      <c r="K11" t="str">
        <f t="shared" si="6"/>
        <v xml:space="preserve"> Set 'password' for 'enable secret</v>
      </c>
      <c r="L11" t="str">
        <f t="shared" si="3"/>
        <v>1.0005 - NETIOS - Set 'password' for 'enable secret</v>
      </c>
      <c r="M11" t="str">
        <f t="shared" si="4"/>
        <v>PASSED</v>
      </c>
      <c r="N11" s="1" t="s">
        <v>135</v>
      </c>
      <c r="O11" t="s">
        <v>77</v>
      </c>
      <c r="R11" t="s">
        <v>119</v>
      </c>
      <c r="T11" t="s">
        <v>120</v>
      </c>
      <c r="U11" t="s">
        <v>118</v>
      </c>
      <c r="X11" s="1" t="s">
        <v>121</v>
      </c>
      <c r="Y11" t="s">
        <v>84</v>
      </c>
      <c r="Z11">
        <v>0</v>
      </c>
      <c r="AA11">
        <v>0</v>
      </c>
      <c r="AD11">
        <v>0</v>
      </c>
      <c r="AE11">
        <v>0</v>
      </c>
      <c r="AI11" t="s">
        <v>70</v>
      </c>
      <c r="AJ11" t="s">
        <v>71</v>
      </c>
      <c r="AK11" t="s">
        <v>72</v>
      </c>
      <c r="AN11" t="s">
        <v>73</v>
      </c>
      <c r="AO11" t="s">
        <v>74</v>
      </c>
      <c r="AP11" t="s">
        <v>136</v>
      </c>
      <c r="AQ11" t="s">
        <v>123</v>
      </c>
      <c r="AS11" t="b">
        <v>1</v>
      </c>
      <c r="AT11" t="s">
        <v>65</v>
      </c>
      <c r="AU11">
        <v>0</v>
      </c>
      <c r="AV11">
        <v>0</v>
      </c>
      <c r="AX11">
        <v>39</v>
      </c>
      <c r="AY11" t="s">
        <v>79</v>
      </c>
      <c r="AZ11" t="s">
        <v>86</v>
      </c>
      <c r="BB11" t="s">
        <v>87</v>
      </c>
      <c r="BC11" t="s">
        <v>88</v>
      </c>
      <c r="BD11" t="b">
        <v>0</v>
      </c>
      <c r="BE11" t="b">
        <v>0</v>
      </c>
      <c r="BF11" t="b">
        <v>0</v>
      </c>
      <c r="BG11" t="b">
        <v>0</v>
      </c>
      <c r="BH11" t="b">
        <v>0</v>
      </c>
      <c r="BI11" t="b">
        <v>0</v>
      </c>
      <c r="BJ11" t="b">
        <v>0</v>
      </c>
      <c r="BK11" t="b">
        <v>0</v>
      </c>
      <c r="BL11" t="b">
        <v>0</v>
      </c>
      <c r="BM11" t="b">
        <v>0</v>
      </c>
      <c r="BN11" t="b">
        <v>0</v>
      </c>
      <c r="BO11" t="b">
        <v>0</v>
      </c>
      <c r="BP11" t="b">
        <v>0</v>
      </c>
    </row>
    <row r="12" spans="1:69" ht="15" customHeight="1" x14ac:dyDescent="0.25">
      <c r="A12">
        <v>46689</v>
      </c>
      <c r="C12">
        <v>0</v>
      </c>
      <c r="D12" t="s">
        <v>65</v>
      </c>
      <c r="E12" t="s">
        <v>66</v>
      </c>
      <c r="F12" t="s">
        <v>80</v>
      </c>
      <c r="G12">
        <v>0</v>
      </c>
      <c r="H12" t="s">
        <v>81</v>
      </c>
      <c r="I12" t="s">
        <v>82</v>
      </c>
      <c r="J12" t="str">
        <f t="shared" si="5"/>
        <v>1.0006</v>
      </c>
      <c r="K12" t="str">
        <f t="shared" si="6"/>
        <v xml:space="preserve"> Enable 'service password-encryption</v>
      </c>
      <c r="L12" t="str">
        <f t="shared" si="3"/>
        <v>1.0006 - NETIOS - Enable 'service password-encryption</v>
      </c>
      <c r="M12" t="str">
        <f t="shared" si="4"/>
        <v>PASSED</v>
      </c>
      <c r="N12" s="1" t="s">
        <v>93</v>
      </c>
      <c r="O12" t="s">
        <v>77</v>
      </c>
      <c r="R12" t="s">
        <v>67</v>
      </c>
      <c r="T12" t="s">
        <v>68</v>
      </c>
      <c r="U12" t="s">
        <v>66</v>
      </c>
      <c r="X12" s="1" t="s">
        <v>69</v>
      </c>
      <c r="Y12" t="s">
        <v>84</v>
      </c>
      <c r="Z12">
        <v>0</v>
      </c>
      <c r="AA12">
        <v>0</v>
      </c>
      <c r="AD12">
        <v>0</v>
      </c>
      <c r="AE12">
        <v>0</v>
      </c>
      <c r="AI12" t="s">
        <v>70</v>
      </c>
      <c r="AJ12" t="s">
        <v>71</v>
      </c>
      <c r="AK12" t="s">
        <v>72</v>
      </c>
      <c r="AN12" t="s">
        <v>73</v>
      </c>
      <c r="AO12" t="s">
        <v>74</v>
      </c>
      <c r="AP12" t="s">
        <v>92</v>
      </c>
      <c r="AQ12" t="s">
        <v>76</v>
      </c>
      <c r="AS12" t="b">
        <v>1</v>
      </c>
      <c r="AT12" t="s">
        <v>65</v>
      </c>
      <c r="AU12">
        <v>0</v>
      </c>
      <c r="AV12">
        <v>0</v>
      </c>
      <c r="AX12">
        <v>39</v>
      </c>
      <c r="AY12" t="s">
        <v>79</v>
      </c>
      <c r="AZ12" t="s">
        <v>86</v>
      </c>
      <c r="BB12" t="s">
        <v>87</v>
      </c>
      <c r="BC12" t="s">
        <v>88</v>
      </c>
      <c r="BD12" t="b">
        <v>0</v>
      </c>
      <c r="BE12" t="b">
        <v>0</v>
      </c>
      <c r="BF12" t="b">
        <v>0</v>
      </c>
      <c r="BG12" t="b">
        <v>0</v>
      </c>
      <c r="BH12" t="b">
        <v>0</v>
      </c>
      <c r="BI12" t="b">
        <v>0</v>
      </c>
      <c r="BJ12" t="b">
        <v>0</v>
      </c>
      <c r="BK12" t="b">
        <v>0</v>
      </c>
      <c r="BL12" t="b">
        <v>0</v>
      </c>
      <c r="BM12" t="b">
        <v>0</v>
      </c>
      <c r="BN12" t="b">
        <v>0</v>
      </c>
      <c r="BO12" t="b">
        <v>0</v>
      </c>
      <c r="BP12" t="b">
        <v>0</v>
      </c>
    </row>
    <row r="13" spans="1:69" ht="15" customHeight="1" x14ac:dyDescent="0.25">
      <c r="A13">
        <v>46689</v>
      </c>
      <c r="C13">
        <v>0</v>
      </c>
      <c r="D13" t="s">
        <v>65</v>
      </c>
      <c r="E13" t="s">
        <v>118</v>
      </c>
      <c r="F13" t="s">
        <v>80</v>
      </c>
      <c r="G13">
        <v>0</v>
      </c>
      <c r="H13" t="s">
        <v>81</v>
      </c>
      <c r="I13" t="s">
        <v>82</v>
      </c>
      <c r="J13" t="str">
        <f t="shared" si="5"/>
        <v>1.0006</v>
      </c>
      <c r="K13" t="str">
        <f t="shared" si="6"/>
        <v xml:space="preserve"> Enable 'service password-encryption</v>
      </c>
      <c r="L13" t="str">
        <f t="shared" si="3"/>
        <v>1.0006 - NETIOS - Enable 'service password-encryption</v>
      </c>
      <c r="M13" t="str">
        <f t="shared" si="4"/>
        <v>PASSED</v>
      </c>
      <c r="N13" s="1" t="s">
        <v>93</v>
      </c>
      <c r="O13" t="s">
        <v>77</v>
      </c>
      <c r="R13" t="s">
        <v>119</v>
      </c>
      <c r="T13" t="s">
        <v>120</v>
      </c>
      <c r="U13" t="s">
        <v>118</v>
      </c>
      <c r="X13" s="1" t="s">
        <v>121</v>
      </c>
      <c r="Y13" t="s">
        <v>84</v>
      </c>
      <c r="Z13">
        <v>0</v>
      </c>
      <c r="AA13">
        <v>0</v>
      </c>
      <c r="AD13">
        <v>0</v>
      </c>
      <c r="AE13">
        <v>0</v>
      </c>
      <c r="AI13" t="s">
        <v>70</v>
      </c>
      <c r="AJ13" t="s">
        <v>71</v>
      </c>
      <c r="AK13" t="s">
        <v>72</v>
      </c>
      <c r="AN13" t="s">
        <v>73</v>
      </c>
      <c r="AO13" t="s">
        <v>74</v>
      </c>
      <c r="AP13" t="s">
        <v>130</v>
      </c>
      <c r="AQ13" t="s">
        <v>123</v>
      </c>
      <c r="AS13" t="b">
        <v>1</v>
      </c>
      <c r="AT13" t="s">
        <v>65</v>
      </c>
      <c r="AU13">
        <v>0</v>
      </c>
      <c r="AV13">
        <v>0</v>
      </c>
      <c r="AX13">
        <v>39</v>
      </c>
      <c r="AY13" t="s">
        <v>79</v>
      </c>
      <c r="AZ13" t="s">
        <v>86</v>
      </c>
      <c r="BB13" t="s">
        <v>87</v>
      </c>
      <c r="BC13" t="s">
        <v>88</v>
      </c>
      <c r="BD13" t="b">
        <v>0</v>
      </c>
      <c r="BE13" t="b">
        <v>0</v>
      </c>
      <c r="BF13" t="b">
        <v>0</v>
      </c>
      <c r="BG13" t="b">
        <v>0</v>
      </c>
      <c r="BH13" t="b">
        <v>0</v>
      </c>
      <c r="BI13" t="b">
        <v>0</v>
      </c>
      <c r="BJ13" t="b">
        <v>0</v>
      </c>
      <c r="BK13" t="b">
        <v>0</v>
      </c>
      <c r="BL13" t="b">
        <v>0</v>
      </c>
      <c r="BM13" t="b">
        <v>0</v>
      </c>
      <c r="BN13" t="b">
        <v>0</v>
      </c>
      <c r="BO13" t="b">
        <v>0</v>
      </c>
      <c r="BP13" t="b">
        <v>0</v>
      </c>
    </row>
    <row r="14" spans="1:69" ht="15" customHeight="1" x14ac:dyDescent="0.25">
      <c r="A14">
        <v>46689</v>
      </c>
      <c r="C14">
        <v>0</v>
      </c>
      <c r="D14" t="s">
        <v>65</v>
      </c>
      <c r="E14" t="s">
        <v>66</v>
      </c>
      <c r="F14" t="s">
        <v>80</v>
      </c>
      <c r="G14">
        <v>0</v>
      </c>
      <c r="H14" t="s">
        <v>81</v>
      </c>
      <c r="I14" t="s">
        <v>82</v>
      </c>
      <c r="J14" t="str">
        <f t="shared" si="5"/>
        <v>1.0007</v>
      </c>
      <c r="K14" t="str">
        <f t="shared" si="6"/>
        <v xml:space="preserve"> Set 'username secret' for all local users</v>
      </c>
      <c r="L14" t="str">
        <f t="shared" si="3"/>
        <v>1.0007 - NETIOS - Set 'username secret' for all local users</v>
      </c>
      <c r="M14" t="str">
        <f t="shared" si="4"/>
        <v>PASSED</v>
      </c>
      <c r="N14" s="1" t="s">
        <v>94</v>
      </c>
      <c r="O14" t="s">
        <v>77</v>
      </c>
      <c r="R14" t="s">
        <v>67</v>
      </c>
      <c r="T14" t="s">
        <v>68</v>
      </c>
      <c r="U14" t="s">
        <v>66</v>
      </c>
      <c r="X14" s="1" t="s">
        <v>69</v>
      </c>
      <c r="Y14" t="s">
        <v>84</v>
      </c>
      <c r="Z14">
        <v>0</v>
      </c>
      <c r="AA14">
        <v>0</v>
      </c>
      <c r="AD14">
        <v>0</v>
      </c>
      <c r="AE14">
        <v>0</v>
      </c>
      <c r="AI14" t="s">
        <v>70</v>
      </c>
      <c r="AJ14" t="s">
        <v>71</v>
      </c>
      <c r="AK14" t="s">
        <v>72</v>
      </c>
      <c r="AN14" t="s">
        <v>73</v>
      </c>
      <c r="AO14" t="s">
        <v>74</v>
      </c>
      <c r="AP14" t="s">
        <v>92</v>
      </c>
      <c r="AQ14" t="s">
        <v>76</v>
      </c>
      <c r="AS14" t="b">
        <v>1</v>
      </c>
      <c r="AT14" t="s">
        <v>65</v>
      </c>
      <c r="AU14">
        <v>0</v>
      </c>
      <c r="AV14">
        <v>0</v>
      </c>
      <c r="AX14">
        <v>39</v>
      </c>
      <c r="AY14" t="s">
        <v>79</v>
      </c>
      <c r="AZ14" t="s">
        <v>86</v>
      </c>
      <c r="BB14" t="s">
        <v>87</v>
      </c>
      <c r="BC14" t="s">
        <v>88</v>
      </c>
      <c r="BD14" t="b">
        <v>0</v>
      </c>
      <c r="BE14" t="b">
        <v>0</v>
      </c>
      <c r="BF14" t="b">
        <v>0</v>
      </c>
      <c r="BG14" t="b">
        <v>0</v>
      </c>
      <c r="BH14" t="b">
        <v>0</v>
      </c>
      <c r="BI14" t="b">
        <v>0</v>
      </c>
      <c r="BJ14" t="b">
        <v>0</v>
      </c>
      <c r="BK14" t="b">
        <v>0</v>
      </c>
      <c r="BL14" t="b">
        <v>0</v>
      </c>
      <c r="BM14" t="b">
        <v>0</v>
      </c>
      <c r="BN14" t="b">
        <v>0</v>
      </c>
      <c r="BO14" t="b">
        <v>0</v>
      </c>
      <c r="BP14" t="b">
        <v>0</v>
      </c>
    </row>
    <row r="15" spans="1:69" ht="15" customHeight="1" x14ac:dyDescent="0.25">
      <c r="A15">
        <v>46689</v>
      </c>
      <c r="C15">
        <v>0</v>
      </c>
      <c r="D15" t="s">
        <v>65</v>
      </c>
      <c r="E15" t="s">
        <v>118</v>
      </c>
      <c r="F15" t="s">
        <v>80</v>
      </c>
      <c r="G15">
        <v>0</v>
      </c>
      <c r="H15" t="s">
        <v>81</v>
      </c>
      <c r="I15" t="s">
        <v>82</v>
      </c>
      <c r="J15" t="str">
        <f t="shared" si="5"/>
        <v>1.0007</v>
      </c>
      <c r="K15" t="str">
        <f t="shared" si="6"/>
        <v xml:space="preserve"> Set 'username secret' for all local users</v>
      </c>
      <c r="L15" t="str">
        <f t="shared" si="3"/>
        <v>1.0007 - NETIOS - Set 'username secret' for all local users</v>
      </c>
      <c r="M15" t="str">
        <f t="shared" si="4"/>
        <v>PASSED</v>
      </c>
      <c r="N15" s="1" t="s">
        <v>145</v>
      </c>
      <c r="O15" t="s">
        <v>77</v>
      </c>
      <c r="R15" t="s">
        <v>119</v>
      </c>
      <c r="T15" t="s">
        <v>120</v>
      </c>
      <c r="U15" t="s">
        <v>118</v>
      </c>
      <c r="X15" s="1" t="s">
        <v>121</v>
      </c>
      <c r="Y15" t="s">
        <v>84</v>
      </c>
      <c r="Z15">
        <v>0</v>
      </c>
      <c r="AA15">
        <v>0</v>
      </c>
      <c r="AD15">
        <v>0</v>
      </c>
      <c r="AE15">
        <v>0</v>
      </c>
      <c r="AI15" t="s">
        <v>70</v>
      </c>
      <c r="AJ15" t="s">
        <v>71</v>
      </c>
      <c r="AK15" t="s">
        <v>72</v>
      </c>
      <c r="AN15" t="s">
        <v>73</v>
      </c>
      <c r="AO15" t="s">
        <v>74</v>
      </c>
      <c r="AP15" t="s">
        <v>146</v>
      </c>
      <c r="AQ15" t="s">
        <v>123</v>
      </c>
      <c r="AS15" t="b">
        <v>1</v>
      </c>
      <c r="AT15" t="s">
        <v>65</v>
      </c>
      <c r="AU15">
        <v>0</v>
      </c>
      <c r="AV15">
        <v>0</v>
      </c>
      <c r="AX15">
        <v>39</v>
      </c>
      <c r="AY15" t="s">
        <v>79</v>
      </c>
      <c r="AZ15" t="s">
        <v>86</v>
      </c>
      <c r="BB15" t="s">
        <v>87</v>
      </c>
      <c r="BC15" t="s">
        <v>88</v>
      </c>
      <c r="BD15" t="b">
        <v>0</v>
      </c>
      <c r="BE15" t="b">
        <v>0</v>
      </c>
      <c r="BF15" t="b">
        <v>0</v>
      </c>
      <c r="BG15" t="b">
        <v>0</v>
      </c>
      <c r="BH15" t="b">
        <v>0</v>
      </c>
      <c r="BI15" t="b">
        <v>0</v>
      </c>
      <c r="BJ15" t="b">
        <v>0</v>
      </c>
      <c r="BK15" t="b">
        <v>0</v>
      </c>
      <c r="BL15" t="b">
        <v>0</v>
      </c>
      <c r="BM15" t="b">
        <v>0</v>
      </c>
      <c r="BN15" t="b">
        <v>0</v>
      </c>
      <c r="BO15" t="b">
        <v>0</v>
      </c>
      <c r="BP15" t="b">
        <v>0</v>
      </c>
    </row>
    <row r="16" spans="1:69" ht="15" customHeight="1" x14ac:dyDescent="0.25">
      <c r="A16">
        <v>46689</v>
      </c>
      <c r="C16">
        <v>0</v>
      </c>
      <c r="D16" t="s">
        <v>95</v>
      </c>
      <c r="E16" t="s">
        <v>118</v>
      </c>
      <c r="F16" t="s">
        <v>80</v>
      </c>
      <c r="G16">
        <v>0</v>
      </c>
      <c r="H16" t="s">
        <v>81</v>
      </c>
      <c r="I16" t="s">
        <v>82</v>
      </c>
      <c r="J16" t="str">
        <f t="shared" si="5"/>
        <v>1.0008</v>
      </c>
      <c r="K16" t="str">
        <f t="shared" si="6"/>
        <v xml:space="preserve"> Set 'no snmp-server' to disable SNMP when unused</v>
      </c>
      <c r="L16" t="str">
        <f t="shared" si="3"/>
        <v>1.0008 - NETIOS - Set 'no snmp-server' to disable SNMP when unused</v>
      </c>
      <c r="M16" t="str">
        <f t="shared" si="4"/>
        <v>FAILED</v>
      </c>
      <c r="N16" s="1" t="s">
        <v>141</v>
      </c>
      <c r="O16" t="s">
        <v>77</v>
      </c>
      <c r="R16" t="s">
        <v>119</v>
      </c>
      <c r="T16" t="s">
        <v>120</v>
      </c>
      <c r="U16" t="s">
        <v>118</v>
      </c>
      <c r="X16" s="1" t="s">
        <v>121</v>
      </c>
      <c r="Y16" t="s">
        <v>84</v>
      </c>
      <c r="Z16">
        <v>0</v>
      </c>
      <c r="AA16">
        <v>0</v>
      </c>
      <c r="AD16">
        <v>0</v>
      </c>
      <c r="AE16">
        <v>0</v>
      </c>
      <c r="AI16" t="s">
        <v>70</v>
      </c>
      <c r="AJ16" t="s">
        <v>71</v>
      </c>
      <c r="AK16" t="s">
        <v>72</v>
      </c>
      <c r="AN16" t="s">
        <v>73</v>
      </c>
      <c r="AO16" t="s">
        <v>74</v>
      </c>
      <c r="AP16" t="s">
        <v>142</v>
      </c>
      <c r="AQ16" t="s">
        <v>123</v>
      </c>
      <c r="AS16" t="b">
        <v>1</v>
      </c>
      <c r="AT16" t="s">
        <v>65</v>
      </c>
      <c r="AU16">
        <v>0</v>
      </c>
      <c r="AV16">
        <v>0</v>
      </c>
      <c r="AX16">
        <v>39</v>
      </c>
      <c r="AY16" t="s">
        <v>79</v>
      </c>
      <c r="AZ16" t="s">
        <v>86</v>
      </c>
      <c r="BB16" t="s">
        <v>87</v>
      </c>
      <c r="BC16" t="s">
        <v>88</v>
      </c>
      <c r="BD16" t="b">
        <v>0</v>
      </c>
      <c r="BE16" t="b">
        <v>0</v>
      </c>
      <c r="BF16" t="b">
        <v>0</v>
      </c>
      <c r="BG16" t="b">
        <v>0</v>
      </c>
      <c r="BH16" t="b">
        <v>0</v>
      </c>
      <c r="BI16" t="b">
        <v>0</v>
      </c>
      <c r="BJ16" t="b">
        <v>0</v>
      </c>
      <c r="BK16" t="b">
        <v>0</v>
      </c>
      <c r="BL16" t="b">
        <v>0</v>
      </c>
      <c r="BM16" t="b">
        <v>0</v>
      </c>
      <c r="BN16" t="b">
        <v>0</v>
      </c>
      <c r="BO16" t="b">
        <v>0</v>
      </c>
      <c r="BP16" t="b">
        <v>0</v>
      </c>
    </row>
    <row r="17" spans="1:68" ht="15" customHeight="1" x14ac:dyDescent="0.25">
      <c r="A17">
        <v>46689</v>
      </c>
      <c r="C17">
        <v>0</v>
      </c>
      <c r="D17" t="s">
        <v>65</v>
      </c>
      <c r="E17" t="s">
        <v>66</v>
      </c>
      <c r="F17" t="s">
        <v>80</v>
      </c>
      <c r="G17">
        <v>0</v>
      </c>
      <c r="H17" t="s">
        <v>81</v>
      </c>
      <c r="I17" t="s">
        <v>82</v>
      </c>
      <c r="J17" t="str">
        <f t="shared" si="5"/>
        <v>1.0008</v>
      </c>
      <c r="K17" t="str">
        <f t="shared" si="6"/>
        <v xml:space="preserve"> Set 'no snmp-server' to disable SNMP when unused</v>
      </c>
      <c r="L17" t="str">
        <f t="shared" si="3"/>
        <v>1.0008 - NETIOS - Set 'no snmp-server' to disable SNMP when unused</v>
      </c>
      <c r="M17" t="str">
        <f t="shared" si="4"/>
        <v>PASSED</v>
      </c>
      <c r="N17" s="1" t="s">
        <v>98</v>
      </c>
      <c r="O17" t="s">
        <v>77</v>
      </c>
      <c r="R17" t="s">
        <v>67</v>
      </c>
      <c r="T17" t="s">
        <v>68</v>
      </c>
      <c r="U17" t="s">
        <v>66</v>
      </c>
      <c r="X17" s="1" t="s">
        <v>69</v>
      </c>
      <c r="Y17" t="s">
        <v>84</v>
      </c>
      <c r="Z17">
        <v>0</v>
      </c>
      <c r="AA17">
        <v>0</v>
      </c>
      <c r="AD17">
        <v>0</v>
      </c>
      <c r="AE17">
        <v>0</v>
      </c>
      <c r="AI17" t="s">
        <v>70</v>
      </c>
      <c r="AJ17" t="s">
        <v>71</v>
      </c>
      <c r="AK17" t="s">
        <v>72</v>
      </c>
      <c r="AN17" t="s">
        <v>73</v>
      </c>
      <c r="AO17" t="s">
        <v>74</v>
      </c>
      <c r="AP17" t="s">
        <v>78</v>
      </c>
      <c r="AQ17" t="s">
        <v>76</v>
      </c>
      <c r="AS17" t="b">
        <v>1</v>
      </c>
      <c r="AT17" t="s">
        <v>65</v>
      </c>
      <c r="AU17">
        <v>0</v>
      </c>
      <c r="AV17">
        <v>0</v>
      </c>
      <c r="AX17">
        <v>39</v>
      </c>
      <c r="AY17" t="s">
        <v>79</v>
      </c>
      <c r="AZ17" t="s">
        <v>86</v>
      </c>
      <c r="BB17" t="s">
        <v>87</v>
      </c>
      <c r="BC17" t="s">
        <v>88</v>
      </c>
      <c r="BD17" t="b">
        <v>0</v>
      </c>
      <c r="BE17" t="b">
        <v>0</v>
      </c>
      <c r="BF17" t="b">
        <v>0</v>
      </c>
      <c r="BG17" t="b">
        <v>0</v>
      </c>
      <c r="BH17" t="b">
        <v>0</v>
      </c>
      <c r="BI17" t="b">
        <v>0</v>
      </c>
      <c r="BJ17" t="b">
        <v>0</v>
      </c>
      <c r="BK17" t="b">
        <v>0</v>
      </c>
      <c r="BL17" t="b">
        <v>0</v>
      </c>
      <c r="BM17" t="b">
        <v>0</v>
      </c>
      <c r="BN17" t="b">
        <v>0</v>
      </c>
      <c r="BO17" t="b">
        <v>0</v>
      </c>
      <c r="BP17" t="b">
        <v>0</v>
      </c>
    </row>
    <row r="18" spans="1:68" ht="15" customHeight="1" x14ac:dyDescent="0.25">
      <c r="A18">
        <v>46689</v>
      </c>
      <c r="C18">
        <v>0</v>
      </c>
      <c r="D18" t="s">
        <v>65</v>
      </c>
      <c r="E18" t="s">
        <v>66</v>
      </c>
      <c r="F18" t="s">
        <v>80</v>
      </c>
      <c r="G18">
        <v>0</v>
      </c>
      <c r="H18" t="s">
        <v>81</v>
      </c>
      <c r="I18" t="s">
        <v>82</v>
      </c>
      <c r="J18" t="str">
        <f t="shared" si="5"/>
        <v>1.0009</v>
      </c>
      <c r="K18" t="str">
        <f t="shared" si="6"/>
        <v xml:space="preserve"> Unset 'private' for 'snmp-server community</v>
      </c>
      <c r="L18" t="str">
        <f t="shared" si="3"/>
        <v>1.0009 - NETIOS - Unset 'private' for 'snmp-server community</v>
      </c>
      <c r="M18" t="str">
        <f t="shared" si="4"/>
        <v>PASSED</v>
      </c>
      <c r="N18" s="1" t="s">
        <v>110</v>
      </c>
      <c r="O18" t="s">
        <v>77</v>
      </c>
      <c r="R18" t="s">
        <v>67</v>
      </c>
      <c r="T18" t="s">
        <v>68</v>
      </c>
      <c r="U18" t="s">
        <v>66</v>
      </c>
      <c r="X18" s="1" t="s">
        <v>69</v>
      </c>
      <c r="Y18" t="s">
        <v>84</v>
      </c>
      <c r="Z18">
        <v>0</v>
      </c>
      <c r="AA18">
        <v>0</v>
      </c>
      <c r="AD18">
        <v>0</v>
      </c>
      <c r="AE18">
        <v>0</v>
      </c>
      <c r="AI18" t="s">
        <v>70</v>
      </c>
      <c r="AJ18" t="s">
        <v>71</v>
      </c>
      <c r="AK18" t="s">
        <v>72</v>
      </c>
      <c r="AN18" t="s">
        <v>73</v>
      </c>
      <c r="AO18" t="s">
        <v>74</v>
      </c>
      <c r="AP18" t="s">
        <v>108</v>
      </c>
      <c r="AQ18" t="s">
        <v>76</v>
      </c>
      <c r="AS18" t="b">
        <v>1</v>
      </c>
      <c r="AT18" t="s">
        <v>65</v>
      </c>
      <c r="AU18">
        <v>0</v>
      </c>
      <c r="AV18">
        <v>0</v>
      </c>
      <c r="AX18">
        <v>39</v>
      </c>
      <c r="AY18" t="s">
        <v>79</v>
      </c>
      <c r="AZ18" t="s">
        <v>86</v>
      </c>
      <c r="BB18" t="s">
        <v>87</v>
      </c>
      <c r="BC18" t="s">
        <v>88</v>
      </c>
      <c r="BD18" t="b">
        <v>0</v>
      </c>
      <c r="BE18" t="b">
        <v>0</v>
      </c>
      <c r="BF18" t="b">
        <v>0</v>
      </c>
      <c r="BG18" t="b">
        <v>0</v>
      </c>
      <c r="BH18" t="b">
        <v>0</v>
      </c>
      <c r="BI18" t="b">
        <v>0</v>
      </c>
      <c r="BJ18" t="b">
        <v>0</v>
      </c>
      <c r="BK18" t="b">
        <v>0</v>
      </c>
      <c r="BL18" t="b">
        <v>0</v>
      </c>
      <c r="BM18" t="b">
        <v>0</v>
      </c>
      <c r="BN18" t="b">
        <v>0</v>
      </c>
      <c r="BO18" t="b">
        <v>0</v>
      </c>
      <c r="BP18" t="b">
        <v>0</v>
      </c>
    </row>
    <row r="19" spans="1:68" ht="15" customHeight="1" x14ac:dyDescent="0.25">
      <c r="A19">
        <v>46689</v>
      </c>
      <c r="C19">
        <v>0</v>
      </c>
      <c r="D19" t="s">
        <v>65</v>
      </c>
      <c r="E19" t="s">
        <v>118</v>
      </c>
      <c r="F19" t="s">
        <v>80</v>
      </c>
      <c r="G19">
        <v>0</v>
      </c>
      <c r="H19" t="s">
        <v>81</v>
      </c>
      <c r="I19" t="s">
        <v>82</v>
      </c>
      <c r="J19" t="str">
        <f t="shared" si="5"/>
        <v>1.0009</v>
      </c>
      <c r="K19" t="str">
        <f t="shared" si="6"/>
        <v xml:space="preserve"> Unset 'private' for 'snmp-server community</v>
      </c>
      <c r="L19" t="str">
        <f t="shared" si="3"/>
        <v>1.0009 - NETIOS - Unset 'private' for 'snmp-server community</v>
      </c>
      <c r="M19" t="str">
        <f t="shared" si="4"/>
        <v>PASSED</v>
      </c>
      <c r="N19" s="1" t="s">
        <v>110</v>
      </c>
      <c r="O19" t="s">
        <v>77</v>
      </c>
      <c r="R19" t="s">
        <v>119</v>
      </c>
      <c r="T19" t="s">
        <v>120</v>
      </c>
      <c r="U19" t="s">
        <v>118</v>
      </c>
      <c r="X19" s="1" t="s">
        <v>121</v>
      </c>
      <c r="Y19" t="s">
        <v>84</v>
      </c>
      <c r="Z19">
        <v>0</v>
      </c>
      <c r="AA19">
        <v>0</v>
      </c>
      <c r="AD19">
        <v>0</v>
      </c>
      <c r="AE19">
        <v>0</v>
      </c>
      <c r="AI19" t="s">
        <v>70</v>
      </c>
      <c r="AJ19" t="s">
        <v>71</v>
      </c>
      <c r="AK19" t="s">
        <v>72</v>
      </c>
      <c r="AN19" t="s">
        <v>73</v>
      </c>
      <c r="AO19" t="s">
        <v>74</v>
      </c>
      <c r="AP19" t="s">
        <v>128</v>
      </c>
      <c r="AQ19" t="s">
        <v>123</v>
      </c>
      <c r="AS19" t="b">
        <v>1</v>
      </c>
      <c r="AT19" t="s">
        <v>65</v>
      </c>
      <c r="AU19">
        <v>0</v>
      </c>
      <c r="AV19">
        <v>0</v>
      </c>
      <c r="AX19">
        <v>39</v>
      </c>
      <c r="AY19" t="s">
        <v>79</v>
      </c>
      <c r="AZ19" t="s">
        <v>86</v>
      </c>
      <c r="BB19" t="s">
        <v>87</v>
      </c>
      <c r="BC19" t="s">
        <v>88</v>
      </c>
      <c r="BD19" t="b">
        <v>0</v>
      </c>
      <c r="BE19" t="b">
        <v>0</v>
      </c>
      <c r="BF19" t="b">
        <v>0</v>
      </c>
      <c r="BG19" t="b">
        <v>0</v>
      </c>
      <c r="BH19" t="b">
        <v>0</v>
      </c>
      <c r="BI19" t="b">
        <v>0</v>
      </c>
      <c r="BJ19" t="b">
        <v>0</v>
      </c>
      <c r="BK19" t="b">
        <v>0</v>
      </c>
      <c r="BL19" t="b">
        <v>0</v>
      </c>
      <c r="BM19" t="b">
        <v>0</v>
      </c>
      <c r="BN19" t="b">
        <v>0</v>
      </c>
      <c r="BO19" t="b">
        <v>0</v>
      </c>
      <c r="BP19" t="b">
        <v>0</v>
      </c>
    </row>
    <row r="20" spans="1:68" ht="15" customHeight="1" x14ac:dyDescent="0.25">
      <c r="A20">
        <v>46689</v>
      </c>
      <c r="C20">
        <v>0</v>
      </c>
      <c r="D20" t="s">
        <v>65</v>
      </c>
      <c r="E20" t="s">
        <v>66</v>
      </c>
      <c r="F20" t="s">
        <v>80</v>
      </c>
      <c r="G20">
        <v>0</v>
      </c>
      <c r="H20" t="s">
        <v>81</v>
      </c>
      <c r="I20" t="s">
        <v>82</v>
      </c>
      <c r="J20" t="str">
        <f t="shared" si="5"/>
        <v>1.0010</v>
      </c>
      <c r="K20" t="str">
        <f t="shared" si="6"/>
        <v xml:space="preserve"> Unset 'public' for 'snmp-server community</v>
      </c>
      <c r="L20" t="str">
        <f t="shared" si="3"/>
        <v>1.0010 - NETIOS - Unset 'public' for 'snmp-server community</v>
      </c>
      <c r="M20" t="str">
        <f t="shared" si="4"/>
        <v>PASSED</v>
      </c>
      <c r="N20" s="1" t="s">
        <v>102</v>
      </c>
      <c r="O20" t="s">
        <v>77</v>
      </c>
      <c r="R20" t="s">
        <v>67</v>
      </c>
      <c r="T20" t="s">
        <v>68</v>
      </c>
      <c r="U20" t="s">
        <v>66</v>
      </c>
      <c r="X20" s="1" t="s">
        <v>69</v>
      </c>
      <c r="Y20" t="s">
        <v>84</v>
      </c>
      <c r="Z20">
        <v>0</v>
      </c>
      <c r="AA20">
        <v>0</v>
      </c>
      <c r="AD20">
        <v>0</v>
      </c>
      <c r="AE20">
        <v>0</v>
      </c>
      <c r="AI20" t="s">
        <v>70</v>
      </c>
      <c r="AJ20" t="s">
        <v>71</v>
      </c>
      <c r="AK20" t="s">
        <v>72</v>
      </c>
      <c r="AN20" t="s">
        <v>73</v>
      </c>
      <c r="AO20" t="s">
        <v>74</v>
      </c>
      <c r="AP20" t="s">
        <v>101</v>
      </c>
      <c r="AQ20" t="s">
        <v>76</v>
      </c>
      <c r="AS20" t="b">
        <v>1</v>
      </c>
      <c r="AT20" t="s">
        <v>65</v>
      </c>
      <c r="AU20">
        <v>0</v>
      </c>
      <c r="AV20">
        <v>0</v>
      </c>
      <c r="AX20">
        <v>39</v>
      </c>
      <c r="AY20" t="s">
        <v>79</v>
      </c>
      <c r="AZ20" t="s">
        <v>86</v>
      </c>
      <c r="BB20" t="s">
        <v>87</v>
      </c>
      <c r="BC20" t="s">
        <v>88</v>
      </c>
      <c r="BD20" t="b">
        <v>0</v>
      </c>
      <c r="BE20" t="b">
        <v>0</v>
      </c>
      <c r="BF20" t="b">
        <v>0</v>
      </c>
      <c r="BG20" t="b">
        <v>0</v>
      </c>
      <c r="BH20" t="b">
        <v>0</v>
      </c>
      <c r="BI20" t="b">
        <v>0</v>
      </c>
      <c r="BJ20" t="b">
        <v>0</v>
      </c>
      <c r="BK20" t="b">
        <v>0</v>
      </c>
      <c r="BL20" t="b">
        <v>0</v>
      </c>
      <c r="BM20" t="b">
        <v>0</v>
      </c>
      <c r="BN20" t="b">
        <v>0</v>
      </c>
      <c r="BO20" t="b">
        <v>0</v>
      </c>
      <c r="BP20" t="b">
        <v>0</v>
      </c>
    </row>
    <row r="21" spans="1:68" ht="15" customHeight="1" x14ac:dyDescent="0.25">
      <c r="A21">
        <v>46689</v>
      </c>
      <c r="C21">
        <v>0</v>
      </c>
      <c r="D21" t="s">
        <v>65</v>
      </c>
      <c r="E21" t="s">
        <v>118</v>
      </c>
      <c r="F21" t="s">
        <v>80</v>
      </c>
      <c r="G21">
        <v>0</v>
      </c>
      <c r="H21" t="s">
        <v>81</v>
      </c>
      <c r="I21" t="s">
        <v>82</v>
      </c>
      <c r="J21" t="str">
        <f t="shared" si="5"/>
        <v>1.0010</v>
      </c>
      <c r="K21" t="str">
        <f t="shared" si="6"/>
        <v xml:space="preserve"> Unset 'public' for 'snmp-server community</v>
      </c>
      <c r="L21" t="str">
        <f t="shared" si="3"/>
        <v>1.0010 - NETIOS - Unset 'public' for 'snmp-server community</v>
      </c>
      <c r="M21" t="str">
        <f t="shared" si="4"/>
        <v>PASSED</v>
      </c>
      <c r="N21" s="1" t="s">
        <v>102</v>
      </c>
      <c r="O21" t="s">
        <v>77</v>
      </c>
      <c r="R21" t="s">
        <v>119</v>
      </c>
      <c r="T21" t="s">
        <v>120</v>
      </c>
      <c r="U21" t="s">
        <v>118</v>
      </c>
      <c r="X21" s="1" t="s">
        <v>121</v>
      </c>
      <c r="Y21" t="s">
        <v>84</v>
      </c>
      <c r="Z21">
        <v>0</v>
      </c>
      <c r="AA21">
        <v>0</v>
      </c>
      <c r="AD21">
        <v>0</v>
      </c>
      <c r="AE21">
        <v>0</v>
      </c>
      <c r="AI21" t="s">
        <v>70</v>
      </c>
      <c r="AJ21" t="s">
        <v>71</v>
      </c>
      <c r="AK21" t="s">
        <v>72</v>
      </c>
      <c r="AN21" t="s">
        <v>73</v>
      </c>
      <c r="AO21" t="s">
        <v>74</v>
      </c>
      <c r="AP21" t="s">
        <v>129</v>
      </c>
      <c r="AQ21" t="s">
        <v>123</v>
      </c>
      <c r="AS21" t="b">
        <v>1</v>
      </c>
      <c r="AT21" t="s">
        <v>65</v>
      </c>
      <c r="AU21">
        <v>0</v>
      </c>
      <c r="AV21">
        <v>0</v>
      </c>
      <c r="AX21">
        <v>39</v>
      </c>
      <c r="AY21" t="s">
        <v>79</v>
      </c>
      <c r="AZ21" t="s">
        <v>86</v>
      </c>
      <c r="BB21" t="s">
        <v>87</v>
      </c>
      <c r="BC21" t="s">
        <v>88</v>
      </c>
      <c r="BD21" t="b">
        <v>0</v>
      </c>
      <c r="BE21" t="b">
        <v>0</v>
      </c>
      <c r="BF21" t="b">
        <v>0</v>
      </c>
      <c r="BG21" t="b">
        <v>0</v>
      </c>
      <c r="BH21" t="b">
        <v>0</v>
      </c>
      <c r="BI21" t="b">
        <v>0</v>
      </c>
      <c r="BJ21" t="b">
        <v>0</v>
      </c>
      <c r="BK21" t="b">
        <v>0</v>
      </c>
      <c r="BL21" t="b">
        <v>0</v>
      </c>
      <c r="BM21" t="b">
        <v>0</v>
      </c>
      <c r="BN21" t="b">
        <v>0</v>
      </c>
      <c r="BO21" t="b">
        <v>0</v>
      </c>
      <c r="BP21" t="b">
        <v>0</v>
      </c>
    </row>
    <row r="22" spans="1:68" ht="15" customHeight="1" x14ac:dyDescent="0.25">
      <c r="A22">
        <v>46689</v>
      </c>
      <c r="C22">
        <v>0</v>
      </c>
      <c r="D22" t="s">
        <v>65</v>
      </c>
      <c r="E22" t="s">
        <v>66</v>
      </c>
      <c r="F22" t="s">
        <v>80</v>
      </c>
      <c r="G22">
        <v>0</v>
      </c>
      <c r="H22" t="s">
        <v>81</v>
      </c>
      <c r="I22" t="s">
        <v>82</v>
      </c>
      <c r="J22" t="str">
        <f t="shared" si="5"/>
        <v>1.0011</v>
      </c>
      <c r="K22" t="str">
        <f t="shared" si="6"/>
        <v xml:space="preserve"> Do not set 'RW' for any 'snmp-server community</v>
      </c>
      <c r="L22" t="str">
        <f t="shared" si="3"/>
        <v>1.0011 - NETIOS - Do not set 'RW' for any 'snmp-server community</v>
      </c>
      <c r="M22" t="str">
        <f t="shared" si="4"/>
        <v>PASSED</v>
      </c>
      <c r="N22" s="1" t="s">
        <v>83</v>
      </c>
      <c r="O22" t="s">
        <v>77</v>
      </c>
      <c r="R22" t="s">
        <v>67</v>
      </c>
      <c r="T22" t="s">
        <v>68</v>
      </c>
      <c r="U22" t="s">
        <v>66</v>
      </c>
      <c r="X22" s="1" t="s">
        <v>69</v>
      </c>
      <c r="Y22" t="s">
        <v>84</v>
      </c>
      <c r="Z22">
        <v>0</v>
      </c>
      <c r="AA22">
        <v>0</v>
      </c>
      <c r="AD22">
        <v>0</v>
      </c>
      <c r="AE22">
        <v>0</v>
      </c>
      <c r="AI22" t="s">
        <v>70</v>
      </c>
      <c r="AJ22" t="s">
        <v>71</v>
      </c>
      <c r="AK22" t="s">
        <v>72</v>
      </c>
      <c r="AN22" t="s">
        <v>73</v>
      </c>
      <c r="AO22" t="s">
        <v>74</v>
      </c>
      <c r="AP22" t="s">
        <v>85</v>
      </c>
      <c r="AQ22" t="s">
        <v>76</v>
      </c>
      <c r="AS22" t="b">
        <v>1</v>
      </c>
      <c r="AT22" t="s">
        <v>65</v>
      </c>
      <c r="AU22">
        <v>0</v>
      </c>
      <c r="AV22">
        <v>0</v>
      </c>
      <c r="AX22">
        <v>39</v>
      </c>
      <c r="AY22" t="s">
        <v>79</v>
      </c>
      <c r="AZ22" t="s">
        <v>86</v>
      </c>
      <c r="BB22" t="s">
        <v>87</v>
      </c>
      <c r="BC22" t="s">
        <v>88</v>
      </c>
      <c r="BD22" t="b">
        <v>0</v>
      </c>
      <c r="BE22" t="b">
        <v>0</v>
      </c>
      <c r="BF22" t="b">
        <v>0</v>
      </c>
      <c r="BG22" t="b">
        <v>0</v>
      </c>
      <c r="BH22" t="b">
        <v>0</v>
      </c>
      <c r="BI22" t="b">
        <v>0</v>
      </c>
      <c r="BJ22" t="b">
        <v>0</v>
      </c>
      <c r="BK22" t="b">
        <v>0</v>
      </c>
      <c r="BL22" t="b">
        <v>0</v>
      </c>
      <c r="BM22" t="b">
        <v>0</v>
      </c>
      <c r="BN22" t="b">
        <v>0</v>
      </c>
      <c r="BO22" t="b">
        <v>0</v>
      </c>
      <c r="BP22" t="b">
        <v>0</v>
      </c>
    </row>
    <row r="23" spans="1:68" ht="15" customHeight="1" x14ac:dyDescent="0.25">
      <c r="A23">
        <v>46689</v>
      </c>
      <c r="C23">
        <v>0</v>
      </c>
      <c r="D23" t="s">
        <v>65</v>
      </c>
      <c r="E23" t="s">
        <v>118</v>
      </c>
      <c r="F23" t="s">
        <v>80</v>
      </c>
      <c r="G23">
        <v>0</v>
      </c>
      <c r="H23" t="s">
        <v>81</v>
      </c>
      <c r="I23" t="s">
        <v>82</v>
      </c>
      <c r="J23" t="str">
        <f t="shared" si="5"/>
        <v>1.0011</v>
      </c>
      <c r="K23" t="str">
        <f t="shared" si="6"/>
        <v xml:space="preserve"> Do not set 'RW' for any 'snmp-server community</v>
      </c>
      <c r="L23" t="str">
        <f t="shared" si="3"/>
        <v>1.0011 - NETIOS - Do not set 'RW' for any 'snmp-server community</v>
      </c>
      <c r="M23" t="str">
        <f t="shared" si="4"/>
        <v>PASSED</v>
      </c>
      <c r="N23" s="1" t="s">
        <v>83</v>
      </c>
      <c r="O23" t="s">
        <v>77</v>
      </c>
      <c r="R23" t="s">
        <v>119</v>
      </c>
      <c r="T23" t="s">
        <v>120</v>
      </c>
      <c r="U23" t="s">
        <v>118</v>
      </c>
      <c r="X23" s="1" t="s">
        <v>121</v>
      </c>
      <c r="Y23" t="s">
        <v>84</v>
      </c>
      <c r="Z23">
        <v>0</v>
      </c>
      <c r="AA23">
        <v>0</v>
      </c>
      <c r="AD23">
        <v>0</v>
      </c>
      <c r="AE23">
        <v>0</v>
      </c>
      <c r="AI23" t="s">
        <v>70</v>
      </c>
      <c r="AJ23" t="s">
        <v>71</v>
      </c>
      <c r="AK23" t="s">
        <v>72</v>
      </c>
      <c r="AN23" t="s">
        <v>73</v>
      </c>
      <c r="AO23" t="s">
        <v>74</v>
      </c>
      <c r="AP23" t="s">
        <v>127</v>
      </c>
      <c r="AQ23" t="s">
        <v>123</v>
      </c>
      <c r="AS23" t="b">
        <v>1</v>
      </c>
      <c r="AT23" t="s">
        <v>65</v>
      </c>
      <c r="AU23">
        <v>0</v>
      </c>
      <c r="AV23">
        <v>0</v>
      </c>
      <c r="AX23">
        <v>39</v>
      </c>
      <c r="AY23" t="s">
        <v>79</v>
      </c>
      <c r="AZ23" t="s">
        <v>86</v>
      </c>
      <c r="BB23" t="s">
        <v>87</v>
      </c>
      <c r="BC23" t="s">
        <v>88</v>
      </c>
      <c r="BD23" t="b">
        <v>0</v>
      </c>
      <c r="BE23" t="b">
        <v>0</v>
      </c>
      <c r="BF23" t="b">
        <v>0</v>
      </c>
      <c r="BG23" t="b">
        <v>0</v>
      </c>
      <c r="BH23" t="b">
        <v>0</v>
      </c>
      <c r="BI23" t="b">
        <v>0</v>
      </c>
      <c r="BJ23" t="b">
        <v>0</v>
      </c>
      <c r="BK23" t="b">
        <v>0</v>
      </c>
      <c r="BL23" t="b">
        <v>0</v>
      </c>
      <c r="BM23" t="b">
        <v>0</v>
      </c>
      <c r="BN23" t="b">
        <v>0</v>
      </c>
      <c r="BO23" t="b">
        <v>0</v>
      </c>
      <c r="BP23" t="b">
        <v>0</v>
      </c>
    </row>
    <row r="24" spans="1:68" ht="15" customHeight="1" x14ac:dyDescent="0.25">
      <c r="A24">
        <v>46689</v>
      </c>
      <c r="C24">
        <v>0</v>
      </c>
      <c r="D24" t="s">
        <v>95</v>
      </c>
      <c r="E24" t="s">
        <v>66</v>
      </c>
      <c r="F24" t="s">
        <v>80</v>
      </c>
      <c r="G24">
        <v>0</v>
      </c>
      <c r="H24" t="s">
        <v>81</v>
      </c>
      <c r="I24" t="s">
        <v>82</v>
      </c>
      <c r="J24" t="str">
        <f t="shared" si="5"/>
        <v>1.0012</v>
      </c>
      <c r="K24" t="str">
        <f t="shared" si="6"/>
        <v xml:space="preserve"> Set 'snmp-server host' when using SNMP</v>
      </c>
      <c r="L24" t="str">
        <f t="shared" si="3"/>
        <v>1.0012 - NETIOS - Set 'snmp-server host' when using SNMP</v>
      </c>
      <c r="M24" t="str">
        <f t="shared" si="4"/>
        <v>FAILED</v>
      </c>
      <c r="N24" s="1" t="s">
        <v>103</v>
      </c>
      <c r="O24" t="s">
        <v>77</v>
      </c>
      <c r="R24" t="s">
        <v>67</v>
      </c>
      <c r="T24" t="s">
        <v>68</v>
      </c>
      <c r="U24" t="s">
        <v>66</v>
      </c>
      <c r="X24" s="1" t="s">
        <v>69</v>
      </c>
      <c r="Y24" t="s">
        <v>84</v>
      </c>
      <c r="Z24">
        <v>0</v>
      </c>
      <c r="AA24">
        <v>0</v>
      </c>
      <c r="AD24">
        <v>0</v>
      </c>
      <c r="AE24">
        <v>0</v>
      </c>
      <c r="AI24" t="s">
        <v>70</v>
      </c>
      <c r="AJ24" t="s">
        <v>71</v>
      </c>
      <c r="AK24" t="s">
        <v>72</v>
      </c>
      <c r="AN24" t="s">
        <v>73</v>
      </c>
      <c r="AO24" t="s">
        <v>74</v>
      </c>
      <c r="AP24" t="s">
        <v>101</v>
      </c>
      <c r="AQ24" t="s">
        <v>76</v>
      </c>
      <c r="AS24" t="b">
        <v>1</v>
      </c>
      <c r="AT24" t="s">
        <v>65</v>
      </c>
      <c r="AU24">
        <v>0</v>
      </c>
      <c r="AV24">
        <v>0</v>
      </c>
      <c r="AX24">
        <v>39</v>
      </c>
      <c r="AY24" t="s">
        <v>79</v>
      </c>
      <c r="AZ24" t="s">
        <v>86</v>
      </c>
      <c r="BB24" t="s">
        <v>87</v>
      </c>
      <c r="BC24" t="s">
        <v>88</v>
      </c>
      <c r="BD24" t="b">
        <v>0</v>
      </c>
      <c r="BE24" t="b">
        <v>0</v>
      </c>
      <c r="BF24" t="b">
        <v>0</v>
      </c>
      <c r="BG24" t="b">
        <v>0</v>
      </c>
      <c r="BH24" t="b">
        <v>0</v>
      </c>
      <c r="BI24" t="b">
        <v>0</v>
      </c>
      <c r="BJ24" t="b">
        <v>0</v>
      </c>
      <c r="BK24" t="b">
        <v>0</v>
      </c>
      <c r="BL24" t="b">
        <v>0</v>
      </c>
      <c r="BM24" t="b">
        <v>0</v>
      </c>
      <c r="BN24" t="b">
        <v>0</v>
      </c>
      <c r="BO24" t="b">
        <v>0</v>
      </c>
      <c r="BP24" t="b">
        <v>0</v>
      </c>
    </row>
    <row r="25" spans="1:68" ht="15" customHeight="1" x14ac:dyDescent="0.25">
      <c r="A25">
        <v>46689</v>
      </c>
      <c r="C25">
        <v>0</v>
      </c>
      <c r="D25" t="s">
        <v>95</v>
      </c>
      <c r="E25" t="s">
        <v>118</v>
      </c>
      <c r="F25" t="s">
        <v>80</v>
      </c>
      <c r="G25">
        <v>0</v>
      </c>
      <c r="H25" t="s">
        <v>81</v>
      </c>
      <c r="I25" t="s">
        <v>82</v>
      </c>
      <c r="J25" t="str">
        <f t="shared" si="5"/>
        <v>1.0012</v>
      </c>
      <c r="K25" t="str">
        <f t="shared" si="6"/>
        <v xml:space="preserve"> Set 'snmp-server host' when using SNMP</v>
      </c>
      <c r="L25" t="str">
        <f t="shared" si="3"/>
        <v>1.0012 - NETIOS - Set 'snmp-server host' when using SNMP</v>
      </c>
      <c r="M25" t="str">
        <f t="shared" si="4"/>
        <v>FAILED</v>
      </c>
      <c r="N25" s="1" t="s">
        <v>103</v>
      </c>
      <c r="O25" t="s">
        <v>77</v>
      </c>
      <c r="R25" t="s">
        <v>119</v>
      </c>
      <c r="T25" t="s">
        <v>120</v>
      </c>
      <c r="U25" t="s">
        <v>118</v>
      </c>
      <c r="X25" s="1" t="s">
        <v>121</v>
      </c>
      <c r="Y25" t="s">
        <v>84</v>
      </c>
      <c r="Z25">
        <v>0</v>
      </c>
      <c r="AA25">
        <v>0</v>
      </c>
      <c r="AD25">
        <v>0</v>
      </c>
      <c r="AE25">
        <v>0</v>
      </c>
      <c r="AI25" t="s">
        <v>70</v>
      </c>
      <c r="AJ25" t="s">
        <v>71</v>
      </c>
      <c r="AK25" t="s">
        <v>72</v>
      </c>
      <c r="AN25" t="s">
        <v>73</v>
      </c>
      <c r="AO25" t="s">
        <v>74</v>
      </c>
      <c r="AP25" t="s">
        <v>129</v>
      </c>
      <c r="AQ25" t="s">
        <v>123</v>
      </c>
      <c r="AS25" t="b">
        <v>1</v>
      </c>
      <c r="AT25" t="s">
        <v>65</v>
      </c>
      <c r="AU25">
        <v>0</v>
      </c>
      <c r="AV25">
        <v>0</v>
      </c>
      <c r="AX25">
        <v>39</v>
      </c>
      <c r="AY25" t="s">
        <v>79</v>
      </c>
      <c r="AZ25" t="s">
        <v>86</v>
      </c>
      <c r="BB25" t="s">
        <v>87</v>
      </c>
      <c r="BC25" t="s">
        <v>88</v>
      </c>
      <c r="BD25" t="b">
        <v>0</v>
      </c>
      <c r="BE25" t="b">
        <v>0</v>
      </c>
      <c r="BF25" t="b">
        <v>0</v>
      </c>
      <c r="BG25" t="b">
        <v>0</v>
      </c>
      <c r="BH25" t="b">
        <v>0</v>
      </c>
      <c r="BI25" t="b">
        <v>0</v>
      </c>
      <c r="BJ25" t="b">
        <v>0</v>
      </c>
      <c r="BK25" t="b">
        <v>0</v>
      </c>
      <c r="BL25" t="b">
        <v>0</v>
      </c>
      <c r="BM25" t="b">
        <v>0</v>
      </c>
      <c r="BN25" t="b">
        <v>0</v>
      </c>
      <c r="BO25" t="b">
        <v>0</v>
      </c>
      <c r="BP25" t="b">
        <v>0</v>
      </c>
    </row>
    <row r="26" spans="1:68" ht="15" customHeight="1" x14ac:dyDescent="0.25">
      <c r="A26">
        <v>46689</v>
      </c>
      <c r="C26">
        <v>0</v>
      </c>
      <c r="D26" t="s">
        <v>95</v>
      </c>
      <c r="E26" t="s">
        <v>66</v>
      </c>
      <c r="F26" t="s">
        <v>80</v>
      </c>
      <c r="G26">
        <v>0</v>
      </c>
      <c r="H26" t="s">
        <v>81</v>
      </c>
      <c r="I26" t="s">
        <v>82</v>
      </c>
      <c r="J26" t="str">
        <f t="shared" si="5"/>
        <v>1.0013</v>
      </c>
      <c r="K26" t="str">
        <f t="shared" si="6"/>
        <v xml:space="preserve"> Set 'snmp-server enable traps snmp</v>
      </c>
      <c r="L26" t="str">
        <f t="shared" si="3"/>
        <v>1.0013 - NETIOS - Set 'snmp-server enable traps snmp</v>
      </c>
      <c r="M26" t="str">
        <f t="shared" si="4"/>
        <v>FAILED</v>
      </c>
      <c r="N26" s="1" t="s">
        <v>111</v>
      </c>
      <c r="O26" t="s">
        <v>77</v>
      </c>
      <c r="R26" t="s">
        <v>67</v>
      </c>
      <c r="T26" t="s">
        <v>68</v>
      </c>
      <c r="U26" t="s">
        <v>66</v>
      </c>
      <c r="X26" s="1" t="s">
        <v>69</v>
      </c>
      <c r="Y26" t="s">
        <v>84</v>
      </c>
      <c r="Z26">
        <v>0</v>
      </c>
      <c r="AA26">
        <v>0</v>
      </c>
      <c r="AD26">
        <v>0</v>
      </c>
      <c r="AE26">
        <v>0</v>
      </c>
      <c r="AI26" t="s">
        <v>70</v>
      </c>
      <c r="AJ26" t="s">
        <v>71</v>
      </c>
      <c r="AK26" t="s">
        <v>72</v>
      </c>
      <c r="AN26" t="s">
        <v>73</v>
      </c>
      <c r="AO26" t="s">
        <v>74</v>
      </c>
      <c r="AP26" t="s">
        <v>108</v>
      </c>
      <c r="AQ26" t="s">
        <v>76</v>
      </c>
      <c r="AS26" t="b">
        <v>1</v>
      </c>
      <c r="AT26" t="s">
        <v>65</v>
      </c>
      <c r="AU26">
        <v>0</v>
      </c>
      <c r="AV26">
        <v>0</v>
      </c>
      <c r="AX26">
        <v>39</v>
      </c>
      <c r="AY26" t="s">
        <v>79</v>
      </c>
      <c r="AZ26" t="s">
        <v>86</v>
      </c>
      <c r="BB26" t="s">
        <v>87</v>
      </c>
      <c r="BC26" t="s">
        <v>88</v>
      </c>
      <c r="BD26" t="b">
        <v>0</v>
      </c>
      <c r="BE26" t="b">
        <v>0</v>
      </c>
      <c r="BF26" t="b">
        <v>0</v>
      </c>
      <c r="BG26" t="b">
        <v>0</v>
      </c>
      <c r="BH26" t="b">
        <v>0</v>
      </c>
      <c r="BI26" t="b">
        <v>0</v>
      </c>
      <c r="BJ26" t="b">
        <v>0</v>
      </c>
      <c r="BK26" t="b">
        <v>0</v>
      </c>
      <c r="BL26" t="b">
        <v>0</v>
      </c>
      <c r="BM26" t="b">
        <v>0</v>
      </c>
      <c r="BN26" t="b">
        <v>0</v>
      </c>
      <c r="BO26" t="b">
        <v>0</v>
      </c>
      <c r="BP26" t="b">
        <v>0</v>
      </c>
    </row>
    <row r="27" spans="1:68" ht="15" customHeight="1" x14ac:dyDescent="0.25">
      <c r="A27">
        <v>46689</v>
      </c>
      <c r="C27">
        <v>0</v>
      </c>
      <c r="D27" t="s">
        <v>95</v>
      </c>
      <c r="E27" t="s">
        <v>118</v>
      </c>
      <c r="F27" t="s">
        <v>80</v>
      </c>
      <c r="G27">
        <v>0</v>
      </c>
      <c r="H27" t="s">
        <v>81</v>
      </c>
      <c r="I27" t="s">
        <v>82</v>
      </c>
      <c r="J27" t="str">
        <f t="shared" si="5"/>
        <v>1.0013</v>
      </c>
      <c r="K27" t="str">
        <f t="shared" si="6"/>
        <v xml:space="preserve"> Set 'snmp-server enable traps snmp</v>
      </c>
      <c r="L27" t="str">
        <f t="shared" si="3"/>
        <v>1.0013 - NETIOS - Set 'snmp-server enable traps snmp</v>
      </c>
      <c r="M27" t="str">
        <f t="shared" si="4"/>
        <v>FAILED</v>
      </c>
      <c r="N27" s="1" t="s">
        <v>131</v>
      </c>
      <c r="O27" t="s">
        <v>77</v>
      </c>
      <c r="R27" t="s">
        <v>119</v>
      </c>
      <c r="T27" t="s">
        <v>120</v>
      </c>
      <c r="U27" t="s">
        <v>118</v>
      </c>
      <c r="X27" s="1" t="s">
        <v>121</v>
      </c>
      <c r="Y27" t="s">
        <v>84</v>
      </c>
      <c r="Z27">
        <v>0</v>
      </c>
      <c r="AA27">
        <v>0</v>
      </c>
      <c r="AD27">
        <v>0</v>
      </c>
      <c r="AE27">
        <v>0</v>
      </c>
      <c r="AI27" t="s">
        <v>70</v>
      </c>
      <c r="AJ27" t="s">
        <v>71</v>
      </c>
      <c r="AK27" t="s">
        <v>72</v>
      </c>
      <c r="AN27" t="s">
        <v>73</v>
      </c>
      <c r="AO27" t="s">
        <v>74</v>
      </c>
      <c r="AP27" t="s">
        <v>132</v>
      </c>
      <c r="AQ27" t="s">
        <v>123</v>
      </c>
      <c r="AS27" t="b">
        <v>1</v>
      </c>
      <c r="AT27" t="s">
        <v>65</v>
      </c>
      <c r="AU27">
        <v>0</v>
      </c>
      <c r="AV27">
        <v>0</v>
      </c>
      <c r="AX27">
        <v>39</v>
      </c>
      <c r="AY27" t="s">
        <v>79</v>
      </c>
      <c r="AZ27" t="s">
        <v>86</v>
      </c>
      <c r="BB27" t="s">
        <v>87</v>
      </c>
      <c r="BC27" t="s">
        <v>88</v>
      </c>
      <c r="BD27" t="b">
        <v>0</v>
      </c>
      <c r="BE27" t="b">
        <v>0</v>
      </c>
      <c r="BF27" t="b">
        <v>0</v>
      </c>
      <c r="BG27" t="b">
        <v>0</v>
      </c>
      <c r="BH27" t="b">
        <v>0</v>
      </c>
      <c r="BI27" t="b">
        <v>0</v>
      </c>
      <c r="BJ27" t="b">
        <v>0</v>
      </c>
      <c r="BK27" t="b">
        <v>0</v>
      </c>
      <c r="BL27" t="b">
        <v>0</v>
      </c>
      <c r="BM27" t="b">
        <v>0</v>
      </c>
      <c r="BN27" t="b">
        <v>0</v>
      </c>
      <c r="BO27" t="b">
        <v>0</v>
      </c>
      <c r="BP27" t="b">
        <v>0</v>
      </c>
    </row>
    <row r="28" spans="1:68" ht="15" customHeight="1" x14ac:dyDescent="0.25">
      <c r="A28">
        <v>46689</v>
      </c>
      <c r="C28">
        <v>0</v>
      </c>
      <c r="D28" t="s">
        <v>65</v>
      </c>
      <c r="E28" t="s">
        <v>66</v>
      </c>
      <c r="F28" t="s">
        <v>80</v>
      </c>
      <c r="G28">
        <v>0</v>
      </c>
      <c r="H28" t="s">
        <v>81</v>
      </c>
      <c r="I28" t="s">
        <v>82</v>
      </c>
      <c r="J28" t="str">
        <f t="shared" si="5"/>
        <v>1.0014</v>
      </c>
      <c r="K28" t="str">
        <f t="shared" si="6"/>
        <v xml:space="preserve"> Set the 'ip domain-name</v>
      </c>
      <c r="L28" t="str">
        <f t="shared" si="3"/>
        <v>1.0014 - NETIOS - Set the 'ip domain-name</v>
      </c>
      <c r="M28" t="str">
        <f t="shared" si="4"/>
        <v>PASSED</v>
      </c>
      <c r="N28" s="1" t="s">
        <v>91</v>
      </c>
      <c r="O28" t="s">
        <v>77</v>
      </c>
      <c r="R28" t="s">
        <v>67</v>
      </c>
      <c r="T28" t="s">
        <v>68</v>
      </c>
      <c r="U28" t="s">
        <v>66</v>
      </c>
      <c r="X28" s="1" t="s">
        <v>69</v>
      </c>
      <c r="Y28" t="s">
        <v>84</v>
      </c>
      <c r="Z28">
        <v>0</v>
      </c>
      <c r="AA28">
        <v>0</v>
      </c>
      <c r="AD28">
        <v>0</v>
      </c>
      <c r="AE28">
        <v>0</v>
      </c>
      <c r="AI28" t="s">
        <v>70</v>
      </c>
      <c r="AJ28" t="s">
        <v>71</v>
      </c>
      <c r="AK28" t="s">
        <v>72</v>
      </c>
      <c r="AN28" t="s">
        <v>73</v>
      </c>
      <c r="AO28" t="s">
        <v>74</v>
      </c>
      <c r="AP28" t="s">
        <v>92</v>
      </c>
      <c r="AQ28" t="s">
        <v>76</v>
      </c>
      <c r="AS28" t="b">
        <v>1</v>
      </c>
      <c r="AT28" t="s">
        <v>65</v>
      </c>
      <c r="AU28">
        <v>0</v>
      </c>
      <c r="AV28">
        <v>0</v>
      </c>
      <c r="AX28">
        <v>39</v>
      </c>
      <c r="AY28" t="s">
        <v>79</v>
      </c>
      <c r="AZ28" t="s">
        <v>86</v>
      </c>
      <c r="BB28" t="s">
        <v>87</v>
      </c>
      <c r="BC28" t="s">
        <v>88</v>
      </c>
      <c r="BD28" t="b">
        <v>0</v>
      </c>
      <c r="BE28" t="b">
        <v>0</v>
      </c>
      <c r="BF28" t="b">
        <v>0</v>
      </c>
      <c r="BG28" t="b">
        <v>0</v>
      </c>
      <c r="BH28" t="b">
        <v>0</v>
      </c>
      <c r="BI28" t="b">
        <v>0</v>
      </c>
      <c r="BJ28" t="b">
        <v>0</v>
      </c>
      <c r="BK28" t="b">
        <v>0</v>
      </c>
      <c r="BL28" t="b">
        <v>0</v>
      </c>
      <c r="BM28" t="b">
        <v>0</v>
      </c>
      <c r="BN28" t="b">
        <v>0</v>
      </c>
      <c r="BO28" t="b">
        <v>0</v>
      </c>
      <c r="BP28" t="b">
        <v>0</v>
      </c>
    </row>
    <row r="29" spans="1:68" ht="15" customHeight="1" x14ac:dyDescent="0.25">
      <c r="A29">
        <v>46689</v>
      </c>
      <c r="C29">
        <v>0</v>
      </c>
      <c r="D29" t="s">
        <v>65</v>
      </c>
      <c r="E29" t="s">
        <v>118</v>
      </c>
      <c r="F29" t="s">
        <v>80</v>
      </c>
      <c r="G29">
        <v>0</v>
      </c>
      <c r="H29" t="s">
        <v>81</v>
      </c>
      <c r="I29" t="s">
        <v>82</v>
      </c>
      <c r="J29" t="str">
        <f t="shared" si="5"/>
        <v>1.0014</v>
      </c>
      <c r="K29" t="str">
        <f t="shared" si="6"/>
        <v xml:space="preserve"> Set the 'ip domain-name</v>
      </c>
      <c r="L29" t="str">
        <f t="shared" si="3"/>
        <v>1.0014 - NETIOS - Set the 'ip domain-name</v>
      </c>
      <c r="M29" t="str">
        <f t="shared" si="4"/>
        <v>PASSED</v>
      </c>
      <c r="N29" s="1" t="s">
        <v>137</v>
      </c>
      <c r="O29" t="s">
        <v>77</v>
      </c>
      <c r="R29" t="s">
        <v>119</v>
      </c>
      <c r="T29" t="s">
        <v>120</v>
      </c>
      <c r="U29" t="s">
        <v>118</v>
      </c>
      <c r="X29" s="1" t="s">
        <v>121</v>
      </c>
      <c r="Y29" t="s">
        <v>84</v>
      </c>
      <c r="Z29">
        <v>0</v>
      </c>
      <c r="AA29">
        <v>0</v>
      </c>
      <c r="AD29">
        <v>0</v>
      </c>
      <c r="AE29">
        <v>0</v>
      </c>
      <c r="AI29" t="s">
        <v>70</v>
      </c>
      <c r="AJ29" t="s">
        <v>71</v>
      </c>
      <c r="AK29" t="s">
        <v>72</v>
      </c>
      <c r="AN29" t="s">
        <v>73</v>
      </c>
      <c r="AO29" t="s">
        <v>74</v>
      </c>
      <c r="AP29" t="s">
        <v>136</v>
      </c>
      <c r="AQ29" t="s">
        <v>123</v>
      </c>
      <c r="AS29" t="b">
        <v>1</v>
      </c>
      <c r="AT29" t="s">
        <v>65</v>
      </c>
      <c r="AU29">
        <v>0</v>
      </c>
      <c r="AV29">
        <v>0</v>
      </c>
      <c r="AX29">
        <v>39</v>
      </c>
      <c r="AY29" t="s">
        <v>79</v>
      </c>
      <c r="AZ29" t="s">
        <v>86</v>
      </c>
      <c r="BB29" t="s">
        <v>87</v>
      </c>
      <c r="BC29" t="s">
        <v>88</v>
      </c>
      <c r="BD29" t="b">
        <v>0</v>
      </c>
      <c r="BE29" t="b">
        <v>0</v>
      </c>
      <c r="BF29" t="b">
        <v>0</v>
      </c>
      <c r="BG29" t="b">
        <v>0</v>
      </c>
      <c r="BH29" t="b">
        <v>0</v>
      </c>
      <c r="BI29" t="b">
        <v>0</v>
      </c>
      <c r="BJ29" t="b">
        <v>0</v>
      </c>
      <c r="BK29" t="b">
        <v>0</v>
      </c>
      <c r="BL29" t="b">
        <v>0</v>
      </c>
      <c r="BM29" t="b">
        <v>0</v>
      </c>
      <c r="BN29" t="b">
        <v>0</v>
      </c>
      <c r="BO29" t="b">
        <v>0</v>
      </c>
      <c r="BP29" t="b">
        <v>0</v>
      </c>
    </row>
    <row r="30" spans="1:68" ht="15" customHeight="1" x14ac:dyDescent="0.25">
      <c r="A30">
        <v>46689</v>
      </c>
      <c r="C30">
        <v>0</v>
      </c>
      <c r="D30" t="s">
        <v>65</v>
      </c>
      <c r="E30" t="s">
        <v>66</v>
      </c>
      <c r="F30" t="s">
        <v>80</v>
      </c>
      <c r="G30">
        <v>0</v>
      </c>
      <c r="H30" t="s">
        <v>81</v>
      </c>
      <c r="I30" t="s">
        <v>82</v>
      </c>
      <c r="J30" t="str">
        <f t="shared" si="5"/>
        <v>1.0015</v>
      </c>
      <c r="K30" t="str">
        <f t="shared" si="6"/>
        <v xml:space="preserve"> Set version 2 for 'ip ssh version</v>
      </c>
      <c r="L30" t="str">
        <f t="shared" si="3"/>
        <v>1.0015 - NETIOS - Set version 2 for 'ip ssh version</v>
      </c>
      <c r="M30" t="str">
        <f t="shared" si="4"/>
        <v>PASSED</v>
      </c>
      <c r="N30" s="1" t="s">
        <v>117</v>
      </c>
      <c r="O30" t="s">
        <v>77</v>
      </c>
      <c r="R30" t="s">
        <v>67</v>
      </c>
      <c r="T30" t="s">
        <v>68</v>
      </c>
      <c r="U30" t="s">
        <v>66</v>
      </c>
      <c r="X30" s="1" t="s">
        <v>69</v>
      </c>
      <c r="Y30" t="s">
        <v>84</v>
      </c>
      <c r="Z30">
        <v>0</v>
      </c>
      <c r="AA30">
        <v>0</v>
      </c>
      <c r="AD30">
        <v>0</v>
      </c>
      <c r="AE30">
        <v>0</v>
      </c>
      <c r="AI30" t="s">
        <v>70</v>
      </c>
      <c r="AJ30" t="s">
        <v>71</v>
      </c>
      <c r="AK30" t="s">
        <v>72</v>
      </c>
      <c r="AN30" t="s">
        <v>73</v>
      </c>
      <c r="AO30" t="s">
        <v>74</v>
      </c>
      <c r="AP30" t="s">
        <v>75</v>
      </c>
      <c r="AQ30" t="s">
        <v>76</v>
      </c>
      <c r="AS30" t="b">
        <v>1</v>
      </c>
      <c r="AT30" t="s">
        <v>65</v>
      </c>
      <c r="AU30">
        <v>0</v>
      </c>
      <c r="AV30">
        <v>0</v>
      </c>
      <c r="AX30">
        <v>39</v>
      </c>
      <c r="AY30" t="s">
        <v>79</v>
      </c>
      <c r="AZ30" t="s">
        <v>86</v>
      </c>
      <c r="BB30" t="s">
        <v>87</v>
      </c>
      <c r="BC30" t="s">
        <v>88</v>
      </c>
      <c r="BD30" t="b">
        <v>0</v>
      </c>
      <c r="BE30" t="b">
        <v>0</v>
      </c>
      <c r="BF30" t="b">
        <v>0</v>
      </c>
      <c r="BG30" t="b">
        <v>0</v>
      </c>
      <c r="BH30" t="b">
        <v>0</v>
      </c>
      <c r="BI30" t="b">
        <v>0</v>
      </c>
      <c r="BJ30" t="b">
        <v>0</v>
      </c>
      <c r="BK30" t="b">
        <v>0</v>
      </c>
      <c r="BL30" t="b">
        <v>0</v>
      </c>
      <c r="BM30" t="b">
        <v>0</v>
      </c>
      <c r="BN30" t="b">
        <v>0</v>
      </c>
      <c r="BO30" t="b">
        <v>0</v>
      </c>
      <c r="BP30" t="b">
        <v>0</v>
      </c>
    </row>
    <row r="31" spans="1:68" ht="15" customHeight="1" x14ac:dyDescent="0.25">
      <c r="A31">
        <v>46689</v>
      </c>
      <c r="C31">
        <v>0</v>
      </c>
      <c r="D31" t="s">
        <v>65</v>
      </c>
      <c r="E31" t="s">
        <v>118</v>
      </c>
      <c r="F31" t="s">
        <v>80</v>
      </c>
      <c r="G31">
        <v>0</v>
      </c>
      <c r="H31" t="s">
        <v>81</v>
      </c>
      <c r="I31" t="s">
        <v>82</v>
      </c>
      <c r="J31" t="str">
        <f t="shared" si="5"/>
        <v>1.0015</v>
      </c>
      <c r="K31" t="str">
        <f t="shared" si="6"/>
        <v xml:space="preserve"> Set version 2 for 'ip ssh version</v>
      </c>
      <c r="L31" t="str">
        <f t="shared" si="3"/>
        <v>1.0015 - NETIOS - Set version 2 for 'ip ssh version</v>
      </c>
      <c r="M31" t="str">
        <f t="shared" si="4"/>
        <v>PASSED</v>
      </c>
      <c r="N31" s="1" t="s">
        <v>117</v>
      </c>
      <c r="O31" t="s">
        <v>77</v>
      </c>
      <c r="R31" t="s">
        <v>119</v>
      </c>
      <c r="T31" t="s">
        <v>120</v>
      </c>
      <c r="U31" t="s">
        <v>118</v>
      </c>
      <c r="X31" s="1" t="s">
        <v>121</v>
      </c>
      <c r="Y31" t="s">
        <v>84</v>
      </c>
      <c r="Z31">
        <v>0</v>
      </c>
      <c r="AA31">
        <v>0</v>
      </c>
      <c r="AD31">
        <v>0</v>
      </c>
      <c r="AE31">
        <v>0</v>
      </c>
      <c r="AI31" t="s">
        <v>70</v>
      </c>
      <c r="AJ31" t="s">
        <v>71</v>
      </c>
      <c r="AK31" t="s">
        <v>72</v>
      </c>
      <c r="AN31" t="s">
        <v>73</v>
      </c>
      <c r="AO31" t="s">
        <v>74</v>
      </c>
      <c r="AP31" t="s">
        <v>146</v>
      </c>
      <c r="AQ31" t="s">
        <v>123</v>
      </c>
      <c r="AS31" t="b">
        <v>1</v>
      </c>
      <c r="AT31" t="s">
        <v>65</v>
      </c>
      <c r="AU31">
        <v>0</v>
      </c>
      <c r="AV31">
        <v>0</v>
      </c>
      <c r="AX31">
        <v>39</v>
      </c>
      <c r="AY31" t="s">
        <v>79</v>
      </c>
      <c r="AZ31" t="s">
        <v>86</v>
      </c>
      <c r="BB31" t="s">
        <v>87</v>
      </c>
      <c r="BC31" t="s">
        <v>88</v>
      </c>
      <c r="BD31" t="b">
        <v>0</v>
      </c>
      <c r="BE31" t="b">
        <v>0</v>
      </c>
      <c r="BF31" t="b">
        <v>0</v>
      </c>
      <c r="BG31" t="b">
        <v>0</v>
      </c>
      <c r="BH31" t="b">
        <v>0</v>
      </c>
      <c r="BI31" t="b">
        <v>0</v>
      </c>
      <c r="BJ31" t="b">
        <v>0</v>
      </c>
      <c r="BK31" t="b">
        <v>0</v>
      </c>
      <c r="BL31" t="b">
        <v>0</v>
      </c>
      <c r="BM31" t="b">
        <v>0</v>
      </c>
      <c r="BN31" t="b">
        <v>0</v>
      </c>
      <c r="BO31" t="b">
        <v>0</v>
      </c>
      <c r="BP31" t="b">
        <v>0</v>
      </c>
    </row>
    <row r="32" spans="1:68" ht="15" customHeight="1" x14ac:dyDescent="0.25">
      <c r="A32">
        <v>46689</v>
      </c>
      <c r="C32">
        <v>0</v>
      </c>
      <c r="D32" t="s">
        <v>95</v>
      </c>
      <c r="E32" t="s">
        <v>66</v>
      </c>
      <c r="F32" t="s">
        <v>80</v>
      </c>
      <c r="G32">
        <v>0</v>
      </c>
      <c r="H32" t="s">
        <v>81</v>
      </c>
      <c r="I32" t="s">
        <v>82</v>
      </c>
      <c r="J32" t="str">
        <f t="shared" si="5"/>
        <v>1.0016</v>
      </c>
      <c r="K32" t="str">
        <f t="shared" si="6"/>
        <v xml:space="preserve"> Set 'no cdp run: [FAILED]"
Disable Cisco Discovery Protocol (CDP) service at device level.
See Also</v>
      </c>
      <c r="L32" t="str">
        <f t="shared" si="3"/>
        <v>1.0016 - NETIOS - Set 'no cdp run</v>
      </c>
      <c r="M32" t="str">
        <f t="shared" si="4"/>
        <v>FAILED</v>
      </c>
      <c r="N32" s="1" t="s">
        <v>96</v>
      </c>
      <c r="O32" t="s">
        <v>77</v>
      </c>
      <c r="R32" t="s">
        <v>67</v>
      </c>
      <c r="T32" t="s">
        <v>68</v>
      </c>
      <c r="U32" t="s">
        <v>66</v>
      </c>
      <c r="X32" s="1" t="s">
        <v>69</v>
      </c>
      <c r="Y32" t="s">
        <v>84</v>
      </c>
      <c r="Z32">
        <v>0</v>
      </c>
      <c r="AA32">
        <v>0</v>
      </c>
      <c r="AD32">
        <v>0</v>
      </c>
      <c r="AE32">
        <v>0</v>
      </c>
      <c r="AI32" t="s">
        <v>70</v>
      </c>
      <c r="AJ32" t="s">
        <v>71</v>
      </c>
      <c r="AK32" t="s">
        <v>72</v>
      </c>
      <c r="AN32" t="s">
        <v>73</v>
      </c>
      <c r="AO32" t="s">
        <v>74</v>
      </c>
      <c r="AP32" t="s">
        <v>92</v>
      </c>
      <c r="AQ32" t="s">
        <v>76</v>
      </c>
      <c r="AS32" t="b">
        <v>1</v>
      </c>
      <c r="AT32" t="s">
        <v>65</v>
      </c>
      <c r="AU32">
        <v>0</v>
      </c>
      <c r="AV32">
        <v>0</v>
      </c>
      <c r="AX32">
        <v>39</v>
      </c>
      <c r="AY32" t="s">
        <v>79</v>
      </c>
      <c r="AZ32" t="s">
        <v>86</v>
      </c>
      <c r="BB32" t="s">
        <v>87</v>
      </c>
      <c r="BC32" t="s">
        <v>88</v>
      </c>
      <c r="BD32" t="b">
        <v>0</v>
      </c>
      <c r="BE32" t="b">
        <v>0</v>
      </c>
      <c r="BF32" t="b">
        <v>0</v>
      </c>
      <c r="BG32" t="b">
        <v>0</v>
      </c>
      <c r="BH32" t="b">
        <v>0</v>
      </c>
      <c r="BI32" t="b">
        <v>0</v>
      </c>
      <c r="BJ32" t="b">
        <v>0</v>
      </c>
      <c r="BK32" t="b">
        <v>0</v>
      </c>
      <c r="BL32" t="b">
        <v>0</v>
      </c>
      <c r="BM32" t="b">
        <v>0</v>
      </c>
      <c r="BN32" t="b">
        <v>0</v>
      </c>
      <c r="BO32" t="b">
        <v>0</v>
      </c>
      <c r="BP32" t="b">
        <v>0</v>
      </c>
    </row>
    <row r="33" spans="1:68" ht="15" customHeight="1" x14ac:dyDescent="0.25">
      <c r="A33">
        <v>46689</v>
      </c>
      <c r="C33">
        <v>0</v>
      </c>
      <c r="D33" t="s">
        <v>95</v>
      </c>
      <c r="E33" t="s">
        <v>118</v>
      </c>
      <c r="F33" t="s">
        <v>80</v>
      </c>
      <c r="G33">
        <v>0</v>
      </c>
      <c r="H33" t="s">
        <v>81</v>
      </c>
      <c r="I33" t="s">
        <v>82</v>
      </c>
      <c r="J33" t="str">
        <f t="shared" si="5"/>
        <v>1.0016</v>
      </c>
      <c r="K33" t="str">
        <f t="shared" si="6"/>
        <v xml:space="preserve"> Set 'no cdp run: [FAILED]"
Disable Cisco Discovery Protocol (CDP) service at device level.
See Also</v>
      </c>
      <c r="L33" t="str">
        <f t="shared" si="3"/>
        <v>1.0016 - NETIOS - Set 'no cdp run</v>
      </c>
      <c r="M33" t="str">
        <f t="shared" si="4"/>
        <v>FAILED</v>
      </c>
      <c r="N33" s="1" t="s">
        <v>96</v>
      </c>
      <c r="O33" t="s">
        <v>77</v>
      </c>
      <c r="R33" t="s">
        <v>119</v>
      </c>
      <c r="T33" t="s">
        <v>120</v>
      </c>
      <c r="U33" t="s">
        <v>118</v>
      </c>
      <c r="X33" s="1" t="s">
        <v>121</v>
      </c>
      <c r="Y33" t="s">
        <v>84</v>
      </c>
      <c r="Z33">
        <v>0</v>
      </c>
      <c r="AA33">
        <v>0</v>
      </c>
      <c r="AD33">
        <v>0</v>
      </c>
      <c r="AE33">
        <v>0</v>
      </c>
      <c r="AI33" t="s">
        <v>70</v>
      </c>
      <c r="AJ33" t="s">
        <v>71</v>
      </c>
      <c r="AK33" t="s">
        <v>72</v>
      </c>
      <c r="AN33" t="s">
        <v>73</v>
      </c>
      <c r="AO33" t="s">
        <v>74</v>
      </c>
      <c r="AP33" t="s">
        <v>142</v>
      </c>
      <c r="AQ33" t="s">
        <v>123</v>
      </c>
      <c r="AS33" t="b">
        <v>1</v>
      </c>
      <c r="AT33" t="s">
        <v>65</v>
      </c>
      <c r="AU33">
        <v>0</v>
      </c>
      <c r="AV33">
        <v>0</v>
      </c>
      <c r="AX33">
        <v>39</v>
      </c>
      <c r="AY33" t="s">
        <v>79</v>
      </c>
      <c r="AZ33" t="s">
        <v>86</v>
      </c>
      <c r="BB33" t="s">
        <v>87</v>
      </c>
      <c r="BC33" t="s">
        <v>88</v>
      </c>
      <c r="BD33" t="b">
        <v>0</v>
      </c>
      <c r="BE33" t="b">
        <v>0</v>
      </c>
      <c r="BF33" t="b">
        <v>0</v>
      </c>
      <c r="BG33" t="b">
        <v>0</v>
      </c>
      <c r="BH33" t="b">
        <v>0</v>
      </c>
      <c r="BI33" t="b">
        <v>0</v>
      </c>
      <c r="BJ33" t="b">
        <v>0</v>
      </c>
      <c r="BK33" t="b">
        <v>0</v>
      </c>
      <c r="BL33" t="b">
        <v>0</v>
      </c>
      <c r="BM33" t="b">
        <v>0</v>
      </c>
      <c r="BN33" t="b">
        <v>0</v>
      </c>
      <c r="BO33" t="b">
        <v>0</v>
      </c>
      <c r="BP33" t="b">
        <v>0</v>
      </c>
    </row>
    <row r="34" spans="1:68" ht="15" customHeight="1" x14ac:dyDescent="0.25">
      <c r="A34">
        <v>46689</v>
      </c>
      <c r="C34">
        <v>0</v>
      </c>
      <c r="D34" t="s">
        <v>95</v>
      </c>
      <c r="E34" t="s">
        <v>66</v>
      </c>
      <c r="F34" t="s">
        <v>80</v>
      </c>
      <c r="G34">
        <v>0</v>
      </c>
      <c r="H34" t="s">
        <v>81</v>
      </c>
      <c r="I34" t="s">
        <v>82</v>
      </c>
      <c r="J34" t="str">
        <f t="shared" si="5"/>
        <v>1.0017</v>
      </c>
      <c r="K34" t="str">
        <f t="shared" si="6"/>
        <v xml:space="preserve"> Set 'no service dhcp</v>
      </c>
      <c r="L34" t="str">
        <f t="shared" si="3"/>
        <v>1.0017 - NETIOS - Set 'no service dhcp</v>
      </c>
      <c r="M34" t="str">
        <f t="shared" si="4"/>
        <v>FAILED</v>
      </c>
      <c r="N34" s="1" t="s">
        <v>109</v>
      </c>
      <c r="O34" t="s">
        <v>77</v>
      </c>
      <c r="R34" t="s">
        <v>67</v>
      </c>
      <c r="T34" t="s">
        <v>68</v>
      </c>
      <c r="U34" t="s">
        <v>66</v>
      </c>
      <c r="X34" s="1" t="s">
        <v>69</v>
      </c>
      <c r="Y34" t="s">
        <v>84</v>
      </c>
      <c r="Z34">
        <v>0</v>
      </c>
      <c r="AA34">
        <v>0</v>
      </c>
      <c r="AD34">
        <v>0</v>
      </c>
      <c r="AE34">
        <v>0</v>
      </c>
      <c r="AI34" t="s">
        <v>70</v>
      </c>
      <c r="AJ34" t="s">
        <v>71</v>
      </c>
      <c r="AK34" t="s">
        <v>72</v>
      </c>
      <c r="AN34" t="s">
        <v>73</v>
      </c>
      <c r="AO34" t="s">
        <v>74</v>
      </c>
      <c r="AP34" t="s">
        <v>108</v>
      </c>
      <c r="AQ34" t="s">
        <v>76</v>
      </c>
      <c r="AS34" t="b">
        <v>1</v>
      </c>
      <c r="AT34" t="s">
        <v>65</v>
      </c>
      <c r="AU34">
        <v>0</v>
      </c>
      <c r="AV34">
        <v>0</v>
      </c>
      <c r="AX34">
        <v>39</v>
      </c>
      <c r="AY34" t="s">
        <v>79</v>
      </c>
      <c r="AZ34" t="s">
        <v>86</v>
      </c>
      <c r="BB34" t="s">
        <v>87</v>
      </c>
      <c r="BC34" t="s">
        <v>88</v>
      </c>
      <c r="BD34" t="b">
        <v>0</v>
      </c>
      <c r="BE34" t="b">
        <v>0</v>
      </c>
      <c r="BF34" t="b">
        <v>0</v>
      </c>
      <c r="BG34" t="b">
        <v>0</v>
      </c>
      <c r="BH34" t="b">
        <v>0</v>
      </c>
      <c r="BI34" t="b">
        <v>0</v>
      </c>
      <c r="BJ34" t="b">
        <v>0</v>
      </c>
      <c r="BK34" t="b">
        <v>0</v>
      </c>
      <c r="BL34" t="b">
        <v>0</v>
      </c>
      <c r="BM34" t="b">
        <v>0</v>
      </c>
      <c r="BN34" t="b">
        <v>0</v>
      </c>
      <c r="BO34" t="b">
        <v>0</v>
      </c>
      <c r="BP34" t="b">
        <v>0</v>
      </c>
    </row>
    <row r="35" spans="1:68" ht="15" customHeight="1" x14ac:dyDescent="0.25">
      <c r="A35">
        <v>46689</v>
      </c>
      <c r="C35">
        <v>0</v>
      </c>
      <c r="D35" t="s">
        <v>95</v>
      </c>
      <c r="E35" t="s">
        <v>118</v>
      </c>
      <c r="F35" t="s">
        <v>80</v>
      </c>
      <c r="G35">
        <v>0</v>
      </c>
      <c r="H35" t="s">
        <v>81</v>
      </c>
      <c r="I35" t="s">
        <v>82</v>
      </c>
      <c r="J35" t="str">
        <f t="shared" si="5"/>
        <v>1.0017</v>
      </c>
      <c r="K35" t="str">
        <f t="shared" si="6"/>
        <v xml:space="preserve"> Set 'no service dhcp</v>
      </c>
      <c r="L35" t="str">
        <f t="shared" si="3"/>
        <v>1.0017 - NETIOS - Set 'no service dhcp</v>
      </c>
      <c r="M35" t="str">
        <f t="shared" si="4"/>
        <v>FAILED</v>
      </c>
      <c r="N35" s="1" t="s">
        <v>109</v>
      </c>
      <c r="O35" t="s">
        <v>77</v>
      </c>
      <c r="R35" t="s">
        <v>119</v>
      </c>
      <c r="T35" t="s">
        <v>120</v>
      </c>
      <c r="U35" t="s">
        <v>118</v>
      </c>
      <c r="X35" s="1" t="s">
        <v>121</v>
      </c>
      <c r="Y35" t="s">
        <v>84</v>
      </c>
      <c r="Z35">
        <v>0</v>
      </c>
      <c r="AA35">
        <v>0</v>
      </c>
      <c r="AD35">
        <v>0</v>
      </c>
      <c r="AE35">
        <v>0</v>
      </c>
      <c r="AI35" t="s">
        <v>70</v>
      </c>
      <c r="AJ35" t="s">
        <v>71</v>
      </c>
      <c r="AK35" t="s">
        <v>72</v>
      </c>
      <c r="AN35" t="s">
        <v>73</v>
      </c>
      <c r="AO35" t="s">
        <v>74</v>
      </c>
      <c r="AP35" t="s">
        <v>124</v>
      </c>
      <c r="AQ35" t="s">
        <v>123</v>
      </c>
      <c r="AS35" t="b">
        <v>1</v>
      </c>
      <c r="AT35" t="s">
        <v>65</v>
      </c>
      <c r="AU35">
        <v>0</v>
      </c>
      <c r="AV35">
        <v>0</v>
      </c>
      <c r="AX35">
        <v>39</v>
      </c>
      <c r="AY35" t="s">
        <v>79</v>
      </c>
      <c r="AZ35" t="s">
        <v>86</v>
      </c>
      <c r="BB35" t="s">
        <v>87</v>
      </c>
      <c r="BC35" t="s">
        <v>88</v>
      </c>
      <c r="BD35" t="b">
        <v>0</v>
      </c>
      <c r="BE35" t="b">
        <v>0</v>
      </c>
      <c r="BF35" t="b">
        <v>0</v>
      </c>
      <c r="BG35" t="b">
        <v>0</v>
      </c>
      <c r="BH35" t="b">
        <v>0</v>
      </c>
      <c r="BI35" t="b">
        <v>0</v>
      </c>
      <c r="BJ35" t="b">
        <v>0</v>
      </c>
      <c r="BK35" t="b">
        <v>0</v>
      </c>
      <c r="BL35" t="b">
        <v>0</v>
      </c>
      <c r="BM35" t="b">
        <v>0</v>
      </c>
      <c r="BN35" t="b">
        <v>0</v>
      </c>
      <c r="BO35" t="b">
        <v>0</v>
      </c>
      <c r="BP35" t="b">
        <v>0</v>
      </c>
    </row>
    <row r="36" spans="1:68" ht="15" customHeight="1" x14ac:dyDescent="0.25">
      <c r="A36">
        <v>46689</v>
      </c>
      <c r="C36">
        <v>0</v>
      </c>
      <c r="D36" t="s">
        <v>95</v>
      </c>
      <c r="E36" t="s">
        <v>118</v>
      </c>
      <c r="F36" t="s">
        <v>80</v>
      </c>
      <c r="G36">
        <v>0</v>
      </c>
      <c r="H36" t="s">
        <v>81</v>
      </c>
      <c r="I36" t="s">
        <v>82</v>
      </c>
      <c r="J36" t="str">
        <f t="shared" si="5"/>
        <v>1.0018</v>
      </c>
      <c r="K36" t="str">
        <f t="shared" si="6"/>
        <v xml:space="preserve"> Set 'service tcp-keepalives-in</v>
      </c>
      <c r="L36" t="str">
        <f t="shared" si="3"/>
        <v>1.0018 - NETIOS - Set 'service tcp-keepalives-in</v>
      </c>
      <c r="M36" t="str">
        <f t="shared" si="4"/>
        <v>FAILED</v>
      </c>
      <c r="N36" s="1" t="s">
        <v>125</v>
      </c>
      <c r="O36" t="s">
        <v>77</v>
      </c>
      <c r="R36" t="s">
        <v>119</v>
      </c>
      <c r="T36" t="s">
        <v>120</v>
      </c>
      <c r="U36" t="s">
        <v>118</v>
      </c>
      <c r="X36" s="1" t="s">
        <v>121</v>
      </c>
      <c r="Y36" t="s">
        <v>84</v>
      </c>
      <c r="Z36">
        <v>0</v>
      </c>
      <c r="AA36">
        <v>0</v>
      </c>
      <c r="AD36">
        <v>0</v>
      </c>
      <c r="AE36">
        <v>0</v>
      </c>
      <c r="AI36" t="s">
        <v>70</v>
      </c>
      <c r="AJ36" t="s">
        <v>71</v>
      </c>
      <c r="AK36" t="s">
        <v>72</v>
      </c>
      <c r="AN36" t="s">
        <v>73</v>
      </c>
      <c r="AO36" t="s">
        <v>74</v>
      </c>
      <c r="AP36" t="s">
        <v>75</v>
      </c>
      <c r="AQ36" t="s">
        <v>123</v>
      </c>
      <c r="AS36" t="b">
        <v>1</v>
      </c>
      <c r="AT36" t="s">
        <v>65</v>
      </c>
      <c r="AU36">
        <v>0</v>
      </c>
      <c r="AV36">
        <v>0</v>
      </c>
      <c r="AX36">
        <v>39</v>
      </c>
      <c r="AY36" t="s">
        <v>79</v>
      </c>
      <c r="AZ36" t="s">
        <v>86</v>
      </c>
      <c r="BB36" t="s">
        <v>87</v>
      </c>
      <c r="BC36" t="s">
        <v>88</v>
      </c>
      <c r="BD36" t="b">
        <v>0</v>
      </c>
      <c r="BE36" t="b">
        <v>0</v>
      </c>
      <c r="BF36" t="b">
        <v>0</v>
      </c>
      <c r="BG36" t="b">
        <v>0</v>
      </c>
      <c r="BH36" t="b">
        <v>0</v>
      </c>
      <c r="BI36" t="b">
        <v>0</v>
      </c>
      <c r="BJ36" t="b">
        <v>0</v>
      </c>
      <c r="BK36" t="b">
        <v>0</v>
      </c>
      <c r="BL36" t="b">
        <v>0</v>
      </c>
      <c r="BM36" t="b">
        <v>0</v>
      </c>
      <c r="BN36" t="b">
        <v>0</v>
      </c>
      <c r="BO36" t="b">
        <v>0</v>
      </c>
      <c r="BP36" t="b">
        <v>0</v>
      </c>
    </row>
    <row r="37" spans="1:68" ht="15" customHeight="1" x14ac:dyDescent="0.25">
      <c r="A37">
        <v>46689</v>
      </c>
      <c r="C37">
        <v>0</v>
      </c>
      <c r="D37" t="s">
        <v>65</v>
      </c>
      <c r="E37" t="s">
        <v>66</v>
      </c>
      <c r="F37" t="s">
        <v>80</v>
      </c>
      <c r="G37">
        <v>0</v>
      </c>
      <c r="H37" t="s">
        <v>81</v>
      </c>
      <c r="I37" t="s">
        <v>82</v>
      </c>
      <c r="J37" t="str">
        <f t="shared" si="5"/>
        <v>1.0018</v>
      </c>
      <c r="K37" t="str">
        <f t="shared" si="6"/>
        <v xml:space="preserve"> Set 'service tcp-keepalives-in</v>
      </c>
      <c r="L37" t="str">
        <f t="shared" si="3"/>
        <v>1.0018 - NETIOS - Set 'service tcp-keepalives-in</v>
      </c>
      <c r="M37" t="str">
        <f t="shared" si="4"/>
        <v>PASSED</v>
      </c>
      <c r="N37" s="1" t="s">
        <v>99</v>
      </c>
      <c r="O37" t="s">
        <v>77</v>
      </c>
      <c r="R37" t="s">
        <v>67</v>
      </c>
      <c r="T37" t="s">
        <v>68</v>
      </c>
      <c r="U37" t="s">
        <v>66</v>
      </c>
      <c r="X37" s="1" t="s">
        <v>69</v>
      </c>
      <c r="Y37" t="s">
        <v>84</v>
      </c>
      <c r="Z37">
        <v>0</v>
      </c>
      <c r="AA37">
        <v>0</v>
      </c>
      <c r="AD37">
        <v>0</v>
      </c>
      <c r="AE37">
        <v>0</v>
      </c>
      <c r="AI37" t="s">
        <v>70</v>
      </c>
      <c r="AJ37" t="s">
        <v>71</v>
      </c>
      <c r="AK37" t="s">
        <v>72</v>
      </c>
      <c r="AN37" t="s">
        <v>73</v>
      </c>
      <c r="AO37" t="s">
        <v>74</v>
      </c>
      <c r="AP37" t="s">
        <v>78</v>
      </c>
      <c r="AQ37" t="s">
        <v>76</v>
      </c>
      <c r="AS37" t="b">
        <v>1</v>
      </c>
      <c r="AT37" t="s">
        <v>65</v>
      </c>
      <c r="AU37">
        <v>0</v>
      </c>
      <c r="AV37">
        <v>0</v>
      </c>
      <c r="AX37">
        <v>39</v>
      </c>
      <c r="AY37" t="s">
        <v>79</v>
      </c>
      <c r="AZ37" t="s">
        <v>86</v>
      </c>
      <c r="BB37" t="s">
        <v>87</v>
      </c>
      <c r="BC37" t="s">
        <v>88</v>
      </c>
      <c r="BD37" t="b">
        <v>0</v>
      </c>
      <c r="BE37" t="b">
        <v>0</v>
      </c>
      <c r="BF37" t="b">
        <v>0</v>
      </c>
      <c r="BG37" t="b">
        <v>0</v>
      </c>
      <c r="BH37" t="b">
        <v>0</v>
      </c>
      <c r="BI37" t="b">
        <v>0</v>
      </c>
      <c r="BJ37" t="b">
        <v>0</v>
      </c>
      <c r="BK37" t="b">
        <v>0</v>
      </c>
      <c r="BL37" t="b">
        <v>0</v>
      </c>
      <c r="BM37" t="b">
        <v>0</v>
      </c>
      <c r="BN37" t="b">
        <v>0</v>
      </c>
      <c r="BO37" t="b">
        <v>0</v>
      </c>
      <c r="BP37" t="b">
        <v>0</v>
      </c>
    </row>
    <row r="38" spans="1:68" ht="15" customHeight="1" x14ac:dyDescent="0.25">
      <c r="A38">
        <v>46689</v>
      </c>
      <c r="C38">
        <v>0</v>
      </c>
      <c r="D38" t="s">
        <v>95</v>
      </c>
      <c r="E38" t="s">
        <v>118</v>
      </c>
      <c r="F38" t="s">
        <v>80</v>
      </c>
      <c r="G38">
        <v>0</v>
      </c>
      <c r="H38" t="s">
        <v>81</v>
      </c>
      <c r="I38" t="s">
        <v>82</v>
      </c>
      <c r="J38" t="str">
        <f t="shared" si="5"/>
        <v>1.0019</v>
      </c>
      <c r="K38" t="str">
        <f t="shared" si="6"/>
        <v xml:space="preserve"> Set 'service tcp-keepalives-out</v>
      </c>
      <c r="L38" t="str">
        <f t="shared" si="3"/>
        <v>1.0019 - NETIOS - Set 'service tcp-keepalives-out</v>
      </c>
      <c r="M38" t="str">
        <f t="shared" si="4"/>
        <v>FAILED</v>
      </c>
      <c r="N38" s="1" t="s">
        <v>134</v>
      </c>
      <c r="O38" t="s">
        <v>77</v>
      </c>
      <c r="R38" t="s">
        <v>119</v>
      </c>
      <c r="T38" t="s">
        <v>120</v>
      </c>
      <c r="U38" t="s">
        <v>118</v>
      </c>
      <c r="X38" s="1" t="s">
        <v>121</v>
      </c>
      <c r="Y38" t="s">
        <v>84</v>
      </c>
      <c r="Z38">
        <v>0</v>
      </c>
      <c r="AA38">
        <v>0</v>
      </c>
      <c r="AD38">
        <v>0</v>
      </c>
      <c r="AE38">
        <v>0</v>
      </c>
      <c r="AI38" t="s">
        <v>70</v>
      </c>
      <c r="AJ38" t="s">
        <v>71</v>
      </c>
      <c r="AK38" t="s">
        <v>72</v>
      </c>
      <c r="AN38" t="s">
        <v>73</v>
      </c>
      <c r="AO38" t="s">
        <v>74</v>
      </c>
      <c r="AP38" t="s">
        <v>122</v>
      </c>
      <c r="AQ38" t="s">
        <v>123</v>
      </c>
      <c r="AS38" t="b">
        <v>1</v>
      </c>
      <c r="AT38" t="s">
        <v>65</v>
      </c>
      <c r="AU38">
        <v>0</v>
      </c>
      <c r="AV38">
        <v>0</v>
      </c>
      <c r="AX38">
        <v>39</v>
      </c>
      <c r="AY38" t="s">
        <v>79</v>
      </c>
      <c r="AZ38" t="s">
        <v>86</v>
      </c>
      <c r="BB38" t="s">
        <v>87</v>
      </c>
      <c r="BC38" t="s">
        <v>88</v>
      </c>
      <c r="BD38" t="b">
        <v>0</v>
      </c>
      <c r="BE38" t="b">
        <v>0</v>
      </c>
      <c r="BF38" t="b">
        <v>0</v>
      </c>
      <c r="BG38" t="b">
        <v>0</v>
      </c>
      <c r="BH38" t="b">
        <v>0</v>
      </c>
      <c r="BI38" t="b">
        <v>0</v>
      </c>
      <c r="BJ38" t="b">
        <v>0</v>
      </c>
      <c r="BK38" t="b">
        <v>0</v>
      </c>
      <c r="BL38" t="b">
        <v>0</v>
      </c>
      <c r="BM38" t="b">
        <v>0</v>
      </c>
      <c r="BN38" t="b">
        <v>0</v>
      </c>
      <c r="BO38" t="b">
        <v>0</v>
      </c>
      <c r="BP38" t="b">
        <v>0</v>
      </c>
    </row>
    <row r="39" spans="1:68" ht="15" customHeight="1" x14ac:dyDescent="0.25">
      <c r="A39">
        <v>46689</v>
      </c>
      <c r="C39">
        <v>0</v>
      </c>
      <c r="D39" t="s">
        <v>65</v>
      </c>
      <c r="E39" t="s">
        <v>66</v>
      </c>
      <c r="F39" t="s">
        <v>80</v>
      </c>
      <c r="G39">
        <v>0</v>
      </c>
      <c r="H39" t="s">
        <v>81</v>
      </c>
      <c r="I39" t="s">
        <v>82</v>
      </c>
      <c r="J39" t="str">
        <f t="shared" si="5"/>
        <v>1.0019</v>
      </c>
      <c r="K39" t="str">
        <f t="shared" si="6"/>
        <v xml:space="preserve"> Set 'service tcp-keepalives-out</v>
      </c>
      <c r="L39" t="str">
        <f t="shared" si="3"/>
        <v>1.0019 - NETIOS - Set 'service tcp-keepalives-out</v>
      </c>
      <c r="M39" t="str">
        <f t="shared" si="4"/>
        <v>PASSED</v>
      </c>
      <c r="N39" s="1" t="s">
        <v>89</v>
      </c>
      <c r="O39" t="s">
        <v>77</v>
      </c>
      <c r="R39" t="s">
        <v>67</v>
      </c>
      <c r="T39" t="s">
        <v>68</v>
      </c>
      <c r="U39" t="s">
        <v>66</v>
      </c>
      <c r="X39" s="1" t="s">
        <v>69</v>
      </c>
      <c r="Y39" t="s">
        <v>84</v>
      </c>
      <c r="Z39">
        <v>0</v>
      </c>
      <c r="AA39">
        <v>0</v>
      </c>
      <c r="AD39">
        <v>0</v>
      </c>
      <c r="AE39">
        <v>0</v>
      </c>
      <c r="AI39" t="s">
        <v>70</v>
      </c>
      <c r="AJ39" t="s">
        <v>71</v>
      </c>
      <c r="AK39" t="s">
        <v>72</v>
      </c>
      <c r="AN39" t="s">
        <v>73</v>
      </c>
      <c r="AO39" t="s">
        <v>74</v>
      </c>
      <c r="AP39" t="s">
        <v>85</v>
      </c>
      <c r="AQ39" t="s">
        <v>76</v>
      </c>
      <c r="AS39" t="b">
        <v>1</v>
      </c>
      <c r="AT39" t="s">
        <v>65</v>
      </c>
      <c r="AU39">
        <v>0</v>
      </c>
      <c r="AV39">
        <v>0</v>
      </c>
      <c r="AX39">
        <v>39</v>
      </c>
      <c r="AY39" t="s">
        <v>79</v>
      </c>
      <c r="AZ39" t="s">
        <v>86</v>
      </c>
      <c r="BB39" t="s">
        <v>87</v>
      </c>
      <c r="BC39" t="s">
        <v>88</v>
      </c>
      <c r="BD39" t="b">
        <v>0</v>
      </c>
      <c r="BE39" t="b">
        <v>0</v>
      </c>
      <c r="BF39" t="b">
        <v>0</v>
      </c>
      <c r="BG39" t="b">
        <v>0</v>
      </c>
      <c r="BH39" t="b">
        <v>0</v>
      </c>
      <c r="BI39" t="b">
        <v>0</v>
      </c>
      <c r="BJ39" t="b">
        <v>0</v>
      </c>
      <c r="BK39" t="b">
        <v>0</v>
      </c>
      <c r="BL39" t="b">
        <v>0</v>
      </c>
      <c r="BM39" t="b">
        <v>0</v>
      </c>
      <c r="BN39" t="b">
        <v>0</v>
      </c>
      <c r="BO39" t="b">
        <v>0</v>
      </c>
      <c r="BP39" t="b">
        <v>0</v>
      </c>
    </row>
    <row r="40" spans="1:68" ht="15" customHeight="1" x14ac:dyDescent="0.25">
      <c r="A40">
        <v>46689</v>
      </c>
      <c r="C40">
        <v>0</v>
      </c>
      <c r="D40" t="s">
        <v>95</v>
      </c>
      <c r="E40" t="s">
        <v>66</v>
      </c>
      <c r="F40" t="s">
        <v>80</v>
      </c>
      <c r="G40">
        <v>0</v>
      </c>
      <c r="H40" t="s">
        <v>81</v>
      </c>
      <c r="I40" t="s">
        <v>82</v>
      </c>
      <c r="J40" t="str">
        <f t="shared" si="5"/>
        <v>1.0020</v>
      </c>
      <c r="K40" t="str">
        <f t="shared" si="6"/>
        <v xml:space="preserve"> Set 'logging console critical</v>
      </c>
      <c r="L40" t="str">
        <f t="shared" si="3"/>
        <v>1.0020 - NETIOS - Set 'logging console critical</v>
      </c>
      <c r="M40" t="str">
        <f t="shared" si="4"/>
        <v>FAILED</v>
      </c>
      <c r="N40" s="1" t="s">
        <v>105</v>
      </c>
      <c r="O40" t="s">
        <v>77</v>
      </c>
      <c r="R40" t="s">
        <v>67</v>
      </c>
      <c r="T40" t="s">
        <v>68</v>
      </c>
      <c r="U40" t="s">
        <v>66</v>
      </c>
      <c r="X40" s="1" t="s">
        <v>69</v>
      </c>
      <c r="Y40" t="s">
        <v>84</v>
      </c>
      <c r="Z40">
        <v>0</v>
      </c>
      <c r="AA40">
        <v>0</v>
      </c>
      <c r="AD40">
        <v>0</v>
      </c>
      <c r="AE40">
        <v>0</v>
      </c>
      <c r="AI40" t="s">
        <v>70</v>
      </c>
      <c r="AJ40" t="s">
        <v>71</v>
      </c>
      <c r="AK40" t="s">
        <v>72</v>
      </c>
      <c r="AN40" t="s">
        <v>73</v>
      </c>
      <c r="AO40" t="s">
        <v>74</v>
      </c>
      <c r="AP40" t="s">
        <v>106</v>
      </c>
      <c r="AQ40" t="s">
        <v>76</v>
      </c>
      <c r="AS40" t="b">
        <v>1</v>
      </c>
      <c r="AT40" t="s">
        <v>65</v>
      </c>
      <c r="AU40">
        <v>0</v>
      </c>
      <c r="AV40">
        <v>0</v>
      </c>
      <c r="AX40">
        <v>39</v>
      </c>
      <c r="AY40" t="s">
        <v>79</v>
      </c>
      <c r="AZ40" t="s">
        <v>86</v>
      </c>
      <c r="BB40" t="s">
        <v>87</v>
      </c>
      <c r="BC40" t="s">
        <v>88</v>
      </c>
      <c r="BD40" t="b">
        <v>0</v>
      </c>
      <c r="BE40" t="b">
        <v>0</v>
      </c>
      <c r="BF40" t="b">
        <v>0</v>
      </c>
      <c r="BG40" t="b">
        <v>0</v>
      </c>
      <c r="BH40" t="b">
        <v>0</v>
      </c>
      <c r="BI40" t="b">
        <v>0</v>
      </c>
      <c r="BJ40" t="b">
        <v>0</v>
      </c>
      <c r="BK40" t="b">
        <v>0</v>
      </c>
      <c r="BL40" t="b">
        <v>0</v>
      </c>
      <c r="BM40" t="b">
        <v>0</v>
      </c>
      <c r="BN40" t="b">
        <v>0</v>
      </c>
      <c r="BO40" t="b">
        <v>0</v>
      </c>
      <c r="BP40" t="b">
        <v>0</v>
      </c>
    </row>
    <row r="41" spans="1:68" ht="15" customHeight="1" x14ac:dyDescent="0.25">
      <c r="A41">
        <v>46689</v>
      </c>
      <c r="C41">
        <v>0</v>
      </c>
      <c r="D41" t="s">
        <v>95</v>
      </c>
      <c r="E41" t="s">
        <v>118</v>
      </c>
      <c r="F41" t="s">
        <v>80</v>
      </c>
      <c r="G41">
        <v>0</v>
      </c>
      <c r="H41" t="s">
        <v>81</v>
      </c>
      <c r="I41" t="s">
        <v>82</v>
      </c>
      <c r="J41" t="str">
        <f t="shared" si="5"/>
        <v>1.0020</v>
      </c>
      <c r="K41" t="str">
        <f t="shared" si="6"/>
        <v xml:space="preserve"> Set 'logging console critical</v>
      </c>
      <c r="L41" t="str">
        <f t="shared" si="3"/>
        <v>1.0020 - NETIOS - Set 'logging console critical</v>
      </c>
      <c r="M41" t="str">
        <f t="shared" si="4"/>
        <v>FAILED</v>
      </c>
      <c r="N41" s="1" t="s">
        <v>105</v>
      </c>
      <c r="O41" t="s">
        <v>77</v>
      </c>
      <c r="R41" t="s">
        <v>119</v>
      </c>
      <c r="T41" t="s">
        <v>120</v>
      </c>
      <c r="U41" t="s">
        <v>118</v>
      </c>
      <c r="X41" s="1" t="s">
        <v>121</v>
      </c>
      <c r="Y41" t="s">
        <v>84</v>
      </c>
      <c r="Z41">
        <v>0</v>
      </c>
      <c r="AA41">
        <v>0</v>
      </c>
      <c r="AD41">
        <v>0</v>
      </c>
      <c r="AE41">
        <v>0</v>
      </c>
      <c r="AI41" t="s">
        <v>70</v>
      </c>
      <c r="AJ41" t="s">
        <v>71</v>
      </c>
      <c r="AK41" t="s">
        <v>72</v>
      </c>
      <c r="AN41" t="s">
        <v>73</v>
      </c>
      <c r="AO41" t="s">
        <v>74</v>
      </c>
      <c r="AP41" t="s">
        <v>122</v>
      </c>
      <c r="AQ41" t="s">
        <v>123</v>
      </c>
      <c r="AS41" t="b">
        <v>1</v>
      </c>
      <c r="AT41" t="s">
        <v>65</v>
      </c>
      <c r="AU41">
        <v>0</v>
      </c>
      <c r="AV41">
        <v>0</v>
      </c>
      <c r="AX41">
        <v>39</v>
      </c>
      <c r="AY41" t="s">
        <v>79</v>
      </c>
      <c r="AZ41" t="s">
        <v>86</v>
      </c>
      <c r="BB41" t="s">
        <v>87</v>
      </c>
      <c r="BC41" t="s">
        <v>88</v>
      </c>
      <c r="BD41" t="b">
        <v>0</v>
      </c>
      <c r="BE41" t="b">
        <v>0</v>
      </c>
      <c r="BF41" t="b">
        <v>0</v>
      </c>
      <c r="BG41" t="b">
        <v>0</v>
      </c>
      <c r="BH41" t="b">
        <v>0</v>
      </c>
      <c r="BI41" t="b">
        <v>0</v>
      </c>
      <c r="BJ41" t="b">
        <v>0</v>
      </c>
      <c r="BK41" t="b">
        <v>0</v>
      </c>
      <c r="BL41" t="b">
        <v>0</v>
      </c>
      <c r="BM41" t="b">
        <v>0</v>
      </c>
      <c r="BN41" t="b">
        <v>0</v>
      </c>
      <c r="BO41" t="b">
        <v>0</v>
      </c>
      <c r="BP41" t="b">
        <v>0</v>
      </c>
    </row>
    <row r="42" spans="1:68" ht="15" customHeight="1" x14ac:dyDescent="0.25">
      <c r="A42">
        <v>46689</v>
      </c>
      <c r="C42">
        <v>0</v>
      </c>
      <c r="D42" t="s">
        <v>95</v>
      </c>
      <c r="E42" t="s">
        <v>66</v>
      </c>
      <c r="F42" t="s">
        <v>80</v>
      </c>
      <c r="G42">
        <v>0</v>
      </c>
      <c r="H42" t="s">
        <v>81</v>
      </c>
      <c r="I42" t="s">
        <v>82</v>
      </c>
      <c r="J42" t="str">
        <f t="shared" si="5"/>
        <v>1.0021</v>
      </c>
      <c r="K42" t="str">
        <f t="shared" si="6"/>
        <v xml:space="preserve"> Set 'logging trap informational</v>
      </c>
      <c r="L42" t="str">
        <f t="shared" si="3"/>
        <v>1.0021 - NETIOS - Set 'logging trap informational</v>
      </c>
      <c r="M42" t="str">
        <f t="shared" si="4"/>
        <v>FAILED</v>
      </c>
      <c r="N42" s="1" t="s">
        <v>107</v>
      </c>
      <c r="O42" t="s">
        <v>77</v>
      </c>
      <c r="R42" t="s">
        <v>67</v>
      </c>
      <c r="T42" t="s">
        <v>68</v>
      </c>
      <c r="U42" t="s">
        <v>66</v>
      </c>
      <c r="X42" s="1" t="s">
        <v>69</v>
      </c>
      <c r="Y42" t="s">
        <v>84</v>
      </c>
      <c r="Z42">
        <v>0</v>
      </c>
      <c r="AA42">
        <v>0</v>
      </c>
      <c r="AD42">
        <v>0</v>
      </c>
      <c r="AE42">
        <v>0</v>
      </c>
      <c r="AI42" t="s">
        <v>70</v>
      </c>
      <c r="AJ42" t="s">
        <v>71</v>
      </c>
      <c r="AK42" t="s">
        <v>72</v>
      </c>
      <c r="AN42" t="s">
        <v>73</v>
      </c>
      <c r="AO42" t="s">
        <v>74</v>
      </c>
      <c r="AP42" t="s">
        <v>108</v>
      </c>
      <c r="AQ42" t="s">
        <v>76</v>
      </c>
      <c r="AS42" t="b">
        <v>1</v>
      </c>
      <c r="AT42" t="s">
        <v>65</v>
      </c>
      <c r="AU42">
        <v>0</v>
      </c>
      <c r="AV42">
        <v>0</v>
      </c>
      <c r="AX42">
        <v>39</v>
      </c>
      <c r="AY42" t="s">
        <v>79</v>
      </c>
      <c r="AZ42" t="s">
        <v>86</v>
      </c>
      <c r="BB42" t="s">
        <v>87</v>
      </c>
      <c r="BC42" t="s">
        <v>88</v>
      </c>
      <c r="BD42" t="b">
        <v>0</v>
      </c>
      <c r="BE42" t="b">
        <v>0</v>
      </c>
      <c r="BF42" t="b">
        <v>0</v>
      </c>
      <c r="BG42" t="b">
        <v>0</v>
      </c>
      <c r="BH42" t="b">
        <v>0</v>
      </c>
      <c r="BI42" t="b">
        <v>0</v>
      </c>
      <c r="BJ42" t="b">
        <v>0</v>
      </c>
      <c r="BK42" t="b">
        <v>0</v>
      </c>
      <c r="BL42" t="b">
        <v>0</v>
      </c>
      <c r="BM42" t="b">
        <v>0</v>
      </c>
      <c r="BN42" t="b">
        <v>0</v>
      </c>
      <c r="BO42" t="b">
        <v>0</v>
      </c>
      <c r="BP42" t="b">
        <v>0</v>
      </c>
    </row>
    <row r="43" spans="1:68" ht="15" customHeight="1" x14ac:dyDescent="0.25">
      <c r="A43">
        <v>46689</v>
      </c>
      <c r="C43">
        <v>0</v>
      </c>
      <c r="D43" t="s">
        <v>65</v>
      </c>
      <c r="E43" t="s">
        <v>118</v>
      </c>
      <c r="F43" t="s">
        <v>80</v>
      </c>
      <c r="G43">
        <v>0</v>
      </c>
      <c r="H43" t="s">
        <v>81</v>
      </c>
      <c r="I43" t="s">
        <v>82</v>
      </c>
      <c r="J43" t="str">
        <f t="shared" si="5"/>
        <v>1.0021</v>
      </c>
      <c r="K43" t="str">
        <f t="shared" si="6"/>
        <v xml:space="preserve"> Set 'logging trap informational</v>
      </c>
      <c r="L43" t="str">
        <f t="shared" si="3"/>
        <v>1.0021 - NETIOS - Set 'logging trap informational</v>
      </c>
      <c r="M43" t="str">
        <f t="shared" si="4"/>
        <v>PASSED</v>
      </c>
      <c r="N43" s="1" t="s">
        <v>143</v>
      </c>
      <c r="O43" t="s">
        <v>77</v>
      </c>
      <c r="R43" t="s">
        <v>119</v>
      </c>
      <c r="T43" t="s">
        <v>120</v>
      </c>
      <c r="U43" t="s">
        <v>118</v>
      </c>
      <c r="X43" s="1" t="s">
        <v>121</v>
      </c>
      <c r="Y43" t="s">
        <v>84</v>
      </c>
      <c r="Z43">
        <v>0</v>
      </c>
      <c r="AA43">
        <v>0</v>
      </c>
      <c r="AD43">
        <v>0</v>
      </c>
      <c r="AE43">
        <v>0</v>
      </c>
      <c r="AI43" t="s">
        <v>70</v>
      </c>
      <c r="AJ43" t="s">
        <v>71</v>
      </c>
      <c r="AK43" t="s">
        <v>72</v>
      </c>
      <c r="AN43" t="s">
        <v>73</v>
      </c>
      <c r="AO43" t="s">
        <v>74</v>
      </c>
      <c r="AP43" t="s">
        <v>144</v>
      </c>
      <c r="AQ43" t="s">
        <v>123</v>
      </c>
      <c r="AS43" t="b">
        <v>1</v>
      </c>
      <c r="AT43" t="s">
        <v>65</v>
      </c>
      <c r="AU43">
        <v>0</v>
      </c>
      <c r="AV43">
        <v>0</v>
      </c>
      <c r="AX43">
        <v>39</v>
      </c>
      <c r="AY43" t="s">
        <v>79</v>
      </c>
      <c r="AZ43" t="s">
        <v>86</v>
      </c>
      <c r="BB43" t="s">
        <v>87</v>
      </c>
      <c r="BC43" t="s">
        <v>88</v>
      </c>
      <c r="BD43" t="b">
        <v>0</v>
      </c>
      <c r="BE43" t="b">
        <v>0</v>
      </c>
      <c r="BF43" t="b">
        <v>0</v>
      </c>
      <c r="BG43" t="b">
        <v>0</v>
      </c>
      <c r="BH43" t="b">
        <v>0</v>
      </c>
      <c r="BI43" t="b">
        <v>0</v>
      </c>
      <c r="BJ43" t="b">
        <v>0</v>
      </c>
      <c r="BK43" t="b">
        <v>0</v>
      </c>
      <c r="BL43" t="b">
        <v>0</v>
      </c>
      <c r="BM43" t="b">
        <v>0</v>
      </c>
      <c r="BN43" t="b">
        <v>0</v>
      </c>
      <c r="BO43" t="b">
        <v>0</v>
      </c>
      <c r="BP43" t="b">
        <v>0</v>
      </c>
    </row>
    <row r="44" spans="1:68" ht="15" customHeight="1" x14ac:dyDescent="0.25">
      <c r="A44">
        <v>46689</v>
      </c>
      <c r="C44">
        <v>0</v>
      </c>
      <c r="D44" t="s">
        <v>65</v>
      </c>
      <c r="E44" t="s">
        <v>66</v>
      </c>
      <c r="F44" t="s">
        <v>80</v>
      </c>
      <c r="G44">
        <v>0</v>
      </c>
      <c r="H44" t="s">
        <v>81</v>
      </c>
      <c r="I44" t="s">
        <v>82</v>
      </c>
      <c r="J44" t="str">
        <f t="shared" si="5"/>
        <v>1.0022</v>
      </c>
      <c r="K44" t="str">
        <f t="shared" si="6"/>
        <v xml:space="preserve"> Set 'service timestamps debug datetime</v>
      </c>
      <c r="L44" t="str">
        <f t="shared" si="3"/>
        <v>1.0022 - NETIOS - Set 'service timestamps debug datetime</v>
      </c>
      <c r="M44" t="str">
        <f t="shared" si="4"/>
        <v>PASSED</v>
      </c>
      <c r="N44" s="1" t="s">
        <v>97</v>
      </c>
      <c r="O44" t="s">
        <v>77</v>
      </c>
      <c r="R44" t="s">
        <v>67</v>
      </c>
      <c r="T44" t="s">
        <v>68</v>
      </c>
      <c r="U44" t="s">
        <v>66</v>
      </c>
      <c r="X44" s="1" t="s">
        <v>69</v>
      </c>
      <c r="Y44" t="s">
        <v>84</v>
      </c>
      <c r="Z44">
        <v>0</v>
      </c>
      <c r="AA44">
        <v>0</v>
      </c>
      <c r="AD44">
        <v>0</v>
      </c>
      <c r="AE44">
        <v>0</v>
      </c>
      <c r="AI44" t="s">
        <v>70</v>
      </c>
      <c r="AJ44" t="s">
        <v>71</v>
      </c>
      <c r="AK44" t="s">
        <v>72</v>
      </c>
      <c r="AN44" t="s">
        <v>73</v>
      </c>
      <c r="AO44" t="s">
        <v>74</v>
      </c>
      <c r="AP44" t="s">
        <v>78</v>
      </c>
      <c r="AQ44" t="s">
        <v>76</v>
      </c>
      <c r="AS44" t="b">
        <v>1</v>
      </c>
      <c r="AT44" t="s">
        <v>65</v>
      </c>
      <c r="AU44">
        <v>0</v>
      </c>
      <c r="AV44">
        <v>0</v>
      </c>
      <c r="AX44">
        <v>39</v>
      </c>
      <c r="AY44" t="s">
        <v>79</v>
      </c>
      <c r="AZ44" t="s">
        <v>86</v>
      </c>
      <c r="BB44" t="s">
        <v>87</v>
      </c>
      <c r="BC44" t="s">
        <v>88</v>
      </c>
      <c r="BD44" t="b">
        <v>0</v>
      </c>
      <c r="BE44" t="b">
        <v>0</v>
      </c>
      <c r="BF44" t="b">
        <v>0</v>
      </c>
      <c r="BG44" t="b">
        <v>0</v>
      </c>
      <c r="BH44" t="b">
        <v>0</v>
      </c>
      <c r="BI44" t="b">
        <v>0</v>
      </c>
      <c r="BJ44" t="b">
        <v>0</v>
      </c>
      <c r="BK44" t="b">
        <v>0</v>
      </c>
      <c r="BL44" t="b">
        <v>0</v>
      </c>
      <c r="BM44" t="b">
        <v>0</v>
      </c>
      <c r="BN44" t="b">
        <v>0</v>
      </c>
      <c r="BO44" t="b">
        <v>0</v>
      </c>
      <c r="BP44" t="b">
        <v>0</v>
      </c>
    </row>
    <row r="45" spans="1:68" ht="15" customHeight="1" x14ac:dyDescent="0.25">
      <c r="A45">
        <v>46689</v>
      </c>
      <c r="C45">
        <v>0</v>
      </c>
      <c r="D45" t="s">
        <v>65</v>
      </c>
      <c r="E45" t="s">
        <v>118</v>
      </c>
      <c r="F45" t="s">
        <v>80</v>
      </c>
      <c r="G45">
        <v>0</v>
      </c>
      <c r="H45" t="s">
        <v>81</v>
      </c>
      <c r="I45" t="s">
        <v>82</v>
      </c>
      <c r="J45" t="str">
        <f t="shared" si="5"/>
        <v>1.0022</v>
      </c>
      <c r="K45" t="str">
        <f t="shared" si="6"/>
        <v xml:space="preserve"> Set 'service timestamps debug datetime</v>
      </c>
      <c r="L45" t="str">
        <f t="shared" si="3"/>
        <v>1.0022 - NETIOS - Set 'service timestamps debug datetime</v>
      </c>
      <c r="M45" t="str">
        <f t="shared" si="4"/>
        <v>PASSED</v>
      </c>
      <c r="N45" s="1" t="s">
        <v>97</v>
      </c>
      <c r="O45" t="s">
        <v>77</v>
      </c>
      <c r="R45" t="s">
        <v>119</v>
      </c>
      <c r="T45" t="s">
        <v>120</v>
      </c>
      <c r="U45" t="s">
        <v>118</v>
      </c>
      <c r="X45" s="1" t="s">
        <v>121</v>
      </c>
      <c r="Y45" t="s">
        <v>84</v>
      </c>
      <c r="Z45">
        <v>0</v>
      </c>
      <c r="AA45">
        <v>0</v>
      </c>
      <c r="AD45">
        <v>0</v>
      </c>
      <c r="AE45">
        <v>0</v>
      </c>
      <c r="AI45" t="s">
        <v>70</v>
      </c>
      <c r="AJ45" t="s">
        <v>71</v>
      </c>
      <c r="AK45" t="s">
        <v>72</v>
      </c>
      <c r="AN45" t="s">
        <v>73</v>
      </c>
      <c r="AO45" t="s">
        <v>74</v>
      </c>
      <c r="AP45" t="s">
        <v>147</v>
      </c>
      <c r="AQ45" t="s">
        <v>123</v>
      </c>
      <c r="AS45" t="b">
        <v>1</v>
      </c>
      <c r="AT45" t="s">
        <v>65</v>
      </c>
      <c r="AU45">
        <v>0</v>
      </c>
      <c r="AV45">
        <v>0</v>
      </c>
      <c r="AX45">
        <v>39</v>
      </c>
      <c r="AY45" t="s">
        <v>79</v>
      </c>
      <c r="AZ45" t="s">
        <v>86</v>
      </c>
      <c r="BB45" t="s">
        <v>87</v>
      </c>
      <c r="BC45" t="s">
        <v>88</v>
      </c>
      <c r="BD45" t="b">
        <v>0</v>
      </c>
      <c r="BE45" t="b">
        <v>0</v>
      </c>
      <c r="BF45" t="b">
        <v>0</v>
      </c>
      <c r="BG45" t="b">
        <v>0</v>
      </c>
      <c r="BH45" t="b">
        <v>0</v>
      </c>
      <c r="BI45" t="b">
        <v>0</v>
      </c>
      <c r="BJ45" t="b">
        <v>0</v>
      </c>
      <c r="BK45" t="b">
        <v>0</v>
      </c>
      <c r="BL45" t="b">
        <v>0</v>
      </c>
      <c r="BM45" t="b">
        <v>0</v>
      </c>
      <c r="BN45" t="b">
        <v>0</v>
      </c>
      <c r="BO45" t="b">
        <v>0</v>
      </c>
      <c r="BP45" t="b">
        <v>0</v>
      </c>
    </row>
    <row r="46" spans="1:68" ht="15" customHeight="1" x14ac:dyDescent="0.25">
      <c r="A46">
        <v>46689</v>
      </c>
      <c r="C46">
        <v>0</v>
      </c>
      <c r="D46" t="s">
        <v>95</v>
      </c>
      <c r="E46" t="s">
        <v>118</v>
      </c>
      <c r="F46" t="s">
        <v>80</v>
      </c>
      <c r="G46">
        <v>0</v>
      </c>
      <c r="H46" t="s">
        <v>81</v>
      </c>
      <c r="I46" t="s">
        <v>82</v>
      </c>
      <c r="J46" t="str">
        <f t="shared" si="5"/>
        <v>1.0023</v>
      </c>
      <c r="K46" t="str">
        <f t="shared" si="6"/>
        <v xml:space="preserve"> Set 'no ip source-route</v>
      </c>
      <c r="L46" t="str">
        <f t="shared" si="3"/>
        <v>1.0023 - NETIOS - Set 'no ip source-route</v>
      </c>
      <c r="M46" t="str">
        <f t="shared" si="4"/>
        <v>FAILED</v>
      </c>
      <c r="N46" s="1" t="s">
        <v>140</v>
      </c>
      <c r="O46" t="s">
        <v>77</v>
      </c>
      <c r="R46" t="s">
        <v>119</v>
      </c>
      <c r="T46" t="s">
        <v>120</v>
      </c>
      <c r="U46" t="s">
        <v>118</v>
      </c>
      <c r="X46" s="1" t="s">
        <v>121</v>
      </c>
      <c r="Y46" t="s">
        <v>84</v>
      </c>
      <c r="Z46">
        <v>0</v>
      </c>
      <c r="AA46">
        <v>0</v>
      </c>
      <c r="AD46">
        <v>0</v>
      </c>
      <c r="AE46">
        <v>0</v>
      </c>
      <c r="AI46" t="s">
        <v>70</v>
      </c>
      <c r="AJ46" t="s">
        <v>71</v>
      </c>
      <c r="AK46" t="s">
        <v>72</v>
      </c>
      <c r="AN46" t="s">
        <v>73</v>
      </c>
      <c r="AO46" t="s">
        <v>74</v>
      </c>
      <c r="AP46" t="s">
        <v>139</v>
      </c>
      <c r="AQ46" t="s">
        <v>123</v>
      </c>
      <c r="AS46" t="b">
        <v>1</v>
      </c>
      <c r="AT46" t="s">
        <v>65</v>
      </c>
      <c r="AU46">
        <v>0</v>
      </c>
      <c r="AV46">
        <v>0</v>
      </c>
      <c r="AX46">
        <v>39</v>
      </c>
      <c r="AY46" t="s">
        <v>79</v>
      </c>
      <c r="AZ46" t="s">
        <v>86</v>
      </c>
      <c r="BB46" t="s">
        <v>87</v>
      </c>
      <c r="BC46" t="s">
        <v>88</v>
      </c>
      <c r="BD46" t="b">
        <v>0</v>
      </c>
      <c r="BE46" t="b">
        <v>0</v>
      </c>
      <c r="BF46" t="b">
        <v>0</v>
      </c>
      <c r="BG46" t="b">
        <v>0</v>
      </c>
      <c r="BH46" t="b">
        <v>0</v>
      </c>
      <c r="BI46" t="b">
        <v>0</v>
      </c>
      <c r="BJ46" t="b">
        <v>0</v>
      </c>
      <c r="BK46" t="b">
        <v>0</v>
      </c>
      <c r="BL46" t="b">
        <v>0</v>
      </c>
      <c r="BM46" t="b">
        <v>0</v>
      </c>
      <c r="BN46" t="b">
        <v>0</v>
      </c>
      <c r="BO46" t="b">
        <v>0</v>
      </c>
      <c r="BP46" t="b">
        <v>0</v>
      </c>
    </row>
    <row r="47" spans="1:68" ht="15" customHeight="1" x14ac:dyDescent="0.25">
      <c r="A47">
        <v>46689</v>
      </c>
      <c r="C47">
        <v>0</v>
      </c>
      <c r="D47" t="s">
        <v>65</v>
      </c>
      <c r="E47" t="s">
        <v>66</v>
      </c>
      <c r="F47" t="s">
        <v>80</v>
      </c>
      <c r="G47">
        <v>0</v>
      </c>
      <c r="H47" t="s">
        <v>81</v>
      </c>
      <c r="I47" t="s">
        <v>82</v>
      </c>
      <c r="J47" t="str">
        <f t="shared" si="5"/>
        <v>1.0023</v>
      </c>
      <c r="K47" t="str">
        <f t="shared" si="6"/>
        <v xml:space="preserve"> Set 'no ip source-route</v>
      </c>
      <c r="L47" t="str">
        <f t="shared" si="3"/>
        <v>1.0023 - NETIOS - Set 'no ip source-route</v>
      </c>
      <c r="M47" t="str">
        <f t="shared" si="4"/>
        <v>PASSED</v>
      </c>
      <c r="N47" s="1" t="s">
        <v>90</v>
      </c>
      <c r="O47" t="s">
        <v>77</v>
      </c>
      <c r="R47" t="s">
        <v>67</v>
      </c>
      <c r="T47" t="s">
        <v>68</v>
      </c>
      <c r="U47" t="s">
        <v>66</v>
      </c>
      <c r="X47" s="1" t="s">
        <v>69</v>
      </c>
      <c r="Y47" t="s">
        <v>84</v>
      </c>
      <c r="Z47">
        <v>0</v>
      </c>
      <c r="AA47">
        <v>0</v>
      </c>
      <c r="AD47">
        <v>0</v>
      </c>
      <c r="AE47">
        <v>0</v>
      </c>
      <c r="AI47" t="s">
        <v>70</v>
      </c>
      <c r="AJ47" t="s">
        <v>71</v>
      </c>
      <c r="AK47" t="s">
        <v>72</v>
      </c>
      <c r="AN47" t="s">
        <v>73</v>
      </c>
      <c r="AO47" t="s">
        <v>74</v>
      </c>
      <c r="AP47" t="s">
        <v>85</v>
      </c>
      <c r="AQ47" t="s">
        <v>76</v>
      </c>
      <c r="AS47" t="b">
        <v>1</v>
      </c>
      <c r="AT47" t="s">
        <v>65</v>
      </c>
      <c r="AU47">
        <v>0</v>
      </c>
      <c r="AV47">
        <v>0</v>
      </c>
      <c r="AX47">
        <v>39</v>
      </c>
      <c r="AY47" t="s">
        <v>79</v>
      </c>
      <c r="AZ47" t="s">
        <v>86</v>
      </c>
      <c r="BB47" t="s">
        <v>87</v>
      </c>
      <c r="BC47" t="s">
        <v>88</v>
      </c>
      <c r="BD47" t="b">
        <v>0</v>
      </c>
      <c r="BE47" t="b">
        <v>0</v>
      </c>
      <c r="BF47" t="b">
        <v>0</v>
      </c>
      <c r="BG47" t="b">
        <v>0</v>
      </c>
      <c r="BH47" t="b">
        <v>0</v>
      </c>
      <c r="BI47" t="b">
        <v>0</v>
      </c>
      <c r="BJ47" t="b">
        <v>0</v>
      </c>
      <c r="BK47" t="b">
        <v>0</v>
      </c>
      <c r="BL47" t="b">
        <v>0</v>
      </c>
      <c r="BM47" t="b">
        <v>0</v>
      </c>
      <c r="BN47" t="b">
        <v>0</v>
      </c>
      <c r="BO47" t="b">
        <v>0</v>
      </c>
      <c r="BP47" t="b">
        <v>0</v>
      </c>
    </row>
    <row r="48" spans="1:68" ht="15" customHeight="1" x14ac:dyDescent="0.25">
      <c r="A48">
        <v>46689</v>
      </c>
      <c r="C48">
        <v>0</v>
      </c>
      <c r="D48" t="s">
        <v>65</v>
      </c>
      <c r="E48" t="s">
        <v>66</v>
      </c>
      <c r="F48" t="s">
        <v>80</v>
      </c>
      <c r="G48">
        <v>0</v>
      </c>
      <c r="H48" t="s">
        <v>81</v>
      </c>
      <c r="I48" t="s">
        <v>82</v>
      </c>
      <c r="J48" t="str">
        <f t="shared" si="5"/>
        <v>1.0024</v>
      </c>
      <c r="K48" t="str">
        <f t="shared" si="6"/>
        <v xml:space="preserve"> Enable 'aaa new-model</v>
      </c>
      <c r="L48" t="str">
        <f t="shared" si="3"/>
        <v>1.0024 - NETIOS - Enable 'aaa new-model</v>
      </c>
      <c r="M48" t="str">
        <f t="shared" si="4"/>
        <v>PASSED</v>
      </c>
      <c r="N48" s="1" t="s">
        <v>114</v>
      </c>
      <c r="O48" t="s">
        <v>77</v>
      </c>
      <c r="R48" t="s">
        <v>67</v>
      </c>
      <c r="T48" t="s">
        <v>68</v>
      </c>
      <c r="U48" t="s">
        <v>66</v>
      </c>
      <c r="X48" s="1" t="s">
        <v>69</v>
      </c>
      <c r="Y48" t="s">
        <v>84</v>
      </c>
      <c r="Z48">
        <v>0</v>
      </c>
      <c r="AA48">
        <v>0</v>
      </c>
      <c r="AD48">
        <v>0</v>
      </c>
      <c r="AE48">
        <v>0</v>
      </c>
      <c r="AI48" t="s">
        <v>70</v>
      </c>
      <c r="AJ48" t="s">
        <v>71</v>
      </c>
      <c r="AK48" t="s">
        <v>72</v>
      </c>
      <c r="AN48" t="s">
        <v>73</v>
      </c>
      <c r="AO48" t="s">
        <v>74</v>
      </c>
      <c r="AP48" t="s">
        <v>113</v>
      </c>
      <c r="AQ48" t="s">
        <v>76</v>
      </c>
      <c r="AS48" t="b">
        <v>1</v>
      </c>
      <c r="AT48" t="s">
        <v>65</v>
      </c>
      <c r="AU48">
        <v>0</v>
      </c>
      <c r="AV48">
        <v>0</v>
      </c>
      <c r="AX48">
        <v>39</v>
      </c>
      <c r="AY48" t="s">
        <v>79</v>
      </c>
      <c r="AZ48" t="s">
        <v>86</v>
      </c>
      <c r="BB48" t="s">
        <v>87</v>
      </c>
      <c r="BC48" t="s">
        <v>88</v>
      </c>
      <c r="BD48" t="b">
        <v>0</v>
      </c>
      <c r="BE48" t="b">
        <v>0</v>
      </c>
      <c r="BF48" t="b">
        <v>0</v>
      </c>
      <c r="BG48" t="b">
        <v>0</v>
      </c>
      <c r="BH48" t="b">
        <v>0</v>
      </c>
      <c r="BI48" t="b">
        <v>0</v>
      </c>
      <c r="BJ48" t="b">
        <v>0</v>
      </c>
      <c r="BK48" t="b">
        <v>0</v>
      </c>
      <c r="BL48" t="b">
        <v>0</v>
      </c>
      <c r="BM48" t="b">
        <v>0</v>
      </c>
      <c r="BN48" t="b">
        <v>0</v>
      </c>
      <c r="BO48" t="b">
        <v>0</v>
      </c>
      <c r="BP48" t="b">
        <v>0</v>
      </c>
    </row>
    <row r="49" spans="1:68" ht="15" customHeight="1" x14ac:dyDescent="0.25">
      <c r="A49">
        <v>46689</v>
      </c>
      <c r="C49">
        <v>0</v>
      </c>
      <c r="D49" t="s">
        <v>65</v>
      </c>
      <c r="E49" t="s">
        <v>118</v>
      </c>
      <c r="F49" t="s">
        <v>80</v>
      </c>
      <c r="G49">
        <v>0</v>
      </c>
      <c r="H49" t="s">
        <v>81</v>
      </c>
      <c r="I49" t="s">
        <v>82</v>
      </c>
      <c r="J49" t="str">
        <f t="shared" si="5"/>
        <v>1.0024</v>
      </c>
      <c r="K49" t="str">
        <f t="shared" si="6"/>
        <v xml:space="preserve"> Enable 'aaa new-model</v>
      </c>
      <c r="L49" t="str">
        <f t="shared" si="3"/>
        <v>1.0024 - NETIOS - Enable 'aaa new-model</v>
      </c>
      <c r="M49" t="str">
        <f t="shared" si="4"/>
        <v>PASSED</v>
      </c>
      <c r="N49" s="1" t="s">
        <v>114</v>
      </c>
      <c r="O49" t="s">
        <v>77</v>
      </c>
      <c r="R49" t="s">
        <v>119</v>
      </c>
      <c r="T49" t="s">
        <v>120</v>
      </c>
      <c r="U49" t="s">
        <v>118</v>
      </c>
      <c r="X49" s="1" t="s">
        <v>121</v>
      </c>
      <c r="Y49" t="s">
        <v>84</v>
      </c>
      <c r="Z49">
        <v>0</v>
      </c>
      <c r="AA49">
        <v>0</v>
      </c>
      <c r="AD49">
        <v>0</v>
      </c>
      <c r="AE49">
        <v>0</v>
      </c>
      <c r="AI49" t="s">
        <v>70</v>
      </c>
      <c r="AJ49" t="s">
        <v>71</v>
      </c>
      <c r="AK49" t="s">
        <v>72</v>
      </c>
      <c r="AN49" t="s">
        <v>73</v>
      </c>
      <c r="AO49" t="s">
        <v>74</v>
      </c>
      <c r="AP49" t="s">
        <v>147</v>
      </c>
      <c r="AQ49" t="s">
        <v>123</v>
      </c>
      <c r="AS49" t="b">
        <v>1</v>
      </c>
      <c r="AT49" t="s">
        <v>65</v>
      </c>
      <c r="AU49">
        <v>0</v>
      </c>
      <c r="AV49">
        <v>0</v>
      </c>
      <c r="AX49">
        <v>39</v>
      </c>
      <c r="AY49" t="s">
        <v>79</v>
      </c>
      <c r="AZ49" t="s">
        <v>86</v>
      </c>
      <c r="BB49" t="s">
        <v>87</v>
      </c>
      <c r="BC49" t="s">
        <v>88</v>
      </c>
      <c r="BD49" t="b">
        <v>0</v>
      </c>
      <c r="BE49" t="b">
        <v>0</v>
      </c>
      <c r="BF49" t="b">
        <v>0</v>
      </c>
      <c r="BG49" t="b">
        <v>0</v>
      </c>
      <c r="BH49" t="b">
        <v>0</v>
      </c>
      <c r="BI49" t="b">
        <v>0</v>
      </c>
      <c r="BJ49" t="b">
        <v>0</v>
      </c>
      <c r="BK49" t="b">
        <v>0</v>
      </c>
      <c r="BL49" t="b">
        <v>0</v>
      </c>
      <c r="BM49" t="b">
        <v>0</v>
      </c>
      <c r="BN49" t="b">
        <v>0</v>
      </c>
      <c r="BO49" t="b">
        <v>0</v>
      </c>
      <c r="BP49" t="b">
        <v>0</v>
      </c>
    </row>
  </sheetData>
  <sortState xmlns:xlrd2="http://schemas.microsoft.com/office/spreadsheetml/2017/richdata2" ref="A2:BQ55">
    <sortCondition ref="N2:N5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ACF4-73B8-4FE7-AC74-E36256E06AE8}">
  <sheetPr filterMode="1"/>
  <dimension ref="A1:BR59"/>
  <sheetViews>
    <sheetView topLeftCell="J1" workbookViewId="0">
      <selection activeCell="K1" sqref="A1:XFD1048576"/>
    </sheetView>
  </sheetViews>
  <sheetFormatPr defaultRowHeight="15" x14ac:dyDescent="0.25"/>
  <cols>
    <col min="1" max="1" width="8.85546875" hidden="1" customWidth="1"/>
    <col min="2" max="2" width="4.28515625" hidden="1" customWidth="1"/>
    <col min="3" max="3" width="5.28515625" hidden="1" customWidth="1"/>
    <col min="4" max="4" width="5.7109375" hidden="1" customWidth="1"/>
    <col min="5" max="5" width="35.7109375" hidden="1" customWidth="1"/>
    <col min="6" max="6" width="8.42578125" hidden="1" customWidth="1"/>
    <col min="7" max="7" width="4.5703125" hidden="1" customWidth="1"/>
    <col min="8" max="8" width="27.5703125" hidden="1" customWidth="1"/>
    <col min="9" max="9" width="38.28515625" hidden="1" customWidth="1"/>
    <col min="10" max="10" width="6.5703125" bestFit="1" customWidth="1"/>
    <col min="11" max="11" width="75.7109375" customWidth="1"/>
    <col min="12" max="12" width="85.7109375" customWidth="1"/>
    <col min="13" max="13" width="7.5703125" bestFit="1" customWidth="1"/>
    <col min="14" max="14" width="86.140625" customWidth="1"/>
    <col min="15" max="16" width="8.28515625" hidden="1" customWidth="1"/>
    <col min="17" max="17" width="13.140625" hidden="1" customWidth="1"/>
    <col min="18" max="18" width="37.140625" hidden="1" customWidth="1"/>
    <col min="19" max="19" width="17" hidden="1" customWidth="1"/>
    <col min="20" max="20" width="13.85546875" hidden="1" customWidth="1"/>
    <col min="21" max="21" width="35.7109375" hidden="1" customWidth="1"/>
    <col min="22" max="22" width="7.85546875" hidden="1" customWidth="1"/>
    <col min="23" max="23" width="3.42578125" hidden="1" customWidth="1"/>
    <col min="24" max="24" width="255.7109375" hidden="1" customWidth="1"/>
    <col min="25" max="25" width="17.5703125" hidden="1" customWidth="1"/>
    <col min="26" max="26" width="15.42578125" hidden="1" customWidth="1"/>
    <col min="27" max="27" width="19.7109375" hidden="1" customWidth="1"/>
    <col min="28" max="28" width="20.42578125" hidden="1" customWidth="1"/>
    <col min="29" max="29" width="11.28515625" hidden="1" customWidth="1"/>
    <col min="30" max="30" width="16.42578125" hidden="1" customWidth="1"/>
    <col min="31" max="31" width="20.7109375" hidden="1" customWidth="1"/>
    <col min="32" max="32" width="21.5703125" hidden="1" customWidth="1"/>
    <col min="33" max="33" width="12.28515625" hidden="1" customWidth="1"/>
    <col min="34" max="34" width="11.5703125" hidden="1" customWidth="1"/>
    <col min="35" max="36" width="23.5703125" hidden="1" customWidth="1"/>
    <col min="37" max="37" width="30.85546875" hidden="1" customWidth="1"/>
    <col min="38" max="38" width="10.85546875" hidden="1" customWidth="1"/>
    <col min="39" max="39" width="10.5703125" hidden="1" customWidth="1"/>
    <col min="40" max="40" width="60.85546875" hidden="1" customWidth="1"/>
    <col min="41" max="41" width="36.5703125" hidden="1" customWidth="1"/>
    <col min="42" max="42" width="23.5703125" hidden="1" customWidth="1"/>
    <col min="43" max="43" width="29" hidden="1" customWidth="1"/>
    <col min="44" max="44" width="31.5703125" hidden="1" customWidth="1"/>
    <col min="45" max="45" width="8" hidden="1" customWidth="1"/>
    <col min="46" max="46" width="10.7109375" hidden="1" customWidth="1"/>
    <col min="47" max="47" width="7.5703125" hidden="1" customWidth="1"/>
    <col min="48" max="48" width="15.28515625" hidden="1" customWidth="1"/>
    <col min="49" max="49" width="12.140625" hidden="1" customWidth="1"/>
    <col min="50" max="50" width="15.28515625" hidden="1" customWidth="1"/>
    <col min="51" max="51" width="11" hidden="1" customWidth="1"/>
    <col min="52" max="52" width="16.5703125" hidden="1" customWidth="1"/>
    <col min="53" max="53" width="7.140625" hidden="1" customWidth="1"/>
    <col min="54" max="54" width="23" hidden="1" customWidth="1"/>
    <col min="55" max="55" width="22" hidden="1" customWidth="1"/>
    <col min="56" max="56" width="18.42578125" hidden="1" customWidth="1"/>
    <col min="57" max="57" width="15.5703125" hidden="1" customWidth="1"/>
    <col min="58" max="58" width="19.7109375" hidden="1" customWidth="1"/>
    <col min="59" max="59" width="18.7109375" hidden="1" customWidth="1"/>
    <col min="60" max="60" width="8" hidden="1" customWidth="1"/>
    <col min="61" max="61" width="8.140625" hidden="1" customWidth="1"/>
    <col min="62" max="62" width="10.28515625" hidden="1" customWidth="1"/>
    <col min="63" max="63" width="12.28515625" hidden="1" customWidth="1"/>
    <col min="64" max="64" width="10.42578125" hidden="1" customWidth="1"/>
    <col min="65" max="65" width="15" hidden="1" customWidth="1"/>
    <col min="66" max="66" width="14.7109375" hidden="1" customWidth="1"/>
    <col min="67" max="67" width="11.5703125" hidden="1" customWidth="1"/>
    <col min="68" max="68" width="22" hidden="1" customWidth="1"/>
    <col min="69" max="69" width="9.5703125" hidden="1" customWidth="1"/>
    <col min="70" max="70" width="27.28515625" customWidth="1"/>
    <col min="71" max="71" width="9.5703125" customWidth="1"/>
  </cols>
  <sheetData>
    <row r="1" spans="1:70" x14ac:dyDescent="0.25">
      <c r="A1" t="s">
        <v>0</v>
      </c>
      <c r="B1" t="s">
        <v>1</v>
      </c>
      <c r="C1" t="s">
        <v>2</v>
      </c>
      <c r="D1" t="s">
        <v>3</v>
      </c>
      <c r="E1" t="s">
        <v>4</v>
      </c>
      <c r="F1" t="s">
        <v>5</v>
      </c>
      <c r="G1" t="s">
        <v>6</v>
      </c>
      <c r="H1" t="s">
        <v>7</v>
      </c>
      <c r="I1" t="s">
        <v>8</v>
      </c>
      <c r="J1" t="s">
        <v>234</v>
      </c>
      <c r="K1" t="s">
        <v>235</v>
      </c>
      <c r="L1" t="s">
        <v>236</v>
      </c>
      <c r="M1" t="s">
        <v>237</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239</v>
      </c>
    </row>
    <row r="2" spans="1:70" x14ac:dyDescent="0.25">
      <c r="A2">
        <v>46689</v>
      </c>
      <c r="C2">
        <v>0</v>
      </c>
      <c r="D2" t="s">
        <v>65</v>
      </c>
      <c r="E2" t="s">
        <v>66</v>
      </c>
      <c r="F2" t="s">
        <v>80</v>
      </c>
      <c r="G2">
        <v>0</v>
      </c>
      <c r="H2" t="s">
        <v>81</v>
      </c>
      <c r="I2" t="s">
        <v>82</v>
      </c>
      <c r="J2" t="str">
        <f>MID($N2,FIND("1.",$N2),FIND("-",$N2)-FIND("1.",$N2)-1)</f>
        <v>1.0025</v>
      </c>
      <c r="K2" t="str">
        <f>MID($N2,FIND("NETIOS - ",$N2)+8,FIND(":",$N2,40)-FIND("NETIOS - ",$N2)-8)</f>
        <v xml:space="preserve"> Enable 'aaa authentication enable default</v>
      </c>
      <c r="L2" t="str">
        <f>MID($N2,FIND("1.",$N2),FIND("[",$N2)-1-FIND("1.",$N2)-1)</f>
        <v>1.0025 - NETIOS - Enable 'aaa authentication enable default</v>
      </c>
      <c r="M2" t="str">
        <f>MID($N2,FIND("[",$N2)+1,FIND("]",$N2)-FIND("[",$N2)-1)</f>
        <v>PASSED</v>
      </c>
      <c r="N2" t="s">
        <v>166</v>
      </c>
      <c r="O2" t="s">
        <v>77</v>
      </c>
      <c r="R2" t="s">
        <v>67</v>
      </c>
      <c r="T2" t="s">
        <v>68</v>
      </c>
      <c r="U2" t="s">
        <v>66</v>
      </c>
      <c r="X2" t="s">
        <v>69</v>
      </c>
      <c r="Y2" t="s">
        <v>84</v>
      </c>
      <c r="Z2">
        <v>0</v>
      </c>
      <c r="AA2">
        <v>0</v>
      </c>
      <c r="AD2">
        <v>0</v>
      </c>
      <c r="AE2">
        <v>0</v>
      </c>
      <c r="AI2" t="s">
        <v>148</v>
      </c>
      <c r="AJ2" t="s">
        <v>149</v>
      </c>
      <c r="AK2" t="s">
        <v>72</v>
      </c>
      <c r="AN2" t="s">
        <v>73</v>
      </c>
      <c r="AO2" t="s">
        <v>150</v>
      </c>
      <c r="AP2" t="s">
        <v>163</v>
      </c>
      <c r="AQ2" t="s">
        <v>152</v>
      </c>
      <c r="AS2" t="b">
        <v>1</v>
      </c>
      <c r="AT2" t="s">
        <v>65</v>
      </c>
      <c r="AU2">
        <v>0</v>
      </c>
      <c r="AV2">
        <v>0</v>
      </c>
      <c r="AX2">
        <v>39</v>
      </c>
      <c r="AY2" t="s">
        <v>79</v>
      </c>
      <c r="AZ2" t="s">
        <v>86</v>
      </c>
      <c r="BB2" t="s">
        <v>87</v>
      </c>
      <c r="BC2" t="s">
        <v>88</v>
      </c>
      <c r="BD2" t="b">
        <v>0</v>
      </c>
      <c r="BE2" t="b">
        <v>0</v>
      </c>
      <c r="BF2" t="b">
        <v>0</v>
      </c>
      <c r="BG2" t="b">
        <v>0</v>
      </c>
      <c r="BH2" t="b">
        <v>0</v>
      </c>
      <c r="BI2" t="b">
        <v>0</v>
      </c>
      <c r="BJ2" t="b">
        <v>0</v>
      </c>
      <c r="BK2" t="b">
        <v>0</v>
      </c>
      <c r="BL2" t="b">
        <v>0</v>
      </c>
      <c r="BM2" t="b">
        <v>0</v>
      </c>
      <c r="BN2" t="b">
        <v>0</v>
      </c>
      <c r="BO2" t="b">
        <v>0</v>
      </c>
      <c r="BP2" t="b">
        <v>0</v>
      </c>
      <c r="BR2" t="str">
        <f>IFERROR(IF(M2="PASSED",VLOOKUP(J2,Current!J1:BR61,1,FALSE)),N2)</f>
        <v>"1.0025 - NETIOS - Enable 'aaa authentication enable default: [PASSED]"
Authenticates users who access privileged EXEC mode when they use the enable command.
See Also:
See HTH Policies and Standards
Reference:
NIST 800-53r5|AC-2(1)
Policy Value:
CONFIG_CHECK
item: aaa authentication enable default
Actual Value:
aaa authentication enable default group ISE-TACACS enable &lt;----</v>
      </c>
    </row>
    <row r="3" spans="1:70" hidden="1" x14ac:dyDescent="0.25">
      <c r="A3">
        <v>46689</v>
      </c>
      <c r="C3">
        <v>0</v>
      </c>
      <c r="D3" t="s">
        <v>95</v>
      </c>
      <c r="E3" t="s">
        <v>66</v>
      </c>
      <c r="F3" t="s">
        <v>80</v>
      </c>
      <c r="G3">
        <v>0</v>
      </c>
      <c r="H3" t="s">
        <v>81</v>
      </c>
      <c r="I3" t="s">
        <v>82</v>
      </c>
      <c r="J3" t="str">
        <f>MID($N3,FIND("1.",$N3),FIND("-",$N3)-FIND("1.",$N3)-1)</f>
        <v>1.0026</v>
      </c>
      <c r="K3" t="str">
        <f>MID($N3,FIND("NETIOS - ",$N3)+8,FIND(":",$N3,40)-FIND("NETIOS - ",$N3)-8)</f>
        <v xml:space="preserve"> Set 'privilege 1' for local users</v>
      </c>
      <c r="L3" t="str">
        <f>MID($N3,FIND("1.",$N3),FIND("[",$N3)-1-FIND("1.",$N3)-1)</f>
        <v>1.0026 - NETIOS - Set 'privilege 1' for local users</v>
      </c>
      <c r="M3" t="str">
        <f>MID($N3,FIND("[",$N3)+1,FIND("]",$N3)-FIND("[",$N3)-1)</f>
        <v>FAILED</v>
      </c>
      <c r="N3" t="s">
        <v>189</v>
      </c>
      <c r="O3" t="s">
        <v>77</v>
      </c>
      <c r="R3" t="s">
        <v>67</v>
      </c>
      <c r="T3" t="s">
        <v>68</v>
      </c>
      <c r="U3" t="s">
        <v>66</v>
      </c>
      <c r="X3" t="s">
        <v>69</v>
      </c>
      <c r="Y3" t="s">
        <v>84</v>
      </c>
      <c r="Z3">
        <v>0</v>
      </c>
      <c r="AA3">
        <v>0</v>
      </c>
      <c r="AD3">
        <v>0</v>
      </c>
      <c r="AE3">
        <v>0</v>
      </c>
      <c r="AI3" t="s">
        <v>148</v>
      </c>
      <c r="AJ3" t="s">
        <v>149</v>
      </c>
      <c r="AK3" t="s">
        <v>72</v>
      </c>
      <c r="AN3" t="s">
        <v>73</v>
      </c>
      <c r="AO3" t="s">
        <v>150</v>
      </c>
      <c r="AP3" t="s">
        <v>190</v>
      </c>
      <c r="AQ3" t="s">
        <v>152</v>
      </c>
      <c r="AS3" t="b">
        <v>1</v>
      </c>
      <c r="AT3" t="s">
        <v>65</v>
      </c>
      <c r="AU3">
        <v>0</v>
      </c>
      <c r="AV3">
        <v>0</v>
      </c>
      <c r="AX3">
        <v>39</v>
      </c>
      <c r="AY3" t="s">
        <v>79</v>
      </c>
      <c r="AZ3" t="s">
        <v>86</v>
      </c>
      <c r="BB3" t="s">
        <v>87</v>
      </c>
      <c r="BC3" t="s">
        <v>88</v>
      </c>
      <c r="BD3" t="b">
        <v>0</v>
      </c>
      <c r="BE3" t="b">
        <v>0</v>
      </c>
      <c r="BF3" t="b">
        <v>0</v>
      </c>
      <c r="BG3" t="b">
        <v>0</v>
      </c>
      <c r="BH3" t="b">
        <v>0</v>
      </c>
      <c r="BI3" t="b">
        <v>0</v>
      </c>
      <c r="BJ3" t="b">
        <v>0</v>
      </c>
      <c r="BK3" t="b">
        <v>0</v>
      </c>
      <c r="BL3" t="b">
        <v>0</v>
      </c>
      <c r="BM3" t="b">
        <v>0</v>
      </c>
      <c r="BN3" t="b">
        <v>0</v>
      </c>
      <c r="BO3" t="b">
        <v>0</v>
      </c>
      <c r="BP3" t="b">
        <v>0</v>
      </c>
      <c r="BR3" t="b">
        <f>IFERROR(IF(M3="PASSED",VLOOKUP(J3,Current!J3:BR63,1,FALSE)),N3)</f>
        <v>0</v>
      </c>
    </row>
    <row r="4" spans="1:70" hidden="1" x14ac:dyDescent="0.25">
      <c r="A4">
        <v>46689</v>
      </c>
      <c r="C4">
        <v>0</v>
      </c>
      <c r="D4" t="s">
        <v>95</v>
      </c>
      <c r="E4" t="s">
        <v>66</v>
      </c>
      <c r="F4" t="s">
        <v>80</v>
      </c>
      <c r="G4">
        <v>0</v>
      </c>
      <c r="H4" t="s">
        <v>81</v>
      </c>
      <c r="I4" t="s">
        <v>82</v>
      </c>
      <c r="J4" t="str">
        <f>MID($N4,FIND("1.",$N4),FIND("-",$N4)-FIND("1.",$N4)-1)</f>
        <v>1.0027</v>
      </c>
      <c r="K4" t="str">
        <f>MID($N4,FIND("NETIOS - ",$N4)+8,FIND(":",$N4,40)-FIND("NETIOS - ",$N4)-8)</f>
        <v xml:space="preserve"> Set 'http Secure-server' limit</v>
      </c>
      <c r="L4" t="str">
        <f>MID($N4,FIND("1.",$N4),FIND("[",$N4)-1-FIND("1.",$N4)-1)</f>
        <v>1.0027 - NETIOS - Set 'http Secure-server' limit</v>
      </c>
      <c r="M4" t="str">
        <f>MID($N4,FIND("[",$N4)+1,FIND("]",$N4)-FIND("[",$N4)-1)</f>
        <v>FAILED</v>
      </c>
      <c r="N4" t="s">
        <v>181</v>
      </c>
      <c r="O4" t="s">
        <v>77</v>
      </c>
      <c r="R4" t="s">
        <v>67</v>
      </c>
      <c r="T4" t="s">
        <v>68</v>
      </c>
      <c r="U4" t="s">
        <v>66</v>
      </c>
      <c r="X4" t="s">
        <v>69</v>
      </c>
      <c r="Y4" t="s">
        <v>84</v>
      </c>
      <c r="Z4">
        <v>0</v>
      </c>
      <c r="AA4">
        <v>0</v>
      </c>
      <c r="AD4">
        <v>0</v>
      </c>
      <c r="AE4">
        <v>0</v>
      </c>
      <c r="AI4" t="s">
        <v>148</v>
      </c>
      <c r="AJ4" t="s">
        <v>149</v>
      </c>
      <c r="AK4" t="s">
        <v>72</v>
      </c>
      <c r="AN4" t="s">
        <v>73</v>
      </c>
      <c r="AO4" t="s">
        <v>150</v>
      </c>
      <c r="AP4" t="s">
        <v>182</v>
      </c>
      <c r="AQ4" t="s">
        <v>152</v>
      </c>
      <c r="AS4" t="b">
        <v>1</v>
      </c>
      <c r="AT4" t="s">
        <v>65</v>
      </c>
      <c r="AU4">
        <v>0</v>
      </c>
      <c r="AV4">
        <v>0</v>
      </c>
      <c r="AX4">
        <v>39</v>
      </c>
      <c r="AY4" t="s">
        <v>79</v>
      </c>
      <c r="AZ4" t="s">
        <v>86</v>
      </c>
      <c r="BB4" t="s">
        <v>87</v>
      </c>
      <c r="BC4" t="s">
        <v>88</v>
      </c>
      <c r="BD4" t="b">
        <v>0</v>
      </c>
      <c r="BE4" t="b">
        <v>0</v>
      </c>
      <c r="BF4" t="b">
        <v>0</v>
      </c>
      <c r="BG4" t="b">
        <v>0</v>
      </c>
      <c r="BH4" t="b">
        <v>0</v>
      </c>
      <c r="BI4" t="b">
        <v>0</v>
      </c>
      <c r="BJ4" t="b">
        <v>0</v>
      </c>
      <c r="BK4" t="b">
        <v>0</v>
      </c>
      <c r="BL4" t="b">
        <v>0</v>
      </c>
      <c r="BM4" t="b">
        <v>0</v>
      </c>
      <c r="BN4" t="b">
        <v>0</v>
      </c>
      <c r="BO4" t="b">
        <v>0</v>
      </c>
      <c r="BP4" t="b">
        <v>0</v>
      </c>
      <c r="BR4" t="b">
        <f>IFERROR(IF(M4="PASSED",VLOOKUP(J4,Current!J5:BR65,1,FALSE)),N4)</f>
        <v>0</v>
      </c>
    </row>
    <row r="5" spans="1:70" hidden="1" x14ac:dyDescent="0.25">
      <c r="A5">
        <v>46689</v>
      </c>
      <c r="C5">
        <v>0</v>
      </c>
      <c r="D5" t="s">
        <v>95</v>
      </c>
      <c r="E5" t="s">
        <v>66</v>
      </c>
      <c r="F5" t="s">
        <v>80</v>
      </c>
      <c r="G5">
        <v>0</v>
      </c>
      <c r="H5" t="s">
        <v>81</v>
      </c>
      <c r="I5" t="s">
        <v>82</v>
      </c>
      <c r="J5" t="str">
        <f>MID($N5,FIND("1.",$N5),FIND("-",$N5)-FIND("1.",$N5)-1)</f>
        <v>1.0028</v>
      </c>
      <c r="K5" t="str">
        <f>MID($N5,FIND("NETIOS - ",$N5)+8,FIND(":",$N5,40)-FIND("NETIOS - ",$N5)-8)</f>
        <v xml:space="preserve"> Set 'exec-timeout' to less than or equal to 10 min on 'ip http</v>
      </c>
      <c r="L5" t="str">
        <f>MID($N5,FIND("1.",$N5),FIND("[",$N5)-1-FIND("1.",$N5)-1)</f>
        <v>1.0028 - NETIOS - Set 'exec-timeout' to less than or equal to 10 min on 'ip http</v>
      </c>
      <c r="M5" t="str">
        <f>MID($N5,FIND("[",$N5)+1,FIND("]",$N5)-FIND("[",$N5)-1)</f>
        <v>FAILED</v>
      </c>
      <c r="N5" t="s">
        <v>218</v>
      </c>
      <c r="O5" t="s">
        <v>77</v>
      </c>
      <c r="R5" t="s">
        <v>67</v>
      </c>
      <c r="T5" t="s">
        <v>68</v>
      </c>
      <c r="U5" t="s">
        <v>66</v>
      </c>
      <c r="X5" t="s">
        <v>69</v>
      </c>
      <c r="Y5" t="s">
        <v>84</v>
      </c>
      <c r="Z5">
        <v>0</v>
      </c>
      <c r="AA5">
        <v>0</v>
      </c>
      <c r="AD5">
        <v>0</v>
      </c>
      <c r="AE5">
        <v>0</v>
      </c>
      <c r="AI5" t="s">
        <v>148</v>
      </c>
      <c r="AJ5" t="s">
        <v>149</v>
      </c>
      <c r="AK5" t="s">
        <v>72</v>
      </c>
      <c r="AN5" t="s">
        <v>73</v>
      </c>
      <c r="AO5" t="s">
        <v>150</v>
      </c>
      <c r="AP5" t="s">
        <v>216</v>
      </c>
      <c r="AQ5" t="s">
        <v>152</v>
      </c>
      <c r="AS5" t="b">
        <v>1</v>
      </c>
      <c r="AT5" t="s">
        <v>65</v>
      </c>
      <c r="AU5">
        <v>0</v>
      </c>
      <c r="AV5">
        <v>0</v>
      </c>
      <c r="AX5">
        <v>39</v>
      </c>
      <c r="AY5" t="s">
        <v>79</v>
      </c>
      <c r="AZ5" t="s">
        <v>86</v>
      </c>
      <c r="BB5" t="s">
        <v>87</v>
      </c>
      <c r="BC5" t="s">
        <v>88</v>
      </c>
      <c r="BD5" t="b">
        <v>0</v>
      </c>
      <c r="BE5" t="b">
        <v>0</v>
      </c>
      <c r="BF5" t="b">
        <v>0</v>
      </c>
      <c r="BG5" t="b">
        <v>0</v>
      </c>
      <c r="BH5" t="b">
        <v>0</v>
      </c>
      <c r="BI5" t="b">
        <v>0</v>
      </c>
      <c r="BJ5" t="b">
        <v>0</v>
      </c>
      <c r="BK5" t="b">
        <v>0</v>
      </c>
      <c r="BL5" t="b">
        <v>0</v>
      </c>
      <c r="BM5" t="b">
        <v>0</v>
      </c>
      <c r="BN5" t="b">
        <v>0</v>
      </c>
      <c r="BO5" t="b">
        <v>0</v>
      </c>
      <c r="BP5" t="b">
        <v>0</v>
      </c>
      <c r="BR5" t="b">
        <f>IFERROR(IF(M5="PASSED",VLOOKUP(J5,Current!J7:BR67,1,FALSE)),N5)</f>
        <v>0</v>
      </c>
    </row>
    <row r="6" spans="1:70" hidden="1" x14ac:dyDescent="0.25">
      <c r="A6">
        <v>46689</v>
      </c>
      <c r="C6">
        <v>0</v>
      </c>
      <c r="D6" t="s">
        <v>95</v>
      </c>
      <c r="E6" t="s">
        <v>118</v>
      </c>
      <c r="F6" t="s">
        <v>80</v>
      </c>
      <c r="G6">
        <v>0</v>
      </c>
      <c r="H6" t="s">
        <v>81</v>
      </c>
      <c r="I6" t="s">
        <v>82</v>
      </c>
      <c r="J6" t="str">
        <f>MID($N6,FIND("1.",$N6),FIND("-",$N6)-FIND("1.",$N6)-1)</f>
        <v>1.0029</v>
      </c>
      <c r="K6" t="str">
        <f>MID($N6,FIND("NETIOS - ",$N6)+8,FIND(":",$N6,40)-FIND("NETIOS - ",$N6)-8)</f>
        <v xml:space="preserve"> Set 'no exec' for 'line aux 0</v>
      </c>
      <c r="L6" t="str">
        <f>MID($N6,FIND("1.",$N6),FIND("[",$N6)-1-FIND("1.",$N6)-1)</f>
        <v>1.0029 - NETIOS - Set 'no exec' for 'line aux 0</v>
      </c>
      <c r="M6" t="str">
        <f>MID($N6,FIND("[",$N6)+1,FIND("]",$N6)-FIND("[",$N6)-1)</f>
        <v>FAILED</v>
      </c>
      <c r="N6" t="s">
        <v>222</v>
      </c>
      <c r="O6" t="s">
        <v>77</v>
      </c>
      <c r="R6" t="s">
        <v>119</v>
      </c>
      <c r="T6" t="s">
        <v>120</v>
      </c>
      <c r="U6" t="s">
        <v>118</v>
      </c>
      <c r="X6" t="s">
        <v>121</v>
      </c>
      <c r="Y6" t="s">
        <v>84</v>
      </c>
      <c r="Z6">
        <v>0</v>
      </c>
      <c r="AA6">
        <v>0</v>
      </c>
      <c r="AD6">
        <v>0</v>
      </c>
      <c r="AE6">
        <v>0</v>
      </c>
      <c r="AI6" t="s">
        <v>148</v>
      </c>
      <c r="AJ6" t="s">
        <v>149</v>
      </c>
      <c r="AK6" t="s">
        <v>72</v>
      </c>
      <c r="AN6" t="s">
        <v>73</v>
      </c>
      <c r="AO6" t="s">
        <v>150</v>
      </c>
      <c r="AP6" t="s">
        <v>223</v>
      </c>
      <c r="AQ6" t="s">
        <v>221</v>
      </c>
      <c r="AS6" t="b">
        <v>1</v>
      </c>
      <c r="AT6" t="s">
        <v>65</v>
      </c>
      <c r="AU6">
        <v>0</v>
      </c>
      <c r="AV6">
        <v>0</v>
      </c>
      <c r="AX6">
        <v>39</v>
      </c>
      <c r="AY6" t="s">
        <v>79</v>
      </c>
      <c r="AZ6" t="s">
        <v>86</v>
      </c>
      <c r="BB6" t="s">
        <v>87</v>
      </c>
      <c r="BC6" t="s">
        <v>88</v>
      </c>
      <c r="BD6" t="b">
        <v>0</v>
      </c>
      <c r="BE6" t="b">
        <v>0</v>
      </c>
      <c r="BF6" t="b">
        <v>0</v>
      </c>
      <c r="BG6" t="b">
        <v>0</v>
      </c>
      <c r="BH6" t="b">
        <v>0</v>
      </c>
      <c r="BI6" t="b">
        <v>0</v>
      </c>
      <c r="BJ6" t="b">
        <v>0</v>
      </c>
      <c r="BK6" t="b">
        <v>0</v>
      </c>
      <c r="BL6" t="b">
        <v>0</v>
      </c>
      <c r="BM6" t="b">
        <v>0</v>
      </c>
      <c r="BN6" t="b">
        <v>0</v>
      </c>
      <c r="BO6" t="b">
        <v>0</v>
      </c>
      <c r="BP6" t="b">
        <v>0</v>
      </c>
      <c r="BR6" t="b">
        <f>IFERROR(IF(M6="PASSED",VLOOKUP(J6,Current!J9:BR69,1,FALSE)),N6)</f>
        <v>0</v>
      </c>
    </row>
    <row r="7" spans="1:70" x14ac:dyDescent="0.25">
      <c r="A7">
        <v>46689</v>
      </c>
      <c r="C7">
        <v>0</v>
      </c>
      <c r="D7" t="s">
        <v>65</v>
      </c>
      <c r="E7" t="s">
        <v>66</v>
      </c>
      <c r="F7" t="s">
        <v>80</v>
      </c>
      <c r="G7">
        <v>0</v>
      </c>
      <c r="H7" t="s">
        <v>81</v>
      </c>
      <c r="I7" t="s">
        <v>82</v>
      </c>
      <c r="J7" t="str">
        <f>MID($N7,FIND("1.",$N7),FIND("-",$N7)-FIND("1.",$N7)-1)</f>
        <v>1.0029</v>
      </c>
      <c r="K7" t="str">
        <f>MID($N7,FIND("NETIOS - ",$N7)+8,FIND(":",$N7,40)-FIND("NETIOS - ",$N7)-8)</f>
        <v xml:space="preserve"> Set 'no exec' for 'line aux 0</v>
      </c>
      <c r="L7" t="str">
        <f>MID($N7,FIND("1.",$N7),FIND("[",$N7)-1-FIND("1.",$N7)-1)</f>
        <v>1.0029 - NETIOS - Set 'no exec' for 'line aux 0</v>
      </c>
      <c r="M7" t="str">
        <f>MID($N7,FIND("[",$N7)+1,FIND("]",$N7)-FIND("[",$N7)-1)</f>
        <v>PASSED</v>
      </c>
      <c r="N7" t="s">
        <v>179</v>
      </c>
      <c r="O7" t="s">
        <v>77</v>
      </c>
      <c r="R7" t="s">
        <v>67</v>
      </c>
      <c r="T7" t="s">
        <v>68</v>
      </c>
      <c r="U7" t="s">
        <v>66</v>
      </c>
      <c r="X7" t="s">
        <v>69</v>
      </c>
      <c r="Y7" t="s">
        <v>84</v>
      </c>
      <c r="Z7">
        <v>0</v>
      </c>
      <c r="AA7">
        <v>0</v>
      </c>
      <c r="AD7">
        <v>0</v>
      </c>
      <c r="AE7">
        <v>0</v>
      </c>
      <c r="AI7" t="s">
        <v>148</v>
      </c>
      <c r="AJ7" t="s">
        <v>149</v>
      </c>
      <c r="AK7" t="s">
        <v>72</v>
      </c>
      <c r="AN7" t="s">
        <v>73</v>
      </c>
      <c r="AO7" t="s">
        <v>150</v>
      </c>
      <c r="AP7" t="s">
        <v>177</v>
      </c>
      <c r="AQ7" t="s">
        <v>152</v>
      </c>
      <c r="AS7" t="b">
        <v>1</v>
      </c>
      <c r="AT7" t="s">
        <v>65</v>
      </c>
      <c r="AU7">
        <v>0</v>
      </c>
      <c r="AV7">
        <v>0</v>
      </c>
      <c r="AX7">
        <v>39</v>
      </c>
      <c r="AY7" t="s">
        <v>79</v>
      </c>
      <c r="AZ7" t="s">
        <v>86</v>
      </c>
      <c r="BB7" t="s">
        <v>87</v>
      </c>
      <c r="BC7" t="s">
        <v>88</v>
      </c>
      <c r="BD7" t="b">
        <v>0</v>
      </c>
      <c r="BE7" t="b">
        <v>0</v>
      </c>
      <c r="BF7" t="b">
        <v>0</v>
      </c>
      <c r="BG7" t="b">
        <v>0</v>
      </c>
      <c r="BH7" t="b">
        <v>0</v>
      </c>
      <c r="BI7" t="b">
        <v>0</v>
      </c>
      <c r="BJ7" t="b">
        <v>0</v>
      </c>
      <c r="BK7" t="b">
        <v>0</v>
      </c>
      <c r="BL7" t="b">
        <v>0</v>
      </c>
      <c r="BM7" t="b">
        <v>0</v>
      </c>
      <c r="BN7" t="b">
        <v>0</v>
      </c>
      <c r="BO7" t="b">
        <v>0</v>
      </c>
      <c r="BP7" t="b">
        <v>0</v>
      </c>
      <c r="BR7" t="str">
        <f>IFERROR(IF(M7="PASSED",VLOOKUP(J7,Current!J10:BR70,1,FALSE)),N7)</f>
        <v>"1.0029 - NETIOS - Set 'no exec' for 'line aux 0: [PASSED]"
The 'no exec' command restricts a line to outgoing connections only.
See Also:
See HTH Policies and Standards
Reference:
NIST 800-53r5|CM-7
Policy Value:
CONFIG_CHECK
item: no exec
context: line aux .+
Actual Value:
line aux 0
 no exec &lt;----</v>
      </c>
    </row>
    <row r="8" spans="1:70" hidden="1" x14ac:dyDescent="0.25">
      <c r="A8">
        <v>46689</v>
      </c>
      <c r="C8">
        <v>0</v>
      </c>
      <c r="D8" t="s">
        <v>95</v>
      </c>
      <c r="E8" t="s">
        <v>66</v>
      </c>
      <c r="F8" t="s">
        <v>80</v>
      </c>
      <c r="G8">
        <v>0</v>
      </c>
      <c r="H8" t="s">
        <v>81</v>
      </c>
      <c r="I8" t="s">
        <v>82</v>
      </c>
      <c r="J8" t="str">
        <f>MID($N8,FIND("1.",$N8),FIND("-",$N8)-FIND("1.",$N8)-1)</f>
        <v>1.0030</v>
      </c>
      <c r="K8" t="str">
        <f>MID($N8,FIND("NETIOS - ",$N8)+8,FIND(":",$N8,40)-FIND("NETIOS - ",$N8)-8)</f>
        <v xml:space="preserve"> Set 'access-class' for 'line vty</v>
      </c>
      <c r="L8" t="str">
        <f>MID($N8,FIND("1.",$N8),FIND("[",$N8)-1-FIND("1.",$N8)-1)</f>
        <v>1.0030 - NETIOS - Set 'access-class' for 'line vty</v>
      </c>
      <c r="M8" t="str">
        <f>MID($N8,FIND("[",$N8)+1,FIND("]",$N8)-FIND("[",$N8)-1)</f>
        <v>FAILED</v>
      </c>
      <c r="N8" t="s">
        <v>205</v>
      </c>
      <c r="O8" t="s">
        <v>77</v>
      </c>
      <c r="R8" t="s">
        <v>67</v>
      </c>
      <c r="T8" t="s">
        <v>68</v>
      </c>
      <c r="U8" t="s">
        <v>66</v>
      </c>
      <c r="X8" t="s">
        <v>69</v>
      </c>
      <c r="Y8" t="s">
        <v>84</v>
      </c>
      <c r="Z8">
        <v>0</v>
      </c>
      <c r="AA8">
        <v>0</v>
      </c>
      <c r="AD8">
        <v>0</v>
      </c>
      <c r="AE8">
        <v>0</v>
      </c>
      <c r="AI8" t="s">
        <v>148</v>
      </c>
      <c r="AJ8" t="s">
        <v>149</v>
      </c>
      <c r="AK8" t="s">
        <v>72</v>
      </c>
      <c r="AN8" t="s">
        <v>73</v>
      </c>
      <c r="AO8" t="s">
        <v>150</v>
      </c>
      <c r="AP8" t="s">
        <v>203</v>
      </c>
      <c r="AQ8" t="s">
        <v>152</v>
      </c>
      <c r="AS8" t="b">
        <v>1</v>
      </c>
      <c r="AT8" t="s">
        <v>65</v>
      </c>
      <c r="AU8">
        <v>0</v>
      </c>
      <c r="AV8">
        <v>0</v>
      </c>
      <c r="AX8">
        <v>39</v>
      </c>
      <c r="AY8" t="s">
        <v>79</v>
      </c>
      <c r="AZ8" t="s">
        <v>86</v>
      </c>
      <c r="BB8" t="s">
        <v>87</v>
      </c>
      <c r="BC8" t="s">
        <v>88</v>
      </c>
      <c r="BD8" t="b">
        <v>0</v>
      </c>
      <c r="BE8" t="b">
        <v>0</v>
      </c>
      <c r="BF8" t="b">
        <v>0</v>
      </c>
      <c r="BG8" t="b">
        <v>0</v>
      </c>
      <c r="BH8" t="b">
        <v>0</v>
      </c>
      <c r="BI8" t="b">
        <v>0</v>
      </c>
      <c r="BJ8" t="b">
        <v>0</v>
      </c>
      <c r="BK8" t="b">
        <v>0</v>
      </c>
      <c r="BL8" t="b">
        <v>0</v>
      </c>
      <c r="BM8" t="b">
        <v>0</v>
      </c>
      <c r="BN8" t="b">
        <v>0</v>
      </c>
      <c r="BO8" t="b">
        <v>0</v>
      </c>
      <c r="BP8" t="b">
        <v>0</v>
      </c>
      <c r="BR8" t="b">
        <f>IFERROR(IF(M8="PASSED",VLOOKUP(J8,Current!J11:BR71,1,FALSE)),N8)</f>
        <v>0</v>
      </c>
    </row>
    <row r="9" spans="1:70" x14ac:dyDescent="0.25">
      <c r="A9">
        <v>46689</v>
      </c>
      <c r="C9">
        <v>0</v>
      </c>
      <c r="D9" t="s">
        <v>65</v>
      </c>
      <c r="E9" t="s">
        <v>66</v>
      </c>
      <c r="F9" t="s">
        <v>80</v>
      </c>
      <c r="G9">
        <v>0</v>
      </c>
      <c r="H9" t="s">
        <v>81</v>
      </c>
      <c r="I9" t="s">
        <v>82</v>
      </c>
      <c r="J9" t="str">
        <f>MID($N9,FIND("1.",$N9),FIND("-",$N9)-FIND("1.",$N9)-1)</f>
        <v>1.0031</v>
      </c>
      <c r="K9" t="str">
        <f>MID($N9,FIND("NETIOS - ",$N9)+8,FIND(":",$N9,40)-FIND("NETIOS - ",$N9)-8)</f>
        <v xml:space="preserve"> Set 'transport input none' for 'line aux 0</v>
      </c>
      <c r="L9" t="str">
        <f>MID($N9,FIND("1.",$N9),FIND("[",$N9)-1-FIND("1.",$N9)-1)</f>
        <v>1.0031 - NETIOS - Set 'transport input none' for 'line aux 0</v>
      </c>
      <c r="M9" t="str">
        <f>MID($N9,FIND("[",$N9)+1,FIND("]",$N9)-FIND("[",$N9)-1)</f>
        <v>PASSED</v>
      </c>
      <c r="N9" t="s">
        <v>183</v>
      </c>
      <c r="O9" t="s">
        <v>77</v>
      </c>
      <c r="R9" t="s">
        <v>67</v>
      </c>
      <c r="T9" t="s">
        <v>68</v>
      </c>
      <c r="U9" t="s">
        <v>66</v>
      </c>
      <c r="X9" t="s">
        <v>69</v>
      </c>
      <c r="Y9" t="s">
        <v>84</v>
      </c>
      <c r="Z9">
        <v>0</v>
      </c>
      <c r="AA9">
        <v>0</v>
      </c>
      <c r="AD9">
        <v>0</v>
      </c>
      <c r="AE9">
        <v>0</v>
      </c>
      <c r="AI9" t="s">
        <v>148</v>
      </c>
      <c r="AJ9" t="s">
        <v>149</v>
      </c>
      <c r="AK9" t="s">
        <v>72</v>
      </c>
      <c r="AN9" t="s">
        <v>73</v>
      </c>
      <c r="AO9" t="s">
        <v>150</v>
      </c>
      <c r="AP9" t="s">
        <v>182</v>
      </c>
      <c r="AQ9" t="s">
        <v>152</v>
      </c>
      <c r="AS9" t="b">
        <v>1</v>
      </c>
      <c r="AT9" t="s">
        <v>65</v>
      </c>
      <c r="AU9">
        <v>0</v>
      </c>
      <c r="AV9">
        <v>0</v>
      </c>
      <c r="AX9">
        <v>39</v>
      </c>
      <c r="AY9" t="s">
        <v>79</v>
      </c>
      <c r="AZ9" t="s">
        <v>86</v>
      </c>
      <c r="BB9" t="s">
        <v>87</v>
      </c>
      <c r="BC9" t="s">
        <v>88</v>
      </c>
      <c r="BD9" t="b">
        <v>0</v>
      </c>
      <c r="BE9" t="b">
        <v>0</v>
      </c>
      <c r="BF9" t="b">
        <v>0</v>
      </c>
      <c r="BG9" t="b">
        <v>0</v>
      </c>
      <c r="BH9" t="b">
        <v>0</v>
      </c>
      <c r="BI9" t="b">
        <v>0</v>
      </c>
      <c r="BJ9" t="b">
        <v>0</v>
      </c>
      <c r="BK9" t="b">
        <v>0</v>
      </c>
      <c r="BL9" t="b">
        <v>0</v>
      </c>
      <c r="BM9" t="b">
        <v>0</v>
      </c>
      <c r="BN9" t="b">
        <v>0</v>
      </c>
      <c r="BO9" t="b">
        <v>0</v>
      </c>
      <c r="BP9" t="b">
        <v>0</v>
      </c>
      <c r="BR9" t="str">
        <f>IFERROR(IF(M9="PASSED",VLOOKUP(J9,Current!J13:BR73,1,FALSE)),N9)</f>
        <v>"1.0031 - NETIOS - Set 'transport input none' for 'line aux 0: [PASSED]"
When you want to allow only an outgoing connection on a line, use the no exec command.
See Also:
See HTH Policies and Standards
Reference:
NIST 800-53r5|AC-2(5) AC-11 AC-11(1) AC-12
Policy Value:
CONFIG_CHECK_NOT
item: transport input (all|ssh|telnet)$
context: line aux .+
Actual Value:
line aux 0
 no exec
Expected configuration: 
transport input (all|ssh|telnet)$</v>
      </c>
    </row>
    <row r="10" spans="1:70" hidden="1" x14ac:dyDescent="0.25">
      <c r="A10">
        <v>46689</v>
      </c>
      <c r="C10">
        <v>0</v>
      </c>
      <c r="D10" t="s">
        <v>95</v>
      </c>
      <c r="E10" t="s">
        <v>66</v>
      </c>
      <c r="F10" t="s">
        <v>80</v>
      </c>
      <c r="G10">
        <v>0</v>
      </c>
      <c r="H10" t="s">
        <v>81</v>
      </c>
      <c r="I10" t="s">
        <v>82</v>
      </c>
      <c r="J10" t="str">
        <f>MID($N10,FIND("1.",$N10),FIND("-",$N10)-FIND("1.",$N10)-1)</f>
        <v>1.0032</v>
      </c>
      <c r="K10" t="str">
        <f>MID($N10,FIND("NETIOS - ",$N10)+8,FIND(":",$N10,40)-FIND("NETIOS - ",$N10)-8)</f>
        <v xml:space="preserve"> Set the 'banner-text' for 'banner exec</v>
      </c>
      <c r="L10" t="str">
        <f>MID($N10,FIND("1.",$N10),FIND("[",$N10)-1-FIND("1.",$N10)-1)</f>
        <v>1.0032 - NETIOS - Set the 'banner-text' for 'banner exec</v>
      </c>
      <c r="M10" t="str">
        <f>MID($N10,FIND("[",$N10)+1,FIND("]",$N10)-FIND("[",$N10)-1)</f>
        <v>FAILED</v>
      </c>
      <c r="N10" t="s">
        <v>171</v>
      </c>
      <c r="O10" t="s">
        <v>77</v>
      </c>
      <c r="R10" t="s">
        <v>67</v>
      </c>
      <c r="T10" t="s">
        <v>68</v>
      </c>
      <c r="U10" t="s">
        <v>66</v>
      </c>
      <c r="X10" t="s">
        <v>69</v>
      </c>
      <c r="Y10" t="s">
        <v>84</v>
      </c>
      <c r="Z10">
        <v>0</v>
      </c>
      <c r="AA10">
        <v>0</v>
      </c>
      <c r="AD10">
        <v>0</v>
      </c>
      <c r="AE10">
        <v>0</v>
      </c>
      <c r="AI10" t="s">
        <v>148</v>
      </c>
      <c r="AJ10" t="s">
        <v>149</v>
      </c>
      <c r="AK10" t="s">
        <v>72</v>
      </c>
      <c r="AN10" t="s">
        <v>73</v>
      </c>
      <c r="AO10" t="s">
        <v>150</v>
      </c>
      <c r="AP10" t="s">
        <v>168</v>
      </c>
      <c r="AQ10" t="s">
        <v>152</v>
      </c>
      <c r="AS10" t="b">
        <v>1</v>
      </c>
      <c r="AT10" t="s">
        <v>65</v>
      </c>
      <c r="AU10">
        <v>0</v>
      </c>
      <c r="AV10">
        <v>0</v>
      </c>
      <c r="AX10">
        <v>39</v>
      </c>
      <c r="AY10" t="s">
        <v>79</v>
      </c>
      <c r="AZ10" t="s">
        <v>86</v>
      </c>
      <c r="BB10" t="s">
        <v>87</v>
      </c>
      <c r="BC10" t="s">
        <v>88</v>
      </c>
      <c r="BD10" t="b">
        <v>0</v>
      </c>
      <c r="BE10" t="b">
        <v>0</v>
      </c>
      <c r="BF10" t="b">
        <v>0</v>
      </c>
      <c r="BG10" t="b">
        <v>0</v>
      </c>
      <c r="BH10" t="b">
        <v>0</v>
      </c>
      <c r="BI10" t="b">
        <v>0</v>
      </c>
      <c r="BJ10" t="b">
        <v>0</v>
      </c>
      <c r="BK10" t="b">
        <v>0</v>
      </c>
      <c r="BL10" t="b">
        <v>0</v>
      </c>
      <c r="BM10" t="b">
        <v>0</v>
      </c>
      <c r="BN10" t="b">
        <v>0</v>
      </c>
      <c r="BO10" t="b">
        <v>0</v>
      </c>
      <c r="BP10" t="b">
        <v>0</v>
      </c>
      <c r="BR10" t="b">
        <f>IFERROR(IF(M10="PASSED",VLOOKUP(J10,Current!J15:BR75,1,FALSE)),N10)</f>
        <v>0</v>
      </c>
    </row>
    <row r="11" spans="1:70" hidden="1" x14ac:dyDescent="0.25">
      <c r="A11">
        <v>46689</v>
      </c>
      <c r="C11">
        <v>0</v>
      </c>
      <c r="D11" t="s">
        <v>95</v>
      </c>
      <c r="E11" t="s">
        <v>66</v>
      </c>
      <c r="F11" t="s">
        <v>80</v>
      </c>
      <c r="G11">
        <v>0</v>
      </c>
      <c r="H11" t="s">
        <v>81</v>
      </c>
      <c r="I11" t="s">
        <v>82</v>
      </c>
      <c r="J11" t="str">
        <f>MID($N11,FIND("1.",$N11),FIND("-",$N11)-FIND("1.",$N11)-1)</f>
        <v>1.0033</v>
      </c>
      <c r="K11" t="str">
        <f>MID($N11,FIND("NETIOS - ",$N11)+8,FIND(":",$N11,40)-FIND("NETIOS - ",$N11)-8)</f>
        <v xml:space="preserve"> Set the 'banner-text' for 'banner login</v>
      </c>
      <c r="L11" t="str">
        <f>MID($N11,FIND("1.",$N11),FIND("[",$N11)-1-FIND("1.",$N11)-1)</f>
        <v>1.0033 - NETIOS - Set the 'banner-text' for 'banner login</v>
      </c>
      <c r="M11" t="str">
        <f>MID($N11,FIND("[",$N11)+1,FIND("]",$N11)-FIND("[",$N11)-1)</f>
        <v>FAILED</v>
      </c>
      <c r="N11" t="s">
        <v>191</v>
      </c>
      <c r="O11" t="s">
        <v>77</v>
      </c>
      <c r="R11" t="s">
        <v>67</v>
      </c>
      <c r="T11" t="s">
        <v>68</v>
      </c>
      <c r="U11" t="s">
        <v>66</v>
      </c>
      <c r="X11" t="s">
        <v>69</v>
      </c>
      <c r="Y11" t="s">
        <v>84</v>
      </c>
      <c r="Z11">
        <v>0</v>
      </c>
      <c r="AA11">
        <v>0</v>
      </c>
      <c r="AD11">
        <v>0</v>
      </c>
      <c r="AE11">
        <v>0</v>
      </c>
      <c r="AI11" t="s">
        <v>148</v>
      </c>
      <c r="AJ11" t="s">
        <v>149</v>
      </c>
      <c r="AK11" t="s">
        <v>72</v>
      </c>
      <c r="AN11" t="s">
        <v>73</v>
      </c>
      <c r="AO11" t="s">
        <v>150</v>
      </c>
      <c r="AP11" t="s">
        <v>190</v>
      </c>
      <c r="AQ11" t="s">
        <v>152</v>
      </c>
      <c r="AS11" t="b">
        <v>1</v>
      </c>
      <c r="AT11" t="s">
        <v>65</v>
      </c>
      <c r="AU11">
        <v>0</v>
      </c>
      <c r="AV11">
        <v>0</v>
      </c>
      <c r="AX11">
        <v>39</v>
      </c>
      <c r="AY11" t="s">
        <v>79</v>
      </c>
      <c r="AZ11" t="s">
        <v>86</v>
      </c>
      <c r="BB11" t="s">
        <v>87</v>
      </c>
      <c r="BC11" t="s">
        <v>88</v>
      </c>
      <c r="BD11" t="b">
        <v>0</v>
      </c>
      <c r="BE11" t="b">
        <v>0</v>
      </c>
      <c r="BF11" t="b">
        <v>0</v>
      </c>
      <c r="BG11" t="b">
        <v>0</v>
      </c>
      <c r="BH11" t="b">
        <v>0</v>
      </c>
      <c r="BI11" t="b">
        <v>0</v>
      </c>
      <c r="BJ11" t="b">
        <v>0</v>
      </c>
      <c r="BK11" t="b">
        <v>0</v>
      </c>
      <c r="BL11" t="b">
        <v>0</v>
      </c>
      <c r="BM11" t="b">
        <v>0</v>
      </c>
      <c r="BN11" t="b">
        <v>0</v>
      </c>
      <c r="BO11" t="b">
        <v>0</v>
      </c>
      <c r="BP11" t="b">
        <v>0</v>
      </c>
      <c r="BR11" t="b">
        <f>IFERROR(IF(M11="PASSED",VLOOKUP(J11,Current!J17:BR77,1,FALSE)),N11)</f>
        <v>0</v>
      </c>
    </row>
    <row r="12" spans="1:70" hidden="1" x14ac:dyDescent="0.25">
      <c r="A12">
        <v>46689</v>
      </c>
      <c r="C12">
        <v>0</v>
      </c>
      <c r="D12" t="s">
        <v>95</v>
      </c>
      <c r="E12" t="s">
        <v>66</v>
      </c>
      <c r="F12" t="s">
        <v>80</v>
      </c>
      <c r="G12">
        <v>0</v>
      </c>
      <c r="H12" t="s">
        <v>81</v>
      </c>
      <c r="I12" t="s">
        <v>82</v>
      </c>
      <c r="J12" t="str">
        <f>MID($N12,FIND("1.",$N12),FIND("-",$N12)-FIND("1.",$N12)-1)</f>
        <v>1.0034</v>
      </c>
      <c r="K12" t="str">
        <f>MID($N12,FIND("NETIOS - ",$N12)+8,FIND(":",$N12,40)-FIND("NETIOS - ",$N12)-8)</f>
        <v xml:space="preserve"> Set the 'banner-text' for 'banner motd</v>
      </c>
      <c r="L12" t="str">
        <f>MID($N12,FIND("1.",$N12),FIND("[",$N12)-1-FIND("1.",$N12)-1)</f>
        <v>1.0034 - NETIOS - Set the 'banner-text' for 'banner motd</v>
      </c>
      <c r="M12" t="str">
        <f>MID($N12,FIND("[",$N12)+1,FIND("]",$N12)-FIND("[",$N12)-1)</f>
        <v>FAILED</v>
      </c>
      <c r="N12" t="s">
        <v>157</v>
      </c>
      <c r="O12" t="s">
        <v>77</v>
      </c>
      <c r="R12" t="s">
        <v>67</v>
      </c>
      <c r="T12" t="s">
        <v>68</v>
      </c>
      <c r="U12" t="s">
        <v>66</v>
      </c>
      <c r="X12" t="s">
        <v>69</v>
      </c>
      <c r="Y12" t="s">
        <v>84</v>
      </c>
      <c r="Z12">
        <v>0</v>
      </c>
      <c r="AA12">
        <v>0</v>
      </c>
      <c r="AD12">
        <v>0</v>
      </c>
      <c r="AE12">
        <v>0</v>
      </c>
      <c r="AI12" t="s">
        <v>148</v>
      </c>
      <c r="AJ12" t="s">
        <v>149</v>
      </c>
      <c r="AK12" t="s">
        <v>72</v>
      </c>
      <c r="AN12" t="s">
        <v>73</v>
      </c>
      <c r="AO12" t="s">
        <v>150</v>
      </c>
      <c r="AP12" t="s">
        <v>155</v>
      </c>
      <c r="AQ12" t="s">
        <v>152</v>
      </c>
      <c r="AS12" t="b">
        <v>1</v>
      </c>
      <c r="AT12" t="s">
        <v>65</v>
      </c>
      <c r="AU12">
        <v>0</v>
      </c>
      <c r="AV12">
        <v>0</v>
      </c>
      <c r="AX12">
        <v>39</v>
      </c>
      <c r="AY12" t="s">
        <v>79</v>
      </c>
      <c r="AZ12" t="s">
        <v>86</v>
      </c>
      <c r="BB12" t="s">
        <v>87</v>
      </c>
      <c r="BC12" t="s">
        <v>88</v>
      </c>
      <c r="BD12" t="b">
        <v>0</v>
      </c>
      <c r="BE12" t="b">
        <v>0</v>
      </c>
      <c r="BF12" t="b">
        <v>0</v>
      </c>
      <c r="BG12" t="b">
        <v>0</v>
      </c>
      <c r="BH12" t="b">
        <v>0</v>
      </c>
      <c r="BI12" t="b">
        <v>0</v>
      </c>
      <c r="BJ12" t="b">
        <v>0</v>
      </c>
      <c r="BK12" t="b">
        <v>0</v>
      </c>
      <c r="BL12" t="b">
        <v>0</v>
      </c>
      <c r="BM12" t="b">
        <v>0</v>
      </c>
      <c r="BN12" t="b">
        <v>0</v>
      </c>
      <c r="BO12" t="b">
        <v>0</v>
      </c>
      <c r="BP12" t="b">
        <v>0</v>
      </c>
      <c r="BR12" t="b">
        <f>IFERROR(IF(M12="PASSED",VLOOKUP(J12,Current!J19:BR79,1,FALSE)),N12)</f>
        <v>0</v>
      </c>
    </row>
    <row r="13" spans="1:70" hidden="1" x14ac:dyDescent="0.25">
      <c r="A13">
        <v>46689</v>
      </c>
      <c r="C13">
        <v>0</v>
      </c>
      <c r="D13" t="s">
        <v>95</v>
      </c>
      <c r="E13" t="s">
        <v>66</v>
      </c>
      <c r="F13" t="s">
        <v>80</v>
      </c>
      <c r="G13">
        <v>0</v>
      </c>
      <c r="H13" t="s">
        <v>81</v>
      </c>
      <c r="I13" t="s">
        <v>82</v>
      </c>
      <c r="J13" t="str">
        <f>MID($N13,FIND("1.",$N13),FIND("-",$N13)-FIND("1.",$N13)-1)</f>
        <v>1.0035</v>
      </c>
      <c r="K13" t="str">
        <f>MID($N13,FIND("NETIOS - ",$N13)+8,FIND(":",$N13,40)-FIND("NETIOS - ",$N13)-8)</f>
        <v xml:space="preserve"> Set the 'banner-text' for 'webauth banner</v>
      </c>
      <c r="L13" t="str">
        <f>MID($N13,FIND("1.",$N13),FIND("[",$N13)-1-FIND("1.",$N13)-1)</f>
        <v>1.0035 - NETIOS - Set the 'banner-text' for 'webauth banner</v>
      </c>
      <c r="M13" t="str">
        <f>MID($N13,FIND("[",$N13)+1,FIND("]",$N13)-FIND("[",$N13)-1)</f>
        <v>FAILED</v>
      </c>
      <c r="N13" t="s">
        <v>196</v>
      </c>
      <c r="O13" t="s">
        <v>77</v>
      </c>
      <c r="R13" t="s">
        <v>67</v>
      </c>
      <c r="T13" t="s">
        <v>68</v>
      </c>
      <c r="U13" t="s">
        <v>66</v>
      </c>
      <c r="X13" t="s">
        <v>69</v>
      </c>
      <c r="Y13" t="s">
        <v>84</v>
      </c>
      <c r="Z13">
        <v>0</v>
      </c>
      <c r="AA13">
        <v>0</v>
      </c>
      <c r="AD13">
        <v>0</v>
      </c>
      <c r="AE13">
        <v>0</v>
      </c>
      <c r="AI13" t="s">
        <v>148</v>
      </c>
      <c r="AJ13" t="s">
        <v>149</v>
      </c>
      <c r="AK13" t="s">
        <v>72</v>
      </c>
      <c r="AN13" t="s">
        <v>73</v>
      </c>
      <c r="AO13" t="s">
        <v>150</v>
      </c>
      <c r="AP13" t="s">
        <v>195</v>
      </c>
      <c r="AQ13" t="s">
        <v>152</v>
      </c>
      <c r="AS13" t="b">
        <v>1</v>
      </c>
      <c r="AT13" t="s">
        <v>65</v>
      </c>
      <c r="AU13">
        <v>0</v>
      </c>
      <c r="AV13">
        <v>0</v>
      </c>
      <c r="AX13">
        <v>39</v>
      </c>
      <c r="AY13" t="s">
        <v>79</v>
      </c>
      <c r="AZ13" t="s">
        <v>86</v>
      </c>
      <c r="BB13" t="s">
        <v>87</v>
      </c>
      <c r="BC13" t="s">
        <v>88</v>
      </c>
      <c r="BD13" t="b">
        <v>0</v>
      </c>
      <c r="BE13" t="b">
        <v>0</v>
      </c>
      <c r="BF13" t="b">
        <v>0</v>
      </c>
      <c r="BG13" t="b">
        <v>0</v>
      </c>
      <c r="BH13" t="b">
        <v>0</v>
      </c>
      <c r="BI13" t="b">
        <v>0</v>
      </c>
      <c r="BJ13" t="b">
        <v>0</v>
      </c>
      <c r="BK13" t="b">
        <v>0</v>
      </c>
      <c r="BL13" t="b">
        <v>0</v>
      </c>
      <c r="BM13" t="b">
        <v>0</v>
      </c>
      <c r="BN13" t="b">
        <v>0</v>
      </c>
      <c r="BO13" t="b">
        <v>0</v>
      </c>
      <c r="BP13" t="b">
        <v>0</v>
      </c>
      <c r="BR13" t="b">
        <f>IFERROR(IF(M13="PASSED",VLOOKUP(J13,Current!J21:BR81,1,FALSE)),N13)</f>
        <v>0</v>
      </c>
    </row>
    <row r="14" spans="1:70" hidden="1" x14ac:dyDescent="0.25">
      <c r="A14">
        <v>46689</v>
      </c>
      <c r="C14">
        <v>0</v>
      </c>
      <c r="D14" t="s">
        <v>95</v>
      </c>
      <c r="E14" t="s">
        <v>66</v>
      </c>
      <c r="F14" t="s">
        <v>80</v>
      </c>
      <c r="G14">
        <v>0</v>
      </c>
      <c r="H14" t="s">
        <v>81</v>
      </c>
      <c r="I14" t="s">
        <v>82</v>
      </c>
      <c r="J14" t="str">
        <f>MID($N14,FIND("1.",$N14),FIND("-",$N14)-FIND("1.",$N14)-1)</f>
        <v>1.0036</v>
      </c>
      <c r="K14" t="str">
        <f>MID($N14,FIND("NETIOS - ",$N14)+8,FIND(":",$N14,40)-FIND("NETIOS - ",$N14)-8)</f>
        <v xml:space="preserve"> Set the ACL for each 'snmp-server community</v>
      </c>
      <c r="L14" t="str">
        <f>MID($N14,FIND("1.",$N14),FIND("[",$N14)-1-FIND("1.",$N14)-1)</f>
        <v>1.0036 - NETIOS - Set the ACL for each 'snmp-server community</v>
      </c>
      <c r="M14" t="str">
        <f>MID($N14,FIND("[",$N14)+1,FIND("]",$N14)-FIND("[",$N14)-1)</f>
        <v>FAILED</v>
      </c>
      <c r="N14" t="s">
        <v>180</v>
      </c>
      <c r="O14" t="s">
        <v>77</v>
      </c>
      <c r="R14" t="s">
        <v>67</v>
      </c>
      <c r="T14" t="s">
        <v>68</v>
      </c>
      <c r="U14" t="s">
        <v>66</v>
      </c>
      <c r="X14" t="s">
        <v>69</v>
      </c>
      <c r="Y14" t="s">
        <v>84</v>
      </c>
      <c r="Z14">
        <v>0</v>
      </c>
      <c r="AA14">
        <v>0</v>
      </c>
      <c r="AD14">
        <v>0</v>
      </c>
      <c r="AE14">
        <v>0</v>
      </c>
      <c r="AI14" t="s">
        <v>148</v>
      </c>
      <c r="AJ14" t="s">
        <v>149</v>
      </c>
      <c r="AK14" t="s">
        <v>72</v>
      </c>
      <c r="AN14" t="s">
        <v>73</v>
      </c>
      <c r="AO14" t="s">
        <v>150</v>
      </c>
      <c r="AP14" t="s">
        <v>177</v>
      </c>
      <c r="AQ14" t="s">
        <v>152</v>
      </c>
      <c r="AS14" t="b">
        <v>1</v>
      </c>
      <c r="AT14" t="s">
        <v>65</v>
      </c>
      <c r="AU14">
        <v>0</v>
      </c>
      <c r="AV14">
        <v>0</v>
      </c>
      <c r="AX14">
        <v>39</v>
      </c>
      <c r="AY14" t="s">
        <v>79</v>
      </c>
      <c r="AZ14" t="s">
        <v>86</v>
      </c>
      <c r="BB14" t="s">
        <v>87</v>
      </c>
      <c r="BC14" t="s">
        <v>88</v>
      </c>
      <c r="BD14" t="b">
        <v>0</v>
      </c>
      <c r="BE14" t="b">
        <v>0</v>
      </c>
      <c r="BF14" t="b">
        <v>0</v>
      </c>
      <c r="BG14" t="b">
        <v>0</v>
      </c>
      <c r="BH14" t="b">
        <v>0</v>
      </c>
      <c r="BI14" t="b">
        <v>0</v>
      </c>
      <c r="BJ14" t="b">
        <v>0</v>
      </c>
      <c r="BK14" t="b">
        <v>0</v>
      </c>
      <c r="BL14" t="b">
        <v>0</v>
      </c>
      <c r="BM14" t="b">
        <v>0</v>
      </c>
      <c r="BN14" t="b">
        <v>0</v>
      </c>
      <c r="BO14" t="b">
        <v>0</v>
      </c>
      <c r="BP14" t="b">
        <v>0</v>
      </c>
      <c r="BR14" t="b">
        <f>IFERROR(IF(M14="PASSED",VLOOKUP(J14,Current!J23:BR83,1,FALSE)),N14)</f>
        <v>0</v>
      </c>
    </row>
    <row r="15" spans="1:70" x14ac:dyDescent="0.25">
      <c r="A15">
        <v>46689</v>
      </c>
      <c r="C15">
        <v>0</v>
      </c>
      <c r="D15" t="s">
        <v>65</v>
      </c>
      <c r="E15" t="s">
        <v>66</v>
      </c>
      <c r="F15" t="s">
        <v>80</v>
      </c>
      <c r="G15">
        <v>0</v>
      </c>
      <c r="H15" t="s">
        <v>81</v>
      </c>
      <c r="I15" t="s">
        <v>82</v>
      </c>
      <c r="J15" t="str">
        <f>MID($N15,FIND("1.",$N15),FIND("-",$N15)-FIND("1.",$N15)-1)</f>
        <v>1.0037</v>
      </c>
      <c r="K15" t="str">
        <f>MID($N15,FIND("NETIOS - ",$N15)+8,FIND(":",$N15,40)-FIND("NETIOS - ",$N15)-8)</f>
        <v xml:space="preserve"> Set the 'hostname: [PASSED]"
The hostname is used in prompts and default configuration filenames.
See Also</v>
      </c>
      <c r="L15" t="str">
        <f>MID($N15,FIND("1.",$N15),FIND("[",$N15)-1-FIND("1.",$N15)-1)</f>
        <v>1.0037 - NETIOS - Set the 'hostname</v>
      </c>
      <c r="M15" t="str">
        <f>MID($N15,FIND("[",$N15)+1,FIND("]",$N15)-FIND("[",$N15)-1)</f>
        <v>PASSED</v>
      </c>
      <c r="N15" t="s">
        <v>162</v>
      </c>
      <c r="O15" t="s">
        <v>77</v>
      </c>
      <c r="R15" t="s">
        <v>67</v>
      </c>
      <c r="T15" t="s">
        <v>68</v>
      </c>
      <c r="U15" t="s">
        <v>66</v>
      </c>
      <c r="X15" t="s">
        <v>69</v>
      </c>
      <c r="Y15" t="s">
        <v>84</v>
      </c>
      <c r="Z15">
        <v>0</v>
      </c>
      <c r="AA15">
        <v>0</v>
      </c>
      <c r="AD15">
        <v>0</v>
      </c>
      <c r="AE15">
        <v>0</v>
      </c>
      <c r="AI15" t="s">
        <v>148</v>
      </c>
      <c r="AJ15" t="s">
        <v>149</v>
      </c>
      <c r="AK15" t="s">
        <v>72</v>
      </c>
      <c r="AN15" t="s">
        <v>73</v>
      </c>
      <c r="AO15" t="s">
        <v>150</v>
      </c>
      <c r="AP15" t="s">
        <v>163</v>
      </c>
      <c r="AQ15" t="s">
        <v>152</v>
      </c>
      <c r="AS15" t="b">
        <v>1</v>
      </c>
      <c r="AT15" t="s">
        <v>65</v>
      </c>
      <c r="AU15">
        <v>0</v>
      </c>
      <c r="AV15">
        <v>0</v>
      </c>
      <c r="AX15">
        <v>39</v>
      </c>
      <c r="AY15" t="s">
        <v>79</v>
      </c>
      <c r="AZ15" t="s">
        <v>86</v>
      </c>
      <c r="BB15" t="s">
        <v>87</v>
      </c>
      <c r="BC15" t="s">
        <v>88</v>
      </c>
      <c r="BD15" t="b">
        <v>0</v>
      </c>
      <c r="BE15" t="b">
        <v>0</v>
      </c>
      <c r="BF15" t="b">
        <v>0</v>
      </c>
      <c r="BG15" t="b">
        <v>0</v>
      </c>
      <c r="BH15" t="b">
        <v>0</v>
      </c>
      <c r="BI15" t="b">
        <v>0</v>
      </c>
      <c r="BJ15" t="b">
        <v>0</v>
      </c>
      <c r="BK15" t="b">
        <v>0</v>
      </c>
      <c r="BL15" t="b">
        <v>0</v>
      </c>
      <c r="BM15" t="b">
        <v>0</v>
      </c>
      <c r="BN15" t="b">
        <v>0</v>
      </c>
      <c r="BO15" t="b">
        <v>0</v>
      </c>
      <c r="BP15" t="b">
        <v>0</v>
      </c>
      <c r="BR15" t="str">
        <f>IFERROR(IF(M15="PASSED",VLOOKUP(J15,Current!J25:BR85,1,FALSE)),N15)</f>
        <v>"1.0037 - NETIOS - Set the 'hostname: [PASSED]"
The hostname is used in prompts and default configuration filenames.
See Also:
See HTH Policies and Standards
Reference:
NIST 800-53r5|CM-6
Policy Value:
CONFIG_CHECK_NOT
item: hostname .+
regex: hostname Router$
Actual Value:
hostname HTH2-IPFLEX-HTH2-CUBE1.hilltop.systems</v>
      </c>
    </row>
    <row r="16" spans="1:70" hidden="1" x14ac:dyDescent="0.25">
      <c r="A16">
        <v>46689</v>
      </c>
      <c r="C16">
        <v>0</v>
      </c>
      <c r="D16" t="s">
        <v>95</v>
      </c>
      <c r="E16" t="s">
        <v>66</v>
      </c>
      <c r="F16" t="s">
        <v>80</v>
      </c>
      <c r="G16">
        <v>0</v>
      </c>
      <c r="H16" t="s">
        <v>81</v>
      </c>
      <c r="I16" t="s">
        <v>82</v>
      </c>
      <c r="J16" t="str">
        <f>MID($N16,FIND("1.",$N16),FIND("-",$N16)-FIND("1.",$N16)-1)</f>
        <v>1.0038</v>
      </c>
      <c r="K16" t="str">
        <f>MID($N16,FIND("NETIOS - ",$N16)+8,FIND(":",$N16,40)-FIND("NETIOS - ",$N16)-8)</f>
        <v xml:space="preserve"> Set 'modulus' to greater than or equal to 2048 for 'crypto key generate rsa</v>
      </c>
      <c r="L16" t="str">
        <f>MID($N16,FIND("1.",$N16),FIND("[",$N16)-1-FIND("1.",$N16)-1)</f>
        <v>1.0038 - NETIOS - Set 'modulus' to greater than or equal to 2048 for 'crypto key generate rsa</v>
      </c>
      <c r="M16" t="str">
        <f>MID($N16,FIND("[",$N16)+1,FIND("]",$N16)-FIND("[",$N16)-1)</f>
        <v>FAILED</v>
      </c>
      <c r="N16" t="s">
        <v>172</v>
      </c>
      <c r="O16" t="s">
        <v>77</v>
      </c>
      <c r="R16" t="s">
        <v>67</v>
      </c>
      <c r="T16" t="s">
        <v>68</v>
      </c>
      <c r="U16" t="s">
        <v>66</v>
      </c>
      <c r="X16" t="s">
        <v>69</v>
      </c>
      <c r="Y16" t="s">
        <v>84</v>
      </c>
      <c r="Z16">
        <v>0</v>
      </c>
      <c r="AA16">
        <v>0</v>
      </c>
      <c r="AD16">
        <v>0</v>
      </c>
      <c r="AE16">
        <v>0</v>
      </c>
      <c r="AI16" t="s">
        <v>148</v>
      </c>
      <c r="AJ16" t="s">
        <v>149</v>
      </c>
      <c r="AK16" t="s">
        <v>72</v>
      </c>
      <c r="AN16" t="s">
        <v>73</v>
      </c>
      <c r="AO16" t="s">
        <v>150</v>
      </c>
      <c r="AP16" t="s">
        <v>173</v>
      </c>
      <c r="AQ16" t="s">
        <v>152</v>
      </c>
      <c r="AS16" t="b">
        <v>1</v>
      </c>
      <c r="AT16" t="s">
        <v>65</v>
      </c>
      <c r="AU16">
        <v>0</v>
      </c>
      <c r="AV16">
        <v>0</v>
      </c>
      <c r="AX16">
        <v>39</v>
      </c>
      <c r="AY16" t="s">
        <v>79</v>
      </c>
      <c r="AZ16" t="s">
        <v>86</v>
      </c>
      <c r="BB16" t="s">
        <v>87</v>
      </c>
      <c r="BC16" t="s">
        <v>88</v>
      </c>
      <c r="BD16" t="b">
        <v>0</v>
      </c>
      <c r="BE16" t="b">
        <v>0</v>
      </c>
      <c r="BF16" t="b">
        <v>0</v>
      </c>
      <c r="BG16" t="b">
        <v>0</v>
      </c>
      <c r="BH16" t="b">
        <v>0</v>
      </c>
      <c r="BI16" t="b">
        <v>0</v>
      </c>
      <c r="BJ16" t="b">
        <v>0</v>
      </c>
      <c r="BK16" t="b">
        <v>0</v>
      </c>
      <c r="BL16" t="b">
        <v>0</v>
      </c>
      <c r="BM16" t="b">
        <v>0</v>
      </c>
      <c r="BN16" t="b">
        <v>0</v>
      </c>
      <c r="BO16" t="b">
        <v>0</v>
      </c>
      <c r="BP16" t="b">
        <v>0</v>
      </c>
      <c r="BR16" t="b">
        <f>IFERROR(IF(M16="PASSED",VLOOKUP(J16,Current!J27:BR87,1,FALSE)),N16)</f>
        <v>0</v>
      </c>
    </row>
    <row r="17" spans="1:70" hidden="1" x14ac:dyDescent="0.25">
      <c r="A17">
        <v>46689</v>
      </c>
      <c r="C17">
        <v>0</v>
      </c>
      <c r="D17" t="s">
        <v>95</v>
      </c>
      <c r="E17" t="s">
        <v>66</v>
      </c>
      <c r="F17" t="s">
        <v>80</v>
      </c>
      <c r="G17">
        <v>0</v>
      </c>
      <c r="H17" t="s">
        <v>81</v>
      </c>
      <c r="I17" t="s">
        <v>82</v>
      </c>
      <c r="J17" t="str">
        <f>MID($N17,FIND("1.",$N17),FIND("-",$N17)-FIND("1.",$N17)-1)</f>
        <v>1.0039</v>
      </c>
      <c r="K17" t="str">
        <f>MID($N17,FIND("NETIOS - ",$N17)+8,FIND(":",$N17,40)-FIND("NETIOS - ",$N17)-8)</f>
        <v xml:space="preserve"> Set 'seconds' for 'ip ssh timeout' for 60 seconds or less</v>
      </c>
      <c r="L17" t="str">
        <f>MID($N17,FIND("1.",$N17),FIND("[",$N17)-1-FIND("1.",$N17)-1)</f>
        <v>1.0039 - NETIOS - Set 'seconds' for 'ip ssh timeout' for 60 seconds or less</v>
      </c>
      <c r="M17" t="str">
        <f>MID($N17,FIND("[",$N17)+1,FIND("]",$N17)-FIND("[",$N17)-1)</f>
        <v>FAILED</v>
      </c>
      <c r="N17" t="s">
        <v>188</v>
      </c>
      <c r="O17" t="s">
        <v>77</v>
      </c>
      <c r="R17" t="s">
        <v>67</v>
      </c>
      <c r="T17" t="s">
        <v>68</v>
      </c>
      <c r="U17" t="s">
        <v>66</v>
      </c>
      <c r="X17" t="s">
        <v>69</v>
      </c>
      <c r="Y17" t="s">
        <v>84</v>
      </c>
      <c r="Z17">
        <v>0</v>
      </c>
      <c r="AA17">
        <v>0</v>
      </c>
      <c r="AD17">
        <v>0</v>
      </c>
      <c r="AE17">
        <v>0</v>
      </c>
      <c r="AI17" t="s">
        <v>148</v>
      </c>
      <c r="AJ17" t="s">
        <v>149</v>
      </c>
      <c r="AK17" t="s">
        <v>72</v>
      </c>
      <c r="AN17" t="s">
        <v>73</v>
      </c>
      <c r="AO17" t="s">
        <v>150</v>
      </c>
      <c r="AP17" t="s">
        <v>153</v>
      </c>
      <c r="AQ17" t="s">
        <v>152</v>
      </c>
      <c r="AS17" t="b">
        <v>1</v>
      </c>
      <c r="AT17" t="s">
        <v>65</v>
      </c>
      <c r="AU17">
        <v>0</v>
      </c>
      <c r="AV17">
        <v>0</v>
      </c>
      <c r="AX17">
        <v>39</v>
      </c>
      <c r="AY17" t="s">
        <v>79</v>
      </c>
      <c r="AZ17" t="s">
        <v>86</v>
      </c>
      <c r="BB17" t="s">
        <v>87</v>
      </c>
      <c r="BC17" t="s">
        <v>88</v>
      </c>
      <c r="BD17" t="b">
        <v>0</v>
      </c>
      <c r="BE17" t="b">
        <v>0</v>
      </c>
      <c r="BF17" t="b">
        <v>0</v>
      </c>
      <c r="BG17" t="b">
        <v>0</v>
      </c>
      <c r="BH17" t="b">
        <v>0</v>
      </c>
      <c r="BI17" t="b">
        <v>0</v>
      </c>
      <c r="BJ17" t="b">
        <v>0</v>
      </c>
      <c r="BK17" t="b">
        <v>0</v>
      </c>
      <c r="BL17" t="b">
        <v>0</v>
      </c>
      <c r="BM17" t="b">
        <v>0</v>
      </c>
      <c r="BN17" t="b">
        <v>0</v>
      </c>
      <c r="BO17" t="b">
        <v>0</v>
      </c>
      <c r="BP17" t="b">
        <v>0</v>
      </c>
      <c r="BR17" t="b">
        <f>IFERROR(IF(M17="PASSED",VLOOKUP(J17,Current!J29:BR89,1,FALSE)),N17)</f>
        <v>0</v>
      </c>
    </row>
    <row r="18" spans="1:70" hidden="1" x14ac:dyDescent="0.25">
      <c r="A18">
        <v>46689</v>
      </c>
      <c r="C18">
        <v>0</v>
      </c>
      <c r="D18" t="s">
        <v>95</v>
      </c>
      <c r="E18" t="s">
        <v>66</v>
      </c>
      <c r="F18" t="s">
        <v>80</v>
      </c>
      <c r="G18">
        <v>0</v>
      </c>
      <c r="H18" t="s">
        <v>81</v>
      </c>
      <c r="I18" t="s">
        <v>82</v>
      </c>
      <c r="J18" t="str">
        <f>MID($N18,FIND("1.",$N18),FIND("-",$N18)-FIND("1.",$N18)-1)</f>
        <v>1.0040</v>
      </c>
      <c r="K18" t="str">
        <f>MID($N18,FIND("NETIOS - ",$N18)+8,FIND(":",$N18,40)-FIND("NETIOS - ",$N18)-8)</f>
        <v xml:space="preserve"> Set maximum value for 'ip ssh authentication-retries</v>
      </c>
      <c r="L18" t="str">
        <f>MID($N18,FIND("1.",$N18),FIND("[",$N18)-1-FIND("1.",$N18)-1)</f>
        <v>1.0040 - NETIOS - Set maximum value for 'ip ssh authentication-retries</v>
      </c>
      <c r="M18" t="str">
        <f>MID($N18,FIND("[",$N18)+1,FIND("]",$N18)-FIND("[",$N18)-1)</f>
        <v>FAILED</v>
      </c>
      <c r="N18" t="s">
        <v>207</v>
      </c>
      <c r="O18" t="s">
        <v>77</v>
      </c>
      <c r="R18" t="s">
        <v>67</v>
      </c>
      <c r="T18" t="s">
        <v>68</v>
      </c>
      <c r="U18" t="s">
        <v>66</v>
      </c>
      <c r="X18" t="s">
        <v>69</v>
      </c>
      <c r="Y18" t="s">
        <v>84</v>
      </c>
      <c r="Z18">
        <v>0</v>
      </c>
      <c r="AA18">
        <v>0</v>
      </c>
      <c r="AD18">
        <v>0</v>
      </c>
      <c r="AE18">
        <v>0</v>
      </c>
      <c r="AI18" t="s">
        <v>148</v>
      </c>
      <c r="AJ18" t="s">
        <v>149</v>
      </c>
      <c r="AK18" t="s">
        <v>72</v>
      </c>
      <c r="AN18" t="s">
        <v>73</v>
      </c>
      <c r="AO18" t="s">
        <v>150</v>
      </c>
      <c r="AP18" t="s">
        <v>208</v>
      </c>
      <c r="AQ18" t="s">
        <v>152</v>
      </c>
      <c r="AS18" t="b">
        <v>1</v>
      </c>
      <c r="AT18" t="s">
        <v>65</v>
      </c>
      <c r="AU18">
        <v>0</v>
      </c>
      <c r="AV18">
        <v>0</v>
      </c>
      <c r="AX18">
        <v>39</v>
      </c>
      <c r="AY18" t="s">
        <v>79</v>
      </c>
      <c r="AZ18" t="s">
        <v>86</v>
      </c>
      <c r="BB18" t="s">
        <v>87</v>
      </c>
      <c r="BC18" t="s">
        <v>88</v>
      </c>
      <c r="BD18" t="b">
        <v>0</v>
      </c>
      <c r="BE18" t="b">
        <v>0</v>
      </c>
      <c r="BF18" t="b">
        <v>0</v>
      </c>
      <c r="BG18" t="b">
        <v>0</v>
      </c>
      <c r="BH18" t="b">
        <v>0</v>
      </c>
      <c r="BI18" t="b">
        <v>0</v>
      </c>
      <c r="BJ18" t="b">
        <v>0</v>
      </c>
      <c r="BK18" t="b">
        <v>0</v>
      </c>
      <c r="BL18" t="b">
        <v>0</v>
      </c>
      <c r="BM18" t="b">
        <v>0</v>
      </c>
      <c r="BN18" t="b">
        <v>0</v>
      </c>
      <c r="BO18" t="b">
        <v>0</v>
      </c>
      <c r="BP18" t="b">
        <v>0</v>
      </c>
      <c r="BR18" t="b">
        <f>IFERROR(IF(M18="PASSED",VLOOKUP(J18,Current!J31:BR91,1,FALSE)),N18)</f>
        <v>0</v>
      </c>
    </row>
    <row r="19" spans="1:70" hidden="1" x14ac:dyDescent="0.25">
      <c r="A19">
        <v>46689</v>
      </c>
      <c r="C19">
        <v>0</v>
      </c>
      <c r="D19" t="s">
        <v>95</v>
      </c>
      <c r="E19" t="s">
        <v>118</v>
      </c>
      <c r="F19" t="s">
        <v>80</v>
      </c>
      <c r="G19">
        <v>0</v>
      </c>
      <c r="H19" t="s">
        <v>81</v>
      </c>
      <c r="I19" t="s">
        <v>82</v>
      </c>
      <c r="J19" t="str">
        <f>MID($N19,FIND("1.",$N19),FIND("-",$N19)-FIND("1.",$N19)-1)</f>
        <v>1.0041</v>
      </c>
      <c r="K19" t="str">
        <f>MID($N19,FIND("NETIOS - ",$N19)+8,FIND(":",$N19,40)-FIND("NETIOS - ",$N19)-8)</f>
        <v xml:space="preserve"> Set 'no ip bootp server</v>
      </c>
      <c r="L19" t="str">
        <f>MID($N19,FIND("1.",$N19),FIND("[",$N19)-1-FIND("1.",$N19)-1)</f>
        <v>1.0041 - NETIOS - Set 'no ip bootp server</v>
      </c>
      <c r="M19" t="str">
        <f>MID($N19,FIND("[",$N19)+1,FIND("]",$N19)-FIND("[",$N19)-1)</f>
        <v>FAILED</v>
      </c>
      <c r="N19" t="s">
        <v>230</v>
      </c>
      <c r="O19" t="s">
        <v>77</v>
      </c>
      <c r="R19" t="s">
        <v>119</v>
      </c>
      <c r="T19" t="s">
        <v>120</v>
      </c>
      <c r="U19" t="s">
        <v>118</v>
      </c>
      <c r="X19" t="s">
        <v>121</v>
      </c>
      <c r="Y19" t="s">
        <v>84</v>
      </c>
      <c r="Z19">
        <v>0</v>
      </c>
      <c r="AA19">
        <v>0</v>
      </c>
      <c r="AD19">
        <v>0</v>
      </c>
      <c r="AE19">
        <v>0</v>
      </c>
      <c r="AI19" t="s">
        <v>148</v>
      </c>
      <c r="AJ19" t="s">
        <v>149</v>
      </c>
      <c r="AK19" t="s">
        <v>72</v>
      </c>
      <c r="AN19" t="s">
        <v>73</v>
      </c>
      <c r="AO19" t="s">
        <v>150</v>
      </c>
      <c r="AP19" t="s">
        <v>231</v>
      </c>
      <c r="AQ19" t="s">
        <v>221</v>
      </c>
      <c r="AS19" t="b">
        <v>1</v>
      </c>
      <c r="AT19" t="s">
        <v>65</v>
      </c>
      <c r="AU19">
        <v>0</v>
      </c>
      <c r="AV19">
        <v>0</v>
      </c>
      <c r="AX19">
        <v>39</v>
      </c>
      <c r="AY19" t="s">
        <v>79</v>
      </c>
      <c r="AZ19" t="s">
        <v>86</v>
      </c>
      <c r="BB19" t="s">
        <v>87</v>
      </c>
      <c r="BC19" t="s">
        <v>88</v>
      </c>
      <c r="BD19" t="b">
        <v>0</v>
      </c>
      <c r="BE19" t="b">
        <v>0</v>
      </c>
      <c r="BF19" t="b">
        <v>0</v>
      </c>
      <c r="BG19" t="b">
        <v>0</v>
      </c>
      <c r="BH19" t="b">
        <v>0</v>
      </c>
      <c r="BI19" t="b">
        <v>0</v>
      </c>
      <c r="BJ19" t="b">
        <v>0</v>
      </c>
      <c r="BK19" t="b">
        <v>0</v>
      </c>
      <c r="BL19" t="b">
        <v>0</v>
      </c>
      <c r="BM19" t="b">
        <v>0</v>
      </c>
      <c r="BN19" t="b">
        <v>0</v>
      </c>
      <c r="BO19" t="b">
        <v>0</v>
      </c>
      <c r="BP19" t="b">
        <v>0</v>
      </c>
      <c r="BR19" t="b">
        <f>IFERROR(IF(M19="PASSED",VLOOKUP(J19,Current!J33:BR93,1,FALSE)),N19)</f>
        <v>0</v>
      </c>
    </row>
    <row r="20" spans="1:70" x14ac:dyDescent="0.25">
      <c r="A20">
        <v>46689</v>
      </c>
      <c r="C20">
        <v>0</v>
      </c>
      <c r="D20" t="s">
        <v>65</v>
      </c>
      <c r="E20" t="s">
        <v>66</v>
      </c>
      <c r="F20" t="s">
        <v>80</v>
      </c>
      <c r="G20">
        <v>0</v>
      </c>
      <c r="H20" t="s">
        <v>81</v>
      </c>
      <c r="I20" t="s">
        <v>82</v>
      </c>
      <c r="J20" t="str">
        <f>MID($N20,FIND("1.",$N20),FIND("-",$N20)-FIND("1.",$N20)-1)</f>
        <v>1.0041</v>
      </c>
      <c r="K20" t="str">
        <f>MID($N20,FIND("NETIOS - ",$N20)+8,FIND(":",$N20,40)-FIND("NETIOS - ",$N20)-8)</f>
        <v xml:space="preserve"> Set 'no ip bootp server</v>
      </c>
      <c r="L20" t="str">
        <f>MID($N20,FIND("1.",$N20),FIND("[",$N20)-1-FIND("1.",$N20)-1)</f>
        <v>1.0041 - NETIOS - Set 'no ip bootp server</v>
      </c>
      <c r="M20" t="str">
        <f>MID($N20,FIND("[",$N20)+1,FIND("]",$N20)-FIND("[",$N20)-1)</f>
        <v>PASSED</v>
      </c>
      <c r="N20" t="s">
        <v>184</v>
      </c>
      <c r="O20" t="s">
        <v>77</v>
      </c>
      <c r="R20" t="s">
        <v>67</v>
      </c>
      <c r="T20" t="s">
        <v>68</v>
      </c>
      <c r="U20" t="s">
        <v>66</v>
      </c>
      <c r="X20" t="s">
        <v>69</v>
      </c>
      <c r="Y20" t="s">
        <v>84</v>
      </c>
      <c r="Z20">
        <v>0</v>
      </c>
      <c r="AA20">
        <v>0</v>
      </c>
      <c r="AD20">
        <v>0</v>
      </c>
      <c r="AE20">
        <v>0</v>
      </c>
      <c r="AI20" t="s">
        <v>148</v>
      </c>
      <c r="AJ20" t="s">
        <v>149</v>
      </c>
      <c r="AK20" t="s">
        <v>72</v>
      </c>
      <c r="AN20" t="s">
        <v>73</v>
      </c>
      <c r="AO20" t="s">
        <v>150</v>
      </c>
      <c r="AP20" t="s">
        <v>182</v>
      </c>
      <c r="AQ20" t="s">
        <v>152</v>
      </c>
      <c r="AS20" t="b">
        <v>1</v>
      </c>
      <c r="AT20" t="s">
        <v>65</v>
      </c>
      <c r="AU20">
        <v>0</v>
      </c>
      <c r="AV20">
        <v>0</v>
      </c>
      <c r="AX20">
        <v>39</v>
      </c>
      <c r="AY20" t="s">
        <v>79</v>
      </c>
      <c r="AZ20" t="s">
        <v>86</v>
      </c>
      <c r="BB20" t="s">
        <v>87</v>
      </c>
      <c r="BC20" t="s">
        <v>88</v>
      </c>
      <c r="BD20" t="b">
        <v>0</v>
      </c>
      <c r="BE20" t="b">
        <v>0</v>
      </c>
      <c r="BF20" t="b">
        <v>0</v>
      </c>
      <c r="BG20" t="b">
        <v>0</v>
      </c>
      <c r="BH20" t="b">
        <v>0</v>
      </c>
      <c r="BI20" t="b">
        <v>0</v>
      </c>
      <c r="BJ20" t="b">
        <v>0</v>
      </c>
      <c r="BK20" t="b">
        <v>0</v>
      </c>
      <c r="BL20" t="b">
        <v>0</v>
      </c>
      <c r="BM20" t="b">
        <v>0</v>
      </c>
      <c r="BN20" t="b">
        <v>0</v>
      </c>
      <c r="BO20" t="b">
        <v>0</v>
      </c>
      <c r="BP20" t="b">
        <v>0</v>
      </c>
      <c r="BR20" t="str">
        <f>IFERROR(IF(M20="PASSED",VLOOKUP(J20,Current!J34:BR94,1,FALSE)),N20)</f>
        <v>"1.0041 - NETIOS - Set 'no ip bootp server: [PASSED]"
Disable the Bootstrap Protocol (BOOTP) service on your routing device.
See Also:
See HTH Policies and Standards
Reference:
NIST 800-53r5|CM-7
Policy Value:
CONFIG_CHECK
item: no ip bootp server
Actual Value:
no ip bootp server &lt;----</v>
      </c>
    </row>
    <row r="21" spans="1:70" x14ac:dyDescent="0.25">
      <c r="A21">
        <v>46689</v>
      </c>
      <c r="C21">
        <v>0</v>
      </c>
      <c r="D21" t="s">
        <v>65</v>
      </c>
      <c r="E21" t="s">
        <v>66</v>
      </c>
      <c r="F21" t="s">
        <v>80</v>
      </c>
      <c r="G21">
        <v>0</v>
      </c>
      <c r="H21" t="s">
        <v>81</v>
      </c>
      <c r="I21" t="s">
        <v>82</v>
      </c>
      <c r="J21" t="str">
        <f>MID($N21,FIND("1.",$N21),FIND("-",$N21)-FIND("1.",$N21)-1)</f>
        <v>1.0042</v>
      </c>
      <c r="K21" t="str">
        <f>MID($N21,FIND("NETIOS - ",$N21)+8,FIND(":",$N21,40)-FIND("NETIOS - ",$N21)-8)</f>
        <v xml:space="preserve"> Set 'no service pad: [PASSED]"
Disable X.
See Also</v>
      </c>
      <c r="L21" t="str">
        <f>MID($N21,FIND("1.",$N21),FIND("[",$N21)-1-FIND("1.",$N21)-1)</f>
        <v>1.0042 - NETIOS - Set 'no service pad</v>
      </c>
      <c r="M21" t="str">
        <f>MID($N21,FIND("[",$N21)+1,FIND("]",$N21)-FIND("[",$N21)-1)</f>
        <v>PASSED</v>
      </c>
      <c r="N21" t="s">
        <v>167</v>
      </c>
      <c r="O21" t="s">
        <v>77</v>
      </c>
      <c r="R21" t="s">
        <v>67</v>
      </c>
      <c r="T21" t="s">
        <v>68</v>
      </c>
      <c r="U21" t="s">
        <v>66</v>
      </c>
      <c r="X21" t="s">
        <v>69</v>
      </c>
      <c r="Y21" t="s">
        <v>84</v>
      </c>
      <c r="Z21">
        <v>0</v>
      </c>
      <c r="AA21">
        <v>0</v>
      </c>
      <c r="AD21">
        <v>0</v>
      </c>
      <c r="AE21">
        <v>0</v>
      </c>
      <c r="AI21" t="s">
        <v>148</v>
      </c>
      <c r="AJ21" t="s">
        <v>149</v>
      </c>
      <c r="AK21" t="s">
        <v>72</v>
      </c>
      <c r="AN21" t="s">
        <v>73</v>
      </c>
      <c r="AO21" t="s">
        <v>150</v>
      </c>
      <c r="AP21" t="s">
        <v>168</v>
      </c>
      <c r="AQ21" t="s">
        <v>152</v>
      </c>
      <c r="AS21" t="b">
        <v>1</v>
      </c>
      <c r="AT21" t="s">
        <v>65</v>
      </c>
      <c r="AU21">
        <v>0</v>
      </c>
      <c r="AV21">
        <v>0</v>
      </c>
      <c r="AX21">
        <v>39</v>
      </c>
      <c r="AY21" t="s">
        <v>79</v>
      </c>
      <c r="AZ21" t="s">
        <v>86</v>
      </c>
      <c r="BB21" t="s">
        <v>87</v>
      </c>
      <c r="BC21" t="s">
        <v>88</v>
      </c>
      <c r="BD21" t="b">
        <v>0</v>
      </c>
      <c r="BE21" t="b">
        <v>0</v>
      </c>
      <c r="BF21" t="b">
        <v>0</v>
      </c>
      <c r="BG21" t="b">
        <v>0</v>
      </c>
      <c r="BH21" t="b">
        <v>0</v>
      </c>
      <c r="BI21" t="b">
        <v>0</v>
      </c>
      <c r="BJ21" t="b">
        <v>0</v>
      </c>
      <c r="BK21" t="b">
        <v>0</v>
      </c>
      <c r="BL21" t="b">
        <v>0</v>
      </c>
      <c r="BM21" t="b">
        <v>0</v>
      </c>
      <c r="BN21" t="b">
        <v>0</v>
      </c>
      <c r="BO21" t="b">
        <v>0</v>
      </c>
      <c r="BP21" t="b">
        <v>0</v>
      </c>
      <c r="BR21" t="str">
        <f>IFERROR(IF(M21="PASSED",VLOOKUP(J21,Current!J35:BR95,1,FALSE)),N21)</f>
        <v>"1.0042 - NETIOS - Set 'no service pad: [PASSED]"
Disable X.
See Also:
See HTH Policies and Standards
Reference:
NIST 800-53r5|CM-7
Policy Value:
CONFIG_CHECK
item: no service pad
Actual Value:
no service pad &lt;----</v>
      </c>
    </row>
    <row r="22" spans="1:70" x14ac:dyDescent="0.25">
      <c r="A22">
        <v>46689</v>
      </c>
      <c r="C22">
        <v>0</v>
      </c>
      <c r="D22" t="s">
        <v>65</v>
      </c>
      <c r="E22" t="s">
        <v>66</v>
      </c>
      <c r="F22" t="s">
        <v>80</v>
      </c>
      <c r="G22">
        <v>0</v>
      </c>
      <c r="H22" t="s">
        <v>81</v>
      </c>
      <c r="I22" t="s">
        <v>82</v>
      </c>
      <c r="J22" t="str">
        <f>MID($N22,FIND("1.",$N22),FIND("-",$N22)-FIND("1.",$N22)-1)</f>
        <v>1.0043</v>
      </c>
      <c r="K22" t="str">
        <f>MID($N22,FIND("NETIOS - ",$N22)+8,FIND(":",$N22,40)-FIND("NETIOS - ",$N22)-8)</f>
        <v xml:space="preserve"> Set 'logging enable: [PASSED]"
Enable logging of system messages.
See Also</v>
      </c>
      <c r="L22" t="str">
        <f>MID($N22,FIND("1.",$N22),FIND("[",$N22)-1-FIND("1.",$N22)-1)</f>
        <v>1.0043 - NETIOS - Set 'logging enable</v>
      </c>
      <c r="M22" t="str">
        <f>MID($N22,FIND("[",$N22)+1,FIND("]",$N22)-FIND("[",$N22)-1)</f>
        <v>PASSED</v>
      </c>
      <c r="N22" t="s">
        <v>198</v>
      </c>
      <c r="O22" t="s">
        <v>77</v>
      </c>
      <c r="R22" t="s">
        <v>67</v>
      </c>
      <c r="T22" t="s">
        <v>68</v>
      </c>
      <c r="U22" t="s">
        <v>66</v>
      </c>
      <c r="X22" t="s">
        <v>69</v>
      </c>
      <c r="Y22" t="s">
        <v>84</v>
      </c>
      <c r="Z22">
        <v>0</v>
      </c>
      <c r="AA22">
        <v>0</v>
      </c>
      <c r="AD22">
        <v>0</v>
      </c>
      <c r="AE22">
        <v>0</v>
      </c>
      <c r="AI22" t="s">
        <v>148</v>
      </c>
      <c r="AJ22" t="s">
        <v>149</v>
      </c>
      <c r="AK22" t="s">
        <v>72</v>
      </c>
      <c r="AN22" t="s">
        <v>73</v>
      </c>
      <c r="AO22" t="s">
        <v>150</v>
      </c>
      <c r="AP22" t="s">
        <v>199</v>
      </c>
      <c r="AQ22" t="s">
        <v>152</v>
      </c>
      <c r="AS22" t="b">
        <v>1</v>
      </c>
      <c r="AT22" t="s">
        <v>65</v>
      </c>
      <c r="AU22">
        <v>0</v>
      </c>
      <c r="AV22">
        <v>0</v>
      </c>
      <c r="AX22">
        <v>39</v>
      </c>
      <c r="AY22" t="s">
        <v>79</v>
      </c>
      <c r="AZ22" t="s">
        <v>86</v>
      </c>
      <c r="BB22" t="s">
        <v>87</v>
      </c>
      <c r="BC22" t="s">
        <v>88</v>
      </c>
      <c r="BD22" t="b">
        <v>0</v>
      </c>
      <c r="BE22" t="b">
        <v>0</v>
      </c>
      <c r="BF22" t="b">
        <v>0</v>
      </c>
      <c r="BG22" t="b">
        <v>0</v>
      </c>
      <c r="BH22" t="b">
        <v>0</v>
      </c>
      <c r="BI22" t="b">
        <v>0</v>
      </c>
      <c r="BJ22" t="b">
        <v>0</v>
      </c>
      <c r="BK22" t="b">
        <v>0</v>
      </c>
      <c r="BL22" t="b">
        <v>0</v>
      </c>
      <c r="BM22" t="b">
        <v>0</v>
      </c>
      <c r="BN22" t="b">
        <v>0</v>
      </c>
      <c r="BO22" t="b">
        <v>0</v>
      </c>
      <c r="BP22" t="b">
        <v>0</v>
      </c>
      <c r="BR22" t="str">
        <f>IFERROR(IF(M22="PASSED",VLOOKUP(J22,Current!J37:BR97,1,FALSE)),N22)</f>
        <v>"1.0043 - NETIOS - Set 'logging enable: [PASSED]"
Enable logging of system messages.
See Also:
See HTH Policies and Standards
Reference:
NIST 800-53r5|AU-3 AU-3(1) AU-7 AU-12
Policy Value:
CONFIG_CHECK
item: logging host
Actual Value:
logging host 10.10.77.20 &lt;----</v>
      </c>
    </row>
    <row r="23" spans="1:70" hidden="1" x14ac:dyDescent="0.25">
      <c r="A23">
        <v>46689</v>
      </c>
      <c r="C23">
        <v>0</v>
      </c>
      <c r="D23" t="s">
        <v>95</v>
      </c>
      <c r="E23" t="s">
        <v>118</v>
      </c>
      <c r="F23" t="s">
        <v>80</v>
      </c>
      <c r="G23">
        <v>0</v>
      </c>
      <c r="H23" t="s">
        <v>81</v>
      </c>
      <c r="I23" t="s">
        <v>82</v>
      </c>
      <c r="J23" t="str">
        <f>MID($N23,FIND("1.",$N23),FIND("-",$N23)-FIND("1.",$N23)-1)</f>
        <v>1.0044</v>
      </c>
      <c r="K23" t="str">
        <f>MID($N23,FIND("NETIOS - ",$N23)+8,FIND(":",$N23,40)-FIND("NETIOS - ",$N23)-8)</f>
        <v xml:space="preserve"> Set 'buffer size' for 'logging buffered</v>
      </c>
      <c r="L23" t="str">
        <f>MID($N23,FIND("1.",$N23),FIND("[",$N23)-1-FIND("1.",$N23)-1)</f>
        <v>1.0044 - NETIOS - Set 'buffer size' for 'logging buffered</v>
      </c>
      <c r="M23" t="str">
        <f>MID($N23,FIND("[",$N23)+1,FIND("]",$N23)-FIND("[",$N23)-1)</f>
        <v>FAILED</v>
      </c>
      <c r="N23" t="s">
        <v>227</v>
      </c>
      <c r="O23" t="s">
        <v>77</v>
      </c>
      <c r="R23" t="s">
        <v>119</v>
      </c>
      <c r="T23" t="s">
        <v>120</v>
      </c>
      <c r="U23" t="s">
        <v>118</v>
      </c>
      <c r="X23" t="s">
        <v>121</v>
      </c>
      <c r="Y23" t="s">
        <v>84</v>
      </c>
      <c r="Z23">
        <v>0</v>
      </c>
      <c r="AA23">
        <v>0</v>
      </c>
      <c r="AD23">
        <v>0</v>
      </c>
      <c r="AE23">
        <v>0</v>
      </c>
      <c r="AI23" t="s">
        <v>148</v>
      </c>
      <c r="AJ23" t="s">
        <v>149</v>
      </c>
      <c r="AK23" t="s">
        <v>72</v>
      </c>
      <c r="AN23" t="s">
        <v>73</v>
      </c>
      <c r="AO23" t="s">
        <v>150</v>
      </c>
      <c r="AP23" t="s">
        <v>226</v>
      </c>
      <c r="AQ23" t="s">
        <v>221</v>
      </c>
      <c r="AS23" t="b">
        <v>1</v>
      </c>
      <c r="AT23" t="s">
        <v>65</v>
      </c>
      <c r="AU23">
        <v>0</v>
      </c>
      <c r="AV23">
        <v>0</v>
      </c>
      <c r="AX23">
        <v>39</v>
      </c>
      <c r="AY23" t="s">
        <v>79</v>
      </c>
      <c r="AZ23" t="s">
        <v>86</v>
      </c>
      <c r="BB23" t="s">
        <v>87</v>
      </c>
      <c r="BC23" t="s">
        <v>88</v>
      </c>
      <c r="BD23" t="b">
        <v>0</v>
      </c>
      <c r="BE23" t="b">
        <v>0</v>
      </c>
      <c r="BF23" t="b">
        <v>0</v>
      </c>
      <c r="BG23" t="b">
        <v>0</v>
      </c>
      <c r="BH23" t="b">
        <v>0</v>
      </c>
      <c r="BI23" t="b">
        <v>0</v>
      </c>
      <c r="BJ23" t="b">
        <v>0</v>
      </c>
      <c r="BK23" t="b">
        <v>0</v>
      </c>
      <c r="BL23" t="b">
        <v>0</v>
      </c>
      <c r="BM23" t="b">
        <v>0</v>
      </c>
      <c r="BN23" t="b">
        <v>0</v>
      </c>
      <c r="BO23" t="b">
        <v>0</v>
      </c>
      <c r="BP23" t="b">
        <v>0</v>
      </c>
      <c r="BR23" t="b">
        <f>IFERROR(IF(M23="PASSED",VLOOKUP(J23,Current!J39:BR99,1,FALSE)),N23)</f>
        <v>0</v>
      </c>
    </row>
    <row r="24" spans="1:70" x14ac:dyDescent="0.25">
      <c r="A24">
        <v>46689</v>
      </c>
      <c r="C24">
        <v>0</v>
      </c>
      <c r="D24" t="s">
        <v>65</v>
      </c>
      <c r="E24" t="s">
        <v>66</v>
      </c>
      <c r="F24" t="s">
        <v>80</v>
      </c>
      <c r="G24">
        <v>0</v>
      </c>
      <c r="H24" t="s">
        <v>81</v>
      </c>
      <c r="I24" t="s">
        <v>82</v>
      </c>
      <c r="J24" t="str">
        <f>MID($N24,FIND("1.",$N24),FIND("-",$N24)-FIND("1.",$N24)-1)</f>
        <v>1.0044</v>
      </c>
      <c r="K24" t="str">
        <f>MID($N24,FIND("NETIOS - ",$N24)+8,FIND(":",$N24,40)-FIND("NETIOS - ",$N24)-8)</f>
        <v xml:space="preserve"> Set 'buffer size' for 'logging buffered</v>
      </c>
      <c r="L24" t="str">
        <f>MID($N24,FIND("1.",$N24),FIND("[",$N24)-1-FIND("1.",$N24)-1)</f>
        <v>1.0044 - NETIOS - Set 'buffer size' for 'logging buffered</v>
      </c>
      <c r="M24" t="str">
        <f>MID($N24,FIND("[",$N24)+1,FIND("]",$N24)-FIND("[",$N24)-1)</f>
        <v>PASSED</v>
      </c>
      <c r="N24" t="s">
        <v>202</v>
      </c>
      <c r="O24" t="s">
        <v>77</v>
      </c>
      <c r="R24" t="s">
        <v>67</v>
      </c>
      <c r="T24" t="s">
        <v>68</v>
      </c>
      <c r="U24" t="s">
        <v>66</v>
      </c>
      <c r="X24" t="s">
        <v>69</v>
      </c>
      <c r="Y24" t="s">
        <v>84</v>
      </c>
      <c r="Z24">
        <v>0</v>
      </c>
      <c r="AA24">
        <v>0</v>
      </c>
      <c r="AD24">
        <v>0</v>
      </c>
      <c r="AE24">
        <v>0</v>
      </c>
      <c r="AI24" t="s">
        <v>148</v>
      </c>
      <c r="AJ24" t="s">
        <v>149</v>
      </c>
      <c r="AK24" t="s">
        <v>72</v>
      </c>
      <c r="AN24" t="s">
        <v>73</v>
      </c>
      <c r="AO24" t="s">
        <v>150</v>
      </c>
      <c r="AP24" t="s">
        <v>203</v>
      </c>
      <c r="AQ24" t="s">
        <v>152</v>
      </c>
      <c r="AS24" t="b">
        <v>1</v>
      </c>
      <c r="AT24" t="s">
        <v>65</v>
      </c>
      <c r="AU24">
        <v>0</v>
      </c>
      <c r="AV24">
        <v>0</v>
      </c>
      <c r="AX24">
        <v>39</v>
      </c>
      <c r="AY24" t="s">
        <v>79</v>
      </c>
      <c r="AZ24" t="s">
        <v>86</v>
      </c>
      <c r="BB24" t="s">
        <v>87</v>
      </c>
      <c r="BC24" t="s">
        <v>88</v>
      </c>
      <c r="BD24" t="b">
        <v>0</v>
      </c>
      <c r="BE24" t="b">
        <v>0</v>
      </c>
      <c r="BF24" t="b">
        <v>0</v>
      </c>
      <c r="BG24" t="b">
        <v>0</v>
      </c>
      <c r="BH24" t="b">
        <v>0</v>
      </c>
      <c r="BI24" t="b">
        <v>0</v>
      </c>
      <c r="BJ24" t="b">
        <v>0</v>
      </c>
      <c r="BK24" t="b">
        <v>0</v>
      </c>
      <c r="BL24" t="b">
        <v>0</v>
      </c>
      <c r="BM24" t="b">
        <v>0</v>
      </c>
      <c r="BN24" t="b">
        <v>0</v>
      </c>
      <c r="BO24" t="b">
        <v>0</v>
      </c>
      <c r="BP24" t="b">
        <v>0</v>
      </c>
      <c r="BR24" t="str">
        <f>IFERROR(IF(M24="PASSED",VLOOKUP(J24,Current!J40:BR100,1,FALSE)),N24)</f>
        <v>"1.0044 - NETIOS - Set 'buffer size' for 'logging buffered: [PASSED]"
Enable system message logging to a local buffer.
See Also:
See HTH Policies and Standards
Reference:
NIST 800-53r5|AU-3 AU-3(1) AU-7 AU-12
Policy Value:
CONFIG_CHECK
item: logging buffered
regex: logging buffered 64000( *|$)
Actual Value:
logging buffered 64000 &lt;----</v>
      </c>
    </row>
    <row r="25" spans="1:70" hidden="1" x14ac:dyDescent="0.25">
      <c r="A25">
        <v>46689</v>
      </c>
      <c r="C25">
        <v>0</v>
      </c>
      <c r="D25" t="s">
        <v>95</v>
      </c>
      <c r="E25" t="s">
        <v>66</v>
      </c>
      <c r="F25" t="s">
        <v>80</v>
      </c>
      <c r="G25">
        <v>0</v>
      </c>
      <c r="H25" t="s">
        <v>81</v>
      </c>
      <c r="I25" t="s">
        <v>82</v>
      </c>
      <c r="J25" t="str">
        <f>MID($N25,FIND("1.",$N25),FIND("-",$N25)-FIND("1.",$N25)-1)</f>
        <v>1.0045</v>
      </c>
      <c r="K25" t="str">
        <f>MID($N25,FIND("NETIOS - ",$N25)+8,FIND(":",$N25,40)-FIND("NETIOS - ",$N25)-8)</f>
        <v xml:space="preserve"> Set IP address for 'logging host</v>
      </c>
      <c r="L25" t="str">
        <f>MID($N25,FIND("1.",$N25),FIND("[",$N25)-1-FIND("1.",$N25)-1)</f>
        <v>1.0045 - NETIOS - Set IP address for 'logging host</v>
      </c>
      <c r="M25" t="str">
        <f>MID($N25,FIND("[",$N25)+1,FIND("]",$N25)-FIND("[",$N25)-1)</f>
        <v>FAILED</v>
      </c>
      <c r="N25" t="s">
        <v>178</v>
      </c>
      <c r="O25" t="s">
        <v>77</v>
      </c>
      <c r="R25" t="s">
        <v>67</v>
      </c>
      <c r="T25" t="s">
        <v>68</v>
      </c>
      <c r="U25" t="s">
        <v>66</v>
      </c>
      <c r="X25" t="s">
        <v>69</v>
      </c>
      <c r="Y25" t="s">
        <v>84</v>
      </c>
      <c r="Z25">
        <v>0</v>
      </c>
      <c r="AA25">
        <v>0</v>
      </c>
      <c r="AD25">
        <v>0</v>
      </c>
      <c r="AE25">
        <v>0</v>
      </c>
      <c r="AI25" t="s">
        <v>148</v>
      </c>
      <c r="AJ25" t="s">
        <v>149</v>
      </c>
      <c r="AK25" t="s">
        <v>72</v>
      </c>
      <c r="AN25" t="s">
        <v>73</v>
      </c>
      <c r="AO25" t="s">
        <v>150</v>
      </c>
      <c r="AP25" t="s">
        <v>177</v>
      </c>
      <c r="AQ25" t="s">
        <v>152</v>
      </c>
      <c r="AS25" t="b">
        <v>1</v>
      </c>
      <c r="AT25" t="s">
        <v>65</v>
      </c>
      <c r="AU25">
        <v>0</v>
      </c>
      <c r="AV25">
        <v>0</v>
      </c>
      <c r="AX25">
        <v>39</v>
      </c>
      <c r="AY25" t="s">
        <v>79</v>
      </c>
      <c r="AZ25" t="s">
        <v>86</v>
      </c>
      <c r="BB25" t="s">
        <v>87</v>
      </c>
      <c r="BC25" t="s">
        <v>88</v>
      </c>
      <c r="BD25" t="b">
        <v>0</v>
      </c>
      <c r="BE25" t="b">
        <v>0</v>
      </c>
      <c r="BF25" t="b">
        <v>0</v>
      </c>
      <c r="BG25" t="b">
        <v>0</v>
      </c>
      <c r="BH25" t="b">
        <v>0</v>
      </c>
      <c r="BI25" t="b">
        <v>0</v>
      </c>
      <c r="BJ25" t="b">
        <v>0</v>
      </c>
      <c r="BK25" t="b">
        <v>0</v>
      </c>
      <c r="BL25" t="b">
        <v>0</v>
      </c>
      <c r="BM25" t="b">
        <v>0</v>
      </c>
      <c r="BN25" t="b">
        <v>0</v>
      </c>
      <c r="BO25" t="b">
        <v>0</v>
      </c>
      <c r="BP25" t="b">
        <v>0</v>
      </c>
      <c r="BR25" t="b">
        <f>IFERROR(IF(M25="PASSED",VLOOKUP(J25,Current!J41:BR101,1,FALSE)),N25)</f>
        <v>0</v>
      </c>
    </row>
    <row r="26" spans="1:70" hidden="1" x14ac:dyDescent="0.25">
      <c r="A26">
        <v>46689</v>
      </c>
      <c r="C26">
        <v>0</v>
      </c>
      <c r="D26" t="s">
        <v>95</v>
      </c>
      <c r="E26" t="s">
        <v>66</v>
      </c>
      <c r="F26" t="s">
        <v>80</v>
      </c>
      <c r="G26">
        <v>0</v>
      </c>
      <c r="H26" t="s">
        <v>81</v>
      </c>
      <c r="I26" t="s">
        <v>82</v>
      </c>
      <c r="J26" t="str">
        <f>MID($N26,FIND("1.",$N26),FIND("-",$N26)-FIND("1.",$N26)-1)</f>
        <v>1.0046</v>
      </c>
      <c r="K26" t="str">
        <f>MID($N26,FIND("NETIOS - ",$N26)+8,FIND(":",$N26,40)-FIND("NETIOS - ",$N26)-8)</f>
        <v xml:space="preserve"> Set 'logging source interface</v>
      </c>
      <c r="L26" t="str">
        <f>MID($N26,FIND("1.",$N26),FIND("[",$N26)-1-FIND("1.",$N26)-1)</f>
        <v>1.0046 - NETIOS - Set 'logging source interface</v>
      </c>
      <c r="M26" t="str">
        <f>MID($N26,FIND("[",$N26)+1,FIND("]",$N26)-FIND("[",$N26)-1)</f>
        <v>FAILED</v>
      </c>
      <c r="N26" t="s">
        <v>185</v>
      </c>
      <c r="O26" t="s">
        <v>77</v>
      </c>
      <c r="R26" t="s">
        <v>67</v>
      </c>
      <c r="T26" t="s">
        <v>68</v>
      </c>
      <c r="U26" t="s">
        <v>66</v>
      </c>
      <c r="X26" t="s">
        <v>69</v>
      </c>
      <c r="Y26" t="s">
        <v>84</v>
      </c>
      <c r="Z26">
        <v>0</v>
      </c>
      <c r="AA26">
        <v>0</v>
      </c>
      <c r="AD26">
        <v>0</v>
      </c>
      <c r="AE26">
        <v>0</v>
      </c>
      <c r="AI26" t="s">
        <v>148</v>
      </c>
      <c r="AJ26" t="s">
        <v>149</v>
      </c>
      <c r="AK26" t="s">
        <v>72</v>
      </c>
      <c r="AN26" t="s">
        <v>73</v>
      </c>
      <c r="AO26" t="s">
        <v>150</v>
      </c>
      <c r="AP26" t="s">
        <v>186</v>
      </c>
      <c r="AQ26" t="s">
        <v>152</v>
      </c>
      <c r="AS26" t="b">
        <v>1</v>
      </c>
      <c r="AT26" t="s">
        <v>65</v>
      </c>
      <c r="AU26">
        <v>0</v>
      </c>
      <c r="AV26">
        <v>0</v>
      </c>
      <c r="AX26">
        <v>39</v>
      </c>
      <c r="AY26" t="s">
        <v>79</v>
      </c>
      <c r="AZ26" t="s">
        <v>86</v>
      </c>
      <c r="BB26" t="s">
        <v>87</v>
      </c>
      <c r="BC26" t="s">
        <v>88</v>
      </c>
      <c r="BD26" t="b">
        <v>0</v>
      </c>
      <c r="BE26" t="b">
        <v>0</v>
      </c>
      <c r="BF26" t="b">
        <v>0</v>
      </c>
      <c r="BG26" t="b">
        <v>0</v>
      </c>
      <c r="BH26" t="b">
        <v>0</v>
      </c>
      <c r="BI26" t="b">
        <v>0</v>
      </c>
      <c r="BJ26" t="b">
        <v>0</v>
      </c>
      <c r="BK26" t="b">
        <v>0</v>
      </c>
      <c r="BL26" t="b">
        <v>0</v>
      </c>
      <c r="BM26" t="b">
        <v>0</v>
      </c>
      <c r="BN26" t="b">
        <v>0</v>
      </c>
      <c r="BO26" t="b">
        <v>0</v>
      </c>
      <c r="BP26" t="b">
        <v>0</v>
      </c>
      <c r="BR26" t="b">
        <f>IFERROR(IF(M26="PASSED",VLOOKUP(J26,Current!J43:BR103,1,FALSE)),N26)</f>
        <v>0</v>
      </c>
    </row>
    <row r="27" spans="1:70" hidden="1" x14ac:dyDescent="0.25">
      <c r="A27">
        <v>46689</v>
      </c>
      <c r="C27">
        <v>0</v>
      </c>
      <c r="D27" t="s">
        <v>95</v>
      </c>
      <c r="E27" t="s">
        <v>66</v>
      </c>
      <c r="F27" t="s">
        <v>80</v>
      </c>
      <c r="G27">
        <v>0</v>
      </c>
      <c r="H27" t="s">
        <v>81</v>
      </c>
      <c r="I27" t="s">
        <v>82</v>
      </c>
      <c r="J27" t="str">
        <f>MID($N27,FIND("1.",$N27),FIND("-",$N27)-FIND("1.",$N27)-1)</f>
        <v>1.0047</v>
      </c>
      <c r="K27" t="str">
        <f>MID($N27,FIND("NETIOS - ",$N27)+8,FIND(":",$N27,40)-FIND("NETIOS - ",$N27)-8)</f>
        <v xml:space="preserve"> Set 'ip address' for 'ntp server</v>
      </c>
      <c r="L27" t="str">
        <f>MID($N27,FIND("1.",$N27),FIND("[",$N27)-1-FIND("1.",$N27)-1)</f>
        <v>1.0047 - NETIOS - Set 'ip address' for 'ntp server</v>
      </c>
      <c r="M27" t="str">
        <f>MID($N27,FIND("[",$N27)+1,FIND("]",$N27)-FIND("[",$N27)-1)</f>
        <v>FAILED</v>
      </c>
      <c r="N27" t="s">
        <v>170</v>
      </c>
      <c r="O27" t="s">
        <v>77</v>
      </c>
      <c r="R27" t="s">
        <v>67</v>
      </c>
      <c r="T27" t="s">
        <v>68</v>
      </c>
      <c r="U27" t="s">
        <v>66</v>
      </c>
      <c r="X27" t="s">
        <v>69</v>
      </c>
      <c r="Y27" t="s">
        <v>84</v>
      </c>
      <c r="Z27">
        <v>0</v>
      </c>
      <c r="AA27">
        <v>0</v>
      </c>
      <c r="AD27">
        <v>0</v>
      </c>
      <c r="AE27">
        <v>0</v>
      </c>
      <c r="AI27" t="s">
        <v>148</v>
      </c>
      <c r="AJ27" t="s">
        <v>149</v>
      </c>
      <c r="AK27" t="s">
        <v>72</v>
      </c>
      <c r="AN27" t="s">
        <v>73</v>
      </c>
      <c r="AO27" t="s">
        <v>150</v>
      </c>
      <c r="AP27" t="s">
        <v>168</v>
      </c>
      <c r="AQ27" t="s">
        <v>152</v>
      </c>
      <c r="AS27" t="b">
        <v>1</v>
      </c>
      <c r="AT27" t="s">
        <v>65</v>
      </c>
      <c r="AU27">
        <v>0</v>
      </c>
      <c r="AV27">
        <v>0</v>
      </c>
      <c r="AX27">
        <v>39</v>
      </c>
      <c r="AY27" t="s">
        <v>79</v>
      </c>
      <c r="AZ27" t="s">
        <v>86</v>
      </c>
      <c r="BB27" t="s">
        <v>87</v>
      </c>
      <c r="BC27" t="s">
        <v>88</v>
      </c>
      <c r="BD27" t="b">
        <v>0</v>
      </c>
      <c r="BE27" t="b">
        <v>0</v>
      </c>
      <c r="BF27" t="b">
        <v>0</v>
      </c>
      <c r="BG27" t="b">
        <v>0</v>
      </c>
      <c r="BH27" t="b">
        <v>0</v>
      </c>
      <c r="BI27" t="b">
        <v>0</v>
      </c>
      <c r="BJ27" t="b">
        <v>0</v>
      </c>
      <c r="BK27" t="b">
        <v>0</v>
      </c>
      <c r="BL27" t="b">
        <v>0</v>
      </c>
      <c r="BM27" t="b">
        <v>0</v>
      </c>
      <c r="BN27" t="b">
        <v>0</v>
      </c>
      <c r="BO27" t="b">
        <v>0</v>
      </c>
      <c r="BP27" t="b">
        <v>0</v>
      </c>
      <c r="BR27" t="b">
        <f>IFERROR(IF(M27="PASSED",VLOOKUP(J27,Current!J45:BR105,1,FALSE)),N27)</f>
        <v>0</v>
      </c>
    </row>
    <row r="28" spans="1:70" x14ac:dyDescent="0.25">
      <c r="A28">
        <v>46689</v>
      </c>
      <c r="C28">
        <v>0</v>
      </c>
      <c r="D28" t="s">
        <v>65</v>
      </c>
      <c r="E28" t="s">
        <v>66</v>
      </c>
      <c r="F28" t="s">
        <v>80</v>
      </c>
      <c r="G28">
        <v>0</v>
      </c>
      <c r="H28" t="s">
        <v>81</v>
      </c>
      <c r="I28" t="s">
        <v>82</v>
      </c>
      <c r="J28" t="str">
        <f>MID($N28,FIND("1.",$N28),FIND("-",$N28)-FIND("1.",$N28)-1)</f>
        <v>1.0048</v>
      </c>
      <c r="K28" t="str">
        <f>MID($N28,FIND("NETIOS - ",$N28)+8,FIND(":",$N28,40)-FIND("NETIOS - ",$N28)-8)</f>
        <v xml:space="preserve"> Set 'no interface tunnel</v>
      </c>
      <c r="L28" t="str">
        <f>MID($N28,FIND("1.",$N28),FIND("[",$N28)-1-FIND("1.",$N28)-1)</f>
        <v>1.0048 - NETIOS - Set 'no interface tunnel</v>
      </c>
      <c r="M28" t="str">
        <f>MID($N28,FIND("[",$N28)+1,FIND("]",$N28)-FIND("[",$N28)-1)</f>
        <v>PASSED</v>
      </c>
      <c r="N28" t="s">
        <v>160</v>
      </c>
      <c r="O28" t="s">
        <v>77</v>
      </c>
      <c r="R28" t="s">
        <v>67</v>
      </c>
      <c r="T28" t="s">
        <v>68</v>
      </c>
      <c r="U28" t="s">
        <v>66</v>
      </c>
      <c r="X28" t="s">
        <v>69</v>
      </c>
      <c r="Y28" t="s">
        <v>84</v>
      </c>
      <c r="Z28">
        <v>0</v>
      </c>
      <c r="AA28">
        <v>0</v>
      </c>
      <c r="AD28">
        <v>0</v>
      </c>
      <c r="AE28">
        <v>0</v>
      </c>
      <c r="AI28" t="s">
        <v>148</v>
      </c>
      <c r="AJ28" t="s">
        <v>149</v>
      </c>
      <c r="AK28" t="s">
        <v>72</v>
      </c>
      <c r="AN28" t="s">
        <v>73</v>
      </c>
      <c r="AO28" t="s">
        <v>150</v>
      </c>
      <c r="AP28" t="s">
        <v>159</v>
      </c>
      <c r="AQ28" t="s">
        <v>152</v>
      </c>
      <c r="AS28" t="b">
        <v>1</v>
      </c>
      <c r="AT28" t="s">
        <v>65</v>
      </c>
      <c r="AU28">
        <v>0</v>
      </c>
      <c r="AV28">
        <v>0</v>
      </c>
      <c r="AX28">
        <v>39</v>
      </c>
      <c r="AY28" t="s">
        <v>79</v>
      </c>
      <c r="AZ28" t="s">
        <v>86</v>
      </c>
      <c r="BB28" t="s">
        <v>87</v>
      </c>
      <c r="BC28" t="s">
        <v>88</v>
      </c>
      <c r="BD28" t="b">
        <v>0</v>
      </c>
      <c r="BE28" t="b">
        <v>0</v>
      </c>
      <c r="BF28" t="b">
        <v>0</v>
      </c>
      <c r="BG28" t="b">
        <v>0</v>
      </c>
      <c r="BH28" t="b">
        <v>0</v>
      </c>
      <c r="BI28" t="b">
        <v>0</v>
      </c>
      <c r="BJ28" t="b">
        <v>0</v>
      </c>
      <c r="BK28" t="b">
        <v>0</v>
      </c>
      <c r="BL28" t="b">
        <v>0</v>
      </c>
      <c r="BM28" t="b">
        <v>0</v>
      </c>
      <c r="BN28" t="b">
        <v>0</v>
      </c>
      <c r="BO28" t="b">
        <v>0</v>
      </c>
      <c r="BP28" t="b">
        <v>0</v>
      </c>
      <c r="BR28" t="str">
        <f>IFERROR(IF(M28="PASSED",VLOOKUP(J28,Current!J47:BR107,1,FALSE)),N28)</f>
        <v>"1.0048 - NETIOS - Set 'no interface tunnel: [PASSED]"
Verify no tunnel interfaces are defined.
See Also:
See HTH Policies and Standards
Reference:
NIST 800-53r5|CM-7
Policy Value:
CONFIG_CHECK_NOT
item: interface [Tt]unnel[0-9]+
Actual Value:
interface [Tt]unnel[0-9]+ not found in the configuration file</v>
      </c>
    </row>
    <row r="29" spans="1:70" hidden="1" x14ac:dyDescent="0.25">
      <c r="A29">
        <v>46689</v>
      </c>
      <c r="C29">
        <v>0</v>
      </c>
      <c r="D29" t="s">
        <v>95</v>
      </c>
      <c r="E29" t="s">
        <v>66</v>
      </c>
      <c r="F29" t="s">
        <v>80</v>
      </c>
      <c r="G29">
        <v>0</v>
      </c>
      <c r="H29" t="s">
        <v>81</v>
      </c>
      <c r="I29" t="s">
        <v>82</v>
      </c>
      <c r="J29" t="str">
        <f>MID($N29,FIND("1.",$N29),FIND("-",$N29)-FIND("1.",$N29)-1)</f>
        <v>1.0049</v>
      </c>
      <c r="K29" t="str">
        <f>MID($N29,FIND("NETIOS - ",$N29)+8,FIND(":",$N29,40)-FIND("NETIOS - ",$N29)-8)</f>
        <v xml:space="preserve"> Set 'ip verify unicast source reachable-via</v>
      </c>
      <c r="L29" t="str">
        <f>MID($N29,FIND("1.",$N29),FIND("[",$N29)-1-FIND("1.",$N29)-1)</f>
        <v>1.0049 - NETIOS - Set 'ip verify unicast source reachable-via</v>
      </c>
      <c r="M29" t="str">
        <f>MID($N29,FIND("[",$N29)+1,FIND("]",$N29)-FIND("[",$N29)-1)</f>
        <v>FAILED</v>
      </c>
      <c r="N29" t="s">
        <v>215</v>
      </c>
      <c r="O29" t="s">
        <v>77</v>
      </c>
      <c r="R29" t="s">
        <v>67</v>
      </c>
      <c r="T29" t="s">
        <v>68</v>
      </c>
      <c r="U29" t="s">
        <v>66</v>
      </c>
      <c r="X29" t="s">
        <v>69</v>
      </c>
      <c r="Y29" t="s">
        <v>84</v>
      </c>
      <c r="Z29">
        <v>0</v>
      </c>
      <c r="AA29">
        <v>0</v>
      </c>
      <c r="AD29">
        <v>0</v>
      </c>
      <c r="AE29">
        <v>0</v>
      </c>
      <c r="AI29" t="s">
        <v>148</v>
      </c>
      <c r="AJ29" t="s">
        <v>149</v>
      </c>
      <c r="AK29" t="s">
        <v>72</v>
      </c>
      <c r="AN29" t="s">
        <v>73</v>
      </c>
      <c r="AO29" t="s">
        <v>150</v>
      </c>
      <c r="AP29" t="s">
        <v>216</v>
      </c>
      <c r="AQ29" t="s">
        <v>152</v>
      </c>
      <c r="AS29" t="b">
        <v>1</v>
      </c>
      <c r="AT29" t="s">
        <v>65</v>
      </c>
      <c r="AU29">
        <v>0</v>
      </c>
      <c r="AV29">
        <v>0</v>
      </c>
      <c r="AX29">
        <v>39</v>
      </c>
      <c r="AY29" t="s">
        <v>79</v>
      </c>
      <c r="AZ29" t="s">
        <v>86</v>
      </c>
      <c r="BB29" t="s">
        <v>87</v>
      </c>
      <c r="BC29" t="s">
        <v>88</v>
      </c>
      <c r="BD29" t="b">
        <v>0</v>
      </c>
      <c r="BE29" t="b">
        <v>0</v>
      </c>
      <c r="BF29" t="b">
        <v>0</v>
      </c>
      <c r="BG29" t="b">
        <v>0</v>
      </c>
      <c r="BH29" t="b">
        <v>0</v>
      </c>
      <c r="BI29" t="b">
        <v>0</v>
      </c>
      <c r="BJ29" t="b">
        <v>0</v>
      </c>
      <c r="BK29" t="b">
        <v>0</v>
      </c>
      <c r="BL29" t="b">
        <v>0</v>
      </c>
      <c r="BM29" t="b">
        <v>0</v>
      </c>
      <c r="BN29" t="b">
        <v>0</v>
      </c>
      <c r="BO29" t="b">
        <v>0</v>
      </c>
      <c r="BP29" t="b">
        <v>0</v>
      </c>
      <c r="BR29" t="b">
        <f>IFERROR(IF(M29="PASSED",VLOOKUP(J29,Current!J49:BR109,1,FALSE)),N29)</f>
        <v>0</v>
      </c>
    </row>
    <row r="30" spans="1:70" hidden="1" x14ac:dyDescent="0.25">
      <c r="A30">
        <v>46689</v>
      </c>
      <c r="C30">
        <v>0</v>
      </c>
      <c r="D30" t="s">
        <v>95</v>
      </c>
      <c r="E30" t="s">
        <v>66</v>
      </c>
      <c r="F30" t="s">
        <v>80</v>
      </c>
      <c r="G30">
        <v>0</v>
      </c>
      <c r="H30" t="s">
        <v>81</v>
      </c>
      <c r="I30" t="s">
        <v>82</v>
      </c>
      <c r="J30" t="str">
        <f>MID($N30,FIND("1.",$N30),FIND("-",$N30)-FIND("1.",$N30)-1)</f>
        <v>1.0050</v>
      </c>
      <c r="K30" t="str">
        <f>MID($N30,FIND("NETIOS - ",$N30)+8,FIND(":",$N30,40)-FIND("NETIOS - ",$N30)-8)</f>
        <v xml:space="preserve"> Set 'authentication mode md5</v>
      </c>
      <c r="L30" t="str">
        <f>MID($N30,FIND("1.",$N30),FIND("[",$N30)-1-FIND("1.",$N30)-1)</f>
        <v>1.0050 - NETIOS - Set 'authentication mode md5</v>
      </c>
      <c r="M30" t="str">
        <f>MID($N30,FIND("[",$N30)+1,FIND("]",$N30)-FIND("[",$N30)-1)</f>
        <v>FAILED</v>
      </c>
      <c r="N30" t="s">
        <v>156</v>
      </c>
      <c r="O30" t="s">
        <v>77</v>
      </c>
      <c r="R30" t="s">
        <v>67</v>
      </c>
      <c r="T30" t="s">
        <v>68</v>
      </c>
      <c r="U30" t="s">
        <v>66</v>
      </c>
      <c r="X30" t="s">
        <v>69</v>
      </c>
      <c r="Y30" t="s">
        <v>84</v>
      </c>
      <c r="Z30">
        <v>0</v>
      </c>
      <c r="AA30">
        <v>0</v>
      </c>
      <c r="AD30">
        <v>0</v>
      </c>
      <c r="AE30">
        <v>0</v>
      </c>
      <c r="AI30" t="s">
        <v>148</v>
      </c>
      <c r="AJ30" t="s">
        <v>149</v>
      </c>
      <c r="AK30" t="s">
        <v>72</v>
      </c>
      <c r="AN30" t="s">
        <v>73</v>
      </c>
      <c r="AO30" t="s">
        <v>150</v>
      </c>
      <c r="AP30" t="s">
        <v>155</v>
      </c>
      <c r="AQ30" t="s">
        <v>152</v>
      </c>
      <c r="AS30" t="b">
        <v>1</v>
      </c>
      <c r="AT30" t="s">
        <v>65</v>
      </c>
      <c r="AU30">
        <v>0</v>
      </c>
      <c r="AV30">
        <v>0</v>
      </c>
      <c r="AX30">
        <v>39</v>
      </c>
      <c r="AY30" t="s">
        <v>79</v>
      </c>
      <c r="AZ30" t="s">
        <v>86</v>
      </c>
      <c r="BB30" t="s">
        <v>87</v>
      </c>
      <c r="BC30" t="s">
        <v>88</v>
      </c>
      <c r="BD30" t="b">
        <v>0</v>
      </c>
      <c r="BE30" t="b">
        <v>0</v>
      </c>
      <c r="BF30" t="b">
        <v>0</v>
      </c>
      <c r="BG30" t="b">
        <v>0</v>
      </c>
      <c r="BH30" t="b">
        <v>0</v>
      </c>
      <c r="BI30" t="b">
        <v>0</v>
      </c>
      <c r="BJ30" t="b">
        <v>0</v>
      </c>
      <c r="BK30" t="b">
        <v>0</v>
      </c>
      <c r="BL30" t="b">
        <v>0</v>
      </c>
      <c r="BM30" t="b">
        <v>0</v>
      </c>
      <c r="BN30" t="b">
        <v>0</v>
      </c>
      <c r="BO30" t="b">
        <v>0</v>
      </c>
      <c r="BP30" t="b">
        <v>0</v>
      </c>
      <c r="BR30" t="b">
        <f>IFERROR(IF(M30="PASSED",VLOOKUP(J30,Current!J51:BR111,1,FALSE)),N30)</f>
        <v>0</v>
      </c>
    </row>
    <row r="31" spans="1:70" hidden="1" x14ac:dyDescent="0.25">
      <c r="A31">
        <v>46689</v>
      </c>
      <c r="C31">
        <v>0</v>
      </c>
      <c r="D31" t="s">
        <v>95</v>
      </c>
      <c r="E31" t="s">
        <v>66</v>
      </c>
      <c r="F31" t="s">
        <v>80</v>
      </c>
      <c r="G31">
        <v>0</v>
      </c>
      <c r="H31" t="s">
        <v>81</v>
      </c>
      <c r="I31" t="s">
        <v>82</v>
      </c>
      <c r="J31" t="str">
        <f>MID($N31,FIND("1.",$N31),FIND("-",$N31)-FIND("1.",$N31)-1)</f>
        <v>1.0051</v>
      </c>
      <c r="K31" t="str">
        <f>MID($N31,FIND("NETIOS - ",$N31)+8,FIND(":",$N31,40)-FIND("NETIOS - ",$N31)-8)</f>
        <v xml:space="preserve"> Set 'aaa accounting system</v>
      </c>
      <c r="L31" t="str">
        <f>MID($N31,FIND("1.",$N31),FIND("[",$N31)-1-FIND("1.",$N31)-1)</f>
        <v>1.0051 - NETIOS - Set 'aaa accounting system</v>
      </c>
      <c r="M31" t="str">
        <f>MID($N31,FIND("[",$N31)+1,FIND("]",$N31)-FIND("[",$N31)-1)</f>
        <v>FAILED</v>
      </c>
      <c r="N31" t="s">
        <v>206</v>
      </c>
      <c r="O31" t="s">
        <v>77</v>
      </c>
      <c r="R31" t="s">
        <v>67</v>
      </c>
      <c r="T31" t="s">
        <v>68</v>
      </c>
      <c r="U31" t="s">
        <v>66</v>
      </c>
      <c r="X31" t="s">
        <v>69</v>
      </c>
      <c r="Y31" t="s">
        <v>84</v>
      </c>
      <c r="Z31">
        <v>0</v>
      </c>
      <c r="AA31">
        <v>0</v>
      </c>
      <c r="AD31">
        <v>0</v>
      </c>
      <c r="AE31">
        <v>0</v>
      </c>
      <c r="AI31" t="s">
        <v>148</v>
      </c>
      <c r="AJ31" t="s">
        <v>149</v>
      </c>
      <c r="AK31" t="s">
        <v>72</v>
      </c>
      <c r="AN31" t="s">
        <v>73</v>
      </c>
      <c r="AO31" t="s">
        <v>150</v>
      </c>
      <c r="AP31" t="s">
        <v>203</v>
      </c>
      <c r="AQ31" t="s">
        <v>152</v>
      </c>
      <c r="AS31" t="b">
        <v>1</v>
      </c>
      <c r="AT31" t="s">
        <v>65</v>
      </c>
      <c r="AU31">
        <v>0</v>
      </c>
      <c r="AV31">
        <v>0</v>
      </c>
      <c r="AX31">
        <v>39</v>
      </c>
      <c r="AY31" t="s">
        <v>79</v>
      </c>
      <c r="AZ31" t="s">
        <v>86</v>
      </c>
      <c r="BB31" t="s">
        <v>87</v>
      </c>
      <c r="BC31" t="s">
        <v>88</v>
      </c>
      <c r="BD31" t="b">
        <v>0</v>
      </c>
      <c r="BE31" t="b">
        <v>0</v>
      </c>
      <c r="BF31" t="b">
        <v>0</v>
      </c>
      <c r="BG31" t="b">
        <v>0</v>
      </c>
      <c r="BH31" t="b">
        <v>0</v>
      </c>
      <c r="BI31" t="b">
        <v>0</v>
      </c>
      <c r="BJ31" t="b">
        <v>0</v>
      </c>
      <c r="BK31" t="b">
        <v>0</v>
      </c>
      <c r="BL31" t="b">
        <v>0</v>
      </c>
      <c r="BM31" t="b">
        <v>0</v>
      </c>
      <c r="BN31" t="b">
        <v>0</v>
      </c>
      <c r="BO31" t="b">
        <v>0</v>
      </c>
      <c r="BP31" t="b">
        <v>0</v>
      </c>
      <c r="BR31" t="b">
        <f>IFERROR(IF(M31="PASSED",VLOOKUP(J31,Current!J53:BR113,1,FALSE)),N31)</f>
        <v>0</v>
      </c>
    </row>
    <row r="32" spans="1:70" x14ac:dyDescent="0.25">
      <c r="A32">
        <v>46689</v>
      </c>
      <c r="C32">
        <v>0</v>
      </c>
      <c r="D32" t="s">
        <v>65</v>
      </c>
      <c r="E32" t="s">
        <v>118</v>
      </c>
      <c r="F32" t="s">
        <v>80</v>
      </c>
      <c r="G32">
        <v>0</v>
      </c>
      <c r="H32" t="s">
        <v>81</v>
      </c>
      <c r="I32" t="s">
        <v>82</v>
      </c>
      <c r="J32" t="str">
        <f>MID($N32,FIND("1.",$N32),FIND("-",$N32)-FIND("1.",$N32)-1)</f>
        <v>1.0051</v>
      </c>
      <c r="K32" t="str">
        <f>MID($N32,FIND("NETIOS - ",$N32)+8,FIND(":",$N32,40)-FIND("NETIOS - ",$N32)-8)</f>
        <v xml:space="preserve"> Set 'aaa accounting system</v>
      </c>
      <c r="L32" t="str">
        <f>MID($N32,FIND("1.",$N32),FIND("[",$N32)-1-FIND("1.",$N32)-1)</f>
        <v>1.0051 - NETIOS - Set 'aaa accounting system</v>
      </c>
      <c r="M32" t="str">
        <f>MID($N32,FIND("[",$N32)+1,FIND("]",$N32)-FIND("[",$N32)-1)</f>
        <v>PASSED</v>
      </c>
      <c r="N32" t="s">
        <v>225</v>
      </c>
      <c r="O32" t="s">
        <v>77</v>
      </c>
      <c r="R32" t="s">
        <v>119</v>
      </c>
      <c r="T32" t="s">
        <v>120</v>
      </c>
      <c r="U32" t="s">
        <v>118</v>
      </c>
      <c r="X32" t="s">
        <v>121</v>
      </c>
      <c r="Y32" t="s">
        <v>84</v>
      </c>
      <c r="Z32">
        <v>0</v>
      </c>
      <c r="AA32">
        <v>0</v>
      </c>
      <c r="AD32">
        <v>0</v>
      </c>
      <c r="AE32">
        <v>0</v>
      </c>
      <c r="AI32" t="s">
        <v>148</v>
      </c>
      <c r="AJ32" t="s">
        <v>149</v>
      </c>
      <c r="AK32" t="s">
        <v>72</v>
      </c>
      <c r="AN32" t="s">
        <v>73</v>
      </c>
      <c r="AO32" t="s">
        <v>150</v>
      </c>
      <c r="AP32" t="s">
        <v>224</v>
      </c>
      <c r="AQ32" t="s">
        <v>221</v>
      </c>
      <c r="AS32" t="b">
        <v>1</v>
      </c>
      <c r="AT32" t="s">
        <v>65</v>
      </c>
      <c r="AU32">
        <v>0</v>
      </c>
      <c r="AV32">
        <v>0</v>
      </c>
      <c r="AX32">
        <v>39</v>
      </c>
      <c r="AY32" t="s">
        <v>79</v>
      </c>
      <c r="AZ32" t="s">
        <v>86</v>
      </c>
      <c r="BB32" t="s">
        <v>87</v>
      </c>
      <c r="BC32" t="s">
        <v>88</v>
      </c>
      <c r="BD32" t="b">
        <v>0</v>
      </c>
      <c r="BE32" t="b">
        <v>0</v>
      </c>
      <c r="BF32" t="b">
        <v>0</v>
      </c>
      <c r="BG32" t="b">
        <v>0</v>
      </c>
      <c r="BH32" t="b">
        <v>0</v>
      </c>
      <c r="BI32" t="b">
        <v>0</v>
      </c>
      <c r="BJ32" t="b">
        <v>0</v>
      </c>
      <c r="BK32" t="b">
        <v>0</v>
      </c>
      <c r="BL32" t="b">
        <v>0</v>
      </c>
      <c r="BM32" t="b">
        <v>0</v>
      </c>
      <c r="BN32" t="b">
        <v>0</v>
      </c>
      <c r="BO32" t="b">
        <v>0</v>
      </c>
      <c r="BP32" t="b">
        <v>0</v>
      </c>
      <c r="BR32" t="str">
        <f>IFERROR(IF(M32="PASSED",VLOOKUP(J32,Current!J54:BR114,1,FALSE)),N32)</f>
        <v>"1.0051 - NETIOS - Set 'aaa accounting system: [PASSED]"
Performs accounting for all system-level events not associated with users, such as reloads.
See Also:
See HTH Policies and Standards
Reference:
NIST 800-53r5|AU-2 AU-3 AU-3(1) AU-7 AU-12
Policy Value:
CONFIG_CHECK
item: aaa accounting system [^ ]+
Actual Value:
aaa accounting system default start-stop group HTH-ISE &lt;----</v>
      </c>
    </row>
    <row r="33" spans="1:70" hidden="1" x14ac:dyDescent="0.25">
      <c r="A33">
        <v>46689</v>
      </c>
      <c r="C33">
        <v>0</v>
      </c>
      <c r="D33" t="s">
        <v>95</v>
      </c>
      <c r="E33" t="s">
        <v>66</v>
      </c>
      <c r="F33" t="s">
        <v>80</v>
      </c>
      <c r="G33">
        <v>0</v>
      </c>
      <c r="H33" t="s">
        <v>81</v>
      </c>
      <c r="I33" t="s">
        <v>82</v>
      </c>
      <c r="J33" t="str">
        <f>MID($N33,FIND("1.",$N33),FIND("-",$N33)-FIND("1.",$N33)-1)</f>
        <v>1.0052</v>
      </c>
      <c r="K33" t="str">
        <f>MID($N33,FIND("NETIOS - ",$N33)+8,FIND(":",$N33,40)-FIND("NETIOS - ",$N33)-8)</f>
        <v xml:space="preserve"> Set 'login authentication for 'ip http</v>
      </c>
      <c r="L33" t="str">
        <f>MID($N33,FIND("1.",$N33),FIND("[",$N33)-1-FIND("1.",$N33)-1)</f>
        <v>1.0052 - NETIOS - Set 'login authentication for 'ip http</v>
      </c>
      <c r="M33" t="str">
        <f>MID($N33,FIND("[",$N33)+1,FIND("]",$N33)-FIND("[",$N33)-1)</f>
        <v>FAILED</v>
      </c>
      <c r="N33" t="s">
        <v>176</v>
      </c>
      <c r="O33" t="s">
        <v>77</v>
      </c>
      <c r="R33" t="s">
        <v>67</v>
      </c>
      <c r="T33" t="s">
        <v>68</v>
      </c>
      <c r="U33" t="s">
        <v>66</v>
      </c>
      <c r="X33" t="s">
        <v>69</v>
      </c>
      <c r="Y33" t="s">
        <v>84</v>
      </c>
      <c r="Z33">
        <v>0</v>
      </c>
      <c r="AA33">
        <v>0</v>
      </c>
      <c r="AD33">
        <v>0</v>
      </c>
      <c r="AE33">
        <v>0</v>
      </c>
      <c r="AI33" t="s">
        <v>148</v>
      </c>
      <c r="AJ33" t="s">
        <v>149</v>
      </c>
      <c r="AK33" t="s">
        <v>72</v>
      </c>
      <c r="AN33" t="s">
        <v>73</v>
      </c>
      <c r="AO33" t="s">
        <v>150</v>
      </c>
      <c r="AP33" t="s">
        <v>177</v>
      </c>
      <c r="AQ33" t="s">
        <v>152</v>
      </c>
      <c r="AS33" t="b">
        <v>1</v>
      </c>
      <c r="AT33" t="s">
        <v>65</v>
      </c>
      <c r="AU33">
        <v>0</v>
      </c>
      <c r="AV33">
        <v>0</v>
      </c>
      <c r="AX33">
        <v>39</v>
      </c>
      <c r="AY33" t="s">
        <v>79</v>
      </c>
      <c r="AZ33" t="s">
        <v>86</v>
      </c>
      <c r="BB33" t="s">
        <v>87</v>
      </c>
      <c r="BC33" t="s">
        <v>88</v>
      </c>
      <c r="BD33" t="b">
        <v>0</v>
      </c>
      <c r="BE33" t="b">
        <v>0</v>
      </c>
      <c r="BF33" t="b">
        <v>0</v>
      </c>
      <c r="BG33" t="b">
        <v>0</v>
      </c>
      <c r="BH33" t="b">
        <v>0</v>
      </c>
      <c r="BI33" t="b">
        <v>0</v>
      </c>
      <c r="BJ33" t="b">
        <v>0</v>
      </c>
      <c r="BK33" t="b">
        <v>0</v>
      </c>
      <c r="BL33" t="b">
        <v>0</v>
      </c>
      <c r="BM33" t="b">
        <v>0</v>
      </c>
      <c r="BN33" t="b">
        <v>0</v>
      </c>
      <c r="BO33" t="b">
        <v>0</v>
      </c>
      <c r="BP33" t="b">
        <v>0</v>
      </c>
      <c r="BR33" t="b">
        <f>IFERROR(IF(M33="PASSED",VLOOKUP(J33,Current!J55:BR115,1,FALSE)),N33)</f>
        <v>0</v>
      </c>
    </row>
    <row r="34" spans="1:70" x14ac:dyDescent="0.25">
      <c r="A34">
        <v>46689</v>
      </c>
      <c r="C34">
        <v>0</v>
      </c>
      <c r="D34" t="s">
        <v>65</v>
      </c>
      <c r="E34" t="s">
        <v>118</v>
      </c>
      <c r="F34" t="s">
        <v>80</v>
      </c>
      <c r="G34">
        <v>0</v>
      </c>
      <c r="H34" t="s">
        <v>81</v>
      </c>
      <c r="I34" t="s">
        <v>82</v>
      </c>
      <c r="J34" t="str">
        <f>MID($N34,FIND("1.",$N34),FIND("-",$N34)-FIND("1.",$N34)-1)</f>
        <v>1.0052</v>
      </c>
      <c r="K34" t="str">
        <f>MID($N34,FIND("NETIOS - ",$N34)+8,FIND(":",$N34,40)-FIND("NETIOS - ",$N34)-8)</f>
        <v xml:space="preserve"> Set 'login authentication for 'ip http</v>
      </c>
      <c r="L34" t="str">
        <f>MID($N34,FIND("1.",$N34),FIND("[",$N34)-1-FIND("1.",$N34)-1)</f>
        <v>1.0052 - NETIOS - Set 'login authentication for 'ip http</v>
      </c>
      <c r="M34" t="str">
        <f>MID($N34,FIND("[",$N34)+1,FIND("]",$N34)-FIND("[",$N34)-1)</f>
        <v>PASSED</v>
      </c>
      <c r="N34" t="s">
        <v>229</v>
      </c>
      <c r="O34" t="s">
        <v>77</v>
      </c>
      <c r="R34" t="s">
        <v>119</v>
      </c>
      <c r="T34" t="s">
        <v>120</v>
      </c>
      <c r="U34" t="s">
        <v>118</v>
      </c>
      <c r="X34" t="s">
        <v>121</v>
      </c>
      <c r="Y34" t="s">
        <v>84</v>
      </c>
      <c r="Z34">
        <v>0</v>
      </c>
      <c r="AA34">
        <v>0</v>
      </c>
      <c r="AD34">
        <v>0</v>
      </c>
      <c r="AE34">
        <v>0</v>
      </c>
      <c r="AI34" t="s">
        <v>148</v>
      </c>
      <c r="AJ34" t="s">
        <v>149</v>
      </c>
      <c r="AK34" t="s">
        <v>72</v>
      </c>
      <c r="AN34" t="s">
        <v>73</v>
      </c>
      <c r="AO34" t="s">
        <v>150</v>
      </c>
      <c r="AP34" t="s">
        <v>228</v>
      </c>
      <c r="AQ34" t="s">
        <v>221</v>
      </c>
      <c r="AS34" t="b">
        <v>1</v>
      </c>
      <c r="AT34" t="s">
        <v>65</v>
      </c>
      <c r="AU34">
        <v>0</v>
      </c>
      <c r="AV34">
        <v>0</v>
      </c>
      <c r="AX34">
        <v>39</v>
      </c>
      <c r="AY34" t="s">
        <v>79</v>
      </c>
      <c r="AZ34" t="s">
        <v>86</v>
      </c>
      <c r="BB34" t="s">
        <v>87</v>
      </c>
      <c r="BC34" t="s">
        <v>88</v>
      </c>
      <c r="BD34" t="b">
        <v>0</v>
      </c>
      <c r="BE34" t="b">
        <v>0</v>
      </c>
      <c r="BF34" t="b">
        <v>0</v>
      </c>
      <c r="BG34" t="b">
        <v>0</v>
      </c>
      <c r="BH34" t="b">
        <v>0</v>
      </c>
      <c r="BI34" t="b">
        <v>0</v>
      </c>
      <c r="BJ34" t="b">
        <v>0</v>
      </c>
      <c r="BK34" t="b">
        <v>0</v>
      </c>
      <c r="BL34" t="b">
        <v>0</v>
      </c>
      <c r="BM34" t="b">
        <v>0</v>
      </c>
      <c r="BN34" t="b">
        <v>0</v>
      </c>
      <c r="BO34" t="b">
        <v>0</v>
      </c>
      <c r="BP34" t="b">
        <v>0</v>
      </c>
      <c r="BR34" t="str">
        <f>IFERROR(IF(M34="PASSED",VLOOKUP(J34,Current!J56:BR116,1,FALSE)),N34)</f>
        <v>"1.0052 - NETIOS - Set 'login authentication for 'ip http: [PASSED]"
If account management functions are not automatically enforced, an attacker could gain privileged access to a vital element of the network security architecture
See Also:
See HTH Policies and Standards
Reference:
NIST 800-53r5|AC-2(1)
Policy Value:
CONFIG_CHECK
item: ^[ ]*ip http authentication (local|aaa_list_name)
Actual Value:
ip http authentication local &lt;----</v>
      </c>
    </row>
    <row r="35" spans="1:70" x14ac:dyDescent="0.25">
      <c r="A35">
        <v>46689</v>
      </c>
      <c r="C35">
        <v>0</v>
      </c>
      <c r="D35" t="s">
        <v>65</v>
      </c>
      <c r="E35" t="s">
        <v>66</v>
      </c>
      <c r="F35" t="s">
        <v>80</v>
      </c>
      <c r="G35">
        <v>0</v>
      </c>
      <c r="H35" t="s">
        <v>81</v>
      </c>
      <c r="I35" t="s">
        <v>82</v>
      </c>
      <c r="J35" t="str">
        <f>MID($N35,FIND("1.",$N35),FIND("-",$N35)-FIND("1.",$N35)-1)</f>
        <v>1.0053</v>
      </c>
      <c r="K35" t="str">
        <f>MID($N35,FIND("NETIOS - ",$N35)+8,FIND(":",$N35,40)-FIND("NETIOS - ",$N35)-8)</f>
        <v xml:space="preserve"> Set 'aaa accounting' to log all privileged use commands using 'commands 15</v>
      </c>
      <c r="L35" t="str">
        <f>MID($N35,FIND("1.",$N35),FIND("[",$N35)-1-FIND("1.",$N35)-1)</f>
        <v>1.0053 - NETIOS - Set 'aaa accounting' to log all privileged use commands using 'commands 15</v>
      </c>
      <c r="M35" t="str">
        <f>MID($N35,FIND("[",$N35)+1,FIND("]",$N35)-FIND("[",$N35)-1)</f>
        <v>PASSED</v>
      </c>
      <c r="N35" t="s">
        <v>210</v>
      </c>
      <c r="O35" t="s">
        <v>77</v>
      </c>
      <c r="R35" t="s">
        <v>67</v>
      </c>
      <c r="T35" t="s">
        <v>68</v>
      </c>
      <c r="U35" t="s">
        <v>66</v>
      </c>
      <c r="X35" t="s">
        <v>69</v>
      </c>
      <c r="Y35" t="s">
        <v>84</v>
      </c>
      <c r="Z35">
        <v>0</v>
      </c>
      <c r="AA35">
        <v>0</v>
      </c>
      <c r="AD35">
        <v>0</v>
      </c>
      <c r="AE35">
        <v>0</v>
      </c>
      <c r="AI35" t="s">
        <v>148</v>
      </c>
      <c r="AJ35" t="s">
        <v>149</v>
      </c>
      <c r="AK35" t="s">
        <v>72</v>
      </c>
      <c r="AN35" t="s">
        <v>73</v>
      </c>
      <c r="AO35" t="s">
        <v>150</v>
      </c>
      <c r="AP35" t="s">
        <v>208</v>
      </c>
      <c r="AQ35" t="s">
        <v>152</v>
      </c>
      <c r="AS35" t="b">
        <v>1</v>
      </c>
      <c r="AT35" t="s">
        <v>65</v>
      </c>
      <c r="AU35">
        <v>0</v>
      </c>
      <c r="AV35">
        <v>0</v>
      </c>
      <c r="AX35">
        <v>39</v>
      </c>
      <c r="AY35" t="s">
        <v>79</v>
      </c>
      <c r="AZ35" t="s">
        <v>86</v>
      </c>
      <c r="BB35" t="s">
        <v>87</v>
      </c>
      <c r="BC35" t="s">
        <v>88</v>
      </c>
      <c r="BD35" t="b">
        <v>0</v>
      </c>
      <c r="BE35" t="b">
        <v>0</v>
      </c>
      <c r="BF35" t="b">
        <v>0</v>
      </c>
      <c r="BG35" t="b">
        <v>0</v>
      </c>
      <c r="BH35" t="b">
        <v>0</v>
      </c>
      <c r="BI35" t="b">
        <v>0</v>
      </c>
      <c r="BJ35" t="b">
        <v>0</v>
      </c>
      <c r="BK35" t="b">
        <v>0</v>
      </c>
      <c r="BL35" t="b">
        <v>0</v>
      </c>
      <c r="BM35" t="b">
        <v>0</v>
      </c>
      <c r="BN35" t="b">
        <v>0</v>
      </c>
      <c r="BO35" t="b">
        <v>0</v>
      </c>
      <c r="BP35" t="b">
        <v>0</v>
      </c>
      <c r="BR35" t="str">
        <f>IFERROR(IF(M35="PASSED",VLOOKUP(J35,Current!J57:BR117,1,FALSE)),N35)</f>
        <v>"1.0053 - NETIOS - Set 'aaa accounting' to log all privileged use commands using 'commands 15: [PASSED]"
Runs accounting for all commands at the specified privilege level.
See Also:
See HTH Policies and Standards
Reference:
NIST 800-53r5|AU-2 AU-3 AU-3(1) AU-7 AU-12
Policy Value:
CONFIG_CHECK
item: aaa accounting commands 15 [^ ]+
Actual Value:
aaa accounting commands 15 default start-stop group ISE-TACACS &lt;----</v>
      </c>
    </row>
    <row r="36" spans="1:70" hidden="1" x14ac:dyDescent="0.25">
      <c r="A36">
        <v>46689</v>
      </c>
      <c r="C36">
        <v>0</v>
      </c>
      <c r="D36" t="s">
        <v>95</v>
      </c>
      <c r="E36" t="s">
        <v>66</v>
      </c>
      <c r="F36" t="s">
        <v>80</v>
      </c>
      <c r="G36">
        <v>0</v>
      </c>
      <c r="H36" t="s">
        <v>81</v>
      </c>
      <c r="I36" t="s">
        <v>82</v>
      </c>
      <c r="J36" t="str">
        <f>MID($N36,FIND("1.",$N36),FIND("-",$N36)-FIND("1.",$N36)-1)</f>
        <v>1.0054</v>
      </c>
      <c r="K36" t="str">
        <f>MID($N36,FIND("NETIOS - ",$N36)+8,FIND(":",$N36,40)-FIND("NETIOS - ",$N36)-8)</f>
        <v xml:space="preserve"> Set 'aaa accounting connection</v>
      </c>
      <c r="L36" t="str">
        <f>MID($N36,FIND("1.",$N36),FIND("[",$N36)-1-FIND("1.",$N36)-1)</f>
        <v>1.0054 - NETIOS - Set 'aaa accounting connection</v>
      </c>
      <c r="M36" t="str">
        <f>MID($N36,FIND("[",$N36)+1,FIND("]",$N36)-FIND("[",$N36)-1)</f>
        <v>FAILED</v>
      </c>
      <c r="N36" t="s">
        <v>217</v>
      </c>
      <c r="O36" t="s">
        <v>77</v>
      </c>
      <c r="R36" t="s">
        <v>67</v>
      </c>
      <c r="T36" t="s">
        <v>68</v>
      </c>
      <c r="U36" t="s">
        <v>66</v>
      </c>
      <c r="X36" t="s">
        <v>69</v>
      </c>
      <c r="Y36" t="s">
        <v>84</v>
      </c>
      <c r="Z36">
        <v>0</v>
      </c>
      <c r="AA36">
        <v>0</v>
      </c>
      <c r="AD36">
        <v>0</v>
      </c>
      <c r="AE36">
        <v>0</v>
      </c>
      <c r="AI36" t="s">
        <v>148</v>
      </c>
      <c r="AJ36" t="s">
        <v>149</v>
      </c>
      <c r="AK36" t="s">
        <v>72</v>
      </c>
      <c r="AN36" t="s">
        <v>73</v>
      </c>
      <c r="AO36" t="s">
        <v>150</v>
      </c>
      <c r="AP36" t="s">
        <v>216</v>
      </c>
      <c r="AQ36" t="s">
        <v>152</v>
      </c>
      <c r="AS36" t="b">
        <v>1</v>
      </c>
      <c r="AT36" t="s">
        <v>65</v>
      </c>
      <c r="AU36">
        <v>0</v>
      </c>
      <c r="AV36">
        <v>0</v>
      </c>
      <c r="AX36">
        <v>39</v>
      </c>
      <c r="AY36" t="s">
        <v>79</v>
      </c>
      <c r="AZ36" t="s">
        <v>86</v>
      </c>
      <c r="BB36" t="s">
        <v>87</v>
      </c>
      <c r="BC36" t="s">
        <v>88</v>
      </c>
      <c r="BD36" t="b">
        <v>0</v>
      </c>
      <c r="BE36" t="b">
        <v>0</v>
      </c>
      <c r="BF36" t="b">
        <v>0</v>
      </c>
      <c r="BG36" t="b">
        <v>0</v>
      </c>
      <c r="BH36" t="b">
        <v>0</v>
      </c>
      <c r="BI36" t="b">
        <v>0</v>
      </c>
      <c r="BJ36" t="b">
        <v>0</v>
      </c>
      <c r="BK36" t="b">
        <v>0</v>
      </c>
      <c r="BL36" t="b">
        <v>0</v>
      </c>
      <c r="BM36" t="b">
        <v>0</v>
      </c>
      <c r="BN36" t="b">
        <v>0</v>
      </c>
      <c r="BO36" t="b">
        <v>0</v>
      </c>
      <c r="BP36" t="b">
        <v>0</v>
      </c>
      <c r="BR36" t="b">
        <f>IFERROR(IF(M36="PASSED",VLOOKUP(J36,Current!J59:BR119,1,FALSE)),N36)</f>
        <v>0</v>
      </c>
    </row>
    <row r="37" spans="1:70" x14ac:dyDescent="0.25">
      <c r="A37">
        <v>46689</v>
      </c>
      <c r="C37">
        <v>0</v>
      </c>
      <c r="D37" t="s">
        <v>65</v>
      </c>
      <c r="E37" t="s">
        <v>66</v>
      </c>
      <c r="F37" t="s">
        <v>80</v>
      </c>
      <c r="G37">
        <v>0</v>
      </c>
      <c r="H37" t="s">
        <v>81</v>
      </c>
      <c r="I37" t="s">
        <v>82</v>
      </c>
      <c r="J37" t="str">
        <f>MID($N37,FIND("1.",$N37),FIND("-",$N37)-FIND("1.",$N37)-1)</f>
        <v>1.0055</v>
      </c>
      <c r="K37" t="str">
        <f>MID($N37,FIND("NETIOS - ",$N37)+8,FIND(":",$N37,40)-FIND("NETIOS - ",$N37)-8)</f>
        <v xml:space="preserve"> Set 'aaa accounting exec</v>
      </c>
      <c r="L37" t="str">
        <f>MID($N37,FIND("1.",$N37),FIND("[",$N37)-1-FIND("1.",$N37)-1)</f>
        <v>1.0055 - NETIOS - Set 'aaa accounting exec</v>
      </c>
      <c r="M37" t="str">
        <f>MID($N37,FIND("[",$N37)+1,FIND("]",$N37)-FIND("[",$N37)-1)</f>
        <v>PASSED</v>
      </c>
      <c r="N37" t="s">
        <v>219</v>
      </c>
      <c r="O37" t="s">
        <v>77</v>
      </c>
      <c r="R37" t="s">
        <v>67</v>
      </c>
      <c r="T37" t="s">
        <v>68</v>
      </c>
      <c r="U37" t="s">
        <v>66</v>
      </c>
      <c r="X37" t="s">
        <v>69</v>
      </c>
      <c r="Y37" t="s">
        <v>84</v>
      </c>
      <c r="Z37">
        <v>0</v>
      </c>
      <c r="AA37">
        <v>0</v>
      </c>
      <c r="AD37">
        <v>0</v>
      </c>
      <c r="AE37">
        <v>0</v>
      </c>
      <c r="AI37" t="s">
        <v>148</v>
      </c>
      <c r="AJ37" t="s">
        <v>149</v>
      </c>
      <c r="AK37" t="s">
        <v>72</v>
      </c>
      <c r="AN37" t="s">
        <v>73</v>
      </c>
      <c r="AO37" t="s">
        <v>150</v>
      </c>
      <c r="AP37" t="s">
        <v>216</v>
      </c>
      <c r="AQ37" t="s">
        <v>152</v>
      </c>
      <c r="AS37" t="b">
        <v>1</v>
      </c>
      <c r="AT37" t="s">
        <v>65</v>
      </c>
      <c r="AU37">
        <v>0</v>
      </c>
      <c r="AV37">
        <v>0</v>
      </c>
      <c r="AX37">
        <v>39</v>
      </c>
      <c r="AY37" t="s">
        <v>79</v>
      </c>
      <c r="AZ37" t="s">
        <v>86</v>
      </c>
      <c r="BB37" t="s">
        <v>87</v>
      </c>
      <c r="BC37" t="s">
        <v>88</v>
      </c>
      <c r="BD37" t="b">
        <v>0</v>
      </c>
      <c r="BE37" t="b">
        <v>0</v>
      </c>
      <c r="BF37" t="b">
        <v>0</v>
      </c>
      <c r="BG37" t="b">
        <v>0</v>
      </c>
      <c r="BH37" t="b">
        <v>0</v>
      </c>
      <c r="BI37" t="b">
        <v>0</v>
      </c>
      <c r="BJ37" t="b">
        <v>0</v>
      </c>
      <c r="BK37" t="b">
        <v>0</v>
      </c>
      <c r="BL37" t="b">
        <v>0</v>
      </c>
      <c r="BM37" t="b">
        <v>0</v>
      </c>
      <c r="BN37" t="b">
        <v>0</v>
      </c>
      <c r="BO37" t="b">
        <v>0</v>
      </c>
      <c r="BP37" t="b">
        <v>0</v>
      </c>
      <c r="BR37" t="str">
        <f>IFERROR(IF(M37="PASSED",VLOOKUP(J37,Current!J61:BR121,1,FALSE)),N37)</f>
        <v>"1.0055 - NETIOS - Set 'aaa accounting exec: [PASSED]"
Runs accounting for the EXEC shell session.
See Also:
See HTH Policies and Standards
Reference:
NIST 800-53r5|AU-2 AU-3 AU-3(1) AU-7 AU-12
Policy Value:
CONFIG_CHECK
item: aaa accounting exec [^ ]+
Actual Value:
aaa accounting exec default start-stop group ISE-TACACS &lt;----</v>
      </c>
    </row>
    <row r="38" spans="1:70" hidden="1" x14ac:dyDescent="0.25">
      <c r="A38">
        <v>46689</v>
      </c>
      <c r="C38">
        <v>0</v>
      </c>
      <c r="D38" t="s">
        <v>95</v>
      </c>
      <c r="E38" t="s">
        <v>66</v>
      </c>
      <c r="F38" t="s">
        <v>80</v>
      </c>
      <c r="G38">
        <v>0</v>
      </c>
      <c r="H38" t="s">
        <v>81</v>
      </c>
      <c r="I38" t="s">
        <v>82</v>
      </c>
      <c r="J38" t="str">
        <f>MID($N38,FIND("1.",$N38),FIND("-",$N38)-FIND("1.",$N38)-1)</f>
        <v>1.0056</v>
      </c>
      <c r="K38" t="str">
        <f>MID($N38,FIND("NETIOS - ",$N38)+8,FIND(":",$N38,40)-FIND("NETIOS - ",$N38)-8)</f>
        <v xml:space="preserve"> Set 'aaa accounting network</v>
      </c>
      <c r="L38" t="str">
        <f>MID($N38,FIND("1.",$N38),FIND("[",$N38)-1-FIND("1.",$N38)-1)</f>
        <v>1.0056 - NETIOS - Set 'aaa accounting network</v>
      </c>
      <c r="M38" t="str">
        <f>MID($N38,FIND("[",$N38)+1,FIND("]",$N38)-FIND("[",$N38)-1)</f>
        <v>FAILED</v>
      </c>
      <c r="N38" t="s">
        <v>164</v>
      </c>
      <c r="O38" t="s">
        <v>77</v>
      </c>
      <c r="R38" t="s">
        <v>67</v>
      </c>
      <c r="T38" t="s">
        <v>68</v>
      </c>
      <c r="U38" t="s">
        <v>66</v>
      </c>
      <c r="X38" t="s">
        <v>69</v>
      </c>
      <c r="Y38" t="s">
        <v>84</v>
      </c>
      <c r="Z38">
        <v>0</v>
      </c>
      <c r="AA38">
        <v>0</v>
      </c>
      <c r="AD38">
        <v>0</v>
      </c>
      <c r="AE38">
        <v>0</v>
      </c>
      <c r="AI38" t="s">
        <v>148</v>
      </c>
      <c r="AJ38" t="s">
        <v>149</v>
      </c>
      <c r="AK38" t="s">
        <v>72</v>
      </c>
      <c r="AN38" t="s">
        <v>73</v>
      </c>
      <c r="AO38" t="s">
        <v>150</v>
      </c>
      <c r="AP38" t="s">
        <v>163</v>
      </c>
      <c r="AQ38" t="s">
        <v>152</v>
      </c>
      <c r="AS38" t="b">
        <v>1</v>
      </c>
      <c r="AT38" t="s">
        <v>65</v>
      </c>
      <c r="AU38">
        <v>0</v>
      </c>
      <c r="AV38">
        <v>0</v>
      </c>
      <c r="AX38">
        <v>39</v>
      </c>
      <c r="AY38" t="s">
        <v>79</v>
      </c>
      <c r="AZ38" t="s">
        <v>86</v>
      </c>
      <c r="BB38" t="s">
        <v>87</v>
      </c>
      <c r="BC38" t="s">
        <v>88</v>
      </c>
      <c r="BD38" t="b">
        <v>0</v>
      </c>
      <c r="BE38" t="b">
        <v>0</v>
      </c>
      <c r="BF38" t="b">
        <v>0</v>
      </c>
      <c r="BG38" t="b">
        <v>0</v>
      </c>
      <c r="BH38" t="b">
        <v>0</v>
      </c>
      <c r="BI38" t="b">
        <v>0</v>
      </c>
      <c r="BJ38" t="b">
        <v>0</v>
      </c>
      <c r="BK38" t="b">
        <v>0</v>
      </c>
      <c r="BL38" t="b">
        <v>0</v>
      </c>
      <c r="BM38" t="b">
        <v>0</v>
      </c>
      <c r="BN38" t="b">
        <v>0</v>
      </c>
      <c r="BO38" t="b">
        <v>0</v>
      </c>
      <c r="BP38" t="b">
        <v>0</v>
      </c>
      <c r="BR38" t="b">
        <f>IFERROR(IF(M38="PASSED",VLOOKUP(J38,Current!J63:BR123,1,FALSE)),N38)</f>
        <v>0</v>
      </c>
    </row>
    <row r="39" spans="1:70" hidden="1" x14ac:dyDescent="0.25">
      <c r="A39">
        <v>46689</v>
      </c>
      <c r="C39">
        <v>0</v>
      </c>
      <c r="D39" t="s">
        <v>95</v>
      </c>
      <c r="E39" t="s">
        <v>66</v>
      </c>
      <c r="F39" t="s">
        <v>80</v>
      </c>
      <c r="G39">
        <v>0</v>
      </c>
      <c r="H39" t="s">
        <v>81</v>
      </c>
      <c r="I39" t="s">
        <v>82</v>
      </c>
      <c r="J39" t="str">
        <f>MID($N39,FIND("1.",$N39),FIND("-",$N39)-FIND("1.",$N39)-1)</f>
        <v>1.0057</v>
      </c>
      <c r="K39" t="str">
        <f>MID($N39,FIND("NETIOS - ",$N39)+8,FIND(":",$N39,40)-FIND("NETIOS - ",$N39)-8)</f>
        <v xml:space="preserve"> Set 'exec-timeout' to less than or equal to 10 min on 'ip http</v>
      </c>
      <c r="L39" t="str">
        <f>MID($N39,FIND("1.",$N39),FIND("[",$N39)-1-FIND("1.",$N39)-1)</f>
        <v>1.0057 - NETIOS - Set 'exec-timeout' to less than or equal to 10 min on 'ip http</v>
      </c>
      <c r="M39" t="str">
        <f>MID($N39,FIND("[",$N39)+1,FIND("]",$N39)-FIND("[",$N39)-1)</f>
        <v>FAILED</v>
      </c>
      <c r="N39" t="s">
        <v>194</v>
      </c>
      <c r="O39" t="s">
        <v>77</v>
      </c>
      <c r="R39" t="s">
        <v>67</v>
      </c>
      <c r="T39" t="s">
        <v>68</v>
      </c>
      <c r="U39" t="s">
        <v>66</v>
      </c>
      <c r="X39" t="s">
        <v>69</v>
      </c>
      <c r="Y39" t="s">
        <v>84</v>
      </c>
      <c r="Z39">
        <v>0</v>
      </c>
      <c r="AA39">
        <v>0</v>
      </c>
      <c r="AD39">
        <v>0</v>
      </c>
      <c r="AE39">
        <v>0</v>
      </c>
      <c r="AI39" t="s">
        <v>148</v>
      </c>
      <c r="AJ39" t="s">
        <v>149</v>
      </c>
      <c r="AK39" t="s">
        <v>72</v>
      </c>
      <c r="AN39" t="s">
        <v>73</v>
      </c>
      <c r="AO39" t="s">
        <v>150</v>
      </c>
      <c r="AP39" t="s">
        <v>195</v>
      </c>
      <c r="AQ39" t="s">
        <v>152</v>
      </c>
      <c r="AS39" t="b">
        <v>1</v>
      </c>
      <c r="AT39" t="s">
        <v>65</v>
      </c>
      <c r="AU39">
        <v>0</v>
      </c>
      <c r="AV39">
        <v>0</v>
      </c>
      <c r="AX39">
        <v>39</v>
      </c>
      <c r="AY39" t="s">
        <v>79</v>
      </c>
      <c r="AZ39" t="s">
        <v>86</v>
      </c>
      <c r="BB39" t="s">
        <v>87</v>
      </c>
      <c r="BC39" t="s">
        <v>88</v>
      </c>
      <c r="BD39" t="b">
        <v>0</v>
      </c>
      <c r="BE39" t="b">
        <v>0</v>
      </c>
      <c r="BF39" t="b">
        <v>0</v>
      </c>
      <c r="BG39" t="b">
        <v>0</v>
      </c>
      <c r="BH39" t="b">
        <v>0</v>
      </c>
      <c r="BI39" t="b">
        <v>0</v>
      </c>
      <c r="BJ39" t="b">
        <v>0</v>
      </c>
      <c r="BK39" t="b">
        <v>0</v>
      </c>
      <c r="BL39" t="b">
        <v>0</v>
      </c>
      <c r="BM39" t="b">
        <v>0</v>
      </c>
      <c r="BN39" t="b">
        <v>0</v>
      </c>
      <c r="BO39" t="b">
        <v>0</v>
      </c>
      <c r="BP39" t="b">
        <v>0</v>
      </c>
      <c r="BR39" t="b">
        <f>IFERROR(IF(M39="PASSED",VLOOKUP(J39,Current!J65:BR125,1,FALSE)),N39)</f>
        <v>0</v>
      </c>
    </row>
    <row r="40" spans="1:70" x14ac:dyDescent="0.25">
      <c r="A40">
        <v>46689</v>
      </c>
      <c r="C40">
        <v>0</v>
      </c>
      <c r="D40" t="s">
        <v>65</v>
      </c>
      <c r="E40" t="s">
        <v>66</v>
      </c>
      <c r="F40" t="s">
        <v>80</v>
      </c>
      <c r="G40">
        <v>0</v>
      </c>
      <c r="H40" t="s">
        <v>81</v>
      </c>
      <c r="I40" t="s">
        <v>82</v>
      </c>
      <c r="J40" t="str">
        <f>MID($N40,FIND("1.",$N40),FIND("-",$N40)-FIND("1.",$N40)-1)</f>
        <v>1.0058</v>
      </c>
      <c r="K40" t="str">
        <f>MID($N40,FIND("NETIOS - ",$N40)+8,FIND(":",$N40,40)-FIND("NETIOS - ",$N40)-8)</f>
        <v xml:space="preserve"> Set 'exec-timeout' to less than or equal to 10 minutes for 'line aux 0</v>
      </c>
      <c r="L40" t="str">
        <f>MID($N40,FIND("1.",$N40),FIND("[",$N40)-1-FIND("1.",$N40)-1)</f>
        <v>1.0058 - NETIOS - Set 'exec-timeout' to less than or equal to 10 minutes for 'line aux 0</v>
      </c>
      <c r="M40" t="str">
        <f>MID($N40,FIND("[",$N40)+1,FIND("]",$N40)-FIND("[",$N40)-1)</f>
        <v>PASSED</v>
      </c>
      <c r="N40" t="s">
        <v>175</v>
      </c>
      <c r="O40" t="s">
        <v>77</v>
      </c>
      <c r="R40" t="s">
        <v>67</v>
      </c>
      <c r="T40" t="s">
        <v>68</v>
      </c>
      <c r="U40" t="s">
        <v>66</v>
      </c>
      <c r="X40" t="s">
        <v>69</v>
      </c>
      <c r="Y40" t="s">
        <v>84</v>
      </c>
      <c r="Z40">
        <v>0</v>
      </c>
      <c r="AA40">
        <v>0</v>
      </c>
      <c r="AD40">
        <v>0</v>
      </c>
      <c r="AE40">
        <v>0</v>
      </c>
      <c r="AI40" t="s">
        <v>148</v>
      </c>
      <c r="AJ40" t="s">
        <v>149</v>
      </c>
      <c r="AK40" t="s">
        <v>72</v>
      </c>
      <c r="AN40" t="s">
        <v>73</v>
      </c>
      <c r="AO40" t="s">
        <v>150</v>
      </c>
      <c r="AP40" t="s">
        <v>173</v>
      </c>
      <c r="AQ40" t="s">
        <v>152</v>
      </c>
      <c r="AS40" t="b">
        <v>1</v>
      </c>
      <c r="AT40" t="s">
        <v>65</v>
      </c>
      <c r="AU40">
        <v>0</v>
      </c>
      <c r="AV40">
        <v>0</v>
      </c>
      <c r="AX40">
        <v>39</v>
      </c>
      <c r="AY40" t="s">
        <v>79</v>
      </c>
      <c r="AZ40" t="s">
        <v>86</v>
      </c>
      <c r="BB40" t="s">
        <v>87</v>
      </c>
      <c r="BC40" t="s">
        <v>88</v>
      </c>
      <c r="BD40" t="b">
        <v>0</v>
      </c>
      <c r="BE40" t="b">
        <v>0</v>
      </c>
      <c r="BF40" t="b">
        <v>0</v>
      </c>
      <c r="BG40" t="b">
        <v>0</v>
      </c>
      <c r="BH40" t="b">
        <v>0</v>
      </c>
      <c r="BI40" t="b">
        <v>0</v>
      </c>
      <c r="BJ40" t="b">
        <v>0</v>
      </c>
      <c r="BK40" t="b">
        <v>0</v>
      </c>
      <c r="BL40" t="b">
        <v>0</v>
      </c>
      <c r="BM40" t="b">
        <v>0</v>
      </c>
      <c r="BN40" t="b">
        <v>0</v>
      </c>
      <c r="BO40" t="b">
        <v>0</v>
      </c>
      <c r="BP40" t="b">
        <v>0</v>
      </c>
      <c r="BR40" t="str">
        <f>IFERROR(IF(M40="PASSED",VLOOKUP(J40,Current!J67:BR127,1,FALSE)),N40)</f>
        <v>"1.0058 - NETIOS - Set 'exec-timeout' to less than or equal to 10 minutes for 'line aux 0: [PASSED]"
If no input is detected during the interval, the EXEC facility resumes the current connection.
See Also:
See HTH Policies and Standards
Reference:
NIST 800-53r5|AC-2(5) AC-11 AC-11(1) AC-12
Policy Value:
CONFIG_CHECK_NOT
item: exec-timeout (1[1-9]|[2-9][0-9]|[0-9]{3,}) [0-9]+$
context: line aux 0
Actual Value:
line aux 0
 no exec
Expected configuration: 
exec-timeout (1[1-9]|[2-9][0-9]|[0-9]{3,}) [0-9]+$</v>
      </c>
    </row>
    <row r="41" spans="1:70" hidden="1" x14ac:dyDescent="0.25">
      <c r="A41">
        <v>46689</v>
      </c>
      <c r="C41">
        <v>0</v>
      </c>
      <c r="D41" t="s">
        <v>95</v>
      </c>
      <c r="E41" t="s">
        <v>66</v>
      </c>
      <c r="F41" t="s">
        <v>80</v>
      </c>
      <c r="G41">
        <v>0</v>
      </c>
      <c r="H41" t="s">
        <v>81</v>
      </c>
      <c r="I41" t="s">
        <v>82</v>
      </c>
      <c r="J41" t="str">
        <f>MID($N41,FIND("1.",$N41),FIND("-",$N41)-FIND("1.",$N41)-1)</f>
        <v>1.0059</v>
      </c>
      <c r="K41" t="str">
        <f>MID($N41,FIND("NETIOS - ",$N41)+8,FIND(":",$N41,40)-FIND("NETIOS - ",$N41)-8)</f>
        <v xml:space="preserve"> Set 'http Secure-server' limit</v>
      </c>
      <c r="L41" t="str">
        <f>MID($N41,FIND("1.",$N41),FIND("[",$N41)-1-FIND("1.",$N41)-1)</f>
        <v>1.0059 - NETIOS - Set 'http Secure-server' limit</v>
      </c>
      <c r="M41" t="str">
        <f>MID($N41,FIND("[",$N41)+1,FIND("]",$N41)-FIND("[",$N41)-1)</f>
        <v>FAILED</v>
      </c>
      <c r="N41" t="s">
        <v>201</v>
      </c>
      <c r="O41" t="s">
        <v>77</v>
      </c>
      <c r="R41" t="s">
        <v>67</v>
      </c>
      <c r="T41" t="s">
        <v>68</v>
      </c>
      <c r="U41" t="s">
        <v>66</v>
      </c>
      <c r="X41" t="s">
        <v>69</v>
      </c>
      <c r="Y41" t="s">
        <v>84</v>
      </c>
      <c r="Z41">
        <v>0</v>
      </c>
      <c r="AA41">
        <v>0</v>
      </c>
      <c r="AD41">
        <v>0</v>
      </c>
      <c r="AE41">
        <v>0</v>
      </c>
      <c r="AI41" t="s">
        <v>148</v>
      </c>
      <c r="AJ41" t="s">
        <v>149</v>
      </c>
      <c r="AK41" t="s">
        <v>72</v>
      </c>
      <c r="AN41" t="s">
        <v>73</v>
      </c>
      <c r="AO41" t="s">
        <v>150</v>
      </c>
      <c r="AP41" t="s">
        <v>199</v>
      </c>
      <c r="AQ41" t="s">
        <v>152</v>
      </c>
      <c r="AS41" t="b">
        <v>1</v>
      </c>
      <c r="AT41" t="s">
        <v>65</v>
      </c>
      <c r="AU41">
        <v>0</v>
      </c>
      <c r="AV41">
        <v>0</v>
      </c>
      <c r="AX41">
        <v>39</v>
      </c>
      <c r="AY41" t="s">
        <v>79</v>
      </c>
      <c r="AZ41" t="s">
        <v>86</v>
      </c>
      <c r="BB41" t="s">
        <v>87</v>
      </c>
      <c r="BC41" t="s">
        <v>88</v>
      </c>
      <c r="BD41" t="b">
        <v>0</v>
      </c>
      <c r="BE41" t="b">
        <v>0</v>
      </c>
      <c r="BF41" t="b">
        <v>0</v>
      </c>
      <c r="BG41" t="b">
        <v>0</v>
      </c>
      <c r="BH41" t="b">
        <v>0</v>
      </c>
      <c r="BI41" t="b">
        <v>0</v>
      </c>
      <c r="BJ41" t="b">
        <v>0</v>
      </c>
      <c r="BK41" t="b">
        <v>0</v>
      </c>
      <c r="BL41" t="b">
        <v>0</v>
      </c>
      <c r="BM41" t="b">
        <v>0</v>
      </c>
      <c r="BN41" t="b">
        <v>0</v>
      </c>
      <c r="BO41" t="b">
        <v>0</v>
      </c>
      <c r="BP41" t="b">
        <v>0</v>
      </c>
      <c r="BR41" t="b">
        <f>IFERROR(IF(M41="PASSED",VLOOKUP(J41,Current!J69:BR129,1,FALSE)),N41)</f>
        <v>0</v>
      </c>
    </row>
    <row r="42" spans="1:70" hidden="1" x14ac:dyDescent="0.25">
      <c r="A42">
        <v>46689</v>
      </c>
      <c r="C42">
        <v>0</v>
      </c>
      <c r="D42" t="s">
        <v>95</v>
      </c>
      <c r="E42" t="s">
        <v>66</v>
      </c>
      <c r="F42" t="s">
        <v>80</v>
      </c>
      <c r="G42">
        <v>0</v>
      </c>
      <c r="H42" t="s">
        <v>81</v>
      </c>
      <c r="I42" t="s">
        <v>82</v>
      </c>
      <c r="J42" t="str">
        <f>MID($N42,FIND("1.",$N42),FIND("-",$N42)-FIND("1.",$N42)-1)</f>
        <v>1.0060</v>
      </c>
      <c r="K42" t="str">
        <f>MID($N42,FIND("NETIOS - ",$N42)+8,FIND(":",$N42,40)-FIND("NETIOS - ",$N42)-8)</f>
        <v xml:space="preserve"> Set the 'banner-text' for 'webauth banner</v>
      </c>
      <c r="L42" t="str">
        <f>MID($N42,FIND("1.",$N42),FIND("[",$N42)-1-FIND("1.",$N42)-1)</f>
        <v>1.0060 - NETIOS - Set the 'banner-text' for 'webauth banner</v>
      </c>
      <c r="M42" t="str">
        <f>MID($N42,FIND("[",$N42)+1,FIND("]",$N42)-FIND("[",$N42)-1)</f>
        <v>FAILED</v>
      </c>
      <c r="N42" t="s">
        <v>209</v>
      </c>
      <c r="O42" t="s">
        <v>77</v>
      </c>
      <c r="R42" t="s">
        <v>67</v>
      </c>
      <c r="T42" t="s">
        <v>68</v>
      </c>
      <c r="U42" t="s">
        <v>66</v>
      </c>
      <c r="X42" t="s">
        <v>69</v>
      </c>
      <c r="Y42" t="s">
        <v>84</v>
      </c>
      <c r="Z42">
        <v>0</v>
      </c>
      <c r="AA42">
        <v>0</v>
      </c>
      <c r="AD42">
        <v>0</v>
      </c>
      <c r="AE42">
        <v>0</v>
      </c>
      <c r="AI42" t="s">
        <v>148</v>
      </c>
      <c r="AJ42" t="s">
        <v>149</v>
      </c>
      <c r="AK42" t="s">
        <v>72</v>
      </c>
      <c r="AN42" t="s">
        <v>73</v>
      </c>
      <c r="AO42" t="s">
        <v>150</v>
      </c>
      <c r="AP42" t="s">
        <v>208</v>
      </c>
      <c r="AQ42" t="s">
        <v>152</v>
      </c>
      <c r="AS42" t="b">
        <v>1</v>
      </c>
      <c r="AT42" t="s">
        <v>65</v>
      </c>
      <c r="AU42">
        <v>0</v>
      </c>
      <c r="AV42">
        <v>0</v>
      </c>
      <c r="AX42">
        <v>39</v>
      </c>
      <c r="AY42" t="s">
        <v>79</v>
      </c>
      <c r="AZ42" t="s">
        <v>86</v>
      </c>
      <c r="BB42" t="s">
        <v>87</v>
      </c>
      <c r="BC42" t="s">
        <v>88</v>
      </c>
      <c r="BD42" t="b">
        <v>0</v>
      </c>
      <c r="BE42" t="b">
        <v>0</v>
      </c>
      <c r="BF42" t="b">
        <v>0</v>
      </c>
      <c r="BG42" t="b">
        <v>0</v>
      </c>
      <c r="BH42" t="b">
        <v>0</v>
      </c>
      <c r="BI42" t="b">
        <v>0</v>
      </c>
      <c r="BJ42" t="b">
        <v>0</v>
      </c>
      <c r="BK42" t="b">
        <v>0</v>
      </c>
      <c r="BL42" t="b">
        <v>0</v>
      </c>
      <c r="BM42" t="b">
        <v>0</v>
      </c>
      <c r="BN42" t="b">
        <v>0</v>
      </c>
      <c r="BO42" t="b">
        <v>0</v>
      </c>
      <c r="BP42" t="b">
        <v>0</v>
      </c>
      <c r="BR42" t="b">
        <f>IFERROR(IF(M42="PASSED",VLOOKUP(J42,Current!J71:BR131,1,FALSE)),N42)</f>
        <v>0</v>
      </c>
    </row>
    <row r="43" spans="1:70" hidden="1" x14ac:dyDescent="0.25">
      <c r="A43">
        <v>46689</v>
      </c>
      <c r="C43">
        <v>0</v>
      </c>
      <c r="D43" t="s">
        <v>95</v>
      </c>
      <c r="E43" t="s">
        <v>66</v>
      </c>
      <c r="F43" t="s">
        <v>80</v>
      </c>
      <c r="G43">
        <v>0</v>
      </c>
      <c r="H43" t="s">
        <v>81</v>
      </c>
      <c r="I43" t="s">
        <v>82</v>
      </c>
      <c r="J43" t="str">
        <f>MID($N43,FIND("1.",$N43),FIND("-",$N43)-FIND("1.",$N43)-1)</f>
        <v>1.0061</v>
      </c>
      <c r="K43" t="str">
        <f>MID($N43,FIND("NETIOS - ",$N43)+8,FIND(":",$N43,40)-FIND("NETIOS - ",$N43)-8)</f>
        <v xml:space="preserve"> Require 'aes 128' as minimum for 'snmp-server user' when using SNMPv3</v>
      </c>
      <c r="L43" t="str">
        <f>MID($N43,FIND("1.",$N43),FIND("[",$N43)-1-FIND("1.",$N43)-1)</f>
        <v>1.0061 - NETIOS - Require 'aes 128' as minimum for 'snmp-server user' when using SNMPv3</v>
      </c>
      <c r="M43" t="str">
        <f>MID($N43,FIND("[",$N43)+1,FIND("]",$N43)-FIND("[",$N43)-1)</f>
        <v>FAILED</v>
      </c>
      <c r="N43" t="s">
        <v>213</v>
      </c>
      <c r="O43" t="s">
        <v>77</v>
      </c>
      <c r="R43" t="s">
        <v>67</v>
      </c>
      <c r="T43" t="s">
        <v>68</v>
      </c>
      <c r="U43" t="s">
        <v>66</v>
      </c>
      <c r="X43" t="s">
        <v>69</v>
      </c>
      <c r="Y43" t="s">
        <v>84</v>
      </c>
      <c r="Z43">
        <v>0</v>
      </c>
      <c r="AA43">
        <v>0</v>
      </c>
      <c r="AD43">
        <v>0</v>
      </c>
      <c r="AE43">
        <v>0</v>
      </c>
      <c r="AI43" t="s">
        <v>148</v>
      </c>
      <c r="AJ43" t="s">
        <v>149</v>
      </c>
      <c r="AK43" t="s">
        <v>72</v>
      </c>
      <c r="AN43" t="s">
        <v>73</v>
      </c>
      <c r="AO43" t="s">
        <v>150</v>
      </c>
      <c r="AP43" t="s">
        <v>212</v>
      </c>
      <c r="AQ43" t="s">
        <v>152</v>
      </c>
      <c r="AS43" t="b">
        <v>1</v>
      </c>
      <c r="AT43" t="s">
        <v>65</v>
      </c>
      <c r="AU43">
        <v>0</v>
      </c>
      <c r="AV43">
        <v>0</v>
      </c>
      <c r="AX43">
        <v>39</v>
      </c>
      <c r="AY43" t="s">
        <v>79</v>
      </c>
      <c r="AZ43" t="s">
        <v>86</v>
      </c>
      <c r="BB43" t="s">
        <v>87</v>
      </c>
      <c r="BC43" t="s">
        <v>88</v>
      </c>
      <c r="BD43" t="b">
        <v>0</v>
      </c>
      <c r="BE43" t="b">
        <v>0</v>
      </c>
      <c r="BF43" t="b">
        <v>0</v>
      </c>
      <c r="BG43" t="b">
        <v>0</v>
      </c>
      <c r="BH43" t="b">
        <v>0</v>
      </c>
      <c r="BI43" t="b">
        <v>0</v>
      </c>
      <c r="BJ43" t="b">
        <v>0</v>
      </c>
      <c r="BK43" t="b">
        <v>0</v>
      </c>
      <c r="BL43" t="b">
        <v>0</v>
      </c>
      <c r="BM43" t="b">
        <v>0</v>
      </c>
      <c r="BN43" t="b">
        <v>0</v>
      </c>
      <c r="BO43" t="b">
        <v>0</v>
      </c>
      <c r="BP43" t="b">
        <v>0</v>
      </c>
      <c r="BR43" t="b">
        <f>IFERROR(IF(M43="PASSED",VLOOKUP(J43,Current!J73:BR133,1,FALSE)),N43)</f>
        <v>0</v>
      </c>
    </row>
    <row r="44" spans="1:70" hidden="1" x14ac:dyDescent="0.25">
      <c r="A44">
        <v>46689</v>
      </c>
      <c r="C44">
        <v>0</v>
      </c>
      <c r="D44" t="s">
        <v>95</v>
      </c>
      <c r="E44" t="s">
        <v>66</v>
      </c>
      <c r="F44" t="s">
        <v>80</v>
      </c>
      <c r="G44">
        <v>0</v>
      </c>
      <c r="H44" t="s">
        <v>81</v>
      </c>
      <c r="I44" t="s">
        <v>82</v>
      </c>
      <c r="J44" t="str">
        <f>MID($N44,FIND("1.",$N44),FIND("-",$N44)-FIND("1.",$N44)-1)</f>
        <v>1.0062</v>
      </c>
      <c r="K44" t="str">
        <f>MID($N44,FIND("NETIOS - ",$N44)+8,FIND(":",$N44,40)-FIND("NETIOS - ",$N44)-8)</f>
        <v xml:space="preserve"> Set 'priv' for each 'snmp-server group' using SNMPv3</v>
      </c>
      <c r="L44" t="str">
        <f>MID($N44,FIND("1.",$N44),FIND("[",$N44)-1-FIND("1.",$N44)-1)</f>
        <v>1.0062 - NETIOS - Set 'priv' for each 'snmp-server group' using SNMPv3</v>
      </c>
      <c r="M44" t="str">
        <f>MID($N44,FIND("[",$N44)+1,FIND("]",$N44)-FIND("[",$N44)-1)</f>
        <v>FAILED</v>
      </c>
      <c r="N44" t="s">
        <v>192</v>
      </c>
      <c r="O44" t="s">
        <v>77</v>
      </c>
      <c r="R44" t="s">
        <v>67</v>
      </c>
      <c r="T44" t="s">
        <v>68</v>
      </c>
      <c r="U44" t="s">
        <v>66</v>
      </c>
      <c r="X44" t="s">
        <v>69</v>
      </c>
      <c r="Y44" t="s">
        <v>84</v>
      </c>
      <c r="Z44">
        <v>0</v>
      </c>
      <c r="AA44">
        <v>0</v>
      </c>
      <c r="AD44">
        <v>0</v>
      </c>
      <c r="AE44">
        <v>0</v>
      </c>
      <c r="AI44" t="s">
        <v>148</v>
      </c>
      <c r="AJ44" t="s">
        <v>149</v>
      </c>
      <c r="AK44" t="s">
        <v>72</v>
      </c>
      <c r="AN44" t="s">
        <v>73</v>
      </c>
      <c r="AO44" t="s">
        <v>150</v>
      </c>
      <c r="AP44" t="s">
        <v>190</v>
      </c>
      <c r="AQ44" t="s">
        <v>152</v>
      </c>
      <c r="AS44" t="b">
        <v>1</v>
      </c>
      <c r="AT44" t="s">
        <v>65</v>
      </c>
      <c r="AU44">
        <v>0</v>
      </c>
      <c r="AV44">
        <v>0</v>
      </c>
      <c r="AX44">
        <v>39</v>
      </c>
      <c r="AY44" t="s">
        <v>79</v>
      </c>
      <c r="AZ44" t="s">
        <v>86</v>
      </c>
      <c r="BB44" t="s">
        <v>87</v>
      </c>
      <c r="BC44" t="s">
        <v>88</v>
      </c>
      <c r="BD44" t="b">
        <v>0</v>
      </c>
      <c r="BE44" t="b">
        <v>0</v>
      </c>
      <c r="BF44" t="b">
        <v>0</v>
      </c>
      <c r="BG44" t="b">
        <v>0</v>
      </c>
      <c r="BH44" t="b">
        <v>0</v>
      </c>
      <c r="BI44" t="b">
        <v>0</v>
      </c>
      <c r="BJ44" t="b">
        <v>0</v>
      </c>
      <c r="BK44" t="b">
        <v>0</v>
      </c>
      <c r="BL44" t="b">
        <v>0</v>
      </c>
      <c r="BM44" t="b">
        <v>0</v>
      </c>
      <c r="BN44" t="b">
        <v>0</v>
      </c>
      <c r="BO44" t="b">
        <v>0</v>
      </c>
      <c r="BP44" t="b">
        <v>0</v>
      </c>
      <c r="BR44" t="b">
        <f>IFERROR(IF(M44="PASSED",VLOOKUP(J44,Current!J75:BR135,1,FALSE)),N44)</f>
        <v>0</v>
      </c>
    </row>
    <row r="45" spans="1:70" x14ac:dyDescent="0.25">
      <c r="A45">
        <v>46689</v>
      </c>
      <c r="C45">
        <v>0</v>
      </c>
      <c r="D45" t="s">
        <v>65</v>
      </c>
      <c r="E45" t="s">
        <v>66</v>
      </c>
      <c r="F45" t="s">
        <v>80</v>
      </c>
      <c r="G45">
        <v>0</v>
      </c>
      <c r="H45" t="s">
        <v>81</v>
      </c>
      <c r="I45" t="s">
        <v>82</v>
      </c>
      <c r="J45" t="str">
        <f>MID($N45,FIND("1.",$N45),FIND("-",$N45)-FIND("1.",$N45)-1)</f>
        <v>1.0063</v>
      </c>
      <c r="K45" t="str">
        <f>MID($N45,FIND("NETIOS - ",$N45)+8,FIND(":",$N45,40)-FIND("NETIOS - ",$N45)-8)</f>
        <v xml:space="preserve"> Set maximum value for 'ip ssh authentication-retries</v>
      </c>
      <c r="L45" t="str">
        <f>MID($N45,FIND("1.",$N45),FIND("[",$N45)-1-FIND("1.",$N45)-1)</f>
        <v>1.0063 - NETIOS - Set maximum value for 'ip ssh authentication-retries</v>
      </c>
      <c r="M45" t="str">
        <f>MID($N45,FIND("[",$N45)+1,FIND("]",$N45)-FIND("[",$N45)-1)</f>
        <v>PASSED</v>
      </c>
      <c r="N45" t="s">
        <v>204</v>
      </c>
      <c r="O45" t="s">
        <v>77</v>
      </c>
      <c r="R45" t="s">
        <v>67</v>
      </c>
      <c r="T45" t="s">
        <v>68</v>
      </c>
      <c r="U45" t="s">
        <v>66</v>
      </c>
      <c r="X45" t="s">
        <v>69</v>
      </c>
      <c r="Y45" t="s">
        <v>84</v>
      </c>
      <c r="Z45">
        <v>0</v>
      </c>
      <c r="AA45">
        <v>0</v>
      </c>
      <c r="AD45">
        <v>0</v>
      </c>
      <c r="AE45">
        <v>0</v>
      </c>
      <c r="AI45" t="s">
        <v>148</v>
      </c>
      <c r="AJ45" t="s">
        <v>149</v>
      </c>
      <c r="AK45" t="s">
        <v>72</v>
      </c>
      <c r="AN45" t="s">
        <v>73</v>
      </c>
      <c r="AO45" t="s">
        <v>150</v>
      </c>
      <c r="AP45" t="s">
        <v>203</v>
      </c>
      <c r="AQ45" t="s">
        <v>152</v>
      </c>
      <c r="AS45" t="b">
        <v>1</v>
      </c>
      <c r="AT45" t="s">
        <v>65</v>
      </c>
      <c r="AU45">
        <v>0</v>
      </c>
      <c r="AV45">
        <v>0</v>
      </c>
      <c r="AX45">
        <v>39</v>
      </c>
      <c r="AY45" t="s">
        <v>79</v>
      </c>
      <c r="AZ45" t="s">
        <v>86</v>
      </c>
      <c r="BB45" t="s">
        <v>87</v>
      </c>
      <c r="BC45" t="s">
        <v>88</v>
      </c>
      <c r="BD45" t="b">
        <v>0</v>
      </c>
      <c r="BE45" t="b">
        <v>0</v>
      </c>
      <c r="BF45" t="b">
        <v>0</v>
      </c>
      <c r="BG45" t="b">
        <v>0</v>
      </c>
      <c r="BH45" t="b">
        <v>0</v>
      </c>
      <c r="BI45" t="b">
        <v>0</v>
      </c>
      <c r="BJ45" t="b">
        <v>0</v>
      </c>
      <c r="BK45" t="b">
        <v>0</v>
      </c>
      <c r="BL45" t="b">
        <v>0</v>
      </c>
      <c r="BM45" t="b">
        <v>0</v>
      </c>
      <c r="BN45" t="b">
        <v>0</v>
      </c>
      <c r="BO45" t="b">
        <v>0</v>
      </c>
      <c r="BP45" t="b">
        <v>0</v>
      </c>
      <c r="BR45" t="str">
        <f>IFERROR(IF(M45="PASSED",VLOOKUP(J45,Current!J77:BR137,1,FALSE)),N45)</f>
        <v>"1.0063 - NETIOS - Set maximum value for 'ip ssh authentication-retries: [PASSED]"
The number of retries before the SSH login session disconnects.
See Also:
See HTH Policies and Standards
Reference:
NIST 800-53r5|IA-2(1)
Policy Value:
CONFIG_CHECK_NOT
item: ip ssh authentication-retries ([4-9]|[1-9][0-9]+)$
Actual Value:
ip ssh authentication-retries ([4-9]|[1-9][0-9]+)$ not found in the configuration file</v>
      </c>
    </row>
    <row r="46" spans="1:70" hidden="1" x14ac:dyDescent="0.25">
      <c r="A46">
        <v>46689</v>
      </c>
      <c r="C46">
        <v>0</v>
      </c>
      <c r="D46" t="s">
        <v>95</v>
      </c>
      <c r="E46" t="s">
        <v>66</v>
      </c>
      <c r="F46" t="s">
        <v>80</v>
      </c>
      <c r="G46">
        <v>0</v>
      </c>
      <c r="H46" t="s">
        <v>81</v>
      </c>
      <c r="I46" t="s">
        <v>82</v>
      </c>
      <c r="J46" t="str">
        <f>MID($N46,FIND("1.",$N46),FIND("-",$N46)-FIND("1.",$N46)-1)</f>
        <v>1.0064</v>
      </c>
      <c r="K46" t="str">
        <f>MID($N46,FIND("NETIOS - ",$N46)+8,FIND(":",$N46,40)-FIND("NETIOS - ",$N46)-8)</f>
        <v xml:space="preserve"> Set 'logging enable: [FAILED]"
Enable logging of system messages.
See Also</v>
      </c>
      <c r="L46" t="str">
        <f>MID($N46,FIND("1.",$N46),FIND("[",$N46)-1-FIND("1.",$N46)-1)</f>
        <v>1.0064 - NETIOS - Set 'logging enable</v>
      </c>
      <c r="M46" t="str">
        <f>MID($N46,FIND("[",$N46)+1,FIND("]",$N46)-FIND("[",$N46)-1)</f>
        <v>FAILED</v>
      </c>
      <c r="N46" t="s">
        <v>158</v>
      </c>
      <c r="O46" t="s">
        <v>77</v>
      </c>
      <c r="R46" t="s">
        <v>67</v>
      </c>
      <c r="T46" t="s">
        <v>68</v>
      </c>
      <c r="U46" t="s">
        <v>66</v>
      </c>
      <c r="X46" t="s">
        <v>69</v>
      </c>
      <c r="Y46" t="s">
        <v>84</v>
      </c>
      <c r="Z46">
        <v>0</v>
      </c>
      <c r="AA46">
        <v>0</v>
      </c>
      <c r="AD46">
        <v>0</v>
      </c>
      <c r="AE46">
        <v>0</v>
      </c>
      <c r="AI46" t="s">
        <v>148</v>
      </c>
      <c r="AJ46" t="s">
        <v>149</v>
      </c>
      <c r="AK46" t="s">
        <v>72</v>
      </c>
      <c r="AN46" t="s">
        <v>73</v>
      </c>
      <c r="AO46" t="s">
        <v>150</v>
      </c>
      <c r="AP46" t="s">
        <v>159</v>
      </c>
      <c r="AQ46" t="s">
        <v>152</v>
      </c>
      <c r="AS46" t="b">
        <v>1</v>
      </c>
      <c r="AT46" t="s">
        <v>65</v>
      </c>
      <c r="AU46">
        <v>0</v>
      </c>
      <c r="AV46">
        <v>0</v>
      </c>
      <c r="AX46">
        <v>39</v>
      </c>
      <c r="AY46" t="s">
        <v>79</v>
      </c>
      <c r="AZ46" t="s">
        <v>86</v>
      </c>
      <c r="BB46" t="s">
        <v>87</v>
      </c>
      <c r="BC46" t="s">
        <v>88</v>
      </c>
      <c r="BD46" t="b">
        <v>0</v>
      </c>
      <c r="BE46" t="b">
        <v>0</v>
      </c>
      <c r="BF46" t="b">
        <v>0</v>
      </c>
      <c r="BG46" t="b">
        <v>0</v>
      </c>
      <c r="BH46" t="b">
        <v>0</v>
      </c>
      <c r="BI46" t="b">
        <v>0</v>
      </c>
      <c r="BJ46" t="b">
        <v>0</v>
      </c>
      <c r="BK46" t="b">
        <v>0</v>
      </c>
      <c r="BL46" t="b">
        <v>0</v>
      </c>
      <c r="BM46" t="b">
        <v>0</v>
      </c>
      <c r="BN46" t="b">
        <v>0</v>
      </c>
      <c r="BO46" t="b">
        <v>0</v>
      </c>
      <c r="BP46" t="b">
        <v>0</v>
      </c>
      <c r="BR46" t="b">
        <f>IFERROR(IF(M46="PASSED",VLOOKUP(J46,Current!J79:BR139,1,FALSE)),N46)</f>
        <v>0</v>
      </c>
    </row>
    <row r="47" spans="1:70" hidden="1" x14ac:dyDescent="0.25">
      <c r="A47">
        <v>46689</v>
      </c>
      <c r="C47">
        <v>0</v>
      </c>
      <c r="D47" t="s">
        <v>95</v>
      </c>
      <c r="E47" t="s">
        <v>66</v>
      </c>
      <c r="F47" t="s">
        <v>80</v>
      </c>
      <c r="G47">
        <v>0</v>
      </c>
      <c r="H47" t="s">
        <v>81</v>
      </c>
      <c r="I47" t="s">
        <v>82</v>
      </c>
      <c r="J47" t="str">
        <f>MID($N47,FIND("1.",$N47),FIND("-",$N47)-FIND("1.",$N47)-1)</f>
        <v>1.0065</v>
      </c>
      <c r="K47" t="str">
        <f>MID($N47,FIND("NETIOS - ",$N47)+8,FIND(":",$N47,40)-FIND("NETIOS - ",$N47)-8)</f>
        <v xml:space="preserve"> Set 'login success/failure logging</v>
      </c>
      <c r="L47" t="str">
        <f>MID($N47,FIND("1.",$N47),FIND("[",$N47)-1-FIND("1.",$N47)-1)</f>
        <v>1.0065 - NETIOS - Set 'login success/failure logging</v>
      </c>
      <c r="M47" t="str">
        <f>MID($N47,FIND("[",$N47)+1,FIND("]",$N47)-FIND("[",$N47)-1)</f>
        <v>FAILED</v>
      </c>
      <c r="N47" t="s">
        <v>165</v>
      </c>
      <c r="O47" t="s">
        <v>77</v>
      </c>
      <c r="R47" t="s">
        <v>67</v>
      </c>
      <c r="T47" t="s">
        <v>68</v>
      </c>
      <c r="U47" t="s">
        <v>66</v>
      </c>
      <c r="X47" t="s">
        <v>69</v>
      </c>
      <c r="Y47" t="s">
        <v>84</v>
      </c>
      <c r="Z47">
        <v>0</v>
      </c>
      <c r="AA47">
        <v>0</v>
      </c>
      <c r="AD47">
        <v>0</v>
      </c>
      <c r="AE47">
        <v>0</v>
      </c>
      <c r="AI47" t="s">
        <v>148</v>
      </c>
      <c r="AJ47" t="s">
        <v>149</v>
      </c>
      <c r="AK47" t="s">
        <v>72</v>
      </c>
      <c r="AN47" t="s">
        <v>73</v>
      </c>
      <c r="AO47" t="s">
        <v>150</v>
      </c>
      <c r="AP47" t="s">
        <v>163</v>
      </c>
      <c r="AQ47" t="s">
        <v>152</v>
      </c>
      <c r="AS47" t="b">
        <v>1</v>
      </c>
      <c r="AT47" t="s">
        <v>65</v>
      </c>
      <c r="AU47">
        <v>0</v>
      </c>
      <c r="AV47">
        <v>0</v>
      </c>
      <c r="AX47">
        <v>39</v>
      </c>
      <c r="AY47" t="s">
        <v>79</v>
      </c>
      <c r="AZ47" t="s">
        <v>86</v>
      </c>
      <c r="BB47" t="s">
        <v>87</v>
      </c>
      <c r="BC47" t="s">
        <v>88</v>
      </c>
      <c r="BD47" t="b">
        <v>0</v>
      </c>
      <c r="BE47" t="b">
        <v>0</v>
      </c>
      <c r="BF47" t="b">
        <v>0</v>
      </c>
      <c r="BG47" t="b">
        <v>0</v>
      </c>
      <c r="BH47" t="b">
        <v>0</v>
      </c>
      <c r="BI47" t="b">
        <v>0</v>
      </c>
      <c r="BJ47" t="b">
        <v>0</v>
      </c>
      <c r="BK47" t="b">
        <v>0</v>
      </c>
      <c r="BL47" t="b">
        <v>0</v>
      </c>
      <c r="BM47" t="b">
        <v>0</v>
      </c>
      <c r="BN47" t="b">
        <v>0</v>
      </c>
      <c r="BO47" t="b">
        <v>0</v>
      </c>
      <c r="BP47" t="b">
        <v>0</v>
      </c>
      <c r="BR47" t="b">
        <f>IFERROR(IF(M47="PASSED",VLOOKUP(J47,Current!J81:BR141,1,FALSE)),N47)</f>
        <v>0</v>
      </c>
    </row>
    <row r="48" spans="1:70" x14ac:dyDescent="0.25">
      <c r="A48">
        <v>46689</v>
      </c>
      <c r="C48">
        <v>0</v>
      </c>
      <c r="D48" t="s">
        <v>65</v>
      </c>
      <c r="E48" t="s">
        <v>118</v>
      </c>
      <c r="F48" t="s">
        <v>80</v>
      </c>
      <c r="G48">
        <v>0</v>
      </c>
      <c r="H48" t="s">
        <v>81</v>
      </c>
      <c r="I48" t="s">
        <v>82</v>
      </c>
      <c r="J48" t="str">
        <f>MID($N48,FIND("1.",$N48),FIND("-",$N48)-FIND("1.",$N48)-1)</f>
        <v>1.0065</v>
      </c>
      <c r="K48" t="str">
        <f>MID($N48,FIND("NETIOS - ",$N48)+8,FIND(":",$N48,40)-FIND("NETIOS - ",$N48)-8)</f>
        <v xml:space="preserve"> Set 'login success/failure logging</v>
      </c>
      <c r="L48" t="str">
        <f>MID($N48,FIND("1.",$N48),FIND("[",$N48)-1-FIND("1.",$N48)-1)</f>
        <v>1.0065 - NETIOS - Set 'login success/failure logging</v>
      </c>
      <c r="M48" t="str">
        <f>MID($N48,FIND("[",$N48)+1,FIND("]",$N48)-FIND("[",$N48)-1)</f>
        <v>PASSED</v>
      </c>
      <c r="N48" t="s">
        <v>233</v>
      </c>
      <c r="O48" t="s">
        <v>77</v>
      </c>
      <c r="R48" t="s">
        <v>119</v>
      </c>
      <c r="T48" t="s">
        <v>120</v>
      </c>
      <c r="U48" t="s">
        <v>118</v>
      </c>
      <c r="X48" t="s">
        <v>121</v>
      </c>
      <c r="Y48" t="s">
        <v>84</v>
      </c>
      <c r="Z48">
        <v>0</v>
      </c>
      <c r="AA48">
        <v>0</v>
      </c>
      <c r="AD48">
        <v>0</v>
      </c>
      <c r="AE48">
        <v>0</v>
      </c>
      <c r="AI48" t="s">
        <v>148</v>
      </c>
      <c r="AJ48" t="s">
        <v>149</v>
      </c>
      <c r="AK48" t="s">
        <v>72</v>
      </c>
      <c r="AN48" t="s">
        <v>73</v>
      </c>
      <c r="AO48" t="s">
        <v>150</v>
      </c>
      <c r="AP48" t="s">
        <v>232</v>
      </c>
      <c r="AQ48" t="s">
        <v>221</v>
      </c>
      <c r="AS48" t="b">
        <v>1</v>
      </c>
      <c r="AT48" t="s">
        <v>65</v>
      </c>
      <c r="AU48">
        <v>0</v>
      </c>
      <c r="AV48">
        <v>0</v>
      </c>
      <c r="AX48">
        <v>39</v>
      </c>
      <c r="AY48" t="s">
        <v>79</v>
      </c>
      <c r="AZ48" t="s">
        <v>86</v>
      </c>
      <c r="BB48" t="s">
        <v>87</v>
      </c>
      <c r="BC48" t="s">
        <v>88</v>
      </c>
      <c r="BD48" t="b">
        <v>0</v>
      </c>
      <c r="BE48" t="b">
        <v>0</v>
      </c>
      <c r="BF48" t="b">
        <v>0</v>
      </c>
      <c r="BG48" t="b">
        <v>0</v>
      </c>
      <c r="BH48" t="b">
        <v>0</v>
      </c>
      <c r="BI48" t="b">
        <v>0</v>
      </c>
      <c r="BJ48" t="b">
        <v>0</v>
      </c>
      <c r="BK48" t="b">
        <v>0</v>
      </c>
      <c r="BL48" t="b">
        <v>0</v>
      </c>
      <c r="BM48" t="b">
        <v>0</v>
      </c>
      <c r="BN48" t="b">
        <v>0</v>
      </c>
      <c r="BO48" t="b">
        <v>0</v>
      </c>
      <c r="BP48" t="b">
        <v>0</v>
      </c>
      <c r="BR48" t="str">
        <f>IFERROR(IF(M48="PASSED",VLOOKUP(J48,Current!J82:BR142,1,FALSE)),N48)</f>
        <v>"1.0065 - NETIOS - Set 'login success/failure logging: [PASSED]"
Without generating audit records that are specific to the security and mission needs of the organization, it would be difficult to establish, correlate, and investigate the events relating to an incident or identify those responsible for one.
See Also:
See HTH Policies and Standards
Reference:
NIST 800-53r5|AU-3 AU-3(1) AU-7 AU-12
Policy Value:
CONFIG_CHECK
item: login on-(failure|success) log
Actual Value:
login on-failure log &lt;----
login on-success log &lt;----</v>
      </c>
    </row>
    <row r="49" spans="1:70" hidden="1" x14ac:dyDescent="0.25">
      <c r="A49">
        <v>46689</v>
      </c>
      <c r="C49">
        <v>0</v>
      </c>
      <c r="D49" t="s">
        <v>95</v>
      </c>
      <c r="E49" t="s">
        <v>66</v>
      </c>
      <c r="F49" t="s">
        <v>80</v>
      </c>
      <c r="G49">
        <v>0</v>
      </c>
      <c r="H49" t="s">
        <v>81</v>
      </c>
      <c r="I49" t="s">
        <v>82</v>
      </c>
      <c r="J49" t="str">
        <f>MID($N49,FIND("1.",$N49),FIND("-",$N49)-FIND("1.",$N49)-1)</f>
        <v>1.0066</v>
      </c>
      <c r="K49" t="str">
        <f>MID($N49,FIND("NETIOS - ",$N49)+8,FIND(":",$N49,40)-FIND("NETIOS - ",$N49)-8)</f>
        <v xml:space="preserve"> Set 'ntp authenticate</v>
      </c>
      <c r="L49" t="str">
        <f>MID($N49,FIND("1.",$N49),FIND("[",$N49)-1-FIND("1.",$N49)-1)</f>
        <v>1.0066 - NETIOS - Set 'ntp authenticate</v>
      </c>
      <c r="M49" t="str">
        <f>MID($N49,FIND("[",$N49)+1,FIND("]",$N49)-FIND("[",$N49)-1)</f>
        <v>FAILED</v>
      </c>
      <c r="N49" t="s">
        <v>197</v>
      </c>
      <c r="O49" t="s">
        <v>77</v>
      </c>
      <c r="R49" t="s">
        <v>67</v>
      </c>
      <c r="T49" t="s">
        <v>68</v>
      </c>
      <c r="U49" t="s">
        <v>66</v>
      </c>
      <c r="X49" t="s">
        <v>69</v>
      </c>
      <c r="Y49" t="s">
        <v>84</v>
      </c>
      <c r="Z49">
        <v>0</v>
      </c>
      <c r="AA49">
        <v>0</v>
      </c>
      <c r="AD49">
        <v>0</v>
      </c>
      <c r="AE49">
        <v>0</v>
      </c>
      <c r="AI49" t="s">
        <v>148</v>
      </c>
      <c r="AJ49" t="s">
        <v>149</v>
      </c>
      <c r="AK49" t="s">
        <v>72</v>
      </c>
      <c r="AN49" t="s">
        <v>73</v>
      </c>
      <c r="AO49" t="s">
        <v>150</v>
      </c>
      <c r="AP49" t="s">
        <v>195</v>
      </c>
      <c r="AQ49" t="s">
        <v>152</v>
      </c>
      <c r="AS49" t="b">
        <v>1</v>
      </c>
      <c r="AT49" t="s">
        <v>65</v>
      </c>
      <c r="AU49">
        <v>0</v>
      </c>
      <c r="AV49">
        <v>0</v>
      </c>
      <c r="AX49">
        <v>39</v>
      </c>
      <c r="AY49" t="s">
        <v>79</v>
      </c>
      <c r="AZ49" t="s">
        <v>86</v>
      </c>
      <c r="BB49" t="s">
        <v>87</v>
      </c>
      <c r="BC49" t="s">
        <v>88</v>
      </c>
      <c r="BD49" t="b">
        <v>0</v>
      </c>
      <c r="BE49" t="b">
        <v>0</v>
      </c>
      <c r="BF49" t="b">
        <v>0</v>
      </c>
      <c r="BG49" t="b">
        <v>0</v>
      </c>
      <c r="BH49" t="b">
        <v>0</v>
      </c>
      <c r="BI49" t="b">
        <v>0</v>
      </c>
      <c r="BJ49" t="b">
        <v>0</v>
      </c>
      <c r="BK49" t="b">
        <v>0</v>
      </c>
      <c r="BL49" t="b">
        <v>0</v>
      </c>
      <c r="BM49" t="b">
        <v>0</v>
      </c>
      <c r="BN49" t="b">
        <v>0</v>
      </c>
      <c r="BO49" t="b">
        <v>0</v>
      </c>
      <c r="BP49" t="b">
        <v>0</v>
      </c>
      <c r="BR49" t="b">
        <f>IFERROR(IF(M49="PASSED",VLOOKUP(J49,Current!J83:BR143,1,FALSE)),N49)</f>
        <v>0</v>
      </c>
    </row>
    <row r="50" spans="1:70" hidden="1" x14ac:dyDescent="0.25">
      <c r="A50">
        <v>46689</v>
      </c>
      <c r="C50">
        <v>0</v>
      </c>
      <c r="D50" t="s">
        <v>95</v>
      </c>
      <c r="E50" t="s">
        <v>66</v>
      </c>
      <c r="F50" t="s">
        <v>80</v>
      </c>
      <c r="G50">
        <v>0</v>
      </c>
      <c r="H50" t="s">
        <v>81</v>
      </c>
      <c r="I50" t="s">
        <v>82</v>
      </c>
      <c r="J50" t="str">
        <f>MID($N50,FIND("1.",$N50),FIND("-",$N50)-FIND("1.",$N50)-1)</f>
        <v>1.0067</v>
      </c>
      <c r="K50" t="str">
        <f>MID($N50,FIND("NETIOS - ",$N50)+8,FIND(":",$N50,40)-FIND("NETIOS - ",$N50)-8)</f>
        <v xml:space="preserve"> Set 'ntp authentication-key</v>
      </c>
      <c r="L50" t="str">
        <f>MID($N50,FIND("1.",$N50),FIND("[",$N50)-1-FIND("1.",$N50)-1)</f>
        <v>1.0067 - NETIOS - Set 'ntp authentication-key</v>
      </c>
      <c r="M50" t="str">
        <f>MID($N50,FIND("[",$N50)+1,FIND("]",$N50)-FIND("[",$N50)-1)</f>
        <v>FAILED</v>
      </c>
      <c r="N50" t="s">
        <v>169</v>
      </c>
      <c r="O50" t="s">
        <v>77</v>
      </c>
      <c r="R50" t="s">
        <v>67</v>
      </c>
      <c r="T50" t="s">
        <v>68</v>
      </c>
      <c r="U50" t="s">
        <v>66</v>
      </c>
      <c r="X50" t="s">
        <v>69</v>
      </c>
      <c r="Y50" t="s">
        <v>84</v>
      </c>
      <c r="Z50">
        <v>0</v>
      </c>
      <c r="AA50">
        <v>0</v>
      </c>
      <c r="AD50">
        <v>0</v>
      </c>
      <c r="AE50">
        <v>0</v>
      </c>
      <c r="AI50" t="s">
        <v>148</v>
      </c>
      <c r="AJ50" t="s">
        <v>149</v>
      </c>
      <c r="AK50" t="s">
        <v>72</v>
      </c>
      <c r="AN50" t="s">
        <v>73</v>
      </c>
      <c r="AO50" t="s">
        <v>150</v>
      </c>
      <c r="AP50" t="s">
        <v>168</v>
      </c>
      <c r="AQ50" t="s">
        <v>152</v>
      </c>
      <c r="AS50" t="b">
        <v>1</v>
      </c>
      <c r="AT50" t="s">
        <v>65</v>
      </c>
      <c r="AU50">
        <v>0</v>
      </c>
      <c r="AV50">
        <v>0</v>
      </c>
      <c r="AX50">
        <v>39</v>
      </c>
      <c r="AY50" t="s">
        <v>79</v>
      </c>
      <c r="AZ50" t="s">
        <v>86</v>
      </c>
      <c r="BB50" t="s">
        <v>87</v>
      </c>
      <c r="BC50" t="s">
        <v>88</v>
      </c>
      <c r="BD50" t="b">
        <v>0</v>
      </c>
      <c r="BE50" t="b">
        <v>0</v>
      </c>
      <c r="BF50" t="b">
        <v>0</v>
      </c>
      <c r="BG50" t="b">
        <v>0</v>
      </c>
      <c r="BH50" t="b">
        <v>0</v>
      </c>
      <c r="BI50" t="b">
        <v>0</v>
      </c>
      <c r="BJ50" t="b">
        <v>0</v>
      </c>
      <c r="BK50" t="b">
        <v>0</v>
      </c>
      <c r="BL50" t="b">
        <v>0</v>
      </c>
      <c r="BM50" t="b">
        <v>0</v>
      </c>
      <c r="BN50" t="b">
        <v>0</v>
      </c>
      <c r="BO50" t="b">
        <v>0</v>
      </c>
      <c r="BP50" t="b">
        <v>0</v>
      </c>
      <c r="BR50" t="b">
        <f>IFERROR(IF(M50="PASSED",VLOOKUP(J50,Current!J85:BR145,1,FALSE)),N50)</f>
        <v>0</v>
      </c>
    </row>
    <row r="51" spans="1:70" hidden="1" x14ac:dyDescent="0.25">
      <c r="A51">
        <v>46689</v>
      </c>
      <c r="C51">
        <v>0</v>
      </c>
      <c r="D51" t="s">
        <v>95</v>
      </c>
      <c r="E51" t="s">
        <v>66</v>
      </c>
      <c r="F51" t="s">
        <v>80</v>
      </c>
      <c r="G51">
        <v>0</v>
      </c>
      <c r="H51" t="s">
        <v>81</v>
      </c>
      <c r="I51" t="s">
        <v>82</v>
      </c>
      <c r="J51" t="str">
        <f>MID($N51,FIND("1.",$N51),FIND("-",$N51)-FIND("1.",$N51)-1)</f>
        <v>1.0068</v>
      </c>
      <c r="K51" t="str">
        <f>MID($N51,FIND("NETIOS - ",$N51)+8,FIND(":",$N51,40)-FIND("NETIOS - ",$N51)-8)</f>
        <v xml:space="preserve"> Set the 'ntp trusted-key</v>
      </c>
      <c r="L51" t="str">
        <f>MID($N51,FIND("1.",$N51),FIND("[",$N51)-1-FIND("1.",$N51)-1)</f>
        <v>1.0068 - NETIOS - Set the 'ntp trusted-key</v>
      </c>
      <c r="M51" t="str">
        <f>MID($N51,FIND("[",$N51)+1,FIND("]",$N51)-FIND("[",$N51)-1)</f>
        <v>FAILED</v>
      </c>
      <c r="N51" t="s">
        <v>161</v>
      </c>
      <c r="O51" t="s">
        <v>77</v>
      </c>
      <c r="R51" t="s">
        <v>67</v>
      </c>
      <c r="T51" t="s">
        <v>68</v>
      </c>
      <c r="U51" t="s">
        <v>66</v>
      </c>
      <c r="X51" t="s">
        <v>69</v>
      </c>
      <c r="Y51" t="s">
        <v>84</v>
      </c>
      <c r="Z51">
        <v>0</v>
      </c>
      <c r="AA51">
        <v>0</v>
      </c>
      <c r="AD51">
        <v>0</v>
      </c>
      <c r="AE51">
        <v>0</v>
      </c>
      <c r="AI51" t="s">
        <v>148</v>
      </c>
      <c r="AJ51" t="s">
        <v>149</v>
      </c>
      <c r="AK51" t="s">
        <v>72</v>
      </c>
      <c r="AN51" t="s">
        <v>73</v>
      </c>
      <c r="AO51" t="s">
        <v>150</v>
      </c>
      <c r="AP51" t="s">
        <v>159</v>
      </c>
      <c r="AQ51" t="s">
        <v>152</v>
      </c>
      <c r="AS51" t="b">
        <v>1</v>
      </c>
      <c r="AT51" t="s">
        <v>65</v>
      </c>
      <c r="AU51">
        <v>0</v>
      </c>
      <c r="AV51">
        <v>0</v>
      </c>
      <c r="AX51">
        <v>39</v>
      </c>
      <c r="AY51" t="s">
        <v>79</v>
      </c>
      <c r="AZ51" t="s">
        <v>86</v>
      </c>
      <c r="BB51" t="s">
        <v>87</v>
      </c>
      <c r="BC51" t="s">
        <v>88</v>
      </c>
      <c r="BD51" t="b">
        <v>0</v>
      </c>
      <c r="BE51" t="b">
        <v>0</v>
      </c>
      <c r="BF51" t="b">
        <v>0</v>
      </c>
      <c r="BG51" t="b">
        <v>0</v>
      </c>
      <c r="BH51" t="b">
        <v>0</v>
      </c>
      <c r="BI51" t="b">
        <v>0</v>
      </c>
      <c r="BJ51" t="b">
        <v>0</v>
      </c>
      <c r="BK51" t="b">
        <v>0</v>
      </c>
      <c r="BL51" t="b">
        <v>0</v>
      </c>
      <c r="BM51" t="b">
        <v>0</v>
      </c>
      <c r="BN51" t="b">
        <v>0</v>
      </c>
      <c r="BO51" t="b">
        <v>0</v>
      </c>
      <c r="BP51" t="b">
        <v>0</v>
      </c>
      <c r="BR51" t="b">
        <f>IFERROR(IF(M51="PASSED",VLOOKUP(J51,Current!J87:BR147,1,FALSE)),N51)</f>
        <v>0</v>
      </c>
    </row>
    <row r="52" spans="1:70" hidden="1" x14ac:dyDescent="0.25">
      <c r="A52">
        <v>46689</v>
      </c>
      <c r="C52">
        <v>0</v>
      </c>
      <c r="D52" t="s">
        <v>95</v>
      </c>
      <c r="E52" t="s">
        <v>66</v>
      </c>
      <c r="F52" t="s">
        <v>80</v>
      </c>
      <c r="G52">
        <v>0</v>
      </c>
      <c r="H52" t="s">
        <v>81</v>
      </c>
      <c r="I52" t="s">
        <v>82</v>
      </c>
      <c r="J52" t="str">
        <f>MID($N52,FIND("1.",$N52),FIND("-",$N52)-FIND("1.",$N52)-1)</f>
        <v>1.0069</v>
      </c>
      <c r="K52" t="str">
        <f>MID($N52,FIND("NETIOS - ",$N52)+8,FIND(":",$N52,40)-FIND("NETIOS - ",$N52)-8)</f>
        <v xml:space="preserve"> Set 'ntp source' to Loopback Interface</v>
      </c>
      <c r="L52" t="str">
        <f>MID($N52,FIND("1.",$N52),FIND("[",$N52)-1-FIND("1.",$N52)-1)</f>
        <v>1.0069 - NETIOS - Set 'ntp source' to Loopback Interface</v>
      </c>
      <c r="M52" t="str">
        <f>MID($N52,FIND("[",$N52)+1,FIND("]",$N52)-FIND("[",$N52)-1)</f>
        <v>FAILED</v>
      </c>
      <c r="N52" t="s">
        <v>154</v>
      </c>
      <c r="O52" t="s">
        <v>77</v>
      </c>
      <c r="R52" t="s">
        <v>67</v>
      </c>
      <c r="T52" t="s">
        <v>68</v>
      </c>
      <c r="U52" t="s">
        <v>66</v>
      </c>
      <c r="X52" t="s">
        <v>69</v>
      </c>
      <c r="Y52" t="s">
        <v>84</v>
      </c>
      <c r="Z52">
        <v>0</v>
      </c>
      <c r="AA52">
        <v>0</v>
      </c>
      <c r="AD52">
        <v>0</v>
      </c>
      <c r="AE52">
        <v>0</v>
      </c>
      <c r="AI52" t="s">
        <v>148</v>
      </c>
      <c r="AJ52" t="s">
        <v>149</v>
      </c>
      <c r="AK52" t="s">
        <v>72</v>
      </c>
      <c r="AN52" t="s">
        <v>73</v>
      </c>
      <c r="AO52" t="s">
        <v>150</v>
      </c>
      <c r="AP52" t="s">
        <v>155</v>
      </c>
      <c r="AQ52" t="s">
        <v>152</v>
      </c>
      <c r="AS52" t="b">
        <v>1</v>
      </c>
      <c r="AT52" t="s">
        <v>65</v>
      </c>
      <c r="AU52">
        <v>0</v>
      </c>
      <c r="AV52">
        <v>0</v>
      </c>
      <c r="AX52">
        <v>39</v>
      </c>
      <c r="AY52" t="s">
        <v>79</v>
      </c>
      <c r="AZ52" t="s">
        <v>86</v>
      </c>
      <c r="BB52" t="s">
        <v>87</v>
      </c>
      <c r="BC52" t="s">
        <v>88</v>
      </c>
      <c r="BD52" t="b">
        <v>0</v>
      </c>
      <c r="BE52" t="b">
        <v>0</v>
      </c>
      <c r="BF52" t="b">
        <v>0</v>
      </c>
      <c r="BG52" t="b">
        <v>0</v>
      </c>
      <c r="BH52" t="b">
        <v>0</v>
      </c>
      <c r="BI52" t="b">
        <v>0</v>
      </c>
      <c r="BJ52" t="b">
        <v>0</v>
      </c>
      <c r="BK52" t="b">
        <v>0</v>
      </c>
      <c r="BL52" t="b">
        <v>0</v>
      </c>
      <c r="BM52" t="b">
        <v>0</v>
      </c>
      <c r="BN52" t="b">
        <v>0</v>
      </c>
      <c r="BO52" t="b">
        <v>0</v>
      </c>
      <c r="BP52" t="b">
        <v>0</v>
      </c>
      <c r="BR52" t="b">
        <f>IFERROR(IF(M52="PASSED",VLOOKUP(J52,Current!J89:BR149,1,FALSE)),N52)</f>
        <v>0</v>
      </c>
    </row>
    <row r="53" spans="1:70" hidden="1" x14ac:dyDescent="0.25">
      <c r="A53">
        <v>46689</v>
      </c>
      <c r="C53">
        <v>0</v>
      </c>
      <c r="D53" t="s">
        <v>95</v>
      </c>
      <c r="E53" t="s">
        <v>66</v>
      </c>
      <c r="F53" t="s">
        <v>80</v>
      </c>
      <c r="G53">
        <v>0</v>
      </c>
      <c r="H53" t="s">
        <v>81</v>
      </c>
      <c r="I53" t="s">
        <v>82</v>
      </c>
      <c r="J53" t="str">
        <f>MID($N53,FIND("1.",$N53),FIND("-",$N53)-FIND("1.",$N53)-1)</f>
        <v>1.0070</v>
      </c>
      <c r="K53" t="str">
        <f>MID($N53,FIND("NETIOS - ",$N53)+8,FIND(":",$N53,40)-FIND("NETIOS - ",$N53)-8)</f>
        <v xml:space="preserve"> Set 'ip tftp source-interface' to the Loopback Interface</v>
      </c>
      <c r="L53" t="str">
        <f>MID($N53,FIND("1.",$N53),FIND("[",$N53)-1-FIND("1.",$N53)-1)</f>
        <v>1.0070 - NETIOS - Set 'ip tftp source-interface' to the Loopback Interface</v>
      </c>
      <c r="M53" t="str">
        <f>MID($N53,FIND("[",$N53)+1,FIND("]",$N53)-FIND("[",$N53)-1)</f>
        <v>FAILED</v>
      </c>
      <c r="N53" t="s">
        <v>211</v>
      </c>
      <c r="O53" t="s">
        <v>77</v>
      </c>
      <c r="R53" t="s">
        <v>67</v>
      </c>
      <c r="T53" t="s">
        <v>68</v>
      </c>
      <c r="U53" t="s">
        <v>66</v>
      </c>
      <c r="X53" t="s">
        <v>69</v>
      </c>
      <c r="Y53" t="s">
        <v>84</v>
      </c>
      <c r="Z53">
        <v>0</v>
      </c>
      <c r="AA53">
        <v>0</v>
      </c>
      <c r="AD53">
        <v>0</v>
      </c>
      <c r="AE53">
        <v>0</v>
      </c>
      <c r="AI53" t="s">
        <v>148</v>
      </c>
      <c r="AJ53" t="s">
        <v>149</v>
      </c>
      <c r="AK53" t="s">
        <v>72</v>
      </c>
      <c r="AN53" t="s">
        <v>73</v>
      </c>
      <c r="AO53" t="s">
        <v>150</v>
      </c>
      <c r="AP53" t="s">
        <v>212</v>
      </c>
      <c r="AQ53" t="s">
        <v>152</v>
      </c>
      <c r="AS53" t="b">
        <v>1</v>
      </c>
      <c r="AT53" t="s">
        <v>65</v>
      </c>
      <c r="AU53">
        <v>0</v>
      </c>
      <c r="AV53">
        <v>0</v>
      </c>
      <c r="AX53">
        <v>39</v>
      </c>
      <c r="AY53" t="s">
        <v>79</v>
      </c>
      <c r="AZ53" t="s">
        <v>86</v>
      </c>
      <c r="BB53" t="s">
        <v>87</v>
      </c>
      <c r="BC53" t="s">
        <v>88</v>
      </c>
      <c r="BD53" t="b">
        <v>0</v>
      </c>
      <c r="BE53" t="b">
        <v>0</v>
      </c>
      <c r="BF53" t="b">
        <v>0</v>
      </c>
      <c r="BG53" t="b">
        <v>0</v>
      </c>
      <c r="BH53" t="b">
        <v>0</v>
      </c>
      <c r="BI53" t="b">
        <v>0</v>
      </c>
      <c r="BJ53" t="b">
        <v>0</v>
      </c>
      <c r="BK53" t="b">
        <v>0</v>
      </c>
      <c r="BL53" t="b">
        <v>0</v>
      </c>
      <c r="BM53" t="b">
        <v>0</v>
      </c>
      <c r="BN53" t="b">
        <v>0</v>
      </c>
      <c r="BO53" t="b">
        <v>0</v>
      </c>
      <c r="BP53" t="b">
        <v>0</v>
      </c>
      <c r="BR53" t="b">
        <f>IFERROR(IF(M53="PASSED",VLOOKUP(J53,Current!J91:BR151,1,FALSE)),N53)</f>
        <v>0</v>
      </c>
    </row>
    <row r="54" spans="1:70" hidden="1" x14ac:dyDescent="0.25">
      <c r="A54">
        <v>46689</v>
      </c>
      <c r="C54">
        <v>0</v>
      </c>
      <c r="D54" t="s">
        <v>95</v>
      </c>
      <c r="E54" t="s">
        <v>66</v>
      </c>
      <c r="F54" t="s">
        <v>80</v>
      </c>
      <c r="G54">
        <v>0</v>
      </c>
      <c r="H54" t="s">
        <v>81</v>
      </c>
      <c r="I54" t="s">
        <v>82</v>
      </c>
      <c r="J54" t="str">
        <f>MID($N54,FIND("1.",$N54),FIND("-",$N54)-FIND("1.",$N54)-1)</f>
        <v>1.0071</v>
      </c>
      <c r="K54" t="str">
        <f>MID($N54,FIND("NETIOS - ",$N54)+8,FIND(":",$N54,40)-FIND("NETIOS - ",$N54)-8)</f>
        <v xml:space="preserve"> Set 'authentication key-chain</v>
      </c>
      <c r="L54" t="str">
        <f>MID($N54,FIND("1.",$N54),FIND("[",$N54)-1-FIND("1.",$N54)-1)</f>
        <v>1.0071 - NETIOS - Set 'authentication key-chain</v>
      </c>
      <c r="M54" t="str">
        <f>MID($N54,FIND("[",$N54)+1,FIND("]",$N54)-FIND("[",$N54)-1)</f>
        <v>FAILED</v>
      </c>
      <c r="N54" t="s">
        <v>174</v>
      </c>
      <c r="O54" t="s">
        <v>77</v>
      </c>
      <c r="R54" t="s">
        <v>67</v>
      </c>
      <c r="T54" t="s">
        <v>68</v>
      </c>
      <c r="U54" t="s">
        <v>66</v>
      </c>
      <c r="X54" t="s">
        <v>69</v>
      </c>
      <c r="Y54" t="s">
        <v>84</v>
      </c>
      <c r="Z54">
        <v>0</v>
      </c>
      <c r="AA54">
        <v>0</v>
      </c>
      <c r="AD54">
        <v>0</v>
      </c>
      <c r="AE54">
        <v>0</v>
      </c>
      <c r="AI54" t="s">
        <v>148</v>
      </c>
      <c r="AJ54" t="s">
        <v>149</v>
      </c>
      <c r="AK54" t="s">
        <v>72</v>
      </c>
      <c r="AN54" t="s">
        <v>73</v>
      </c>
      <c r="AO54" t="s">
        <v>150</v>
      </c>
      <c r="AP54" t="s">
        <v>173</v>
      </c>
      <c r="AQ54" t="s">
        <v>152</v>
      </c>
      <c r="AS54" t="b">
        <v>1</v>
      </c>
      <c r="AT54" t="s">
        <v>65</v>
      </c>
      <c r="AU54">
        <v>0</v>
      </c>
      <c r="AV54">
        <v>0</v>
      </c>
      <c r="AX54">
        <v>39</v>
      </c>
      <c r="AY54" t="s">
        <v>79</v>
      </c>
      <c r="AZ54" t="s">
        <v>86</v>
      </c>
      <c r="BB54" t="s">
        <v>87</v>
      </c>
      <c r="BC54" t="s">
        <v>88</v>
      </c>
      <c r="BD54" t="b">
        <v>0</v>
      </c>
      <c r="BE54" t="b">
        <v>0</v>
      </c>
      <c r="BF54" t="b">
        <v>0</v>
      </c>
      <c r="BG54" t="b">
        <v>0</v>
      </c>
      <c r="BH54" t="b">
        <v>0</v>
      </c>
      <c r="BI54" t="b">
        <v>0</v>
      </c>
      <c r="BJ54" t="b">
        <v>0</v>
      </c>
      <c r="BK54" t="b">
        <v>0</v>
      </c>
      <c r="BL54" t="b">
        <v>0</v>
      </c>
      <c r="BM54" t="b">
        <v>0</v>
      </c>
      <c r="BN54" t="b">
        <v>0</v>
      </c>
      <c r="BO54" t="b">
        <v>0</v>
      </c>
      <c r="BP54" t="b">
        <v>0</v>
      </c>
      <c r="BR54" t="b">
        <f>IFERROR(IF(M54="PASSED",VLOOKUP(J54,Current!J93:BR153,1,FALSE)),N54)</f>
        <v>0</v>
      </c>
    </row>
    <row r="55" spans="1:70" hidden="1" x14ac:dyDescent="0.25">
      <c r="A55">
        <v>46689</v>
      </c>
      <c r="C55">
        <v>0</v>
      </c>
      <c r="D55" t="s">
        <v>95</v>
      </c>
      <c r="E55" t="s">
        <v>66</v>
      </c>
      <c r="F55" t="s">
        <v>80</v>
      </c>
      <c r="G55">
        <v>0</v>
      </c>
      <c r="H55" t="s">
        <v>81</v>
      </c>
      <c r="I55" t="s">
        <v>82</v>
      </c>
      <c r="J55" t="str">
        <f>MID($N55,FIND("1.",$N55),FIND("-",$N55)-FIND("1.",$N55)-1)</f>
        <v>1.0072</v>
      </c>
      <c r="K55" t="str">
        <f>MID($N55,FIND("NETIOS - ",$N55)+8,FIND(":",$N55,40)-FIND("NETIOS - ",$N55)-8)</f>
        <v xml:space="preserve"> Set 'ip authentication key-chain eigrp</v>
      </c>
      <c r="L55" t="str">
        <f>MID($N55,FIND("1.",$N55),FIND("[",$N55)-1-FIND("1.",$N55)-1)</f>
        <v>1.0072 - NETIOS - Set 'ip authentication key-chain eigrp</v>
      </c>
      <c r="M55" t="str">
        <f>MID($N55,FIND("[",$N55)+1,FIND("]",$N55)-FIND("[",$N55)-1)</f>
        <v>FAILED</v>
      </c>
      <c r="N55" t="s">
        <v>193</v>
      </c>
      <c r="O55" t="s">
        <v>77</v>
      </c>
      <c r="R55" t="s">
        <v>67</v>
      </c>
      <c r="T55" t="s">
        <v>68</v>
      </c>
      <c r="U55" t="s">
        <v>66</v>
      </c>
      <c r="X55" t="s">
        <v>69</v>
      </c>
      <c r="Y55" t="s">
        <v>84</v>
      </c>
      <c r="Z55">
        <v>0</v>
      </c>
      <c r="AA55">
        <v>0</v>
      </c>
      <c r="AD55">
        <v>0</v>
      </c>
      <c r="AE55">
        <v>0</v>
      </c>
      <c r="AI55" t="s">
        <v>148</v>
      </c>
      <c r="AJ55" t="s">
        <v>149</v>
      </c>
      <c r="AK55" t="s">
        <v>72</v>
      </c>
      <c r="AN55" t="s">
        <v>73</v>
      </c>
      <c r="AO55" t="s">
        <v>150</v>
      </c>
      <c r="AP55" t="s">
        <v>190</v>
      </c>
      <c r="AQ55" t="s">
        <v>152</v>
      </c>
      <c r="AS55" t="b">
        <v>1</v>
      </c>
      <c r="AT55" t="s">
        <v>65</v>
      </c>
      <c r="AU55">
        <v>0</v>
      </c>
      <c r="AV55">
        <v>0</v>
      </c>
      <c r="AX55">
        <v>39</v>
      </c>
      <c r="AY55" t="s">
        <v>79</v>
      </c>
      <c r="AZ55" t="s">
        <v>86</v>
      </c>
      <c r="BB55" t="s">
        <v>87</v>
      </c>
      <c r="BC55" t="s">
        <v>88</v>
      </c>
      <c r="BD55" t="b">
        <v>0</v>
      </c>
      <c r="BE55" t="b">
        <v>0</v>
      </c>
      <c r="BF55" t="b">
        <v>0</v>
      </c>
      <c r="BG55" t="b">
        <v>0</v>
      </c>
      <c r="BH55" t="b">
        <v>0</v>
      </c>
      <c r="BI55" t="b">
        <v>0</v>
      </c>
      <c r="BJ55" t="b">
        <v>0</v>
      </c>
      <c r="BK55" t="b">
        <v>0</v>
      </c>
      <c r="BL55" t="b">
        <v>0</v>
      </c>
      <c r="BM55" t="b">
        <v>0</v>
      </c>
      <c r="BN55" t="b">
        <v>0</v>
      </c>
      <c r="BO55" t="b">
        <v>0</v>
      </c>
      <c r="BP55" t="b">
        <v>0</v>
      </c>
      <c r="BR55" t="b">
        <f>IFERROR(IF(M55="PASSED",VLOOKUP(J55,Current!J95:BR155,1,FALSE)),N55)</f>
        <v>0</v>
      </c>
    </row>
    <row r="56" spans="1:70" hidden="1" x14ac:dyDescent="0.25">
      <c r="A56">
        <v>46689</v>
      </c>
      <c r="C56">
        <v>0</v>
      </c>
      <c r="D56" t="s">
        <v>95</v>
      </c>
      <c r="E56" t="s">
        <v>66</v>
      </c>
      <c r="F56" t="s">
        <v>80</v>
      </c>
      <c r="G56">
        <v>0</v>
      </c>
      <c r="H56" t="s">
        <v>81</v>
      </c>
      <c r="I56" t="s">
        <v>82</v>
      </c>
      <c r="J56" t="str">
        <f>MID($N56,FIND("1.",$N56),FIND("-",$N56)-FIND("1.",$N56)-1)</f>
        <v>1.0073</v>
      </c>
      <c r="K56" t="str">
        <f>MID($N56,FIND("NETIOS - ",$N56)+8,FIND(":",$N56,40)-FIND("NETIOS - ",$N56)-8)</f>
        <v xml:space="preserve"> Set 'ip authentication mode eigrp</v>
      </c>
      <c r="L56" t="str">
        <f>MID($N56,FIND("1.",$N56),FIND("[",$N56)-1-FIND("1.",$N56)-1)</f>
        <v>1.0073 - NETIOS - Set 'ip authentication mode eigrp</v>
      </c>
      <c r="M56" t="str">
        <f>MID($N56,FIND("[",$N56)+1,FIND("]",$N56)-FIND("[",$N56)-1)</f>
        <v>FAILED</v>
      </c>
      <c r="N56" t="s">
        <v>200</v>
      </c>
      <c r="O56" t="s">
        <v>77</v>
      </c>
      <c r="R56" t="s">
        <v>67</v>
      </c>
      <c r="T56" t="s">
        <v>68</v>
      </c>
      <c r="U56" t="s">
        <v>66</v>
      </c>
      <c r="X56" t="s">
        <v>69</v>
      </c>
      <c r="Y56" t="s">
        <v>84</v>
      </c>
      <c r="Z56">
        <v>0</v>
      </c>
      <c r="AA56">
        <v>0</v>
      </c>
      <c r="AD56">
        <v>0</v>
      </c>
      <c r="AE56">
        <v>0</v>
      </c>
      <c r="AI56" t="s">
        <v>148</v>
      </c>
      <c r="AJ56" t="s">
        <v>149</v>
      </c>
      <c r="AK56" t="s">
        <v>72</v>
      </c>
      <c r="AN56" t="s">
        <v>73</v>
      </c>
      <c r="AO56" t="s">
        <v>150</v>
      </c>
      <c r="AP56" t="s">
        <v>199</v>
      </c>
      <c r="AQ56" t="s">
        <v>152</v>
      </c>
      <c r="AS56" t="b">
        <v>1</v>
      </c>
      <c r="AT56" t="s">
        <v>65</v>
      </c>
      <c r="AU56">
        <v>0</v>
      </c>
      <c r="AV56">
        <v>0</v>
      </c>
      <c r="AX56">
        <v>39</v>
      </c>
      <c r="AY56" t="s">
        <v>79</v>
      </c>
      <c r="AZ56" t="s">
        <v>86</v>
      </c>
      <c r="BB56" t="s">
        <v>87</v>
      </c>
      <c r="BC56" t="s">
        <v>88</v>
      </c>
      <c r="BD56" t="b">
        <v>0</v>
      </c>
      <c r="BE56" t="b">
        <v>0</v>
      </c>
      <c r="BF56" t="b">
        <v>0</v>
      </c>
      <c r="BG56" t="b">
        <v>0</v>
      </c>
      <c r="BH56" t="b">
        <v>0</v>
      </c>
      <c r="BI56" t="b">
        <v>0</v>
      </c>
      <c r="BJ56" t="b">
        <v>0</v>
      </c>
      <c r="BK56" t="b">
        <v>0</v>
      </c>
      <c r="BL56" t="b">
        <v>0</v>
      </c>
      <c r="BM56" t="b">
        <v>0</v>
      </c>
      <c r="BN56" t="b">
        <v>0</v>
      </c>
      <c r="BO56" t="b">
        <v>0</v>
      </c>
      <c r="BP56" t="b">
        <v>0</v>
      </c>
      <c r="BR56" t="b">
        <f>IFERROR(IF(M56="PASSED",VLOOKUP(J56,Current!J97:BR157,1,FALSE)),N56)</f>
        <v>0</v>
      </c>
    </row>
    <row r="57" spans="1:70" hidden="1" x14ac:dyDescent="0.25">
      <c r="A57">
        <v>46689</v>
      </c>
      <c r="C57">
        <v>0</v>
      </c>
      <c r="D57" t="s">
        <v>95</v>
      </c>
      <c r="E57" t="s">
        <v>66</v>
      </c>
      <c r="F57" t="s">
        <v>80</v>
      </c>
      <c r="G57">
        <v>0</v>
      </c>
      <c r="H57" t="s">
        <v>81</v>
      </c>
      <c r="I57" t="s">
        <v>82</v>
      </c>
      <c r="J57" t="str">
        <f>MID($N57,FIND("1.",$N57),FIND("-",$N57)-FIND("1.",$N57)-1)</f>
        <v>1.0074</v>
      </c>
      <c r="K57" t="str">
        <f>MID($N57,FIND("NETIOS - ",$N57)+8,FIND(":",$N57,40)-FIND("NETIOS - ",$N57)-8)</f>
        <v xml:space="preserve"> Set 'authentication message-digest' for OSPF area</v>
      </c>
      <c r="L57" t="str">
        <f>MID($N57,FIND("1.",$N57),FIND("[",$N57)-1-FIND("1.",$N57)-1)</f>
        <v>1.0074 - NETIOS - Set 'authentication message-digest' for OSPF area</v>
      </c>
      <c r="M57" t="str">
        <f>MID($N57,FIND("[",$N57)+1,FIND("]",$N57)-FIND("[",$N57)-1)</f>
        <v>FAILED</v>
      </c>
      <c r="N57" t="s">
        <v>214</v>
      </c>
      <c r="O57" t="s">
        <v>77</v>
      </c>
      <c r="R57" t="s">
        <v>67</v>
      </c>
      <c r="T57" t="s">
        <v>68</v>
      </c>
      <c r="U57" t="s">
        <v>66</v>
      </c>
      <c r="X57" t="s">
        <v>69</v>
      </c>
      <c r="Y57" t="s">
        <v>84</v>
      </c>
      <c r="Z57">
        <v>0</v>
      </c>
      <c r="AA57">
        <v>0</v>
      </c>
      <c r="AD57">
        <v>0</v>
      </c>
      <c r="AE57">
        <v>0</v>
      </c>
      <c r="AI57" t="s">
        <v>148</v>
      </c>
      <c r="AJ57" t="s">
        <v>149</v>
      </c>
      <c r="AK57" t="s">
        <v>72</v>
      </c>
      <c r="AN57" t="s">
        <v>73</v>
      </c>
      <c r="AO57" t="s">
        <v>150</v>
      </c>
      <c r="AP57" t="s">
        <v>212</v>
      </c>
      <c r="AQ57" t="s">
        <v>152</v>
      </c>
      <c r="AS57" t="b">
        <v>1</v>
      </c>
      <c r="AT57" t="s">
        <v>65</v>
      </c>
      <c r="AU57">
        <v>0</v>
      </c>
      <c r="AV57">
        <v>0</v>
      </c>
      <c r="AX57">
        <v>39</v>
      </c>
      <c r="AY57" t="s">
        <v>79</v>
      </c>
      <c r="AZ57" t="s">
        <v>86</v>
      </c>
      <c r="BB57" t="s">
        <v>87</v>
      </c>
      <c r="BC57" t="s">
        <v>88</v>
      </c>
      <c r="BD57" t="b">
        <v>0</v>
      </c>
      <c r="BE57" t="b">
        <v>0</v>
      </c>
      <c r="BF57" t="b">
        <v>0</v>
      </c>
      <c r="BG57" t="b">
        <v>0</v>
      </c>
      <c r="BH57" t="b">
        <v>0</v>
      </c>
      <c r="BI57" t="b">
        <v>0</v>
      </c>
      <c r="BJ57" t="b">
        <v>0</v>
      </c>
      <c r="BK57" t="b">
        <v>0</v>
      </c>
      <c r="BL57" t="b">
        <v>0</v>
      </c>
      <c r="BM57" t="b">
        <v>0</v>
      </c>
      <c r="BN57" t="b">
        <v>0</v>
      </c>
      <c r="BO57" t="b">
        <v>0</v>
      </c>
      <c r="BP57" t="b">
        <v>0</v>
      </c>
      <c r="BR57" t="b">
        <f>IFERROR(IF(M57="PASSED",VLOOKUP(J57,Current!J99:BR159,1,FALSE)),N57)</f>
        <v>0</v>
      </c>
    </row>
    <row r="58" spans="1:70" hidden="1" x14ac:dyDescent="0.25">
      <c r="A58">
        <v>46689</v>
      </c>
      <c r="C58">
        <v>0</v>
      </c>
      <c r="D58" t="s">
        <v>95</v>
      </c>
      <c r="E58" t="s">
        <v>66</v>
      </c>
      <c r="F58" t="s">
        <v>80</v>
      </c>
      <c r="G58">
        <v>0</v>
      </c>
      <c r="H58" t="s">
        <v>81</v>
      </c>
      <c r="I58" t="s">
        <v>82</v>
      </c>
      <c r="J58" t="str">
        <f>MID($N58,FIND("1.",$N58),FIND("-",$N58)-FIND("1.",$N58)-1)</f>
        <v>1.0075</v>
      </c>
      <c r="K58" t="str">
        <f>MID($N58,FIND("NETIOS - ",$N58)+8,FIND(":",$N58,40)-FIND("NETIOS - ",$N58)-8)</f>
        <v xml:space="preserve"> Set 'ip ospf message-digest-key md5</v>
      </c>
      <c r="L58" t="str">
        <f>MID($N58,FIND("1.",$N58),FIND("[",$N58)-1-FIND("1.",$N58)-1)</f>
        <v>1.0075 - NETIOS - Set 'ip ospf message-digest-key md5</v>
      </c>
      <c r="M58" t="str">
        <f>MID($N58,FIND("[",$N58)+1,FIND("]",$N58)-FIND("[",$N58)-1)</f>
        <v>FAILED</v>
      </c>
      <c r="N58" t="s">
        <v>220</v>
      </c>
      <c r="O58" t="s">
        <v>77</v>
      </c>
      <c r="R58" t="s">
        <v>67</v>
      </c>
      <c r="T58" t="s">
        <v>68</v>
      </c>
      <c r="U58" t="s">
        <v>66</v>
      </c>
      <c r="X58" t="s">
        <v>69</v>
      </c>
      <c r="Y58" t="s">
        <v>84</v>
      </c>
      <c r="Z58">
        <v>0</v>
      </c>
      <c r="AA58">
        <v>0</v>
      </c>
      <c r="AD58">
        <v>0</v>
      </c>
      <c r="AE58">
        <v>0</v>
      </c>
      <c r="AI58" t="s">
        <v>148</v>
      </c>
      <c r="AJ58" t="s">
        <v>149</v>
      </c>
      <c r="AK58" t="s">
        <v>72</v>
      </c>
      <c r="AN58" t="s">
        <v>73</v>
      </c>
      <c r="AO58" t="s">
        <v>150</v>
      </c>
      <c r="AP58" t="s">
        <v>151</v>
      </c>
      <c r="AQ58" t="s">
        <v>152</v>
      </c>
      <c r="AS58" t="b">
        <v>1</v>
      </c>
      <c r="AT58" t="s">
        <v>65</v>
      </c>
      <c r="AU58">
        <v>0</v>
      </c>
      <c r="AV58">
        <v>0</v>
      </c>
      <c r="AX58">
        <v>39</v>
      </c>
      <c r="AY58" t="s">
        <v>79</v>
      </c>
      <c r="AZ58" t="s">
        <v>86</v>
      </c>
      <c r="BB58" t="s">
        <v>87</v>
      </c>
      <c r="BC58" t="s">
        <v>88</v>
      </c>
      <c r="BD58" t="b">
        <v>0</v>
      </c>
      <c r="BE58" t="b">
        <v>0</v>
      </c>
      <c r="BF58" t="b">
        <v>0</v>
      </c>
      <c r="BG58" t="b">
        <v>0</v>
      </c>
      <c r="BH58" t="b">
        <v>0</v>
      </c>
      <c r="BI58" t="b">
        <v>0</v>
      </c>
      <c r="BJ58" t="b">
        <v>0</v>
      </c>
      <c r="BK58" t="b">
        <v>0</v>
      </c>
      <c r="BL58" t="b">
        <v>0</v>
      </c>
      <c r="BM58" t="b">
        <v>0</v>
      </c>
      <c r="BN58" t="b">
        <v>0</v>
      </c>
      <c r="BO58" t="b">
        <v>0</v>
      </c>
      <c r="BP58" t="b">
        <v>0</v>
      </c>
      <c r="BR58" t="b">
        <f>IFERROR(IF(M58="PASSED",VLOOKUP(J58,Current!J101:BR161,1,FALSE)),N58)</f>
        <v>0</v>
      </c>
    </row>
    <row r="59" spans="1:70" hidden="1" x14ac:dyDescent="0.25">
      <c r="A59">
        <v>46689</v>
      </c>
      <c r="C59">
        <v>0</v>
      </c>
      <c r="D59" t="s">
        <v>95</v>
      </c>
      <c r="E59" t="s">
        <v>66</v>
      </c>
      <c r="F59" t="s">
        <v>80</v>
      </c>
      <c r="G59">
        <v>0</v>
      </c>
      <c r="H59" t="s">
        <v>81</v>
      </c>
      <c r="I59" t="s">
        <v>82</v>
      </c>
      <c r="J59" t="str">
        <f>MID($N59,FIND("1.",$N59),FIND("-",$N59)-FIND("1.",$N59)-1)</f>
        <v>1.0076</v>
      </c>
      <c r="K59" t="str">
        <f>MID($N59,FIND("NETIOS - ",$N59)+8,FIND(":",$N59,40)-FIND("NETIOS - ",$N59)-8)</f>
        <v xml:space="preserve"> Set 'neighbor password</v>
      </c>
      <c r="L59" t="str">
        <f>MID($N59,FIND("1.",$N59),FIND("[",$N59)-1-FIND("1.",$N59)-1)</f>
        <v>1.0076 - NETIOS - Set 'neighbor password</v>
      </c>
      <c r="M59" t="str">
        <f>MID($N59,FIND("[",$N59)+1,FIND("]",$N59)-FIND("[",$N59)-1)</f>
        <v>FAILED</v>
      </c>
      <c r="N59" t="s">
        <v>187</v>
      </c>
      <c r="O59" t="s">
        <v>77</v>
      </c>
      <c r="R59" t="s">
        <v>67</v>
      </c>
      <c r="T59" t="s">
        <v>68</v>
      </c>
      <c r="U59" t="s">
        <v>66</v>
      </c>
      <c r="X59" t="s">
        <v>69</v>
      </c>
      <c r="Y59" t="s">
        <v>84</v>
      </c>
      <c r="Z59">
        <v>0</v>
      </c>
      <c r="AA59">
        <v>0</v>
      </c>
      <c r="AD59">
        <v>0</v>
      </c>
      <c r="AE59">
        <v>0</v>
      </c>
      <c r="AI59" t="s">
        <v>148</v>
      </c>
      <c r="AJ59" t="s">
        <v>149</v>
      </c>
      <c r="AK59" t="s">
        <v>72</v>
      </c>
      <c r="AN59" t="s">
        <v>73</v>
      </c>
      <c r="AO59" t="s">
        <v>150</v>
      </c>
      <c r="AP59" t="s">
        <v>186</v>
      </c>
      <c r="AQ59" t="s">
        <v>152</v>
      </c>
      <c r="AS59" t="b">
        <v>1</v>
      </c>
      <c r="AT59" t="s">
        <v>65</v>
      </c>
      <c r="AU59">
        <v>0</v>
      </c>
      <c r="AV59">
        <v>0</v>
      </c>
      <c r="AX59">
        <v>39</v>
      </c>
      <c r="AY59" t="s">
        <v>79</v>
      </c>
      <c r="AZ59" t="s">
        <v>86</v>
      </c>
      <c r="BB59" t="s">
        <v>87</v>
      </c>
      <c r="BC59" t="s">
        <v>88</v>
      </c>
      <c r="BD59" t="b">
        <v>0</v>
      </c>
      <c r="BE59" t="b">
        <v>0</v>
      </c>
      <c r="BF59" t="b">
        <v>0</v>
      </c>
      <c r="BG59" t="b">
        <v>0</v>
      </c>
      <c r="BH59" t="b">
        <v>0</v>
      </c>
      <c r="BI59" t="b">
        <v>0</v>
      </c>
      <c r="BJ59" t="b">
        <v>0</v>
      </c>
      <c r="BK59" t="b">
        <v>0</v>
      </c>
      <c r="BL59" t="b">
        <v>0</v>
      </c>
      <c r="BM59" t="b">
        <v>0</v>
      </c>
      <c r="BN59" t="b">
        <v>0</v>
      </c>
      <c r="BO59" t="b">
        <v>0</v>
      </c>
      <c r="BP59" t="b">
        <v>0</v>
      </c>
      <c r="BR59" t="b">
        <f>IFERROR(IF(M59="PASSED",VLOOKUP(J59,Current!J103:BR163,1,FALSE)),N59)</f>
        <v>0</v>
      </c>
    </row>
  </sheetData>
  <autoFilter xmlns:x14="http://schemas.microsoft.com/office/spreadsheetml/2009/9/main" ref="A1:BR116" xr:uid="{70E0ACF4-73B8-4FE7-AC74-E36256E06AE8}">
    <filterColumn colId="69">
      <filters blank="1">
        <mc:AlternateContent xmlns:mc="http://schemas.openxmlformats.org/markup-compatibility/2006">
          <mc:Choice Requires="x14">
            <x14:filter val="&quot;1.0025 - NETIOS - Enable 'aaa authentication enable default: [PASSED]&quot;_x000a__x000a_Authenticates users who access privileged EXEC mode when they use the enable command._x000a__x000a_See Also:_x000a_See HTH Policies and Standards_x000a__x000a_Reference:_x000a_NIST 800-53r5|AC-2(1)_x000a__x000a_Policy Value:_x000a_CONFIG_CHECK_x000a_item: aaa authentication enable default_x000a__x000a_Actual Value:_x000a_aaa authentication enable default group ISE-TACACS enable &lt;----"/>
            <x14:filter val="&quot;1.0029 - NETIOS - Set 'no exec' for 'line aux 0: [PASSED]&quot;_x000a__x000a_The 'no exec' command restricts a line to outgoing connections only._x000a__x000a_See Also:_x000a_See HTH Policies and Standards_x000a__x000a_Reference:_x000a_NIST 800-53r5|CM-7_x000a__x000a_Policy Value:_x000a_CONFIG_CHECK_x000a_item: no exec_x000a_context: line aux .+_x000a__x000a_Actual Value:_x000a_line aux 0_x000a_ no exec &lt;----"/>
            <x14:filter val="&quot;1.0031 - NETIOS - Set 'transport input none' for 'line aux 0: [PASSED]&quot;_x000a__x000a_When you want to allow only an outgoing connection on a line, use the no exec command._x000a__x000a_See Also:_x000a_See HTH Policies and Standards_x000a__x000a_Reference:_x000a_NIST 800-53r5|AC-2(5) AC-11 AC-11(1) AC-12_x000a__x000a_Policy Value:_x000a_CONFIG_CHECK_NOT_x000a_item: transport input (all|ssh|telnet)$_x000a_context: line aux .+_x000a__x000a_Actual Value:_x000a_line aux 0_x000a_ no exec_x000a__x000a_Expected configuration: _x000a_transport input (all|ssh|telnet)$"/>
            <x14:filter val="&quot;1.0037 - NETIOS - Set the 'hostname: [PASSED]&quot;_x000a__x000a_The hostname is used in prompts and default configuration filenames._x000a__x000a_See Also:_x000a_See HTH Policies and Standards_x000a__x000a_Reference:_x000a_NIST 800-53r5|CM-6_x000a__x000a_Policy Value:_x000a_CONFIG_CHECK_NOT_x000a_item: hostname .+_x000a_regex: hostname Router$_x000a__x000a_Actual Value:_x000a_hostname HTH2-IPFLEX-HTH2-CUBE1.hilltop.systems"/>
            <x14:filter val="&quot;1.0041 - NETIOS - Set 'no ip bootp server: [PASSED]&quot;_x000a__x000a_Disable the Bootstrap Protocol (BOOTP) service on your routing device._x000a__x000a_See Also:_x000a_See HTH Policies and Standards_x000a__x000a_Reference:_x000a_NIST 800-53r5|CM-7_x000a__x000a_Policy Value:_x000a_CONFIG_CHECK_x000a_item: no ip bootp server_x000a__x000a_Actual Value:_x000a_no ip bootp server &lt;----"/>
            <x14:filter val="&quot;1.0042 - NETIOS - Set 'no service pad: [PASSED]&quot;_x000a__x000a_Disable X._x000a__x000a_See Also:_x000a_See HTH Policies and Standards_x000a__x000a_Reference:_x000a_NIST 800-53r5|CM-7_x000a__x000a_Policy Value:_x000a_CONFIG_CHECK_x000a_item: no service pad_x000a__x000a_Actual Value:_x000a_no service pad &lt;----"/>
            <x14:filter val="&quot;1.0043 - NETIOS - Set 'logging enable: [PASSED]&quot;_x000a__x000a_Enable logging of system messages._x000a__x000a_See Also:_x000a_See HTH Policies and Standards_x000a__x000a_Reference:_x000a_NIST 800-53r5|AU-3 AU-3(1) AU-7 AU-12_x000a__x000a_Policy Value:_x000a_CONFIG_CHECK_x000a_item: logging host_x000a__x000a_Actual Value:_x000a_logging host 10.10.77.20 &lt;----"/>
            <x14:filter val="&quot;1.0044 - NETIOS - Set 'buffer size' for 'logging buffered: [PASSED]&quot;_x000a__x000a_Enable system message logging to a local buffer._x000a__x000a_See Also:_x000a_See HTH Policies and Standards_x000a__x000a_Reference:_x000a_NIST 800-53r5|AU-3 AU-3(1) AU-7 AU-12_x000a__x000a_Policy Value:_x000a_CONFIG_CHECK_x000a_item: logging buffered_x000a_regex: logging buffered 64000( *|$)_x000a__x000a_Actual Value:_x000a_logging buffered 64000 &lt;----"/>
            <x14:filter val="&quot;1.0048 - NETIOS - Set 'no interface tunnel: [PASSED]&quot;_x000a__x000a_Verify no tunnel interfaces are defined._x000a__x000a_See Also:_x000a_See HTH Policies and Standards_x000a__x000a_Reference:_x000a_NIST 800-53r5|CM-7_x000a__x000a_Policy Value:_x000a_CONFIG_CHECK_NOT_x000a_item: interface [Tt]unnel[0-9]+_x000a__x000a_Actual Value:_x000a_interface [Tt]unnel[0-9]+ not found in the configuration file"/>
            <x14:filter val="&quot;1.0051 - NETIOS - Set 'aaa accounting system: [PASSED]&quot;_x000a__x000a_Performs accounting for all system-level events not associated with users, such as reloads._x000a__x000a_See Also:_x000a_See HTH Policies and Standards_x000a__x000a_Reference:_x000a_NIST 800-53r5|AU-2 AU-3 AU-3(1) AU-7 AU-12_x000a__x000a_Policy Value:_x000a_CONFIG_CHECK_x000a_item: aaa accounting system [^ ]+_x000a__x000a_Actual Value:_x000a_aaa accounting system default start-stop group HTH-ISE &lt;----"/>
            <x14:filter val="&quot;1.0052 - NETIOS - Set 'login authentication for 'ip http: [PASSED]&quot;_x000a__x000a_If account management functions are not automatically enforced, an attacker could gain privileged access to a vital element of the network security architecture_x000a__x000a_See Also:_x000a_See HTH Policies and Standards_x000a__x000a_Reference:_x000a_NIST 800-53r5|AC-2(1)_x000a__x000a_Policy Value:_x000a_CONFIG_CHECK_x000a_item: ^[ ]*ip http authentication (local|aaa_list_name)_x000a__x000a_Actual Value:_x000a_ip http authentication local &lt;----"/>
            <x14:filter val="&quot;1.0053 - NETIOS - Set 'aaa accounting' to log all privileged use commands using 'commands 15: [PASSED]&quot;_x000a__x000a_Runs accounting for all commands at the specified privilege level._x000a__x000a_See Also:_x000a_See HTH Policies and Standards_x000a__x000a_Reference:_x000a_NIST 800-53r5|AU-2 AU-3 AU-3(1) AU-7 AU-12_x000a__x000a_Policy Value:_x000a_CONFIG_CHECK_x000a_item: aaa accounting commands 15 [^ ]+_x000a__x000a_Actual Value:_x000a_aaa accounting commands 15 default start-stop group ISE-TACACS &lt;----"/>
            <x14:filter val="&quot;1.0055 - NETIOS - Set 'aaa accounting exec: [PASSED]&quot;_x000a__x000a_Runs accounting for the EXEC shell session._x000a__x000a_See Also:_x000a_See HTH Policies and Standards_x000a__x000a_Reference:_x000a_NIST 800-53r5|AU-2 AU-3 AU-3(1) AU-7 AU-12_x000a__x000a_Policy Value:_x000a_CONFIG_CHECK_x000a_item: aaa accounting exec [^ ]+_x000a__x000a_Actual Value:_x000a_aaa accounting exec default start-stop group ISE-TACACS &lt;----"/>
            <x14:filter val="&quot;1.0058 - NETIOS - Set 'exec-timeout' to less than or equal to 10 minutes for 'line aux 0: [PASSED]&quot;_x000a__x000a_If no input is detected during the interval, the EXEC facility resumes the current connection._x000a__x000a_See Also:_x000a_See HTH Policies and Standards_x000a__x000a_Reference:_x000a_NIST 800-53r5|AC-2(5) AC-11 AC-11(1) AC-12_x000a__x000a_Policy Value:_x000a_CONFIG_CHECK_NOT_x000a_item: exec-timeout (1[1-9]|[2-9][0-9]|[0-9]{3,}) [0-9]+$_x000a_context: line aux 0_x000a__x000a_Actual Value:_x000a_line aux 0_x000a_ no exec_x000a__x000a_Expected configuration: _x000a_exec-timeout (1[1-9]|[2-9][0-9]|[0-9]{3,}) [0-9]+$"/>
            <x14:filter val="&quot;1.0063 - NETIOS - Set maximum value for 'ip ssh authentication-retries: [PASSED]&quot;_x000a__x000a_The number of retries before the SSH login session disconnects._x000a__x000a_See Also:_x000a_See HTH Policies and Standards_x000a__x000a_Reference:_x000a_NIST 800-53r5|IA-2(1)_x000a__x000a_Policy Value:_x000a_CONFIG_CHECK_NOT_x000a_item: ip ssh authentication-retries ([4-9]|[1-9][0-9]+)$_x000a__x000a_Actual Value:_x000a_ip ssh authentication-retries ([4-9]|[1-9][0-9]+)$ not found in the configuration file"/>
            <x14:filter val="&quot;1.0065 - NETIOS - Set 'login success/failure logging: [PASSED]&quot;_x000a__x000a_Without generating audit records that are specific to the security and mission needs of the organization, it would be difficult to establish, correlate, and investigate the events relating to an incident or identify those responsible for one._x000a__x000a_See Also:_x000a_See HTH Policies and Standards_x000a__x000a_Reference:_x000a_NIST 800-53r5|AU-3 AU-3(1) AU-7 AU-12_x000a__x000a_Policy Value:_x000a_CONFIG_CHECK_x000a_item: login on-(failure|success) log_x000a__x000a_Actual Value:_x000a_login on-failure log &lt;----_x000a_login on-success log &lt;----"/>
          </mc:Choice>
          <mc:Fallback>
            <filter val="&quot;1.0042 - NETIOS - Set 'no service pad: [PASSED]&quot;_x000a__x000a_Disable X._x000a__x000a_See Also:_x000a_See HTH Policies and Standards_x000a__x000a_Reference:_x000a_NIST 800-53r5|CM-7_x000a__x000a_Policy Value:_x000a_CONFIG_CHECK_x000a_item: no service pad_x000a__x000a_Actual Value:_x000a_no service pad &lt;----"/>
          </mc:Fallback>
        </mc:AlternateContent>
      </filters>
    </filterColumn>
  </autoFilter>
  <sortState xmlns:xlrd2="http://schemas.microsoft.com/office/spreadsheetml/2017/richdata2" ref="A2:BQ110">
    <sortCondition ref="N2:N11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ED7B3-758F-4652-92CE-5647F1560A41}">
  <dimension ref="A1:F17"/>
  <sheetViews>
    <sheetView workbookViewId="0">
      <selection activeCell="C36" sqref="C36"/>
    </sheetView>
  </sheetViews>
  <sheetFormatPr defaultRowHeight="15" x14ac:dyDescent="0.25"/>
  <cols>
    <col min="1" max="1" width="6.5703125" bestFit="1" customWidth="1"/>
    <col min="2" max="2" width="101.7109375" bestFit="1" customWidth="1"/>
    <col min="3" max="3" width="85.85546875" bestFit="1" customWidth="1"/>
    <col min="4" max="4" width="7.5703125" bestFit="1" customWidth="1"/>
    <col min="5" max="6" width="255.7109375" bestFit="1" customWidth="1"/>
  </cols>
  <sheetData>
    <row r="1" spans="1:6" x14ac:dyDescent="0.25">
      <c r="A1" t="s">
        <v>234</v>
      </c>
      <c r="B1" t="s">
        <v>235</v>
      </c>
      <c r="C1" t="s">
        <v>236</v>
      </c>
      <c r="D1" t="s">
        <v>237</v>
      </c>
      <c r="E1" t="s">
        <v>9</v>
      </c>
      <c r="F1" t="s">
        <v>239</v>
      </c>
    </row>
    <row r="2" spans="1:6" x14ac:dyDescent="0.25">
      <c r="A2" t="s">
        <v>991</v>
      </c>
      <c r="B2" t="s">
        <v>992</v>
      </c>
      <c r="C2" t="s">
        <v>993</v>
      </c>
      <c r="D2" t="s">
        <v>238</v>
      </c>
      <c r="E2" t="s">
        <v>166</v>
      </c>
      <c r="F2" t="s">
        <v>166</v>
      </c>
    </row>
    <row r="3" spans="1:6" x14ac:dyDescent="0.25">
      <c r="A3" t="s">
        <v>994</v>
      </c>
      <c r="B3" t="s">
        <v>995</v>
      </c>
      <c r="C3" t="s">
        <v>996</v>
      </c>
      <c r="D3" t="s">
        <v>238</v>
      </c>
      <c r="E3" t="s">
        <v>179</v>
      </c>
      <c r="F3" t="s">
        <v>179</v>
      </c>
    </row>
    <row r="4" spans="1:6" x14ac:dyDescent="0.25">
      <c r="A4" t="s">
        <v>997</v>
      </c>
      <c r="B4" t="s">
        <v>998</v>
      </c>
      <c r="C4" t="s">
        <v>999</v>
      </c>
      <c r="D4" t="s">
        <v>238</v>
      </c>
      <c r="E4" t="s">
        <v>183</v>
      </c>
      <c r="F4" t="s">
        <v>183</v>
      </c>
    </row>
    <row r="5" spans="1:6" x14ac:dyDescent="0.25">
      <c r="A5" t="s">
        <v>1000</v>
      </c>
      <c r="B5" t="s">
        <v>1001</v>
      </c>
      <c r="C5" t="s">
        <v>1002</v>
      </c>
      <c r="D5" t="s">
        <v>238</v>
      </c>
      <c r="E5" t="s">
        <v>162</v>
      </c>
      <c r="F5" t="s">
        <v>162</v>
      </c>
    </row>
    <row r="6" spans="1:6" x14ac:dyDescent="0.25">
      <c r="A6" t="s">
        <v>1003</v>
      </c>
      <c r="B6" t="s">
        <v>1004</v>
      </c>
      <c r="C6" t="s">
        <v>1005</v>
      </c>
      <c r="D6" t="s">
        <v>238</v>
      </c>
      <c r="E6" t="s">
        <v>184</v>
      </c>
      <c r="F6" t="s">
        <v>184</v>
      </c>
    </row>
    <row r="7" spans="1:6" x14ac:dyDescent="0.25">
      <c r="A7" t="s">
        <v>1006</v>
      </c>
      <c r="B7" t="s">
        <v>1007</v>
      </c>
      <c r="C7" t="s">
        <v>1008</v>
      </c>
      <c r="D7" t="s">
        <v>238</v>
      </c>
      <c r="E7" t="s">
        <v>167</v>
      </c>
      <c r="F7" t="s">
        <v>167</v>
      </c>
    </row>
    <row r="8" spans="1:6" x14ac:dyDescent="0.25">
      <c r="A8" t="s">
        <v>1009</v>
      </c>
      <c r="B8" t="s">
        <v>1010</v>
      </c>
      <c r="C8" t="s">
        <v>1011</v>
      </c>
      <c r="D8" t="s">
        <v>238</v>
      </c>
      <c r="E8" t="s">
        <v>198</v>
      </c>
      <c r="F8" t="s">
        <v>198</v>
      </c>
    </row>
    <row r="9" spans="1:6" x14ac:dyDescent="0.25">
      <c r="A9" t="s">
        <v>1012</v>
      </c>
      <c r="B9" t="s">
        <v>1013</v>
      </c>
      <c r="C9" t="s">
        <v>1014</v>
      </c>
      <c r="D9" t="s">
        <v>238</v>
      </c>
      <c r="E9" t="s">
        <v>202</v>
      </c>
      <c r="F9" t="s">
        <v>202</v>
      </c>
    </row>
    <row r="10" spans="1:6" x14ac:dyDescent="0.25">
      <c r="A10" t="s">
        <v>1015</v>
      </c>
      <c r="B10" t="s">
        <v>1016</v>
      </c>
      <c r="C10" t="s">
        <v>1017</v>
      </c>
      <c r="D10" t="s">
        <v>238</v>
      </c>
      <c r="E10" t="s">
        <v>160</v>
      </c>
      <c r="F10" t="s">
        <v>160</v>
      </c>
    </row>
    <row r="11" spans="1:6" x14ac:dyDescent="0.25">
      <c r="A11" t="s">
        <v>1018</v>
      </c>
      <c r="B11" t="s">
        <v>1019</v>
      </c>
      <c r="C11" t="s">
        <v>1020</v>
      </c>
      <c r="D11" t="s">
        <v>238</v>
      </c>
      <c r="E11" t="s">
        <v>225</v>
      </c>
      <c r="F11" t="s">
        <v>225</v>
      </c>
    </row>
    <row r="12" spans="1:6" x14ac:dyDescent="0.25">
      <c r="A12" t="s">
        <v>1021</v>
      </c>
      <c r="B12" t="s">
        <v>1022</v>
      </c>
      <c r="C12" t="s">
        <v>1023</v>
      </c>
      <c r="D12" t="s">
        <v>238</v>
      </c>
      <c r="E12" t="s">
        <v>229</v>
      </c>
      <c r="F12" t="s">
        <v>229</v>
      </c>
    </row>
    <row r="13" spans="1:6" x14ac:dyDescent="0.25">
      <c r="A13" t="s">
        <v>1024</v>
      </c>
      <c r="B13" t="s">
        <v>1025</v>
      </c>
      <c r="C13" t="s">
        <v>1026</v>
      </c>
      <c r="D13" t="s">
        <v>238</v>
      </c>
      <c r="E13" t="s">
        <v>210</v>
      </c>
      <c r="F13" t="s">
        <v>210</v>
      </c>
    </row>
    <row r="14" spans="1:6" x14ac:dyDescent="0.25">
      <c r="A14" t="s">
        <v>1027</v>
      </c>
      <c r="B14" t="s">
        <v>1028</v>
      </c>
      <c r="C14" t="s">
        <v>1029</v>
      </c>
      <c r="D14" t="s">
        <v>238</v>
      </c>
      <c r="E14" t="s">
        <v>219</v>
      </c>
      <c r="F14" t="s">
        <v>219</v>
      </c>
    </row>
    <row r="15" spans="1:6" x14ac:dyDescent="0.25">
      <c r="A15" t="s">
        <v>1030</v>
      </c>
      <c r="B15" t="s">
        <v>1031</v>
      </c>
      <c r="C15" t="s">
        <v>1032</v>
      </c>
      <c r="D15" t="s">
        <v>238</v>
      </c>
      <c r="E15" t="s">
        <v>175</v>
      </c>
      <c r="F15" t="s">
        <v>175</v>
      </c>
    </row>
    <row r="16" spans="1:6" x14ac:dyDescent="0.25">
      <c r="A16" t="s">
        <v>1033</v>
      </c>
      <c r="B16" t="s">
        <v>1034</v>
      </c>
      <c r="C16" t="s">
        <v>1035</v>
      </c>
      <c r="D16" t="s">
        <v>238</v>
      </c>
      <c r="E16" t="s">
        <v>204</v>
      </c>
      <c r="F16" t="s">
        <v>204</v>
      </c>
    </row>
    <row r="17" spans="1:6" x14ac:dyDescent="0.25">
      <c r="A17" t="s">
        <v>1036</v>
      </c>
      <c r="B17" t="s">
        <v>1037</v>
      </c>
      <c r="C17" t="s">
        <v>1038</v>
      </c>
      <c r="D17" t="s">
        <v>238</v>
      </c>
      <c r="E17" t="s">
        <v>233</v>
      </c>
      <c r="F17" t="s">
        <v>233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3F98-B929-4042-AC96-63F8915DEC28}">
  <dimension ref="A1:A746"/>
  <sheetViews>
    <sheetView topLeftCell="A711" workbookViewId="0">
      <selection activeCell="A34" sqref="A34"/>
    </sheetView>
  </sheetViews>
  <sheetFormatPr defaultRowHeight="15" x14ac:dyDescent="0.25"/>
  <cols>
    <col min="1" max="1" width="254" bestFit="1" customWidth="1"/>
  </cols>
  <sheetData>
    <row r="1" spans="1:1" x14ac:dyDescent="0.25">
      <c r="A1" t="s">
        <v>240</v>
      </c>
    </row>
    <row r="3" spans="1:1" x14ac:dyDescent="0.25">
      <c r="A3" t="s">
        <v>241</v>
      </c>
    </row>
    <row r="5" spans="1:1" x14ac:dyDescent="0.25">
      <c r="A5" t="s">
        <v>242</v>
      </c>
    </row>
    <row r="6" spans="1:1" x14ac:dyDescent="0.25">
      <c r="A6" t="s">
        <v>243</v>
      </c>
    </row>
    <row r="7" spans="1:1" x14ac:dyDescent="0.25">
      <c r="A7" t="s">
        <v>244</v>
      </c>
    </row>
    <row r="8" spans="1:1" x14ac:dyDescent="0.25">
      <c r="A8" t="s">
        <v>245</v>
      </c>
    </row>
    <row r="9" spans="1:1" x14ac:dyDescent="0.25">
      <c r="A9" t="s">
        <v>246</v>
      </c>
    </row>
    <row r="10" spans="1:1" x14ac:dyDescent="0.25">
      <c r="A10" t="s">
        <v>247</v>
      </c>
    </row>
    <row r="11" spans="1:1" x14ac:dyDescent="0.25">
      <c r="A11" t="s">
        <v>248</v>
      </c>
    </row>
    <row r="12" spans="1:1" x14ac:dyDescent="0.25">
      <c r="A12" t="s">
        <v>249</v>
      </c>
    </row>
    <row r="14" spans="1:1" x14ac:dyDescent="0.25">
      <c r="A14" t="s">
        <v>250</v>
      </c>
    </row>
    <row r="15" spans="1:1" x14ac:dyDescent="0.25">
      <c r="A15" t="s">
        <v>244</v>
      </c>
    </row>
    <row r="16" spans="1:1" x14ac:dyDescent="0.25">
      <c r="A16" t="s">
        <v>245</v>
      </c>
    </row>
    <row r="17" spans="1:1" x14ac:dyDescent="0.25">
      <c r="A17" t="s">
        <v>251</v>
      </c>
    </row>
    <row r="18" spans="1:1" x14ac:dyDescent="0.25">
      <c r="A18" t="s">
        <v>252</v>
      </c>
    </row>
    <row r="19" spans="1:1" x14ac:dyDescent="0.25">
      <c r="A19" t="s">
        <v>253</v>
      </c>
    </row>
    <row r="20" spans="1:1" x14ac:dyDescent="0.25">
      <c r="A20" t="s">
        <v>254</v>
      </c>
    </row>
    <row r="21" spans="1:1" x14ac:dyDescent="0.25">
      <c r="A21" t="s">
        <v>255</v>
      </c>
    </row>
    <row r="22" spans="1:1" x14ac:dyDescent="0.25">
      <c r="A22" t="s">
        <v>248</v>
      </c>
    </row>
    <row r="24" spans="1:1" x14ac:dyDescent="0.25">
      <c r="A24" t="s">
        <v>244</v>
      </c>
    </row>
    <row r="25" spans="1:1" x14ac:dyDescent="0.25">
      <c r="A25" t="s">
        <v>245</v>
      </c>
    </row>
    <row r="26" spans="1:1" x14ac:dyDescent="0.25">
      <c r="A26" t="s">
        <v>256</v>
      </c>
    </row>
    <row r="27" spans="1:1" x14ac:dyDescent="0.25">
      <c r="A27" t="s">
        <v>257</v>
      </c>
    </row>
    <row r="28" spans="1:1" x14ac:dyDescent="0.25">
      <c r="A28" t="s">
        <v>253</v>
      </c>
    </row>
    <row r="29" spans="1:1" x14ac:dyDescent="0.25">
      <c r="A29" t="s">
        <v>254</v>
      </c>
    </row>
    <row r="30" spans="1:1" x14ac:dyDescent="0.25">
      <c r="A30" t="s">
        <v>258</v>
      </c>
    </row>
    <row r="31" spans="1:1" x14ac:dyDescent="0.25">
      <c r="A31" t="s">
        <v>248</v>
      </c>
    </row>
    <row r="33" spans="1:1" x14ac:dyDescent="0.25">
      <c r="A33" t="s">
        <v>244</v>
      </c>
    </row>
    <row r="34" spans="1:1" x14ac:dyDescent="0.25">
      <c r="A34" t="s">
        <v>245</v>
      </c>
    </row>
    <row r="35" spans="1:1" x14ac:dyDescent="0.25">
      <c r="A35" t="s">
        <v>259</v>
      </c>
    </row>
    <row r="36" spans="1:1" x14ac:dyDescent="0.25">
      <c r="A36" t="s">
        <v>260</v>
      </c>
    </row>
    <row r="37" spans="1:1" x14ac:dyDescent="0.25">
      <c r="A37" t="s">
        <v>253</v>
      </c>
    </row>
    <row r="38" spans="1:1" x14ac:dyDescent="0.25">
      <c r="A38" t="s">
        <v>254</v>
      </c>
    </row>
    <row r="39" spans="1:1" x14ac:dyDescent="0.25">
      <c r="A39" t="s">
        <v>261</v>
      </c>
    </row>
    <row r="40" spans="1:1" x14ac:dyDescent="0.25">
      <c r="A40" t="s">
        <v>262</v>
      </c>
    </row>
    <row r="41" spans="1:1" x14ac:dyDescent="0.25">
      <c r="A41" t="s">
        <v>248</v>
      </c>
    </row>
    <row r="43" spans="1:1" x14ac:dyDescent="0.25">
      <c r="A43" t="s">
        <v>244</v>
      </c>
    </row>
    <row r="44" spans="1:1" x14ac:dyDescent="0.25">
      <c r="A44" t="s">
        <v>245</v>
      </c>
    </row>
    <row r="45" spans="1:1" x14ac:dyDescent="0.25">
      <c r="A45" t="s">
        <v>263</v>
      </c>
    </row>
    <row r="46" spans="1:1" x14ac:dyDescent="0.25">
      <c r="A46" t="s">
        <v>264</v>
      </c>
    </row>
    <row r="47" spans="1:1" x14ac:dyDescent="0.25">
      <c r="A47" t="s">
        <v>265</v>
      </c>
    </row>
    <row r="48" spans="1:1" x14ac:dyDescent="0.25">
      <c r="A48" t="s">
        <v>254</v>
      </c>
    </row>
    <row r="49" spans="1:1" x14ac:dyDescent="0.25">
      <c r="A49" t="s">
        <v>261</v>
      </c>
    </row>
    <row r="50" spans="1:1" x14ac:dyDescent="0.25">
      <c r="A50" t="s">
        <v>266</v>
      </c>
    </row>
    <row r="51" spans="1:1" x14ac:dyDescent="0.25">
      <c r="A51" t="s">
        <v>248</v>
      </c>
    </row>
    <row r="53" spans="1:1" x14ac:dyDescent="0.25">
      <c r="A53" t="s">
        <v>244</v>
      </c>
    </row>
    <row r="54" spans="1:1" x14ac:dyDescent="0.25">
      <c r="A54" t="s">
        <v>245</v>
      </c>
    </row>
    <row r="55" spans="1:1" x14ac:dyDescent="0.25">
      <c r="A55" t="s">
        <v>267</v>
      </c>
    </row>
    <row r="56" spans="1:1" x14ac:dyDescent="0.25">
      <c r="A56" t="s">
        <v>268</v>
      </c>
    </row>
    <row r="57" spans="1:1" x14ac:dyDescent="0.25">
      <c r="A57" t="s">
        <v>269</v>
      </c>
    </row>
    <row r="58" spans="1:1" x14ac:dyDescent="0.25">
      <c r="A58" t="s">
        <v>254</v>
      </c>
    </row>
    <row r="59" spans="1:1" x14ac:dyDescent="0.25">
      <c r="A59" t="s">
        <v>270</v>
      </c>
    </row>
    <row r="60" spans="1:1" x14ac:dyDescent="0.25">
      <c r="A60" t="s">
        <v>248</v>
      </c>
    </row>
    <row r="62" spans="1:1" x14ac:dyDescent="0.25">
      <c r="A62" t="s">
        <v>244</v>
      </c>
    </row>
    <row r="63" spans="1:1" x14ac:dyDescent="0.25">
      <c r="A63" t="s">
        <v>245</v>
      </c>
    </row>
    <row r="64" spans="1:1" x14ac:dyDescent="0.25">
      <c r="A64" t="s">
        <v>271</v>
      </c>
    </row>
    <row r="65" spans="1:1" x14ac:dyDescent="0.25">
      <c r="A65" t="s">
        <v>272</v>
      </c>
    </row>
    <row r="66" spans="1:1" x14ac:dyDescent="0.25">
      <c r="A66" t="s">
        <v>273</v>
      </c>
    </row>
    <row r="67" spans="1:1" x14ac:dyDescent="0.25">
      <c r="A67" t="s">
        <v>254</v>
      </c>
    </row>
    <row r="68" spans="1:1" x14ac:dyDescent="0.25">
      <c r="A68" t="s">
        <v>274</v>
      </c>
    </row>
    <row r="69" spans="1:1" x14ac:dyDescent="0.25">
      <c r="A69" t="s">
        <v>248</v>
      </c>
    </row>
    <row r="71" spans="1:1" x14ac:dyDescent="0.25">
      <c r="A71" t="s">
        <v>244</v>
      </c>
    </row>
    <row r="72" spans="1:1" x14ac:dyDescent="0.25">
      <c r="A72" t="s">
        <v>245</v>
      </c>
    </row>
    <row r="73" spans="1:1" x14ac:dyDescent="0.25">
      <c r="A73" t="s">
        <v>275</v>
      </c>
    </row>
    <row r="74" spans="1:1" x14ac:dyDescent="0.25">
      <c r="A74" t="s">
        <v>276</v>
      </c>
    </row>
    <row r="75" spans="1:1" x14ac:dyDescent="0.25">
      <c r="A75" t="s">
        <v>273</v>
      </c>
    </row>
    <row r="76" spans="1:1" x14ac:dyDescent="0.25">
      <c r="A76" t="s">
        <v>254</v>
      </c>
    </row>
    <row r="77" spans="1:1" x14ac:dyDescent="0.25">
      <c r="A77" t="s">
        <v>277</v>
      </c>
    </row>
    <row r="78" spans="1:1" x14ac:dyDescent="0.25">
      <c r="A78" t="s">
        <v>278</v>
      </c>
    </row>
    <row r="79" spans="1:1" x14ac:dyDescent="0.25">
      <c r="A79" t="s">
        <v>248</v>
      </c>
    </row>
    <row r="81" spans="1:1" x14ac:dyDescent="0.25">
      <c r="A81" t="s">
        <v>244</v>
      </c>
    </row>
    <row r="82" spans="1:1" x14ac:dyDescent="0.25">
      <c r="A82" t="s">
        <v>279</v>
      </c>
    </row>
    <row r="83" spans="1:1" x14ac:dyDescent="0.25">
      <c r="A83" t="s">
        <v>280</v>
      </c>
    </row>
    <row r="84" spans="1:1" x14ac:dyDescent="0.25">
      <c r="A84" t="s">
        <v>281</v>
      </c>
    </row>
    <row r="85" spans="1:1" x14ac:dyDescent="0.25">
      <c r="A85" t="s">
        <v>282</v>
      </c>
    </row>
    <row r="86" spans="1:1" x14ac:dyDescent="0.25">
      <c r="A86" t="s">
        <v>254</v>
      </c>
    </row>
    <row r="87" spans="1:1" x14ac:dyDescent="0.25">
      <c r="A87" t="s">
        <v>283</v>
      </c>
    </row>
    <row r="88" spans="1:1" x14ac:dyDescent="0.25">
      <c r="A88" t="s">
        <v>248</v>
      </c>
    </row>
    <row r="90" spans="1:1" x14ac:dyDescent="0.25">
      <c r="A90" t="s">
        <v>244</v>
      </c>
    </row>
    <row r="91" spans="1:1" x14ac:dyDescent="0.25">
      <c r="A91" t="s">
        <v>279</v>
      </c>
    </row>
    <row r="92" spans="1:1" x14ac:dyDescent="0.25">
      <c r="A92" t="s">
        <v>284</v>
      </c>
    </row>
    <row r="93" spans="1:1" x14ac:dyDescent="0.25">
      <c r="A93" t="s">
        <v>285</v>
      </c>
    </row>
    <row r="94" spans="1:1" x14ac:dyDescent="0.25">
      <c r="A94" t="s">
        <v>282</v>
      </c>
    </row>
    <row r="95" spans="1:1" x14ac:dyDescent="0.25">
      <c r="A95" t="s">
        <v>254</v>
      </c>
    </row>
    <row r="96" spans="1:1" x14ac:dyDescent="0.25">
      <c r="A96" t="s">
        <v>286</v>
      </c>
    </row>
    <row r="97" spans="1:1" x14ac:dyDescent="0.25">
      <c r="A97" t="s">
        <v>248</v>
      </c>
    </row>
    <row r="99" spans="1:1" x14ac:dyDescent="0.25">
      <c r="A99" t="s">
        <v>244</v>
      </c>
    </row>
    <row r="100" spans="1:1" x14ac:dyDescent="0.25">
      <c r="A100" t="s">
        <v>279</v>
      </c>
    </row>
    <row r="101" spans="1:1" x14ac:dyDescent="0.25">
      <c r="A101" t="s">
        <v>287</v>
      </c>
    </row>
    <row r="102" spans="1:1" x14ac:dyDescent="0.25">
      <c r="A102" t="s">
        <v>285</v>
      </c>
    </row>
    <row r="103" spans="1:1" x14ac:dyDescent="0.25">
      <c r="A103" t="s">
        <v>282</v>
      </c>
    </row>
    <row r="104" spans="1:1" x14ac:dyDescent="0.25">
      <c r="A104" t="s">
        <v>254</v>
      </c>
    </row>
    <row r="105" spans="1:1" x14ac:dyDescent="0.25">
      <c r="A105" t="s">
        <v>288</v>
      </c>
    </row>
    <row r="106" spans="1:1" x14ac:dyDescent="0.25">
      <c r="A106" t="s">
        <v>248</v>
      </c>
    </row>
    <row r="108" spans="1:1" x14ac:dyDescent="0.25">
      <c r="A108" t="s">
        <v>244</v>
      </c>
    </row>
    <row r="109" spans="1:1" x14ac:dyDescent="0.25">
      <c r="A109" t="s">
        <v>279</v>
      </c>
    </row>
    <row r="110" spans="1:1" x14ac:dyDescent="0.25">
      <c r="A110" t="s">
        <v>289</v>
      </c>
    </row>
    <row r="111" spans="1:1" x14ac:dyDescent="0.25">
      <c r="A111" t="s">
        <v>290</v>
      </c>
    </row>
    <row r="112" spans="1:1" x14ac:dyDescent="0.25">
      <c r="A112" t="s">
        <v>282</v>
      </c>
    </row>
    <row r="113" spans="1:1" x14ac:dyDescent="0.25">
      <c r="A113" t="s">
        <v>254</v>
      </c>
    </row>
    <row r="114" spans="1:1" x14ac:dyDescent="0.25">
      <c r="A114" t="s">
        <v>291</v>
      </c>
    </row>
    <row r="115" spans="1:1" x14ac:dyDescent="0.25">
      <c r="A115" t="s">
        <v>248</v>
      </c>
    </row>
    <row r="117" spans="1:1" x14ac:dyDescent="0.25">
      <c r="A117" t="s">
        <v>244</v>
      </c>
    </row>
    <row r="118" spans="1:1" x14ac:dyDescent="0.25">
      <c r="A118" t="s">
        <v>245</v>
      </c>
    </row>
    <row r="119" spans="1:1" x14ac:dyDescent="0.25">
      <c r="A119" t="s">
        <v>292</v>
      </c>
    </row>
    <row r="120" spans="1:1" x14ac:dyDescent="0.25">
      <c r="A120" t="s">
        <v>293</v>
      </c>
    </row>
    <row r="121" spans="1:1" x14ac:dyDescent="0.25">
      <c r="A121" t="s">
        <v>294</v>
      </c>
    </row>
    <row r="122" spans="1:1" x14ac:dyDescent="0.25">
      <c r="A122" t="s">
        <v>254</v>
      </c>
    </row>
    <row r="123" spans="1:1" x14ac:dyDescent="0.25">
      <c r="A123" t="s">
        <v>295</v>
      </c>
    </row>
    <row r="124" spans="1:1" x14ac:dyDescent="0.25">
      <c r="A124" t="s">
        <v>248</v>
      </c>
    </row>
    <row r="126" spans="1:1" x14ac:dyDescent="0.25">
      <c r="A126" t="s">
        <v>244</v>
      </c>
    </row>
    <row r="127" spans="1:1" x14ac:dyDescent="0.25">
      <c r="A127" t="s">
        <v>245</v>
      </c>
    </row>
    <row r="128" spans="1:1" x14ac:dyDescent="0.25">
      <c r="A128" t="s">
        <v>296</v>
      </c>
    </row>
    <row r="129" spans="1:1" x14ac:dyDescent="0.25">
      <c r="A129" t="s">
        <v>293</v>
      </c>
    </row>
    <row r="130" spans="1:1" x14ac:dyDescent="0.25">
      <c r="A130" t="s">
        <v>294</v>
      </c>
    </row>
    <row r="131" spans="1:1" x14ac:dyDescent="0.25">
      <c r="A131" t="s">
        <v>254</v>
      </c>
    </row>
    <row r="132" spans="1:1" x14ac:dyDescent="0.25">
      <c r="A132" t="s">
        <v>297</v>
      </c>
    </row>
    <row r="133" spans="1:1" x14ac:dyDescent="0.25">
      <c r="A133" t="s">
        <v>298</v>
      </c>
    </row>
    <row r="134" spans="1:1" x14ac:dyDescent="0.25">
      <c r="A134" t="s">
        <v>248</v>
      </c>
    </row>
    <row r="136" spans="1:1" x14ac:dyDescent="0.25">
      <c r="A136" t="s">
        <v>244</v>
      </c>
    </row>
    <row r="137" spans="1:1" x14ac:dyDescent="0.25">
      <c r="A137" t="s">
        <v>245</v>
      </c>
    </row>
    <row r="138" spans="1:1" x14ac:dyDescent="0.25">
      <c r="A138" t="s">
        <v>299</v>
      </c>
    </row>
    <row r="139" spans="1:1" x14ac:dyDescent="0.25">
      <c r="A139" t="s">
        <v>300</v>
      </c>
    </row>
    <row r="140" spans="1:1" x14ac:dyDescent="0.25">
      <c r="A140" t="s">
        <v>301</v>
      </c>
    </row>
    <row r="141" spans="1:1" x14ac:dyDescent="0.25">
      <c r="A141" t="s">
        <v>254</v>
      </c>
    </row>
    <row r="142" spans="1:1" x14ac:dyDescent="0.25">
      <c r="A142" t="s">
        <v>302</v>
      </c>
    </row>
    <row r="143" spans="1:1" x14ac:dyDescent="0.25">
      <c r="A143" t="s">
        <v>248</v>
      </c>
    </row>
    <row r="145" spans="1:1" x14ac:dyDescent="0.25">
      <c r="A145" t="s">
        <v>244</v>
      </c>
    </row>
    <row r="146" spans="1:1" x14ac:dyDescent="0.25">
      <c r="A146" t="s">
        <v>245</v>
      </c>
    </row>
    <row r="147" spans="1:1" x14ac:dyDescent="0.25">
      <c r="A147" t="s">
        <v>303</v>
      </c>
    </row>
    <row r="148" spans="1:1" x14ac:dyDescent="0.25">
      <c r="A148" t="s">
        <v>304</v>
      </c>
    </row>
    <row r="149" spans="1:1" x14ac:dyDescent="0.25">
      <c r="A149" t="s">
        <v>301</v>
      </c>
    </row>
    <row r="150" spans="1:1" x14ac:dyDescent="0.25">
      <c r="A150" t="s">
        <v>254</v>
      </c>
    </row>
    <row r="151" spans="1:1" x14ac:dyDescent="0.25">
      <c r="A151" t="s">
        <v>305</v>
      </c>
    </row>
    <row r="152" spans="1:1" x14ac:dyDescent="0.25">
      <c r="A152" t="s">
        <v>248</v>
      </c>
    </row>
    <row r="154" spans="1:1" x14ac:dyDescent="0.25">
      <c r="A154" t="s">
        <v>244</v>
      </c>
    </row>
    <row r="155" spans="1:1" x14ac:dyDescent="0.25">
      <c r="A155" t="s">
        <v>245</v>
      </c>
    </row>
    <row r="156" spans="1:1" x14ac:dyDescent="0.25">
      <c r="A156" t="s">
        <v>306</v>
      </c>
    </row>
    <row r="157" spans="1:1" x14ac:dyDescent="0.25">
      <c r="A157" t="s">
        <v>307</v>
      </c>
    </row>
    <row r="158" spans="1:1" x14ac:dyDescent="0.25">
      <c r="A158" t="s">
        <v>282</v>
      </c>
    </row>
    <row r="159" spans="1:1" x14ac:dyDescent="0.25">
      <c r="A159" t="s">
        <v>254</v>
      </c>
    </row>
    <row r="160" spans="1:1" x14ac:dyDescent="0.25">
      <c r="A160" t="s">
        <v>308</v>
      </c>
    </row>
    <row r="161" spans="1:1" x14ac:dyDescent="0.25">
      <c r="A161" t="s">
        <v>248</v>
      </c>
    </row>
    <row r="163" spans="1:1" x14ac:dyDescent="0.25">
      <c r="A163" t="s">
        <v>244</v>
      </c>
    </row>
    <row r="164" spans="1:1" x14ac:dyDescent="0.25">
      <c r="A164" t="s">
        <v>245</v>
      </c>
    </row>
    <row r="165" spans="1:1" x14ac:dyDescent="0.25">
      <c r="A165" t="s">
        <v>309</v>
      </c>
    </row>
    <row r="166" spans="1:1" x14ac:dyDescent="0.25">
      <c r="A166" t="s">
        <v>310</v>
      </c>
    </row>
    <row r="167" spans="1:1" x14ac:dyDescent="0.25">
      <c r="A167" t="s">
        <v>282</v>
      </c>
    </row>
    <row r="168" spans="1:1" x14ac:dyDescent="0.25">
      <c r="A168" t="s">
        <v>254</v>
      </c>
    </row>
    <row r="169" spans="1:1" x14ac:dyDescent="0.25">
      <c r="A169" t="s">
        <v>311</v>
      </c>
    </row>
    <row r="170" spans="1:1" x14ac:dyDescent="0.25">
      <c r="A170" t="s">
        <v>248</v>
      </c>
    </row>
    <row r="172" spans="1:1" x14ac:dyDescent="0.25">
      <c r="A172" t="s">
        <v>244</v>
      </c>
    </row>
    <row r="173" spans="1:1" x14ac:dyDescent="0.25">
      <c r="A173" t="s">
        <v>245</v>
      </c>
    </row>
    <row r="174" spans="1:1" x14ac:dyDescent="0.25">
      <c r="A174" t="s">
        <v>312</v>
      </c>
    </row>
    <row r="175" spans="1:1" x14ac:dyDescent="0.25">
      <c r="A175" t="s">
        <v>313</v>
      </c>
    </row>
    <row r="176" spans="1:1" x14ac:dyDescent="0.25">
      <c r="A176" t="s">
        <v>282</v>
      </c>
    </row>
    <row r="177" spans="1:1" x14ac:dyDescent="0.25">
      <c r="A177" t="s">
        <v>254</v>
      </c>
    </row>
    <row r="178" spans="1:1" x14ac:dyDescent="0.25">
      <c r="A178" t="s">
        <v>314</v>
      </c>
    </row>
    <row r="179" spans="1:1" x14ac:dyDescent="0.25">
      <c r="A179" t="s">
        <v>248</v>
      </c>
    </row>
    <row r="181" spans="1:1" x14ac:dyDescent="0.25">
      <c r="A181" t="s">
        <v>244</v>
      </c>
    </row>
    <row r="182" spans="1:1" x14ac:dyDescent="0.25">
      <c r="A182" t="s">
        <v>245</v>
      </c>
    </row>
    <row r="183" spans="1:1" x14ac:dyDescent="0.25">
      <c r="A183" t="s">
        <v>315</v>
      </c>
    </row>
    <row r="184" spans="1:1" x14ac:dyDescent="0.25">
      <c r="A184" t="s">
        <v>316</v>
      </c>
    </row>
    <row r="185" spans="1:1" x14ac:dyDescent="0.25">
      <c r="A185" t="s">
        <v>282</v>
      </c>
    </row>
    <row r="186" spans="1:1" x14ac:dyDescent="0.25">
      <c r="A186" t="s">
        <v>254</v>
      </c>
    </row>
    <row r="187" spans="1:1" x14ac:dyDescent="0.25">
      <c r="A187" t="s">
        <v>317</v>
      </c>
    </row>
    <row r="188" spans="1:1" x14ac:dyDescent="0.25">
      <c r="A188" t="s">
        <v>248</v>
      </c>
    </row>
    <row r="190" spans="1:1" x14ac:dyDescent="0.25">
      <c r="A190" t="s">
        <v>244</v>
      </c>
    </row>
    <row r="191" spans="1:1" x14ac:dyDescent="0.25">
      <c r="A191" t="s">
        <v>245</v>
      </c>
    </row>
    <row r="192" spans="1:1" x14ac:dyDescent="0.25">
      <c r="A192" t="s">
        <v>318</v>
      </c>
    </row>
    <row r="193" spans="1:1" x14ac:dyDescent="0.25">
      <c r="A193" t="s">
        <v>319</v>
      </c>
    </row>
    <row r="194" spans="1:1" x14ac:dyDescent="0.25">
      <c r="A194" t="s">
        <v>320</v>
      </c>
    </row>
    <row r="195" spans="1:1" x14ac:dyDescent="0.25">
      <c r="A195" t="s">
        <v>254</v>
      </c>
    </row>
    <row r="196" spans="1:1" x14ac:dyDescent="0.25">
      <c r="A196" t="s">
        <v>321</v>
      </c>
    </row>
    <row r="197" spans="1:1" x14ac:dyDescent="0.25">
      <c r="A197" t="s">
        <v>248</v>
      </c>
    </row>
    <row r="199" spans="1:1" x14ac:dyDescent="0.25">
      <c r="A199" t="s">
        <v>244</v>
      </c>
    </row>
    <row r="200" spans="1:1" x14ac:dyDescent="0.25">
      <c r="A200" t="s">
        <v>245</v>
      </c>
    </row>
    <row r="201" spans="1:1" x14ac:dyDescent="0.25">
      <c r="A201" t="s">
        <v>322</v>
      </c>
    </row>
    <row r="202" spans="1:1" x14ac:dyDescent="0.25">
      <c r="A202" t="s">
        <v>323</v>
      </c>
    </row>
    <row r="203" spans="1:1" x14ac:dyDescent="0.25">
      <c r="A203" t="s">
        <v>320</v>
      </c>
    </row>
    <row r="204" spans="1:1" x14ac:dyDescent="0.25">
      <c r="A204" t="s">
        <v>254</v>
      </c>
    </row>
    <row r="205" spans="1:1" x14ac:dyDescent="0.25">
      <c r="A205" t="s">
        <v>324</v>
      </c>
    </row>
    <row r="206" spans="1:1" x14ac:dyDescent="0.25">
      <c r="A206" t="s">
        <v>325</v>
      </c>
    </row>
    <row r="207" spans="1:1" x14ac:dyDescent="0.25">
      <c r="A207" t="s">
        <v>248</v>
      </c>
    </row>
    <row r="209" spans="1:1" x14ac:dyDescent="0.25">
      <c r="A209" t="s">
        <v>244</v>
      </c>
    </row>
    <row r="210" spans="1:1" x14ac:dyDescent="0.25">
      <c r="A210" t="s">
        <v>245</v>
      </c>
    </row>
    <row r="211" spans="1:1" x14ac:dyDescent="0.25">
      <c r="A211" t="s">
        <v>326</v>
      </c>
    </row>
    <row r="212" spans="1:1" x14ac:dyDescent="0.25">
      <c r="A212" t="s">
        <v>327</v>
      </c>
    </row>
    <row r="213" spans="1:1" x14ac:dyDescent="0.25">
      <c r="A213" t="s">
        <v>320</v>
      </c>
    </row>
    <row r="214" spans="1:1" x14ac:dyDescent="0.25">
      <c r="A214" t="s">
        <v>254</v>
      </c>
    </row>
    <row r="215" spans="1:1" x14ac:dyDescent="0.25">
      <c r="A215" t="s">
        <v>328</v>
      </c>
    </row>
    <row r="216" spans="1:1" x14ac:dyDescent="0.25">
      <c r="A216" t="s">
        <v>248</v>
      </c>
    </row>
    <row r="218" spans="1:1" x14ac:dyDescent="0.25">
      <c r="A218" t="s">
        <v>244</v>
      </c>
    </row>
    <row r="219" spans="1:1" x14ac:dyDescent="0.25">
      <c r="A219" t="s">
        <v>245</v>
      </c>
    </row>
    <row r="220" spans="1:1" x14ac:dyDescent="0.25">
      <c r="A220" t="s">
        <v>329</v>
      </c>
    </row>
    <row r="221" spans="1:1" x14ac:dyDescent="0.25">
      <c r="A221" t="s">
        <v>330</v>
      </c>
    </row>
    <row r="222" spans="1:1" x14ac:dyDescent="0.25">
      <c r="A222" t="s">
        <v>282</v>
      </c>
    </row>
    <row r="223" spans="1:1" x14ac:dyDescent="0.25">
      <c r="A223" t="s">
        <v>254</v>
      </c>
    </row>
    <row r="224" spans="1:1" x14ac:dyDescent="0.25">
      <c r="A224" t="s">
        <v>331</v>
      </c>
    </row>
    <row r="225" spans="1:1" x14ac:dyDescent="0.25">
      <c r="A225" t="s">
        <v>248</v>
      </c>
    </row>
    <row r="227" spans="1:1" x14ac:dyDescent="0.25">
      <c r="A227" t="s">
        <v>244</v>
      </c>
    </row>
    <row r="228" spans="1:1" x14ac:dyDescent="0.25">
      <c r="A228" t="s">
        <v>245</v>
      </c>
    </row>
    <row r="229" spans="1:1" x14ac:dyDescent="0.25">
      <c r="A229" t="s">
        <v>332</v>
      </c>
    </row>
    <row r="230" spans="1:1" x14ac:dyDescent="0.25">
      <c r="A230" t="s">
        <v>252</v>
      </c>
    </row>
    <row r="231" spans="1:1" x14ac:dyDescent="0.25">
      <c r="A231" t="s">
        <v>253</v>
      </c>
    </row>
    <row r="232" spans="1:1" x14ac:dyDescent="0.25">
      <c r="A232" t="s">
        <v>254</v>
      </c>
    </row>
    <row r="233" spans="1:1" x14ac:dyDescent="0.25">
      <c r="A233" t="s">
        <v>333</v>
      </c>
    </row>
    <row r="234" spans="1:1" x14ac:dyDescent="0.25">
      <c r="A234" t="s">
        <v>248</v>
      </c>
    </row>
    <row r="236" spans="1:1" x14ac:dyDescent="0.25">
      <c r="A236" t="s">
        <v>334</v>
      </c>
    </row>
    <row r="237" spans="1:1" x14ac:dyDescent="0.25">
      <c r="A237" t="s">
        <v>335</v>
      </c>
    </row>
    <row r="238" spans="1:1" x14ac:dyDescent="0.25">
      <c r="A238" t="s">
        <v>336</v>
      </c>
    </row>
    <row r="239" spans="1:1" x14ac:dyDescent="0.25">
      <c r="A239" t="s">
        <v>337</v>
      </c>
    </row>
    <row r="240" spans="1:1" x14ac:dyDescent="0.25">
      <c r="A240" t="s">
        <v>338</v>
      </c>
    </row>
    <row r="241" spans="1:1" x14ac:dyDescent="0.25">
      <c r="A241" t="s">
        <v>339</v>
      </c>
    </row>
    <row r="242" spans="1:1" x14ac:dyDescent="0.25">
      <c r="A242" t="s">
        <v>340</v>
      </c>
    </row>
    <row r="243" spans="1:1" x14ac:dyDescent="0.25">
      <c r="A243" t="s">
        <v>341</v>
      </c>
    </row>
    <row r="245" spans="1:1" x14ac:dyDescent="0.25">
      <c r="A245" t="s">
        <v>334</v>
      </c>
    </row>
    <row r="246" spans="1:1" x14ac:dyDescent="0.25">
      <c r="A246" t="s">
        <v>342</v>
      </c>
    </row>
    <row r="247" spans="1:1" x14ac:dyDescent="0.25">
      <c r="A247" t="s">
        <v>343</v>
      </c>
    </row>
    <row r="248" spans="1:1" x14ac:dyDescent="0.25">
      <c r="A248" t="s">
        <v>344</v>
      </c>
    </row>
    <row r="249" spans="1:1" x14ac:dyDescent="0.25">
      <c r="A249" t="s">
        <v>345</v>
      </c>
    </row>
    <row r="250" spans="1:1" x14ac:dyDescent="0.25">
      <c r="A250" t="s">
        <v>339</v>
      </c>
    </row>
    <row r="251" spans="1:1" x14ac:dyDescent="0.25">
      <c r="A251" t="s">
        <v>346</v>
      </c>
    </row>
    <row r="252" spans="1:1" x14ac:dyDescent="0.25">
      <c r="A252" t="s">
        <v>341</v>
      </c>
    </row>
    <row r="254" spans="1:1" x14ac:dyDescent="0.25">
      <c r="A254" t="s">
        <v>334</v>
      </c>
    </row>
    <row r="255" spans="1:1" x14ac:dyDescent="0.25">
      <c r="A255" t="s">
        <v>335</v>
      </c>
    </row>
    <row r="256" spans="1:1" x14ac:dyDescent="0.25">
      <c r="A256" t="s">
        <v>347</v>
      </c>
    </row>
    <row r="257" spans="1:1" x14ac:dyDescent="0.25">
      <c r="A257" t="s">
        <v>348</v>
      </c>
    </row>
    <row r="258" spans="1:1" x14ac:dyDescent="0.25">
      <c r="A258" t="s">
        <v>349</v>
      </c>
    </row>
    <row r="259" spans="1:1" x14ac:dyDescent="0.25">
      <c r="A259" t="s">
        <v>339</v>
      </c>
    </row>
    <row r="260" spans="1:1" x14ac:dyDescent="0.25">
      <c r="A260" t="s">
        <v>350</v>
      </c>
    </row>
    <row r="261" spans="1:1" x14ac:dyDescent="0.25">
      <c r="A261" t="s">
        <v>341</v>
      </c>
    </row>
    <row r="263" spans="1:1" x14ac:dyDescent="0.25">
      <c r="A263" t="s">
        <v>334</v>
      </c>
    </row>
    <row r="264" spans="1:1" x14ac:dyDescent="0.25">
      <c r="A264" t="s">
        <v>335</v>
      </c>
    </row>
    <row r="265" spans="1:1" x14ac:dyDescent="0.25">
      <c r="A265" t="s">
        <v>351</v>
      </c>
    </row>
    <row r="266" spans="1:1" x14ac:dyDescent="0.25">
      <c r="A266" t="s">
        <v>352</v>
      </c>
    </row>
    <row r="267" spans="1:1" x14ac:dyDescent="0.25">
      <c r="A267" t="s">
        <v>353</v>
      </c>
    </row>
    <row r="268" spans="1:1" x14ac:dyDescent="0.25">
      <c r="A268" t="s">
        <v>339</v>
      </c>
    </row>
    <row r="269" spans="1:1" x14ac:dyDescent="0.25">
      <c r="A269" t="s">
        <v>354</v>
      </c>
    </row>
    <row r="270" spans="1:1" x14ac:dyDescent="0.25">
      <c r="A270" t="s">
        <v>341</v>
      </c>
    </row>
    <row r="272" spans="1:1" x14ac:dyDescent="0.25">
      <c r="A272" t="s">
        <v>334</v>
      </c>
    </row>
    <row r="273" spans="1:1" x14ac:dyDescent="0.25">
      <c r="A273" t="s">
        <v>335</v>
      </c>
    </row>
    <row r="274" spans="1:1" x14ac:dyDescent="0.25">
      <c r="A274" t="s">
        <v>355</v>
      </c>
    </row>
    <row r="275" spans="1:1" x14ac:dyDescent="0.25">
      <c r="A275" t="s">
        <v>356</v>
      </c>
    </row>
    <row r="276" spans="1:1" x14ac:dyDescent="0.25">
      <c r="A276" t="s">
        <v>357</v>
      </c>
    </row>
    <row r="277" spans="1:1" x14ac:dyDescent="0.25">
      <c r="A277" t="s">
        <v>339</v>
      </c>
    </row>
    <row r="278" spans="1:1" x14ac:dyDescent="0.25">
      <c r="A278" t="s">
        <v>358</v>
      </c>
    </row>
    <row r="279" spans="1:1" x14ac:dyDescent="0.25">
      <c r="A279" t="s">
        <v>359</v>
      </c>
    </row>
    <row r="280" spans="1:1" x14ac:dyDescent="0.25">
      <c r="A280" t="s">
        <v>341</v>
      </c>
    </row>
    <row r="282" spans="1:1" x14ac:dyDescent="0.25">
      <c r="A282" t="s">
        <v>334</v>
      </c>
    </row>
    <row r="283" spans="1:1" x14ac:dyDescent="0.25">
      <c r="A283" t="s">
        <v>335</v>
      </c>
    </row>
    <row r="284" spans="1:1" x14ac:dyDescent="0.25">
      <c r="A284" t="s">
        <v>360</v>
      </c>
    </row>
    <row r="285" spans="1:1" x14ac:dyDescent="0.25">
      <c r="A285" t="s">
        <v>361</v>
      </c>
    </row>
    <row r="286" spans="1:1" x14ac:dyDescent="0.25">
      <c r="A286" t="s">
        <v>362</v>
      </c>
    </row>
    <row r="287" spans="1:1" x14ac:dyDescent="0.25">
      <c r="A287" t="s">
        <v>339</v>
      </c>
    </row>
    <row r="288" spans="1:1" x14ac:dyDescent="0.25">
      <c r="A288" t="s">
        <v>363</v>
      </c>
    </row>
    <row r="289" spans="1:1" x14ac:dyDescent="0.25">
      <c r="A289" t="s">
        <v>364</v>
      </c>
    </row>
    <row r="290" spans="1:1" x14ac:dyDescent="0.25">
      <c r="A290" t="s">
        <v>341</v>
      </c>
    </row>
    <row r="292" spans="1:1" x14ac:dyDescent="0.25">
      <c r="A292" t="s">
        <v>334</v>
      </c>
    </row>
    <row r="293" spans="1:1" x14ac:dyDescent="0.25">
      <c r="A293" t="s">
        <v>342</v>
      </c>
    </row>
    <row r="294" spans="1:1" x14ac:dyDescent="0.25">
      <c r="A294" t="s">
        <v>365</v>
      </c>
    </row>
    <row r="295" spans="1:1" x14ac:dyDescent="0.25">
      <c r="A295" t="s">
        <v>366</v>
      </c>
    </row>
    <row r="296" spans="1:1" x14ac:dyDescent="0.25">
      <c r="A296" t="s">
        <v>353</v>
      </c>
    </row>
    <row r="297" spans="1:1" x14ac:dyDescent="0.25">
      <c r="A297" t="s">
        <v>339</v>
      </c>
    </row>
    <row r="298" spans="1:1" x14ac:dyDescent="0.25">
      <c r="A298" t="s">
        <v>358</v>
      </c>
    </row>
    <row r="299" spans="1:1" x14ac:dyDescent="0.25">
      <c r="A299" t="s">
        <v>367</v>
      </c>
    </row>
    <row r="300" spans="1:1" x14ac:dyDescent="0.25">
      <c r="A300" t="s">
        <v>341</v>
      </c>
    </row>
    <row r="302" spans="1:1" x14ac:dyDescent="0.25">
      <c r="A302" t="s">
        <v>334</v>
      </c>
    </row>
    <row r="303" spans="1:1" x14ac:dyDescent="0.25">
      <c r="A303" t="s">
        <v>368</v>
      </c>
    </row>
    <row r="304" spans="1:1" x14ac:dyDescent="0.25">
      <c r="A304" t="s">
        <v>369</v>
      </c>
    </row>
    <row r="305" spans="1:1" x14ac:dyDescent="0.25">
      <c r="A305" t="s">
        <v>370</v>
      </c>
    </row>
    <row r="306" spans="1:1" x14ac:dyDescent="0.25">
      <c r="A306" t="s">
        <v>371</v>
      </c>
    </row>
    <row r="307" spans="1:1" x14ac:dyDescent="0.25">
      <c r="A307" t="s">
        <v>339</v>
      </c>
    </row>
    <row r="308" spans="1:1" x14ac:dyDescent="0.25">
      <c r="A308" t="s">
        <v>372</v>
      </c>
    </row>
    <row r="309" spans="1:1" x14ac:dyDescent="0.25">
      <c r="A309" t="s">
        <v>373</v>
      </c>
    </row>
    <row r="310" spans="1:1" x14ac:dyDescent="0.25">
      <c r="A310" t="s">
        <v>341</v>
      </c>
    </row>
    <row r="312" spans="1:1" x14ac:dyDescent="0.25">
      <c r="A312" t="s">
        <v>334</v>
      </c>
    </row>
    <row r="313" spans="1:1" x14ac:dyDescent="0.25">
      <c r="A313" t="s">
        <v>368</v>
      </c>
    </row>
    <row r="314" spans="1:1" x14ac:dyDescent="0.25">
      <c r="A314" t="s">
        <v>374</v>
      </c>
    </row>
    <row r="315" spans="1:1" x14ac:dyDescent="0.25">
      <c r="A315" t="s">
        <v>375</v>
      </c>
    </row>
    <row r="316" spans="1:1" x14ac:dyDescent="0.25">
      <c r="A316" t="s">
        <v>371</v>
      </c>
    </row>
    <row r="317" spans="1:1" x14ac:dyDescent="0.25">
      <c r="A317" t="s">
        <v>339</v>
      </c>
    </row>
    <row r="318" spans="1:1" x14ac:dyDescent="0.25">
      <c r="A318" t="s">
        <v>376</v>
      </c>
    </row>
    <row r="319" spans="1:1" x14ac:dyDescent="0.25">
      <c r="A319" t="s">
        <v>373</v>
      </c>
    </row>
    <row r="320" spans="1:1" x14ac:dyDescent="0.25">
      <c r="A320" t="s">
        <v>341</v>
      </c>
    </row>
    <row r="322" spans="1:1" x14ac:dyDescent="0.25">
      <c r="A322" t="s">
        <v>334</v>
      </c>
    </row>
    <row r="323" spans="1:1" x14ac:dyDescent="0.25">
      <c r="A323" t="s">
        <v>368</v>
      </c>
    </row>
    <row r="324" spans="1:1" x14ac:dyDescent="0.25">
      <c r="A324" t="s">
        <v>377</v>
      </c>
    </row>
    <row r="325" spans="1:1" x14ac:dyDescent="0.25">
      <c r="A325" t="s">
        <v>378</v>
      </c>
    </row>
    <row r="326" spans="1:1" x14ac:dyDescent="0.25">
      <c r="A326" t="s">
        <v>371</v>
      </c>
    </row>
    <row r="327" spans="1:1" x14ac:dyDescent="0.25">
      <c r="A327" t="s">
        <v>339</v>
      </c>
    </row>
    <row r="328" spans="1:1" x14ac:dyDescent="0.25">
      <c r="A328" t="s">
        <v>379</v>
      </c>
    </row>
    <row r="329" spans="1:1" x14ac:dyDescent="0.25">
      <c r="A329" t="s">
        <v>373</v>
      </c>
    </row>
    <row r="330" spans="1:1" x14ac:dyDescent="0.25">
      <c r="A330" t="s">
        <v>341</v>
      </c>
    </row>
    <row r="332" spans="1:1" x14ac:dyDescent="0.25">
      <c r="A332" t="s">
        <v>334</v>
      </c>
    </row>
    <row r="333" spans="1:1" x14ac:dyDescent="0.25">
      <c r="A333" t="s">
        <v>335</v>
      </c>
    </row>
    <row r="334" spans="1:1" x14ac:dyDescent="0.25">
      <c r="A334" t="s">
        <v>380</v>
      </c>
    </row>
    <row r="335" spans="1:1" x14ac:dyDescent="0.25">
      <c r="A335" t="s">
        <v>381</v>
      </c>
    </row>
    <row r="336" spans="1:1" x14ac:dyDescent="0.25">
      <c r="A336" t="s">
        <v>371</v>
      </c>
    </row>
    <row r="337" spans="1:1" x14ac:dyDescent="0.25">
      <c r="A337" t="s">
        <v>339</v>
      </c>
    </row>
    <row r="338" spans="1:1" x14ac:dyDescent="0.25">
      <c r="A338" t="s">
        <v>382</v>
      </c>
    </row>
    <row r="339" spans="1:1" x14ac:dyDescent="0.25">
      <c r="A339" t="s">
        <v>341</v>
      </c>
    </row>
    <row r="341" spans="1:1" x14ac:dyDescent="0.25">
      <c r="A341" t="s">
        <v>334</v>
      </c>
    </row>
    <row r="342" spans="1:1" x14ac:dyDescent="0.25">
      <c r="A342" t="s">
        <v>335</v>
      </c>
    </row>
    <row r="343" spans="1:1" x14ac:dyDescent="0.25">
      <c r="A343" t="s">
        <v>383</v>
      </c>
    </row>
    <row r="344" spans="1:1" x14ac:dyDescent="0.25">
      <c r="A344" t="s">
        <v>384</v>
      </c>
    </row>
    <row r="345" spans="1:1" x14ac:dyDescent="0.25">
      <c r="A345" t="s">
        <v>362</v>
      </c>
    </row>
    <row r="346" spans="1:1" x14ac:dyDescent="0.25">
      <c r="A346" t="s">
        <v>339</v>
      </c>
    </row>
    <row r="347" spans="1:1" x14ac:dyDescent="0.25">
      <c r="A347" t="s">
        <v>385</v>
      </c>
    </row>
    <row r="348" spans="1:1" x14ac:dyDescent="0.25">
      <c r="A348" t="s">
        <v>386</v>
      </c>
    </row>
    <row r="349" spans="1:1" x14ac:dyDescent="0.25">
      <c r="A349" t="s">
        <v>341</v>
      </c>
    </row>
    <row r="351" spans="1:1" x14ac:dyDescent="0.25">
      <c r="A351" t="s">
        <v>334</v>
      </c>
    </row>
    <row r="352" spans="1:1" x14ac:dyDescent="0.25">
      <c r="A352" t="s">
        <v>342</v>
      </c>
    </row>
    <row r="353" spans="1:1" x14ac:dyDescent="0.25">
      <c r="A353" t="s">
        <v>387</v>
      </c>
    </row>
    <row r="354" spans="1:1" x14ac:dyDescent="0.25">
      <c r="A354" t="s">
        <v>388</v>
      </c>
    </row>
    <row r="355" spans="1:1" x14ac:dyDescent="0.25">
      <c r="A355" t="s">
        <v>389</v>
      </c>
    </row>
    <row r="356" spans="1:1" x14ac:dyDescent="0.25">
      <c r="A356" t="s">
        <v>339</v>
      </c>
    </row>
    <row r="357" spans="1:1" x14ac:dyDescent="0.25">
      <c r="A357" t="s">
        <v>390</v>
      </c>
    </row>
    <row r="358" spans="1:1" x14ac:dyDescent="0.25">
      <c r="A358" t="s">
        <v>391</v>
      </c>
    </row>
    <row r="359" spans="1:1" x14ac:dyDescent="0.25">
      <c r="A359" t="s">
        <v>341</v>
      </c>
    </row>
    <row r="361" spans="1:1" x14ac:dyDescent="0.25">
      <c r="A361" t="s">
        <v>334</v>
      </c>
    </row>
    <row r="362" spans="1:1" x14ac:dyDescent="0.25">
      <c r="A362" t="s">
        <v>335</v>
      </c>
    </row>
    <row r="363" spans="1:1" x14ac:dyDescent="0.25">
      <c r="A363" t="s">
        <v>392</v>
      </c>
    </row>
    <row r="364" spans="1:1" x14ac:dyDescent="0.25">
      <c r="A364" t="s">
        <v>393</v>
      </c>
    </row>
    <row r="365" spans="1:1" x14ac:dyDescent="0.25">
      <c r="A365" t="s">
        <v>394</v>
      </c>
    </row>
    <row r="366" spans="1:1" x14ac:dyDescent="0.25">
      <c r="A366" t="s">
        <v>339</v>
      </c>
    </row>
    <row r="367" spans="1:1" x14ac:dyDescent="0.25">
      <c r="A367" t="s">
        <v>395</v>
      </c>
    </row>
    <row r="368" spans="1:1" x14ac:dyDescent="0.25">
      <c r="A368" t="s">
        <v>396</v>
      </c>
    </row>
    <row r="369" spans="1:1" x14ac:dyDescent="0.25">
      <c r="A369" t="s">
        <v>341</v>
      </c>
    </row>
    <row r="371" spans="1:1" x14ac:dyDescent="0.25">
      <c r="A371" t="s">
        <v>334</v>
      </c>
    </row>
    <row r="372" spans="1:1" x14ac:dyDescent="0.25">
      <c r="A372" t="s">
        <v>335</v>
      </c>
    </row>
    <row r="373" spans="1:1" x14ac:dyDescent="0.25">
      <c r="A373" t="s">
        <v>397</v>
      </c>
    </row>
    <row r="374" spans="1:1" x14ac:dyDescent="0.25">
      <c r="A374" t="s">
        <v>398</v>
      </c>
    </row>
    <row r="375" spans="1:1" x14ac:dyDescent="0.25">
      <c r="A375" t="s">
        <v>353</v>
      </c>
    </row>
    <row r="376" spans="1:1" x14ac:dyDescent="0.25">
      <c r="A376" t="s">
        <v>339</v>
      </c>
    </row>
    <row r="377" spans="1:1" x14ac:dyDescent="0.25">
      <c r="A377" t="s">
        <v>399</v>
      </c>
    </row>
    <row r="378" spans="1:1" x14ac:dyDescent="0.25">
      <c r="A378" t="s">
        <v>400</v>
      </c>
    </row>
    <row r="379" spans="1:1" x14ac:dyDescent="0.25">
      <c r="A379" t="s">
        <v>341</v>
      </c>
    </row>
    <row r="381" spans="1:1" x14ac:dyDescent="0.25">
      <c r="A381" t="s">
        <v>334</v>
      </c>
    </row>
    <row r="382" spans="1:1" x14ac:dyDescent="0.25">
      <c r="A382" t="s">
        <v>335</v>
      </c>
    </row>
    <row r="383" spans="1:1" x14ac:dyDescent="0.25">
      <c r="A383" t="s">
        <v>401</v>
      </c>
    </row>
    <row r="384" spans="1:1" x14ac:dyDescent="0.25">
      <c r="A384" t="s">
        <v>402</v>
      </c>
    </row>
    <row r="385" spans="1:1" x14ac:dyDescent="0.25">
      <c r="A385" t="s">
        <v>403</v>
      </c>
    </row>
    <row r="386" spans="1:1" x14ac:dyDescent="0.25">
      <c r="A386" t="s">
        <v>339</v>
      </c>
    </row>
    <row r="387" spans="1:1" x14ac:dyDescent="0.25">
      <c r="A387" t="s">
        <v>404</v>
      </c>
    </row>
    <row r="388" spans="1:1" x14ac:dyDescent="0.25">
      <c r="A388" t="s">
        <v>341</v>
      </c>
    </row>
    <row r="390" spans="1:1" x14ac:dyDescent="0.25">
      <c r="A390" t="s">
        <v>334</v>
      </c>
    </row>
    <row r="391" spans="1:1" x14ac:dyDescent="0.25">
      <c r="A391" t="s">
        <v>335</v>
      </c>
    </row>
    <row r="392" spans="1:1" x14ac:dyDescent="0.25">
      <c r="A392" t="s">
        <v>405</v>
      </c>
    </row>
    <row r="393" spans="1:1" x14ac:dyDescent="0.25">
      <c r="A393" t="s">
        <v>406</v>
      </c>
    </row>
    <row r="394" spans="1:1" x14ac:dyDescent="0.25">
      <c r="A394" t="s">
        <v>357</v>
      </c>
    </row>
    <row r="395" spans="1:1" x14ac:dyDescent="0.25">
      <c r="A395" t="s">
        <v>339</v>
      </c>
    </row>
    <row r="396" spans="1:1" x14ac:dyDescent="0.25">
      <c r="A396" t="s">
        <v>407</v>
      </c>
    </row>
    <row r="397" spans="1:1" x14ac:dyDescent="0.25">
      <c r="A397" t="s">
        <v>341</v>
      </c>
    </row>
    <row r="399" spans="1:1" x14ac:dyDescent="0.25">
      <c r="A399" t="s">
        <v>334</v>
      </c>
    </row>
    <row r="400" spans="1:1" x14ac:dyDescent="0.25">
      <c r="A400" t="s">
        <v>335</v>
      </c>
    </row>
    <row r="401" spans="1:1" x14ac:dyDescent="0.25">
      <c r="A401" t="s">
        <v>408</v>
      </c>
    </row>
    <row r="402" spans="1:1" x14ac:dyDescent="0.25">
      <c r="A402" t="s">
        <v>409</v>
      </c>
    </row>
    <row r="403" spans="1:1" x14ac:dyDescent="0.25">
      <c r="A403" t="s">
        <v>357</v>
      </c>
    </row>
    <row r="404" spans="1:1" x14ac:dyDescent="0.25">
      <c r="A404" t="s">
        <v>339</v>
      </c>
    </row>
    <row r="405" spans="1:1" x14ac:dyDescent="0.25">
      <c r="A405" t="s">
        <v>410</v>
      </c>
    </row>
    <row r="406" spans="1:1" x14ac:dyDescent="0.25">
      <c r="A406" t="s">
        <v>341</v>
      </c>
    </row>
    <row r="408" spans="1:1" x14ac:dyDescent="0.25">
      <c r="A408" t="s">
        <v>334</v>
      </c>
    </row>
    <row r="409" spans="1:1" x14ac:dyDescent="0.25">
      <c r="A409" t="s">
        <v>335</v>
      </c>
    </row>
    <row r="410" spans="1:1" x14ac:dyDescent="0.25">
      <c r="A410" t="s">
        <v>411</v>
      </c>
    </row>
    <row r="411" spans="1:1" x14ac:dyDescent="0.25">
      <c r="A411" t="s">
        <v>412</v>
      </c>
    </row>
    <row r="412" spans="1:1" x14ac:dyDescent="0.25">
      <c r="A412" t="s">
        <v>413</v>
      </c>
    </row>
    <row r="413" spans="1:1" x14ac:dyDescent="0.25">
      <c r="A413" t="s">
        <v>339</v>
      </c>
    </row>
    <row r="414" spans="1:1" x14ac:dyDescent="0.25">
      <c r="A414" t="s">
        <v>414</v>
      </c>
    </row>
    <row r="415" spans="1:1" x14ac:dyDescent="0.25">
      <c r="A415" t="s">
        <v>341</v>
      </c>
    </row>
    <row r="417" spans="1:1" x14ac:dyDescent="0.25">
      <c r="A417" t="s">
        <v>334</v>
      </c>
    </row>
    <row r="418" spans="1:1" x14ac:dyDescent="0.25">
      <c r="A418" t="s">
        <v>335</v>
      </c>
    </row>
    <row r="419" spans="1:1" x14ac:dyDescent="0.25">
      <c r="A419" t="s">
        <v>415</v>
      </c>
    </row>
    <row r="420" spans="1:1" x14ac:dyDescent="0.25">
      <c r="A420" t="s">
        <v>416</v>
      </c>
    </row>
    <row r="421" spans="1:1" x14ac:dyDescent="0.25">
      <c r="A421" t="s">
        <v>413</v>
      </c>
    </row>
    <row r="422" spans="1:1" x14ac:dyDescent="0.25">
      <c r="A422" t="s">
        <v>339</v>
      </c>
    </row>
    <row r="423" spans="1:1" x14ac:dyDescent="0.25">
      <c r="A423" t="s">
        <v>417</v>
      </c>
    </row>
    <row r="424" spans="1:1" x14ac:dyDescent="0.25">
      <c r="A424" t="s">
        <v>418</v>
      </c>
    </row>
    <row r="425" spans="1:1" x14ac:dyDescent="0.25">
      <c r="A425" t="s">
        <v>341</v>
      </c>
    </row>
    <row r="427" spans="1:1" x14ac:dyDescent="0.25">
      <c r="A427" t="s">
        <v>334</v>
      </c>
    </row>
    <row r="428" spans="1:1" x14ac:dyDescent="0.25">
      <c r="A428" t="s">
        <v>335</v>
      </c>
    </row>
    <row r="429" spans="1:1" x14ac:dyDescent="0.25">
      <c r="A429" t="s">
        <v>419</v>
      </c>
    </row>
    <row r="430" spans="1:1" x14ac:dyDescent="0.25">
      <c r="A430" t="s">
        <v>420</v>
      </c>
    </row>
    <row r="431" spans="1:1" x14ac:dyDescent="0.25">
      <c r="A431" t="s">
        <v>421</v>
      </c>
    </row>
    <row r="432" spans="1:1" x14ac:dyDescent="0.25">
      <c r="A432" t="s">
        <v>339</v>
      </c>
    </row>
    <row r="433" spans="1:1" x14ac:dyDescent="0.25">
      <c r="A433" t="s">
        <v>422</v>
      </c>
    </row>
    <row r="434" spans="1:1" x14ac:dyDescent="0.25">
      <c r="A434" t="s">
        <v>341</v>
      </c>
    </row>
    <row r="436" spans="1:1" x14ac:dyDescent="0.25">
      <c r="A436" t="s">
        <v>334</v>
      </c>
    </row>
    <row r="437" spans="1:1" x14ac:dyDescent="0.25">
      <c r="A437" t="s">
        <v>335</v>
      </c>
    </row>
    <row r="438" spans="1:1" x14ac:dyDescent="0.25">
      <c r="A438" t="s">
        <v>423</v>
      </c>
    </row>
    <row r="439" spans="1:1" x14ac:dyDescent="0.25">
      <c r="A439" t="s">
        <v>424</v>
      </c>
    </row>
    <row r="440" spans="1:1" x14ac:dyDescent="0.25">
      <c r="A440" t="s">
        <v>413</v>
      </c>
    </row>
    <row r="441" spans="1:1" x14ac:dyDescent="0.25">
      <c r="A441" t="s">
        <v>339</v>
      </c>
    </row>
    <row r="442" spans="1:1" x14ac:dyDescent="0.25">
      <c r="A442" t="s">
        <v>425</v>
      </c>
    </row>
    <row r="443" spans="1:1" x14ac:dyDescent="0.25">
      <c r="A443" t="s">
        <v>341</v>
      </c>
    </row>
    <row r="445" spans="1:1" x14ac:dyDescent="0.25">
      <c r="A445" t="s">
        <v>334</v>
      </c>
    </row>
    <row r="446" spans="1:1" x14ac:dyDescent="0.25">
      <c r="A446" t="s">
        <v>335</v>
      </c>
    </row>
    <row r="447" spans="1:1" x14ac:dyDescent="0.25">
      <c r="A447" t="s">
        <v>426</v>
      </c>
    </row>
    <row r="448" spans="1:1" x14ac:dyDescent="0.25">
      <c r="A448" t="s">
        <v>427</v>
      </c>
    </row>
    <row r="449" spans="1:1" x14ac:dyDescent="0.25">
      <c r="A449" t="s">
        <v>428</v>
      </c>
    </row>
    <row r="450" spans="1:1" x14ac:dyDescent="0.25">
      <c r="A450" t="s">
        <v>339</v>
      </c>
    </row>
    <row r="451" spans="1:1" x14ac:dyDescent="0.25">
      <c r="A451" t="s">
        <v>429</v>
      </c>
    </row>
    <row r="452" spans="1:1" x14ac:dyDescent="0.25">
      <c r="A452" t="s">
        <v>341</v>
      </c>
    </row>
    <row r="454" spans="1:1" x14ac:dyDescent="0.25">
      <c r="A454" t="s">
        <v>334</v>
      </c>
    </row>
    <row r="455" spans="1:1" x14ac:dyDescent="0.25">
      <c r="A455" t="s">
        <v>342</v>
      </c>
    </row>
    <row r="456" spans="1:1" x14ac:dyDescent="0.25">
      <c r="A456" t="s">
        <v>430</v>
      </c>
    </row>
    <row r="457" spans="1:1" x14ac:dyDescent="0.25">
      <c r="A457" t="s">
        <v>431</v>
      </c>
    </row>
    <row r="458" spans="1:1" x14ac:dyDescent="0.25">
      <c r="A458" t="s">
        <v>357</v>
      </c>
    </row>
    <row r="459" spans="1:1" x14ac:dyDescent="0.25">
      <c r="A459" t="s">
        <v>339</v>
      </c>
    </row>
    <row r="460" spans="1:1" x14ac:dyDescent="0.25">
      <c r="A460" t="s">
        <v>432</v>
      </c>
    </row>
    <row r="461" spans="1:1" x14ac:dyDescent="0.25">
      <c r="A461" t="s">
        <v>341</v>
      </c>
    </row>
    <row r="463" spans="1:1" x14ac:dyDescent="0.25">
      <c r="A463" t="s">
        <v>334</v>
      </c>
    </row>
    <row r="464" spans="1:1" x14ac:dyDescent="0.25">
      <c r="A464" t="s">
        <v>335</v>
      </c>
    </row>
    <row r="465" spans="1:1" x14ac:dyDescent="0.25">
      <c r="A465" t="s">
        <v>433</v>
      </c>
    </row>
    <row r="466" spans="1:1" x14ac:dyDescent="0.25">
      <c r="A466" t="s">
        <v>434</v>
      </c>
    </row>
    <row r="467" spans="1:1" x14ac:dyDescent="0.25">
      <c r="A467" t="s">
        <v>357</v>
      </c>
    </row>
    <row r="468" spans="1:1" x14ac:dyDescent="0.25">
      <c r="A468" t="s">
        <v>339</v>
      </c>
    </row>
    <row r="469" spans="1:1" x14ac:dyDescent="0.25">
      <c r="A469" t="s">
        <v>435</v>
      </c>
    </row>
    <row r="470" spans="1:1" x14ac:dyDescent="0.25">
      <c r="A470" t="s">
        <v>436</v>
      </c>
    </row>
    <row r="471" spans="1:1" x14ac:dyDescent="0.25">
      <c r="A471" t="s">
        <v>437</v>
      </c>
    </row>
    <row r="472" spans="1:1" x14ac:dyDescent="0.25">
      <c r="A472" t="s">
        <v>341</v>
      </c>
    </row>
    <row r="474" spans="1:1" x14ac:dyDescent="0.25">
      <c r="A474" t="s">
        <v>334</v>
      </c>
    </row>
    <row r="475" spans="1:1" x14ac:dyDescent="0.25">
      <c r="A475" t="s">
        <v>335</v>
      </c>
    </row>
    <row r="476" spans="1:1" x14ac:dyDescent="0.25">
      <c r="A476" t="s">
        <v>438</v>
      </c>
    </row>
    <row r="477" spans="1:1" x14ac:dyDescent="0.25">
      <c r="A477" t="s">
        <v>439</v>
      </c>
    </row>
    <row r="478" spans="1:1" x14ac:dyDescent="0.25">
      <c r="A478" t="s">
        <v>440</v>
      </c>
    </row>
    <row r="479" spans="1:1" x14ac:dyDescent="0.25">
      <c r="A479" t="s">
        <v>339</v>
      </c>
    </row>
    <row r="480" spans="1:1" x14ac:dyDescent="0.25">
      <c r="A480" t="s">
        <v>441</v>
      </c>
    </row>
    <row r="481" spans="1:1" x14ac:dyDescent="0.25">
      <c r="A481" t="s">
        <v>442</v>
      </c>
    </row>
    <row r="482" spans="1:1" x14ac:dyDescent="0.25">
      <c r="A482" t="s">
        <v>341</v>
      </c>
    </row>
    <row r="484" spans="1:1" x14ac:dyDescent="0.25">
      <c r="A484" t="s">
        <v>334</v>
      </c>
    </row>
    <row r="485" spans="1:1" x14ac:dyDescent="0.25">
      <c r="A485" t="s">
        <v>335</v>
      </c>
    </row>
    <row r="486" spans="1:1" x14ac:dyDescent="0.25">
      <c r="A486" t="s">
        <v>443</v>
      </c>
    </row>
    <row r="487" spans="1:1" x14ac:dyDescent="0.25">
      <c r="A487" t="s">
        <v>444</v>
      </c>
    </row>
    <row r="488" spans="1:1" x14ac:dyDescent="0.25">
      <c r="A488" t="s">
        <v>445</v>
      </c>
    </row>
    <row r="489" spans="1:1" x14ac:dyDescent="0.25">
      <c r="A489" t="s">
        <v>339</v>
      </c>
    </row>
    <row r="490" spans="1:1" x14ac:dyDescent="0.25">
      <c r="A490" t="s">
        <v>446</v>
      </c>
    </row>
    <row r="491" spans="1:1" x14ac:dyDescent="0.25">
      <c r="A491" t="s">
        <v>341</v>
      </c>
    </row>
    <row r="493" spans="1:1" x14ac:dyDescent="0.25">
      <c r="A493" t="s">
        <v>334</v>
      </c>
    </row>
    <row r="494" spans="1:1" x14ac:dyDescent="0.25">
      <c r="A494" t="s">
        <v>335</v>
      </c>
    </row>
    <row r="495" spans="1:1" x14ac:dyDescent="0.25">
      <c r="A495" t="s">
        <v>447</v>
      </c>
    </row>
    <row r="496" spans="1:1" x14ac:dyDescent="0.25">
      <c r="A496" t="s">
        <v>448</v>
      </c>
    </row>
    <row r="497" spans="1:1" x14ac:dyDescent="0.25">
      <c r="A497" t="s">
        <v>338</v>
      </c>
    </row>
    <row r="498" spans="1:1" x14ac:dyDescent="0.25">
      <c r="A498" t="s">
        <v>339</v>
      </c>
    </row>
    <row r="499" spans="1:1" x14ac:dyDescent="0.25">
      <c r="A499" t="s">
        <v>449</v>
      </c>
    </row>
    <row r="500" spans="1:1" x14ac:dyDescent="0.25">
      <c r="A500" t="s">
        <v>341</v>
      </c>
    </row>
    <row r="502" spans="1:1" x14ac:dyDescent="0.25">
      <c r="A502" t="s">
        <v>334</v>
      </c>
    </row>
    <row r="503" spans="1:1" x14ac:dyDescent="0.25">
      <c r="A503" t="s">
        <v>335</v>
      </c>
    </row>
    <row r="504" spans="1:1" x14ac:dyDescent="0.25">
      <c r="A504" t="s">
        <v>450</v>
      </c>
    </row>
    <row r="505" spans="1:1" x14ac:dyDescent="0.25">
      <c r="A505" t="s">
        <v>451</v>
      </c>
    </row>
    <row r="506" spans="1:1" x14ac:dyDescent="0.25">
      <c r="A506" t="s">
        <v>445</v>
      </c>
    </row>
    <row r="507" spans="1:1" x14ac:dyDescent="0.25">
      <c r="A507" t="s">
        <v>339</v>
      </c>
    </row>
    <row r="508" spans="1:1" x14ac:dyDescent="0.25">
      <c r="A508" t="s">
        <v>452</v>
      </c>
    </row>
    <row r="509" spans="1:1" x14ac:dyDescent="0.25">
      <c r="A509" t="s">
        <v>341</v>
      </c>
    </row>
    <row r="511" spans="1:1" x14ac:dyDescent="0.25">
      <c r="A511" t="s">
        <v>334</v>
      </c>
    </row>
    <row r="512" spans="1:1" x14ac:dyDescent="0.25">
      <c r="A512" t="s">
        <v>335</v>
      </c>
    </row>
    <row r="513" spans="1:1" x14ac:dyDescent="0.25">
      <c r="A513" t="s">
        <v>453</v>
      </c>
    </row>
    <row r="514" spans="1:1" x14ac:dyDescent="0.25">
      <c r="A514" t="s">
        <v>454</v>
      </c>
    </row>
    <row r="515" spans="1:1" x14ac:dyDescent="0.25">
      <c r="A515" t="s">
        <v>338</v>
      </c>
    </row>
    <row r="516" spans="1:1" x14ac:dyDescent="0.25">
      <c r="A516" t="s">
        <v>339</v>
      </c>
    </row>
    <row r="517" spans="1:1" x14ac:dyDescent="0.25">
      <c r="A517" t="s">
        <v>455</v>
      </c>
    </row>
    <row r="518" spans="1:1" x14ac:dyDescent="0.25">
      <c r="A518" t="s">
        <v>341</v>
      </c>
    </row>
    <row r="520" spans="1:1" x14ac:dyDescent="0.25">
      <c r="A520" t="s">
        <v>334</v>
      </c>
    </row>
    <row r="521" spans="1:1" x14ac:dyDescent="0.25">
      <c r="A521" t="s">
        <v>335</v>
      </c>
    </row>
    <row r="522" spans="1:1" x14ac:dyDescent="0.25">
      <c r="A522" t="s">
        <v>456</v>
      </c>
    </row>
    <row r="523" spans="1:1" x14ac:dyDescent="0.25">
      <c r="A523" t="s">
        <v>457</v>
      </c>
    </row>
    <row r="524" spans="1:1" x14ac:dyDescent="0.25">
      <c r="A524" t="s">
        <v>445</v>
      </c>
    </row>
    <row r="525" spans="1:1" x14ac:dyDescent="0.25">
      <c r="A525" t="s">
        <v>339</v>
      </c>
    </row>
    <row r="526" spans="1:1" x14ac:dyDescent="0.25">
      <c r="A526" t="s">
        <v>458</v>
      </c>
    </row>
    <row r="527" spans="1:1" x14ac:dyDescent="0.25">
      <c r="A527" t="s">
        <v>341</v>
      </c>
    </row>
    <row r="529" spans="1:1" x14ac:dyDescent="0.25">
      <c r="A529" t="s">
        <v>334</v>
      </c>
    </row>
    <row r="530" spans="1:1" x14ac:dyDescent="0.25">
      <c r="A530" t="s">
        <v>335</v>
      </c>
    </row>
    <row r="531" spans="1:1" x14ac:dyDescent="0.25">
      <c r="A531" t="s">
        <v>459</v>
      </c>
    </row>
    <row r="532" spans="1:1" x14ac:dyDescent="0.25">
      <c r="A532" t="s">
        <v>460</v>
      </c>
    </row>
    <row r="533" spans="1:1" x14ac:dyDescent="0.25">
      <c r="A533" t="s">
        <v>445</v>
      </c>
    </row>
    <row r="534" spans="1:1" x14ac:dyDescent="0.25">
      <c r="A534" t="s">
        <v>339</v>
      </c>
    </row>
    <row r="535" spans="1:1" x14ac:dyDescent="0.25">
      <c r="A535" t="s">
        <v>461</v>
      </c>
    </row>
    <row r="536" spans="1:1" x14ac:dyDescent="0.25">
      <c r="A536" t="s">
        <v>341</v>
      </c>
    </row>
    <row r="538" spans="1:1" x14ac:dyDescent="0.25">
      <c r="A538" t="s">
        <v>334</v>
      </c>
    </row>
    <row r="539" spans="1:1" x14ac:dyDescent="0.25">
      <c r="A539" t="s">
        <v>335</v>
      </c>
    </row>
    <row r="540" spans="1:1" x14ac:dyDescent="0.25">
      <c r="A540" t="s">
        <v>462</v>
      </c>
    </row>
    <row r="541" spans="1:1" x14ac:dyDescent="0.25">
      <c r="A541" t="s">
        <v>352</v>
      </c>
    </row>
    <row r="542" spans="1:1" x14ac:dyDescent="0.25">
      <c r="A542" t="s">
        <v>463</v>
      </c>
    </row>
    <row r="543" spans="1:1" x14ac:dyDescent="0.25">
      <c r="A543" t="s">
        <v>339</v>
      </c>
    </row>
    <row r="544" spans="1:1" x14ac:dyDescent="0.25">
      <c r="A544" t="s">
        <v>464</v>
      </c>
    </row>
    <row r="545" spans="1:1" x14ac:dyDescent="0.25">
      <c r="A545" t="s">
        <v>465</v>
      </c>
    </row>
    <row r="546" spans="1:1" x14ac:dyDescent="0.25">
      <c r="A546" t="s">
        <v>341</v>
      </c>
    </row>
    <row r="548" spans="1:1" x14ac:dyDescent="0.25">
      <c r="A548" t="s">
        <v>334</v>
      </c>
    </row>
    <row r="549" spans="1:1" x14ac:dyDescent="0.25">
      <c r="A549" t="s">
        <v>342</v>
      </c>
    </row>
    <row r="550" spans="1:1" x14ac:dyDescent="0.25">
      <c r="A550" t="s">
        <v>466</v>
      </c>
    </row>
    <row r="551" spans="1:1" x14ac:dyDescent="0.25">
      <c r="A551" t="s">
        <v>352</v>
      </c>
    </row>
    <row r="552" spans="1:1" x14ac:dyDescent="0.25">
      <c r="A552" t="s">
        <v>353</v>
      </c>
    </row>
    <row r="553" spans="1:1" x14ac:dyDescent="0.25">
      <c r="A553" t="s">
        <v>339</v>
      </c>
    </row>
    <row r="554" spans="1:1" x14ac:dyDescent="0.25">
      <c r="A554" t="s">
        <v>467</v>
      </c>
    </row>
    <row r="555" spans="1:1" x14ac:dyDescent="0.25">
      <c r="A555" t="s">
        <v>468</v>
      </c>
    </row>
    <row r="556" spans="1:1" x14ac:dyDescent="0.25">
      <c r="A556" t="s">
        <v>341</v>
      </c>
    </row>
    <row r="558" spans="1:1" x14ac:dyDescent="0.25">
      <c r="A558" t="s">
        <v>334</v>
      </c>
    </row>
    <row r="559" spans="1:1" x14ac:dyDescent="0.25">
      <c r="A559" t="s">
        <v>335</v>
      </c>
    </row>
    <row r="560" spans="1:1" x14ac:dyDescent="0.25">
      <c r="A560" t="s">
        <v>469</v>
      </c>
    </row>
    <row r="561" spans="1:1" x14ac:dyDescent="0.25">
      <c r="A561" t="s">
        <v>348</v>
      </c>
    </row>
    <row r="562" spans="1:1" x14ac:dyDescent="0.25">
      <c r="A562" t="s">
        <v>349</v>
      </c>
    </row>
    <row r="563" spans="1:1" x14ac:dyDescent="0.25">
      <c r="A563" t="s">
        <v>339</v>
      </c>
    </row>
    <row r="564" spans="1:1" x14ac:dyDescent="0.25">
      <c r="A564" t="s">
        <v>470</v>
      </c>
    </row>
    <row r="565" spans="1:1" x14ac:dyDescent="0.25">
      <c r="A565" t="s">
        <v>341</v>
      </c>
    </row>
    <row r="567" spans="1:1" x14ac:dyDescent="0.25">
      <c r="A567" t="s">
        <v>334</v>
      </c>
    </row>
    <row r="568" spans="1:1" x14ac:dyDescent="0.25">
      <c r="A568" t="s">
        <v>335</v>
      </c>
    </row>
    <row r="569" spans="1:1" x14ac:dyDescent="0.25">
      <c r="A569" t="s">
        <v>471</v>
      </c>
    </row>
    <row r="570" spans="1:1" x14ac:dyDescent="0.25">
      <c r="A570" t="s">
        <v>381</v>
      </c>
    </row>
    <row r="571" spans="1:1" x14ac:dyDescent="0.25">
      <c r="A571" t="s">
        <v>371</v>
      </c>
    </row>
    <row r="572" spans="1:1" x14ac:dyDescent="0.25">
      <c r="A572" t="s">
        <v>339</v>
      </c>
    </row>
    <row r="573" spans="1:1" x14ac:dyDescent="0.25">
      <c r="A573" t="s">
        <v>472</v>
      </c>
    </row>
    <row r="574" spans="1:1" x14ac:dyDescent="0.25">
      <c r="A574" t="s">
        <v>341</v>
      </c>
    </row>
    <row r="576" spans="1:1" x14ac:dyDescent="0.25">
      <c r="A576" t="s">
        <v>334</v>
      </c>
    </row>
    <row r="577" spans="1:1" x14ac:dyDescent="0.25">
      <c r="A577" t="s">
        <v>335</v>
      </c>
    </row>
    <row r="578" spans="1:1" x14ac:dyDescent="0.25">
      <c r="A578" t="s">
        <v>473</v>
      </c>
    </row>
    <row r="579" spans="1:1" x14ac:dyDescent="0.25">
      <c r="A579" t="s">
        <v>474</v>
      </c>
    </row>
    <row r="580" spans="1:1" x14ac:dyDescent="0.25">
      <c r="A580" t="s">
        <v>403</v>
      </c>
    </row>
    <row r="581" spans="1:1" x14ac:dyDescent="0.25">
      <c r="A581" t="s">
        <v>339</v>
      </c>
    </row>
    <row r="582" spans="1:1" x14ac:dyDescent="0.25">
      <c r="A582" t="s">
        <v>475</v>
      </c>
    </row>
    <row r="583" spans="1:1" x14ac:dyDescent="0.25">
      <c r="A583" t="s">
        <v>341</v>
      </c>
    </row>
    <row r="585" spans="1:1" x14ac:dyDescent="0.25">
      <c r="A585" t="s">
        <v>334</v>
      </c>
    </row>
    <row r="586" spans="1:1" x14ac:dyDescent="0.25">
      <c r="A586" t="s">
        <v>335</v>
      </c>
    </row>
    <row r="587" spans="1:1" x14ac:dyDescent="0.25">
      <c r="A587" t="s">
        <v>476</v>
      </c>
    </row>
    <row r="588" spans="1:1" x14ac:dyDescent="0.25">
      <c r="A588" t="s">
        <v>477</v>
      </c>
    </row>
    <row r="589" spans="1:1" x14ac:dyDescent="0.25">
      <c r="A589" t="s">
        <v>403</v>
      </c>
    </row>
    <row r="590" spans="1:1" x14ac:dyDescent="0.25">
      <c r="A590" t="s">
        <v>339</v>
      </c>
    </row>
    <row r="591" spans="1:1" x14ac:dyDescent="0.25">
      <c r="A591" t="s">
        <v>478</v>
      </c>
    </row>
    <row r="592" spans="1:1" x14ac:dyDescent="0.25">
      <c r="A592" t="s">
        <v>479</v>
      </c>
    </row>
    <row r="593" spans="1:1" x14ac:dyDescent="0.25">
      <c r="A593" t="s">
        <v>341</v>
      </c>
    </row>
    <row r="595" spans="1:1" x14ac:dyDescent="0.25">
      <c r="A595" t="s">
        <v>334</v>
      </c>
    </row>
    <row r="596" spans="1:1" x14ac:dyDescent="0.25">
      <c r="A596" t="s">
        <v>342</v>
      </c>
    </row>
    <row r="597" spans="1:1" x14ac:dyDescent="0.25">
      <c r="A597" t="s">
        <v>480</v>
      </c>
    </row>
    <row r="598" spans="1:1" x14ac:dyDescent="0.25">
      <c r="A598" t="s">
        <v>402</v>
      </c>
    </row>
    <row r="599" spans="1:1" x14ac:dyDescent="0.25">
      <c r="A599" t="s">
        <v>403</v>
      </c>
    </row>
    <row r="600" spans="1:1" x14ac:dyDescent="0.25">
      <c r="A600" t="s">
        <v>339</v>
      </c>
    </row>
    <row r="601" spans="1:1" x14ac:dyDescent="0.25">
      <c r="A601" t="s">
        <v>481</v>
      </c>
    </row>
    <row r="602" spans="1:1" x14ac:dyDescent="0.25">
      <c r="A602" t="s">
        <v>341</v>
      </c>
    </row>
    <row r="604" spans="1:1" x14ac:dyDescent="0.25">
      <c r="A604" t="s">
        <v>334</v>
      </c>
    </row>
    <row r="605" spans="1:1" x14ac:dyDescent="0.25">
      <c r="A605" t="s">
        <v>335</v>
      </c>
    </row>
    <row r="606" spans="1:1" x14ac:dyDescent="0.25">
      <c r="A606" t="s">
        <v>482</v>
      </c>
    </row>
    <row r="607" spans="1:1" x14ac:dyDescent="0.25">
      <c r="A607" t="s">
        <v>412</v>
      </c>
    </row>
    <row r="608" spans="1:1" x14ac:dyDescent="0.25">
      <c r="A608" t="s">
        <v>413</v>
      </c>
    </row>
    <row r="609" spans="1:1" x14ac:dyDescent="0.25">
      <c r="A609" t="s">
        <v>339</v>
      </c>
    </row>
    <row r="610" spans="1:1" x14ac:dyDescent="0.25">
      <c r="A610" t="s">
        <v>483</v>
      </c>
    </row>
    <row r="611" spans="1:1" x14ac:dyDescent="0.25">
      <c r="A611" t="s">
        <v>484</v>
      </c>
    </row>
    <row r="612" spans="1:1" x14ac:dyDescent="0.25">
      <c r="A612" t="s">
        <v>341</v>
      </c>
    </row>
    <row r="614" spans="1:1" x14ac:dyDescent="0.25">
      <c r="A614" t="s">
        <v>334</v>
      </c>
    </row>
    <row r="615" spans="1:1" x14ac:dyDescent="0.25">
      <c r="A615" t="s">
        <v>335</v>
      </c>
    </row>
    <row r="616" spans="1:1" x14ac:dyDescent="0.25">
      <c r="A616" t="s">
        <v>485</v>
      </c>
    </row>
    <row r="617" spans="1:1" x14ac:dyDescent="0.25">
      <c r="A617" t="s">
        <v>486</v>
      </c>
    </row>
    <row r="618" spans="1:1" x14ac:dyDescent="0.25">
      <c r="A618" t="s">
        <v>413</v>
      </c>
    </row>
    <row r="619" spans="1:1" x14ac:dyDescent="0.25">
      <c r="A619" t="s">
        <v>339</v>
      </c>
    </row>
    <row r="620" spans="1:1" x14ac:dyDescent="0.25">
      <c r="A620" t="s">
        <v>487</v>
      </c>
    </row>
    <row r="621" spans="1:1" x14ac:dyDescent="0.25">
      <c r="A621" t="s">
        <v>341</v>
      </c>
    </row>
    <row r="623" spans="1:1" x14ac:dyDescent="0.25">
      <c r="A623" t="s">
        <v>334</v>
      </c>
    </row>
    <row r="624" spans="1:1" x14ac:dyDescent="0.25">
      <c r="A624" t="s">
        <v>335</v>
      </c>
    </row>
    <row r="625" spans="1:1" x14ac:dyDescent="0.25">
      <c r="A625" t="s">
        <v>488</v>
      </c>
    </row>
    <row r="626" spans="1:1" x14ac:dyDescent="0.25">
      <c r="A626" t="s">
        <v>489</v>
      </c>
    </row>
    <row r="627" spans="1:1" x14ac:dyDescent="0.25">
      <c r="A627" t="s">
        <v>428</v>
      </c>
    </row>
    <row r="628" spans="1:1" x14ac:dyDescent="0.25">
      <c r="A628" t="s">
        <v>339</v>
      </c>
    </row>
    <row r="629" spans="1:1" x14ac:dyDescent="0.25">
      <c r="A629" t="s">
        <v>490</v>
      </c>
    </row>
    <row r="630" spans="1:1" x14ac:dyDescent="0.25">
      <c r="A630" t="s">
        <v>341</v>
      </c>
    </row>
    <row r="632" spans="1:1" x14ac:dyDescent="0.25">
      <c r="A632" t="s">
        <v>334</v>
      </c>
    </row>
    <row r="633" spans="1:1" x14ac:dyDescent="0.25">
      <c r="A633" t="s">
        <v>335</v>
      </c>
    </row>
    <row r="634" spans="1:1" x14ac:dyDescent="0.25">
      <c r="A634" t="s">
        <v>491</v>
      </c>
    </row>
    <row r="635" spans="1:1" x14ac:dyDescent="0.25">
      <c r="A635" t="s">
        <v>492</v>
      </c>
    </row>
    <row r="636" spans="1:1" x14ac:dyDescent="0.25">
      <c r="A636" t="s">
        <v>428</v>
      </c>
    </row>
    <row r="637" spans="1:1" x14ac:dyDescent="0.25">
      <c r="A637" t="s">
        <v>339</v>
      </c>
    </row>
    <row r="638" spans="1:1" x14ac:dyDescent="0.25">
      <c r="A638" t="s">
        <v>493</v>
      </c>
    </row>
    <row r="639" spans="1:1" x14ac:dyDescent="0.25">
      <c r="A639" t="s">
        <v>341</v>
      </c>
    </row>
    <row r="641" spans="1:1" x14ac:dyDescent="0.25">
      <c r="A641" t="s">
        <v>334</v>
      </c>
    </row>
    <row r="642" spans="1:1" x14ac:dyDescent="0.25">
      <c r="A642" t="s">
        <v>335</v>
      </c>
    </row>
    <row r="643" spans="1:1" x14ac:dyDescent="0.25">
      <c r="A643" t="s">
        <v>494</v>
      </c>
    </row>
    <row r="644" spans="1:1" x14ac:dyDescent="0.25">
      <c r="A644" t="s">
        <v>495</v>
      </c>
    </row>
    <row r="645" spans="1:1" x14ac:dyDescent="0.25">
      <c r="A645" t="s">
        <v>428</v>
      </c>
    </row>
    <row r="646" spans="1:1" x14ac:dyDescent="0.25">
      <c r="A646" t="s">
        <v>339</v>
      </c>
    </row>
    <row r="647" spans="1:1" x14ac:dyDescent="0.25">
      <c r="A647" t="s">
        <v>496</v>
      </c>
    </row>
    <row r="648" spans="1:1" x14ac:dyDescent="0.25">
      <c r="A648" t="s">
        <v>497</v>
      </c>
    </row>
    <row r="649" spans="1:1" x14ac:dyDescent="0.25">
      <c r="A649" t="s">
        <v>341</v>
      </c>
    </row>
    <row r="651" spans="1:1" x14ac:dyDescent="0.25">
      <c r="A651" t="s">
        <v>334</v>
      </c>
    </row>
    <row r="652" spans="1:1" x14ac:dyDescent="0.25">
      <c r="A652" t="s">
        <v>335</v>
      </c>
    </row>
    <row r="653" spans="1:1" x14ac:dyDescent="0.25">
      <c r="A653" t="s">
        <v>498</v>
      </c>
    </row>
    <row r="654" spans="1:1" x14ac:dyDescent="0.25">
      <c r="A654" t="s">
        <v>499</v>
      </c>
    </row>
    <row r="655" spans="1:1" x14ac:dyDescent="0.25">
      <c r="A655" t="s">
        <v>428</v>
      </c>
    </row>
    <row r="656" spans="1:1" x14ac:dyDescent="0.25">
      <c r="A656" t="s">
        <v>339</v>
      </c>
    </row>
    <row r="657" spans="1:1" x14ac:dyDescent="0.25">
      <c r="A657" t="s">
        <v>500</v>
      </c>
    </row>
    <row r="658" spans="1:1" x14ac:dyDescent="0.25">
      <c r="A658" t="s">
        <v>341</v>
      </c>
    </row>
    <row r="660" spans="1:1" x14ac:dyDescent="0.25">
      <c r="A660" t="s">
        <v>334</v>
      </c>
    </row>
    <row r="661" spans="1:1" x14ac:dyDescent="0.25">
      <c r="A661" t="s">
        <v>335</v>
      </c>
    </row>
    <row r="662" spans="1:1" x14ac:dyDescent="0.25">
      <c r="A662" t="s">
        <v>501</v>
      </c>
    </row>
    <row r="663" spans="1:1" x14ac:dyDescent="0.25">
      <c r="A663" t="s">
        <v>502</v>
      </c>
    </row>
    <row r="664" spans="1:1" x14ac:dyDescent="0.25">
      <c r="A664" t="s">
        <v>503</v>
      </c>
    </row>
    <row r="665" spans="1:1" x14ac:dyDescent="0.25">
      <c r="A665" t="s">
        <v>339</v>
      </c>
    </row>
    <row r="666" spans="1:1" x14ac:dyDescent="0.25">
      <c r="A666" t="s">
        <v>504</v>
      </c>
    </row>
    <row r="667" spans="1:1" x14ac:dyDescent="0.25">
      <c r="A667" t="s">
        <v>341</v>
      </c>
    </row>
    <row r="669" spans="1:1" x14ac:dyDescent="0.25">
      <c r="A669" t="s">
        <v>334</v>
      </c>
    </row>
    <row r="670" spans="1:1" x14ac:dyDescent="0.25">
      <c r="A670" t="s">
        <v>335</v>
      </c>
    </row>
    <row r="671" spans="1:1" x14ac:dyDescent="0.25">
      <c r="A671" t="s">
        <v>505</v>
      </c>
    </row>
    <row r="672" spans="1:1" x14ac:dyDescent="0.25">
      <c r="A672" t="s">
        <v>506</v>
      </c>
    </row>
    <row r="673" spans="1:1" x14ac:dyDescent="0.25">
      <c r="A673" t="s">
        <v>507</v>
      </c>
    </row>
    <row r="674" spans="1:1" x14ac:dyDescent="0.25">
      <c r="A674" t="s">
        <v>339</v>
      </c>
    </row>
    <row r="675" spans="1:1" x14ac:dyDescent="0.25">
      <c r="A675" t="s">
        <v>441</v>
      </c>
    </row>
    <row r="676" spans="1:1" x14ac:dyDescent="0.25">
      <c r="A676" t="s">
        <v>508</v>
      </c>
    </row>
    <row r="677" spans="1:1" x14ac:dyDescent="0.25">
      <c r="A677" t="s">
        <v>509</v>
      </c>
    </row>
    <row r="678" spans="1:1" x14ac:dyDescent="0.25">
      <c r="A678" t="s">
        <v>341</v>
      </c>
    </row>
    <row r="680" spans="1:1" x14ac:dyDescent="0.25">
      <c r="A680" t="s">
        <v>334</v>
      </c>
    </row>
    <row r="681" spans="1:1" x14ac:dyDescent="0.25">
      <c r="A681" t="s">
        <v>335</v>
      </c>
    </row>
    <row r="682" spans="1:1" x14ac:dyDescent="0.25">
      <c r="A682" t="s">
        <v>510</v>
      </c>
    </row>
    <row r="683" spans="1:1" x14ac:dyDescent="0.25">
      <c r="A683" t="s">
        <v>511</v>
      </c>
    </row>
    <row r="684" spans="1:1" x14ac:dyDescent="0.25">
      <c r="A684" t="s">
        <v>507</v>
      </c>
    </row>
    <row r="685" spans="1:1" x14ac:dyDescent="0.25">
      <c r="A685" t="s">
        <v>339</v>
      </c>
    </row>
    <row r="686" spans="1:1" x14ac:dyDescent="0.25">
      <c r="A686" t="s">
        <v>512</v>
      </c>
    </row>
    <row r="687" spans="1:1" x14ac:dyDescent="0.25">
      <c r="A687" t="s">
        <v>513</v>
      </c>
    </row>
    <row r="688" spans="1:1" x14ac:dyDescent="0.25">
      <c r="A688" t="s">
        <v>514</v>
      </c>
    </row>
    <row r="689" spans="1:1" x14ac:dyDescent="0.25">
      <c r="A689" t="s">
        <v>341</v>
      </c>
    </row>
    <row r="691" spans="1:1" x14ac:dyDescent="0.25">
      <c r="A691" t="s">
        <v>334</v>
      </c>
    </row>
    <row r="692" spans="1:1" x14ac:dyDescent="0.25">
      <c r="A692" t="s">
        <v>335</v>
      </c>
    </row>
    <row r="693" spans="1:1" x14ac:dyDescent="0.25">
      <c r="A693" t="s">
        <v>515</v>
      </c>
    </row>
    <row r="694" spans="1:1" x14ac:dyDescent="0.25">
      <c r="A694" t="s">
        <v>516</v>
      </c>
    </row>
    <row r="695" spans="1:1" x14ac:dyDescent="0.25">
      <c r="A695" t="s">
        <v>507</v>
      </c>
    </row>
    <row r="696" spans="1:1" x14ac:dyDescent="0.25">
      <c r="A696" t="s">
        <v>339</v>
      </c>
    </row>
    <row r="697" spans="1:1" x14ac:dyDescent="0.25">
      <c r="A697" t="s">
        <v>512</v>
      </c>
    </row>
    <row r="698" spans="1:1" x14ac:dyDescent="0.25">
      <c r="A698" t="s">
        <v>517</v>
      </c>
    </row>
    <row r="699" spans="1:1" x14ac:dyDescent="0.25">
      <c r="A699" t="s">
        <v>518</v>
      </c>
    </row>
    <row r="700" spans="1:1" x14ac:dyDescent="0.25">
      <c r="A700" t="s">
        <v>341</v>
      </c>
    </row>
    <row r="702" spans="1:1" x14ac:dyDescent="0.25">
      <c r="A702" t="s">
        <v>334</v>
      </c>
    </row>
    <row r="703" spans="1:1" x14ac:dyDescent="0.25">
      <c r="A703" t="s">
        <v>335</v>
      </c>
    </row>
    <row r="704" spans="1:1" x14ac:dyDescent="0.25">
      <c r="A704" t="s">
        <v>519</v>
      </c>
    </row>
    <row r="705" spans="1:1" x14ac:dyDescent="0.25">
      <c r="A705" t="s">
        <v>520</v>
      </c>
    </row>
    <row r="706" spans="1:1" x14ac:dyDescent="0.25">
      <c r="A706" t="s">
        <v>507</v>
      </c>
    </row>
    <row r="707" spans="1:1" x14ac:dyDescent="0.25">
      <c r="A707" t="s">
        <v>339</v>
      </c>
    </row>
    <row r="708" spans="1:1" x14ac:dyDescent="0.25">
      <c r="A708" t="s">
        <v>521</v>
      </c>
    </row>
    <row r="709" spans="1:1" x14ac:dyDescent="0.25">
      <c r="A709" t="s">
        <v>522</v>
      </c>
    </row>
    <row r="710" spans="1:1" x14ac:dyDescent="0.25">
      <c r="A710" t="s">
        <v>341</v>
      </c>
    </row>
    <row r="712" spans="1:1" x14ac:dyDescent="0.25">
      <c r="A712" t="s">
        <v>334</v>
      </c>
    </row>
    <row r="713" spans="1:1" x14ac:dyDescent="0.25">
      <c r="A713" t="s">
        <v>335</v>
      </c>
    </row>
    <row r="714" spans="1:1" x14ac:dyDescent="0.25">
      <c r="A714" t="s">
        <v>523</v>
      </c>
    </row>
    <row r="715" spans="1:1" x14ac:dyDescent="0.25">
      <c r="A715" t="s">
        <v>524</v>
      </c>
    </row>
    <row r="716" spans="1:1" x14ac:dyDescent="0.25">
      <c r="A716" t="s">
        <v>507</v>
      </c>
    </row>
    <row r="717" spans="1:1" x14ac:dyDescent="0.25">
      <c r="A717" t="s">
        <v>339</v>
      </c>
    </row>
    <row r="718" spans="1:1" x14ac:dyDescent="0.25">
      <c r="A718" t="s">
        <v>512</v>
      </c>
    </row>
    <row r="719" spans="1:1" x14ac:dyDescent="0.25">
      <c r="A719" t="s">
        <v>525</v>
      </c>
    </row>
    <row r="720" spans="1:1" x14ac:dyDescent="0.25">
      <c r="A720" t="s">
        <v>526</v>
      </c>
    </row>
    <row r="721" spans="1:1" x14ac:dyDescent="0.25">
      <c r="A721" t="s">
        <v>341</v>
      </c>
    </row>
    <row r="723" spans="1:1" x14ac:dyDescent="0.25">
      <c r="A723" t="s">
        <v>334</v>
      </c>
    </row>
    <row r="724" spans="1:1" x14ac:dyDescent="0.25">
      <c r="A724" t="s">
        <v>335</v>
      </c>
    </row>
    <row r="725" spans="1:1" x14ac:dyDescent="0.25">
      <c r="A725" t="s">
        <v>527</v>
      </c>
    </row>
    <row r="726" spans="1:1" x14ac:dyDescent="0.25">
      <c r="A726" t="s">
        <v>528</v>
      </c>
    </row>
    <row r="727" spans="1:1" x14ac:dyDescent="0.25">
      <c r="A727" t="s">
        <v>507</v>
      </c>
    </row>
    <row r="728" spans="1:1" x14ac:dyDescent="0.25">
      <c r="A728" t="s">
        <v>339</v>
      </c>
    </row>
    <row r="729" spans="1:1" x14ac:dyDescent="0.25">
      <c r="A729" t="s">
        <v>529</v>
      </c>
    </row>
    <row r="730" spans="1:1" x14ac:dyDescent="0.25">
      <c r="A730" t="s">
        <v>530</v>
      </c>
    </row>
    <row r="731" spans="1:1" x14ac:dyDescent="0.25">
      <c r="A731" t="s">
        <v>531</v>
      </c>
    </row>
    <row r="732" spans="1:1" x14ac:dyDescent="0.25">
      <c r="A732" t="s">
        <v>341</v>
      </c>
    </row>
    <row r="735" spans="1:1" x14ac:dyDescent="0.25">
      <c r="A735" t="s">
        <v>532</v>
      </c>
    </row>
    <row r="737" spans="1:1" x14ac:dyDescent="0.25">
      <c r="A737" t="s">
        <v>533</v>
      </c>
    </row>
    <row r="738" spans="1:1" x14ac:dyDescent="0.25">
      <c r="A738" t="s">
        <v>534</v>
      </c>
    </row>
    <row r="739" spans="1:1" x14ac:dyDescent="0.25">
      <c r="A739" t="s">
        <v>535</v>
      </c>
    </row>
    <row r="740" spans="1:1" x14ac:dyDescent="0.25">
      <c r="A740" t="s">
        <v>536</v>
      </c>
    </row>
    <row r="741" spans="1:1" x14ac:dyDescent="0.25">
      <c r="A741" t="s">
        <v>254</v>
      </c>
    </row>
    <row r="742" spans="1:1" x14ac:dyDescent="0.25">
      <c r="A742" t="s">
        <v>537</v>
      </c>
    </row>
    <row r="743" spans="1:1" x14ac:dyDescent="0.25">
      <c r="A743" t="s">
        <v>538</v>
      </c>
    </row>
    <row r="744" spans="1:1" x14ac:dyDescent="0.25">
      <c r="A744" t="s">
        <v>539</v>
      </c>
    </row>
    <row r="746" spans="1:1" x14ac:dyDescent="0.25">
      <c r="A746" t="s">
        <v>540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37A2C-5F4B-4141-AE61-187BBF1AF21C}">
  <dimension ref="A1:A525"/>
  <sheetViews>
    <sheetView topLeftCell="A490" workbookViewId="0">
      <selection activeCell="A523" sqref="A523"/>
    </sheetView>
  </sheetViews>
  <sheetFormatPr defaultRowHeight="15" x14ac:dyDescent="0.25"/>
  <cols>
    <col min="1" max="1" width="157.85546875" customWidth="1"/>
  </cols>
  <sheetData>
    <row r="1" spans="1:1" x14ac:dyDescent="0.25">
      <c r="A1" t="s">
        <v>240</v>
      </c>
    </row>
    <row r="3" spans="1:1" x14ac:dyDescent="0.25">
      <c r="A3" t="s">
        <v>241</v>
      </c>
    </row>
    <row r="5" spans="1:1" x14ac:dyDescent="0.25">
      <c r="A5" t="s">
        <v>242</v>
      </c>
    </row>
    <row r="6" spans="1:1" x14ac:dyDescent="0.25">
      <c r="A6" t="s">
        <v>243</v>
      </c>
    </row>
    <row r="7" spans="1:1" x14ac:dyDescent="0.25">
      <c r="A7" t="s">
        <v>244</v>
      </c>
    </row>
    <row r="8" spans="1:1" x14ac:dyDescent="0.25">
      <c r="A8" t="s">
        <v>245</v>
      </c>
    </row>
    <row r="9" spans="1:1" x14ac:dyDescent="0.25">
      <c r="A9" t="s">
        <v>246</v>
      </c>
    </row>
    <row r="10" spans="1:1" x14ac:dyDescent="0.25">
      <c r="A10" t="s">
        <v>247</v>
      </c>
    </row>
    <row r="11" spans="1:1" x14ac:dyDescent="0.25">
      <c r="A11" t="s">
        <v>248</v>
      </c>
    </row>
    <row r="12" spans="1:1" x14ac:dyDescent="0.25">
      <c r="A12" t="s">
        <v>249</v>
      </c>
    </row>
    <row r="14" spans="1:1" x14ac:dyDescent="0.25">
      <c r="A14" t="s">
        <v>250</v>
      </c>
    </row>
    <row r="15" spans="1:1" x14ac:dyDescent="0.25">
      <c r="A15" t="s">
        <v>244</v>
      </c>
    </row>
    <row r="16" spans="1:1" x14ac:dyDescent="0.25">
      <c r="A16" t="s">
        <v>245</v>
      </c>
    </row>
    <row r="17" spans="1:1" x14ac:dyDescent="0.25">
      <c r="A17" t="s">
        <v>940</v>
      </c>
    </row>
    <row r="18" spans="1:1" x14ac:dyDescent="0.25">
      <c r="A18" t="s">
        <v>547</v>
      </c>
    </row>
    <row r="19" spans="1:1" x14ac:dyDescent="0.25">
      <c r="A19" t="s">
        <v>253</v>
      </c>
    </row>
    <row r="20" spans="1:1" x14ac:dyDescent="0.25">
      <c r="A20" t="s">
        <v>254</v>
      </c>
    </row>
    <row r="21" spans="1:1" x14ac:dyDescent="0.25">
      <c r="A21" t="s">
        <v>663</v>
      </c>
    </row>
    <row r="22" spans="1:1" x14ac:dyDescent="0.25">
      <c r="A22" t="s">
        <v>248</v>
      </c>
    </row>
    <row r="24" spans="1:1" x14ac:dyDescent="0.25">
      <c r="A24" t="s">
        <v>244</v>
      </c>
    </row>
    <row r="25" spans="1:1" x14ac:dyDescent="0.25">
      <c r="A25" t="s">
        <v>279</v>
      </c>
    </row>
    <row r="26" spans="1:1" x14ac:dyDescent="0.25">
      <c r="A26" t="s">
        <v>941</v>
      </c>
    </row>
    <row r="27" spans="1:1" x14ac:dyDescent="0.25">
      <c r="A27" t="s">
        <v>559</v>
      </c>
    </row>
    <row r="28" spans="1:1" x14ac:dyDescent="0.25">
      <c r="A28" t="s">
        <v>665</v>
      </c>
    </row>
    <row r="29" spans="1:1" x14ac:dyDescent="0.25">
      <c r="A29" t="s">
        <v>254</v>
      </c>
    </row>
    <row r="30" spans="1:1" x14ac:dyDescent="0.25">
      <c r="A30" t="s">
        <v>666</v>
      </c>
    </row>
    <row r="31" spans="1:1" x14ac:dyDescent="0.25">
      <c r="A31" t="s">
        <v>248</v>
      </c>
    </row>
    <row r="33" spans="1:1" x14ac:dyDescent="0.25">
      <c r="A33" t="s">
        <v>244</v>
      </c>
    </row>
    <row r="34" spans="1:1" x14ac:dyDescent="0.25">
      <c r="A34" t="s">
        <v>245</v>
      </c>
    </row>
    <row r="35" spans="1:1" x14ac:dyDescent="0.25">
      <c r="A35" t="s">
        <v>942</v>
      </c>
    </row>
    <row r="36" spans="1:1" x14ac:dyDescent="0.25">
      <c r="A36" t="s">
        <v>668</v>
      </c>
    </row>
    <row r="37" spans="1:1" x14ac:dyDescent="0.25">
      <c r="A37" t="s">
        <v>669</v>
      </c>
    </row>
    <row r="38" spans="1:1" x14ac:dyDescent="0.25">
      <c r="A38" t="s">
        <v>254</v>
      </c>
    </row>
    <row r="39" spans="1:1" x14ac:dyDescent="0.25">
      <c r="A39" t="s">
        <v>670</v>
      </c>
    </row>
    <row r="40" spans="1:1" x14ac:dyDescent="0.25">
      <c r="A40" t="s">
        <v>248</v>
      </c>
    </row>
    <row r="42" spans="1:1" x14ac:dyDescent="0.25">
      <c r="A42" t="s">
        <v>244</v>
      </c>
    </row>
    <row r="43" spans="1:1" x14ac:dyDescent="0.25">
      <c r="A43" t="s">
        <v>245</v>
      </c>
    </row>
    <row r="44" spans="1:1" x14ac:dyDescent="0.25">
      <c r="A44" t="s">
        <v>943</v>
      </c>
    </row>
    <row r="45" spans="1:1" x14ac:dyDescent="0.25">
      <c r="A45" t="s">
        <v>565</v>
      </c>
    </row>
    <row r="46" spans="1:1" x14ac:dyDescent="0.25">
      <c r="A46" t="s">
        <v>672</v>
      </c>
    </row>
    <row r="47" spans="1:1" x14ac:dyDescent="0.25">
      <c r="A47" t="s">
        <v>254</v>
      </c>
    </row>
    <row r="48" spans="1:1" x14ac:dyDescent="0.25">
      <c r="A48" t="s">
        <v>673</v>
      </c>
    </row>
    <row r="49" spans="1:1" x14ac:dyDescent="0.25">
      <c r="A49" t="s">
        <v>248</v>
      </c>
    </row>
    <row r="51" spans="1:1" x14ac:dyDescent="0.25">
      <c r="A51" t="s">
        <v>244</v>
      </c>
    </row>
    <row r="52" spans="1:1" x14ac:dyDescent="0.25">
      <c r="A52" t="s">
        <v>245</v>
      </c>
    </row>
    <row r="53" spans="1:1" x14ac:dyDescent="0.25">
      <c r="A53" t="s">
        <v>944</v>
      </c>
    </row>
    <row r="54" spans="1:1" x14ac:dyDescent="0.25">
      <c r="A54" t="s">
        <v>675</v>
      </c>
    </row>
    <row r="55" spans="1:1" x14ac:dyDescent="0.25">
      <c r="A55" t="s">
        <v>282</v>
      </c>
    </row>
    <row r="56" spans="1:1" x14ac:dyDescent="0.25">
      <c r="A56" t="s">
        <v>254</v>
      </c>
    </row>
    <row r="57" spans="1:1" x14ac:dyDescent="0.25">
      <c r="A57" t="s">
        <v>676</v>
      </c>
    </row>
    <row r="58" spans="1:1" x14ac:dyDescent="0.25">
      <c r="A58" t="s">
        <v>677</v>
      </c>
    </row>
    <row r="59" spans="1:1" x14ac:dyDescent="0.25">
      <c r="A59" t="s">
        <v>248</v>
      </c>
    </row>
    <row r="61" spans="1:1" x14ac:dyDescent="0.25">
      <c r="A61" t="s">
        <v>244</v>
      </c>
    </row>
    <row r="62" spans="1:1" x14ac:dyDescent="0.25">
      <c r="A62" t="s">
        <v>245</v>
      </c>
    </row>
    <row r="63" spans="1:1" x14ac:dyDescent="0.25">
      <c r="A63" t="s">
        <v>945</v>
      </c>
    </row>
    <row r="64" spans="1:1" x14ac:dyDescent="0.25">
      <c r="A64" t="s">
        <v>679</v>
      </c>
    </row>
    <row r="65" spans="1:1" x14ac:dyDescent="0.25">
      <c r="A65" t="s">
        <v>294</v>
      </c>
    </row>
    <row r="66" spans="1:1" x14ac:dyDescent="0.25">
      <c r="A66" t="s">
        <v>254</v>
      </c>
    </row>
    <row r="67" spans="1:1" x14ac:dyDescent="0.25">
      <c r="A67" t="s">
        <v>261</v>
      </c>
    </row>
    <row r="68" spans="1:1" x14ac:dyDescent="0.25">
      <c r="A68" t="s">
        <v>680</v>
      </c>
    </row>
    <row r="69" spans="1:1" x14ac:dyDescent="0.25">
      <c r="A69" t="s">
        <v>248</v>
      </c>
    </row>
    <row r="71" spans="1:1" x14ac:dyDescent="0.25">
      <c r="A71" t="s">
        <v>244</v>
      </c>
    </row>
    <row r="72" spans="1:1" x14ac:dyDescent="0.25">
      <c r="A72" t="s">
        <v>279</v>
      </c>
    </row>
    <row r="73" spans="1:1" x14ac:dyDescent="0.25">
      <c r="A73" t="s">
        <v>946</v>
      </c>
    </row>
    <row r="74" spans="1:1" x14ac:dyDescent="0.25">
      <c r="A74" t="s">
        <v>682</v>
      </c>
    </row>
    <row r="75" spans="1:1" x14ac:dyDescent="0.25">
      <c r="A75" t="s">
        <v>672</v>
      </c>
    </row>
    <row r="76" spans="1:1" x14ac:dyDescent="0.25">
      <c r="A76" t="s">
        <v>254</v>
      </c>
    </row>
    <row r="77" spans="1:1" x14ac:dyDescent="0.25">
      <c r="A77" t="s">
        <v>676</v>
      </c>
    </row>
    <row r="78" spans="1:1" x14ac:dyDescent="0.25">
      <c r="A78" t="s">
        <v>683</v>
      </c>
    </row>
    <row r="79" spans="1:1" x14ac:dyDescent="0.25">
      <c r="A79" t="s">
        <v>248</v>
      </c>
    </row>
    <row r="81" spans="1:1" x14ac:dyDescent="0.25">
      <c r="A81" t="s">
        <v>244</v>
      </c>
    </row>
    <row r="82" spans="1:1" x14ac:dyDescent="0.25">
      <c r="A82" t="s">
        <v>573</v>
      </c>
    </row>
    <row r="83" spans="1:1" x14ac:dyDescent="0.25">
      <c r="A83" t="s">
        <v>947</v>
      </c>
    </row>
    <row r="84" spans="1:1" x14ac:dyDescent="0.25">
      <c r="A84" t="s">
        <v>685</v>
      </c>
    </row>
    <row r="85" spans="1:1" x14ac:dyDescent="0.25">
      <c r="A85" t="s">
        <v>686</v>
      </c>
    </row>
    <row r="86" spans="1:1" x14ac:dyDescent="0.25">
      <c r="A86" t="s">
        <v>254</v>
      </c>
    </row>
    <row r="87" spans="1:1" x14ac:dyDescent="0.25">
      <c r="A87" t="s">
        <v>687</v>
      </c>
    </row>
    <row r="88" spans="1:1" x14ac:dyDescent="0.25">
      <c r="A88" t="s">
        <v>688</v>
      </c>
    </row>
    <row r="89" spans="1:1" x14ac:dyDescent="0.25">
      <c r="A89" t="s">
        <v>248</v>
      </c>
    </row>
    <row r="91" spans="1:1" x14ac:dyDescent="0.25">
      <c r="A91" t="s">
        <v>244</v>
      </c>
    </row>
    <row r="92" spans="1:1" x14ac:dyDescent="0.25">
      <c r="A92" t="s">
        <v>573</v>
      </c>
    </row>
    <row r="93" spans="1:1" x14ac:dyDescent="0.25">
      <c r="A93" t="s">
        <v>948</v>
      </c>
    </row>
    <row r="94" spans="1:1" x14ac:dyDescent="0.25">
      <c r="A94" t="s">
        <v>575</v>
      </c>
    </row>
    <row r="95" spans="1:1" x14ac:dyDescent="0.25">
      <c r="A95" t="s">
        <v>686</v>
      </c>
    </row>
    <row r="96" spans="1:1" x14ac:dyDescent="0.25">
      <c r="A96" t="s">
        <v>254</v>
      </c>
    </row>
    <row r="97" spans="1:1" x14ac:dyDescent="0.25">
      <c r="A97" t="s">
        <v>577</v>
      </c>
    </row>
    <row r="98" spans="1:1" x14ac:dyDescent="0.25">
      <c r="A98" t="s">
        <v>688</v>
      </c>
    </row>
    <row r="99" spans="1:1" x14ac:dyDescent="0.25">
      <c r="A99" t="s">
        <v>248</v>
      </c>
    </row>
    <row r="101" spans="1:1" x14ac:dyDescent="0.25">
      <c r="A101" t="s">
        <v>244</v>
      </c>
    </row>
    <row r="102" spans="1:1" x14ac:dyDescent="0.25">
      <c r="A102" t="s">
        <v>573</v>
      </c>
    </row>
    <row r="103" spans="1:1" x14ac:dyDescent="0.25">
      <c r="A103" t="s">
        <v>949</v>
      </c>
    </row>
    <row r="104" spans="1:1" x14ac:dyDescent="0.25">
      <c r="A104" t="s">
        <v>691</v>
      </c>
    </row>
    <row r="105" spans="1:1" x14ac:dyDescent="0.25">
      <c r="A105" t="s">
        <v>686</v>
      </c>
    </row>
    <row r="106" spans="1:1" x14ac:dyDescent="0.25">
      <c r="A106" t="s">
        <v>254</v>
      </c>
    </row>
    <row r="107" spans="1:1" x14ac:dyDescent="0.25">
      <c r="A107" t="s">
        <v>692</v>
      </c>
    </row>
    <row r="108" spans="1:1" x14ac:dyDescent="0.25">
      <c r="A108" t="s">
        <v>688</v>
      </c>
    </row>
    <row r="109" spans="1:1" x14ac:dyDescent="0.25">
      <c r="A109" t="s">
        <v>248</v>
      </c>
    </row>
    <row r="111" spans="1:1" x14ac:dyDescent="0.25">
      <c r="A111" t="s">
        <v>244</v>
      </c>
    </row>
    <row r="112" spans="1:1" x14ac:dyDescent="0.25">
      <c r="A112" t="s">
        <v>245</v>
      </c>
    </row>
    <row r="113" spans="1:1" x14ac:dyDescent="0.25">
      <c r="A113" t="s">
        <v>950</v>
      </c>
    </row>
    <row r="114" spans="1:1" x14ac:dyDescent="0.25">
      <c r="A114" t="s">
        <v>694</v>
      </c>
    </row>
    <row r="115" spans="1:1" x14ac:dyDescent="0.25">
      <c r="A115" t="s">
        <v>686</v>
      </c>
    </row>
    <row r="116" spans="1:1" x14ac:dyDescent="0.25">
      <c r="A116" t="s">
        <v>254</v>
      </c>
    </row>
    <row r="117" spans="1:1" x14ac:dyDescent="0.25">
      <c r="A117" t="s">
        <v>695</v>
      </c>
    </row>
    <row r="118" spans="1:1" x14ac:dyDescent="0.25">
      <c r="A118" t="s">
        <v>248</v>
      </c>
    </row>
    <row r="120" spans="1:1" x14ac:dyDescent="0.25">
      <c r="A120" t="s">
        <v>244</v>
      </c>
    </row>
    <row r="121" spans="1:1" x14ac:dyDescent="0.25">
      <c r="A121" t="s">
        <v>245</v>
      </c>
    </row>
    <row r="122" spans="1:1" x14ac:dyDescent="0.25">
      <c r="A122" t="s">
        <v>951</v>
      </c>
    </row>
    <row r="123" spans="1:1" x14ac:dyDescent="0.25">
      <c r="A123" t="s">
        <v>598</v>
      </c>
    </row>
    <row r="124" spans="1:1" x14ac:dyDescent="0.25">
      <c r="A124" t="s">
        <v>294</v>
      </c>
    </row>
    <row r="125" spans="1:1" x14ac:dyDescent="0.25">
      <c r="A125" t="s">
        <v>254</v>
      </c>
    </row>
    <row r="126" spans="1:1" x14ac:dyDescent="0.25">
      <c r="A126" t="s">
        <v>697</v>
      </c>
    </row>
    <row r="127" spans="1:1" x14ac:dyDescent="0.25">
      <c r="A127" t="s">
        <v>698</v>
      </c>
    </row>
    <row r="128" spans="1:1" x14ac:dyDescent="0.25">
      <c r="A128" t="s">
        <v>248</v>
      </c>
    </row>
    <row r="130" spans="1:1" x14ac:dyDescent="0.25">
      <c r="A130" t="s">
        <v>244</v>
      </c>
    </row>
    <row r="131" spans="1:1" x14ac:dyDescent="0.25">
      <c r="A131" t="s">
        <v>279</v>
      </c>
    </row>
    <row r="132" spans="1:1" x14ac:dyDescent="0.25">
      <c r="A132" t="s">
        <v>952</v>
      </c>
    </row>
    <row r="133" spans="1:1" x14ac:dyDescent="0.25">
      <c r="A133" t="s">
        <v>700</v>
      </c>
    </row>
    <row r="134" spans="1:1" x14ac:dyDescent="0.25">
      <c r="A134" t="s">
        <v>301</v>
      </c>
    </row>
    <row r="135" spans="1:1" x14ac:dyDescent="0.25">
      <c r="A135" t="s">
        <v>254</v>
      </c>
    </row>
    <row r="136" spans="1:1" x14ac:dyDescent="0.25">
      <c r="A136" t="s">
        <v>701</v>
      </c>
    </row>
    <row r="137" spans="1:1" x14ac:dyDescent="0.25">
      <c r="A137" t="s">
        <v>702</v>
      </c>
    </row>
    <row r="138" spans="1:1" x14ac:dyDescent="0.25">
      <c r="A138" t="s">
        <v>248</v>
      </c>
    </row>
    <row r="140" spans="1:1" x14ac:dyDescent="0.25">
      <c r="A140" t="s">
        <v>244</v>
      </c>
    </row>
    <row r="141" spans="1:1" x14ac:dyDescent="0.25">
      <c r="A141" t="s">
        <v>245</v>
      </c>
    </row>
    <row r="142" spans="1:1" x14ac:dyDescent="0.25">
      <c r="A142" t="s">
        <v>953</v>
      </c>
    </row>
    <row r="143" spans="1:1" x14ac:dyDescent="0.25">
      <c r="A143" t="s">
        <v>613</v>
      </c>
    </row>
    <row r="144" spans="1:1" x14ac:dyDescent="0.25">
      <c r="A144" t="s">
        <v>704</v>
      </c>
    </row>
    <row r="145" spans="1:1" x14ac:dyDescent="0.25">
      <c r="A145" t="s">
        <v>254</v>
      </c>
    </row>
    <row r="146" spans="1:1" x14ac:dyDescent="0.25">
      <c r="A146" t="s">
        <v>705</v>
      </c>
    </row>
    <row r="147" spans="1:1" x14ac:dyDescent="0.25">
      <c r="A147" t="s">
        <v>298</v>
      </c>
    </row>
    <row r="148" spans="1:1" x14ac:dyDescent="0.25">
      <c r="A148" t="s">
        <v>248</v>
      </c>
    </row>
    <row r="150" spans="1:1" x14ac:dyDescent="0.25">
      <c r="A150" t="s">
        <v>244</v>
      </c>
    </row>
    <row r="151" spans="1:1" x14ac:dyDescent="0.25">
      <c r="A151" t="s">
        <v>245</v>
      </c>
    </row>
    <row r="152" spans="1:1" x14ac:dyDescent="0.25">
      <c r="A152" t="s">
        <v>954</v>
      </c>
    </row>
    <row r="153" spans="1:1" x14ac:dyDescent="0.25">
      <c r="A153" t="s">
        <v>616</v>
      </c>
    </row>
    <row r="154" spans="1:1" x14ac:dyDescent="0.25">
      <c r="A154" t="s">
        <v>672</v>
      </c>
    </row>
    <row r="155" spans="1:1" x14ac:dyDescent="0.25">
      <c r="A155" t="s">
        <v>254</v>
      </c>
    </row>
    <row r="156" spans="1:1" x14ac:dyDescent="0.25">
      <c r="A156" t="s">
        <v>707</v>
      </c>
    </row>
    <row r="157" spans="1:1" x14ac:dyDescent="0.25">
      <c r="A157" t="s">
        <v>708</v>
      </c>
    </row>
    <row r="158" spans="1:1" x14ac:dyDescent="0.25">
      <c r="A158" t="s">
        <v>248</v>
      </c>
    </row>
    <row r="160" spans="1:1" x14ac:dyDescent="0.25">
      <c r="A160" t="s">
        <v>244</v>
      </c>
    </row>
    <row r="161" spans="1:1" x14ac:dyDescent="0.25">
      <c r="A161" t="s">
        <v>245</v>
      </c>
    </row>
    <row r="162" spans="1:1" x14ac:dyDescent="0.25">
      <c r="A162" t="s">
        <v>955</v>
      </c>
    </row>
    <row r="163" spans="1:1" x14ac:dyDescent="0.25">
      <c r="A163" t="s">
        <v>619</v>
      </c>
    </row>
    <row r="164" spans="1:1" x14ac:dyDescent="0.25">
      <c r="A164" t="s">
        <v>265</v>
      </c>
    </row>
    <row r="165" spans="1:1" x14ac:dyDescent="0.25">
      <c r="A165" t="s">
        <v>254</v>
      </c>
    </row>
    <row r="166" spans="1:1" x14ac:dyDescent="0.25">
      <c r="A166" t="s">
        <v>710</v>
      </c>
    </row>
    <row r="167" spans="1:1" x14ac:dyDescent="0.25">
      <c r="A167" t="s">
        <v>248</v>
      </c>
    </row>
    <row r="169" spans="1:1" x14ac:dyDescent="0.25">
      <c r="A169" t="s">
        <v>244</v>
      </c>
    </row>
    <row r="170" spans="1:1" x14ac:dyDescent="0.25">
      <c r="A170" t="s">
        <v>245</v>
      </c>
    </row>
    <row r="171" spans="1:1" x14ac:dyDescent="0.25">
      <c r="A171" t="s">
        <v>956</v>
      </c>
    </row>
    <row r="172" spans="1:1" x14ac:dyDescent="0.25">
      <c r="A172" t="s">
        <v>624</v>
      </c>
    </row>
    <row r="173" spans="1:1" x14ac:dyDescent="0.25">
      <c r="A173" t="s">
        <v>282</v>
      </c>
    </row>
    <row r="174" spans="1:1" x14ac:dyDescent="0.25">
      <c r="A174" t="s">
        <v>254</v>
      </c>
    </row>
    <row r="175" spans="1:1" x14ac:dyDescent="0.25">
      <c r="A175" t="s">
        <v>712</v>
      </c>
    </row>
    <row r="176" spans="1:1" x14ac:dyDescent="0.25">
      <c r="A176" t="s">
        <v>248</v>
      </c>
    </row>
    <row r="178" spans="1:1" x14ac:dyDescent="0.25">
      <c r="A178" t="s">
        <v>244</v>
      </c>
    </row>
    <row r="179" spans="1:1" x14ac:dyDescent="0.25">
      <c r="A179" t="s">
        <v>245</v>
      </c>
    </row>
    <row r="180" spans="1:1" x14ac:dyDescent="0.25">
      <c r="A180" t="s">
        <v>957</v>
      </c>
    </row>
    <row r="181" spans="1:1" x14ac:dyDescent="0.25">
      <c r="A181" t="s">
        <v>714</v>
      </c>
    </row>
    <row r="182" spans="1:1" x14ac:dyDescent="0.25">
      <c r="A182" t="s">
        <v>282</v>
      </c>
    </row>
    <row r="183" spans="1:1" x14ac:dyDescent="0.25">
      <c r="A183" t="s">
        <v>254</v>
      </c>
    </row>
    <row r="184" spans="1:1" x14ac:dyDescent="0.25">
      <c r="A184" t="s">
        <v>715</v>
      </c>
    </row>
    <row r="185" spans="1:1" x14ac:dyDescent="0.25">
      <c r="A185" t="s">
        <v>248</v>
      </c>
    </row>
    <row r="187" spans="1:1" x14ac:dyDescent="0.25">
      <c r="A187" t="s">
        <v>244</v>
      </c>
    </row>
    <row r="188" spans="1:1" x14ac:dyDescent="0.25">
      <c r="A188" t="s">
        <v>245</v>
      </c>
    </row>
    <row r="189" spans="1:1" x14ac:dyDescent="0.25">
      <c r="A189" t="s">
        <v>958</v>
      </c>
    </row>
    <row r="190" spans="1:1" x14ac:dyDescent="0.25">
      <c r="A190" t="s">
        <v>638</v>
      </c>
    </row>
    <row r="191" spans="1:1" x14ac:dyDescent="0.25">
      <c r="A191" t="s">
        <v>320</v>
      </c>
    </row>
    <row r="192" spans="1:1" x14ac:dyDescent="0.25">
      <c r="A192" t="s">
        <v>254</v>
      </c>
    </row>
    <row r="193" spans="1:1" x14ac:dyDescent="0.25">
      <c r="A193" t="s">
        <v>717</v>
      </c>
    </row>
    <row r="194" spans="1:1" x14ac:dyDescent="0.25">
      <c r="A194" t="s">
        <v>248</v>
      </c>
    </row>
    <row r="196" spans="1:1" x14ac:dyDescent="0.25">
      <c r="A196" t="s">
        <v>244</v>
      </c>
    </row>
    <row r="197" spans="1:1" x14ac:dyDescent="0.25">
      <c r="A197" t="s">
        <v>245</v>
      </c>
    </row>
    <row r="198" spans="1:1" x14ac:dyDescent="0.25">
      <c r="A198" t="s">
        <v>959</v>
      </c>
    </row>
    <row r="199" spans="1:1" x14ac:dyDescent="0.25">
      <c r="A199" t="s">
        <v>642</v>
      </c>
    </row>
    <row r="200" spans="1:1" x14ac:dyDescent="0.25">
      <c r="A200" t="s">
        <v>320</v>
      </c>
    </row>
    <row r="201" spans="1:1" x14ac:dyDescent="0.25">
      <c r="A201" t="s">
        <v>254</v>
      </c>
    </row>
    <row r="202" spans="1:1" x14ac:dyDescent="0.25">
      <c r="A202" t="s">
        <v>719</v>
      </c>
    </row>
    <row r="203" spans="1:1" x14ac:dyDescent="0.25">
      <c r="A203" t="s">
        <v>720</v>
      </c>
    </row>
    <row r="204" spans="1:1" x14ac:dyDescent="0.25">
      <c r="A204" t="s">
        <v>248</v>
      </c>
    </row>
    <row r="206" spans="1:1" x14ac:dyDescent="0.25">
      <c r="A206" t="s">
        <v>244</v>
      </c>
    </row>
    <row r="207" spans="1:1" x14ac:dyDescent="0.25">
      <c r="A207" t="s">
        <v>245</v>
      </c>
    </row>
    <row r="208" spans="1:1" x14ac:dyDescent="0.25">
      <c r="A208" t="s">
        <v>960</v>
      </c>
    </row>
    <row r="209" spans="1:1" x14ac:dyDescent="0.25">
      <c r="A209" t="s">
        <v>647</v>
      </c>
    </row>
    <row r="210" spans="1:1" x14ac:dyDescent="0.25">
      <c r="A210" t="s">
        <v>722</v>
      </c>
    </row>
    <row r="211" spans="1:1" x14ac:dyDescent="0.25">
      <c r="A211" t="s">
        <v>254</v>
      </c>
    </row>
    <row r="212" spans="1:1" x14ac:dyDescent="0.25">
      <c r="A212" t="s">
        <v>723</v>
      </c>
    </row>
    <row r="213" spans="1:1" x14ac:dyDescent="0.25">
      <c r="A213" t="s">
        <v>248</v>
      </c>
    </row>
    <row r="215" spans="1:1" x14ac:dyDescent="0.25">
      <c r="A215" t="s">
        <v>244</v>
      </c>
    </row>
    <row r="216" spans="1:1" x14ac:dyDescent="0.25">
      <c r="A216" t="s">
        <v>245</v>
      </c>
    </row>
    <row r="217" spans="1:1" x14ac:dyDescent="0.25">
      <c r="A217" t="s">
        <v>961</v>
      </c>
    </row>
    <row r="218" spans="1:1" x14ac:dyDescent="0.25">
      <c r="A218" t="s">
        <v>653</v>
      </c>
    </row>
    <row r="219" spans="1:1" x14ac:dyDescent="0.25">
      <c r="A219" t="s">
        <v>320</v>
      </c>
    </row>
    <row r="220" spans="1:1" x14ac:dyDescent="0.25">
      <c r="A220" t="s">
        <v>254</v>
      </c>
    </row>
    <row r="221" spans="1:1" x14ac:dyDescent="0.25">
      <c r="A221" t="s">
        <v>725</v>
      </c>
    </row>
    <row r="222" spans="1:1" x14ac:dyDescent="0.25">
      <c r="A222" t="s">
        <v>248</v>
      </c>
    </row>
    <row r="224" spans="1:1" x14ac:dyDescent="0.25">
      <c r="A224" t="s">
        <v>244</v>
      </c>
    </row>
    <row r="225" spans="1:1" x14ac:dyDescent="0.25">
      <c r="A225" t="s">
        <v>245</v>
      </c>
    </row>
    <row r="226" spans="1:1" x14ac:dyDescent="0.25">
      <c r="A226" t="s">
        <v>962</v>
      </c>
    </row>
    <row r="227" spans="1:1" x14ac:dyDescent="0.25">
      <c r="A227" t="s">
        <v>657</v>
      </c>
    </row>
    <row r="228" spans="1:1" x14ac:dyDescent="0.25">
      <c r="A228" t="s">
        <v>658</v>
      </c>
    </row>
    <row r="229" spans="1:1" x14ac:dyDescent="0.25">
      <c r="A229" t="s">
        <v>254</v>
      </c>
    </row>
    <row r="230" spans="1:1" x14ac:dyDescent="0.25">
      <c r="A230" t="s">
        <v>727</v>
      </c>
    </row>
    <row r="231" spans="1:1" x14ac:dyDescent="0.25">
      <c r="A231" t="s">
        <v>248</v>
      </c>
    </row>
    <row r="233" spans="1:1" x14ac:dyDescent="0.25">
      <c r="A233" t="s">
        <v>244</v>
      </c>
    </row>
    <row r="234" spans="1:1" x14ac:dyDescent="0.25">
      <c r="A234" t="s">
        <v>279</v>
      </c>
    </row>
    <row r="235" spans="1:1" x14ac:dyDescent="0.25">
      <c r="A235" t="s">
        <v>963</v>
      </c>
    </row>
    <row r="236" spans="1:1" x14ac:dyDescent="0.25">
      <c r="A236" t="s">
        <v>729</v>
      </c>
    </row>
    <row r="237" spans="1:1" x14ac:dyDescent="0.25">
      <c r="A237" t="s">
        <v>282</v>
      </c>
    </row>
    <row r="238" spans="1:1" x14ac:dyDescent="0.25">
      <c r="A238" t="s">
        <v>254</v>
      </c>
    </row>
    <row r="239" spans="1:1" x14ac:dyDescent="0.25">
      <c r="A239" t="s">
        <v>730</v>
      </c>
    </row>
    <row r="240" spans="1:1" x14ac:dyDescent="0.25">
      <c r="A240" t="s">
        <v>248</v>
      </c>
    </row>
    <row r="242" spans="1:1" x14ac:dyDescent="0.25">
      <c r="A242" t="s">
        <v>244</v>
      </c>
    </row>
    <row r="243" spans="1:1" x14ac:dyDescent="0.25">
      <c r="A243" t="s">
        <v>245</v>
      </c>
    </row>
    <row r="244" spans="1:1" x14ac:dyDescent="0.25">
      <c r="A244" t="s">
        <v>964</v>
      </c>
    </row>
    <row r="245" spans="1:1" x14ac:dyDescent="0.25">
      <c r="A245" t="s">
        <v>732</v>
      </c>
    </row>
    <row r="246" spans="1:1" x14ac:dyDescent="0.25">
      <c r="A246" t="s">
        <v>282</v>
      </c>
    </row>
    <row r="247" spans="1:1" x14ac:dyDescent="0.25">
      <c r="A247" t="s">
        <v>254</v>
      </c>
    </row>
    <row r="248" spans="1:1" x14ac:dyDescent="0.25">
      <c r="A248" t="s">
        <v>733</v>
      </c>
    </row>
    <row r="249" spans="1:1" x14ac:dyDescent="0.25">
      <c r="A249" t="s">
        <v>734</v>
      </c>
    </row>
    <row r="250" spans="1:1" x14ac:dyDescent="0.25">
      <c r="A250" t="s">
        <v>735</v>
      </c>
    </row>
    <row r="251" spans="1:1" x14ac:dyDescent="0.25">
      <c r="A251" t="s">
        <v>248</v>
      </c>
    </row>
    <row r="253" spans="1:1" x14ac:dyDescent="0.25">
      <c r="A253" t="s">
        <v>244</v>
      </c>
    </row>
    <row r="254" spans="1:1" x14ac:dyDescent="0.25">
      <c r="A254" t="s">
        <v>245</v>
      </c>
    </row>
    <row r="255" spans="1:1" x14ac:dyDescent="0.25">
      <c r="A255" t="s">
        <v>965</v>
      </c>
    </row>
    <row r="256" spans="1:1" x14ac:dyDescent="0.25">
      <c r="A256" t="s">
        <v>737</v>
      </c>
    </row>
    <row r="257" spans="1:1" x14ac:dyDescent="0.25">
      <c r="A257" t="s">
        <v>738</v>
      </c>
    </row>
    <row r="258" spans="1:1" x14ac:dyDescent="0.25">
      <c r="A258" t="s">
        <v>254</v>
      </c>
    </row>
    <row r="259" spans="1:1" x14ac:dyDescent="0.25">
      <c r="A259" t="s">
        <v>739</v>
      </c>
    </row>
    <row r="260" spans="1:1" x14ac:dyDescent="0.25">
      <c r="A260" t="s">
        <v>740</v>
      </c>
    </row>
    <row r="261" spans="1:1" x14ac:dyDescent="0.25">
      <c r="A261" t="s">
        <v>248</v>
      </c>
    </row>
    <row r="263" spans="1:1" x14ac:dyDescent="0.25">
      <c r="A263" t="s">
        <v>244</v>
      </c>
    </row>
    <row r="264" spans="1:1" x14ac:dyDescent="0.25">
      <c r="A264" t="s">
        <v>245</v>
      </c>
    </row>
    <row r="265" spans="1:1" x14ac:dyDescent="0.25">
      <c r="A265" t="s">
        <v>966</v>
      </c>
    </row>
    <row r="266" spans="1:1" x14ac:dyDescent="0.25">
      <c r="A266" t="s">
        <v>742</v>
      </c>
    </row>
    <row r="267" spans="1:1" x14ac:dyDescent="0.25">
      <c r="A267" t="s">
        <v>743</v>
      </c>
    </row>
    <row r="268" spans="1:1" x14ac:dyDescent="0.25">
      <c r="A268" t="s">
        <v>254</v>
      </c>
    </row>
    <row r="269" spans="1:1" x14ac:dyDescent="0.25">
      <c r="A269" t="s">
        <v>744</v>
      </c>
    </row>
    <row r="270" spans="1:1" x14ac:dyDescent="0.25">
      <c r="A270" t="s">
        <v>248</v>
      </c>
    </row>
    <row r="272" spans="1:1" x14ac:dyDescent="0.25">
      <c r="A272" t="s">
        <v>244</v>
      </c>
    </row>
    <row r="273" spans="1:1" x14ac:dyDescent="0.25">
      <c r="A273" t="s">
        <v>245</v>
      </c>
    </row>
    <row r="274" spans="1:1" x14ac:dyDescent="0.25">
      <c r="A274" t="s">
        <v>967</v>
      </c>
    </row>
    <row r="275" spans="1:1" x14ac:dyDescent="0.25">
      <c r="A275" t="s">
        <v>746</v>
      </c>
    </row>
    <row r="276" spans="1:1" x14ac:dyDescent="0.25">
      <c r="A276" t="s">
        <v>253</v>
      </c>
    </row>
    <row r="277" spans="1:1" x14ac:dyDescent="0.25">
      <c r="A277" t="s">
        <v>254</v>
      </c>
    </row>
    <row r="278" spans="1:1" x14ac:dyDescent="0.25">
      <c r="A278" t="s">
        <v>747</v>
      </c>
    </row>
    <row r="279" spans="1:1" x14ac:dyDescent="0.25">
      <c r="A279" t="s">
        <v>248</v>
      </c>
    </row>
    <row r="281" spans="1:1" x14ac:dyDescent="0.25">
      <c r="A281" t="s">
        <v>244</v>
      </c>
    </row>
    <row r="282" spans="1:1" x14ac:dyDescent="0.25">
      <c r="A282" t="s">
        <v>245</v>
      </c>
    </row>
    <row r="283" spans="1:1" x14ac:dyDescent="0.25">
      <c r="A283" t="s">
        <v>968</v>
      </c>
    </row>
    <row r="284" spans="1:1" x14ac:dyDescent="0.25">
      <c r="A284" t="s">
        <v>749</v>
      </c>
    </row>
    <row r="285" spans="1:1" x14ac:dyDescent="0.25">
      <c r="A285" t="s">
        <v>743</v>
      </c>
    </row>
    <row r="286" spans="1:1" x14ac:dyDescent="0.25">
      <c r="A286" t="s">
        <v>254</v>
      </c>
    </row>
    <row r="287" spans="1:1" x14ac:dyDescent="0.25">
      <c r="A287" t="s">
        <v>750</v>
      </c>
    </row>
    <row r="288" spans="1:1" x14ac:dyDescent="0.25">
      <c r="A288" t="s">
        <v>248</v>
      </c>
    </row>
    <row r="290" spans="1:1" x14ac:dyDescent="0.25">
      <c r="A290" t="s">
        <v>244</v>
      </c>
    </row>
    <row r="291" spans="1:1" x14ac:dyDescent="0.25">
      <c r="A291" t="s">
        <v>245</v>
      </c>
    </row>
    <row r="292" spans="1:1" x14ac:dyDescent="0.25">
      <c r="A292" t="s">
        <v>969</v>
      </c>
    </row>
    <row r="293" spans="1:1" x14ac:dyDescent="0.25">
      <c r="A293" t="s">
        <v>752</v>
      </c>
    </row>
    <row r="294" spans="1:1" x14ac:dyDescent="0.25">
      <c r="A294" t="s">
        <v>253</v>
      </c>
    </row>
    <row r="295" spans="1:1" x14ac:dyDescent="0.25">
      <c r="A295" t="s">
        <v>254</v>
      </c>
    </row>
    <row r="296" spans="1:1" x14ac:dyDescent="0.25">
      <c r="A296" t="s">
        <v>753</v>
      </c>
    </row>
    <row r="297" spans="1:1" x14ac:dyDescent="0.25">
      <c r="A297" t="s">
        <v>248</v>
      </c>
    </row>
    <row r="299" spans="1:1" x14ac:dyDescent="0.25">
      <c r="A299" t="s">
        <v>244</v>
      </c>
    </row>
    <row r="300" spans="1:1" x14ac:dyDescent="0.25">
      <c r="A300" t="s">
        <v>245</v>
      </c>
    </row>
    <row r="301" spans="1:1" x14ac:dyDescent="0.25">
      <c r="A301" t="s">
        <v>970</v>
      </c>
    </row>
    <row r="302" spans="1:1" x14ac:dyDescent="0.25">
      <c r="A302" t="s">
        <v>755</v>
      </c>
    </row>
    <row r="303" spans="1:1" x14ac:dyDescent="0.25">
      <c r="A303" t="s">
        <v>743</v>
      </c>
    </row>
    <row r="304" spans="1:1" x14ac:dyDescent="0.25">
      <c r="A304" t="s">
        <v>254</v>
      </c>
    </row>
    <row r="305" spans="1:1" x14ac:dyDescent="0.25">
      <c r="A305" t="s">
        <v>756</v>
      </c>
    </row>
    <row r="306" spans="1:1" x14ac:dyDescent="0.25">
      <c r="A306" t="s">
        <v>248</v>
      </c>
    </row>
    <row r="308" spans="1:1" x14ac:dyDescent="0.25">
      <c r="A308" t="s">
        <v>244</v>
      </c>
    </row>
    <row r="309" spans="1:1" x14ac:dyDescent="0.25">
      <c r="A309" t="s">
        <v>245</v>
      </c>
    </row>
    <row r="310" spans="1:1" x14ac:dyDescent="0.25">
      <c r="A310" t="s">
        <v>971</v>
      </c>
    </row>
    <row r="311" spans="1:1" x14ac:dyDescent="0.25">
      <c r="A311" t="s">
        <v>758</v>
      </c>
    </row>
    <row r="312" spans="1:1" x14ac:dyDescent="0.25">
      <c r="A312" t="s">
        <v>743</v>
      </c>
    </row>
    <row r="313" spans="1:1" x14ac:dyDescent="0.25">
      <c r="A313" t="s">
        <v>254</v>
      </c>
    </row>
    <row r="314" spans="1:1" x14ac:dyDescent="0.25">
      <c r="A314" t="s">
        <v>759</v>
      </c>
    </row>
    <row r="315" spans="1:1" x14ac:dyDescent="0.25">
      <c r="A315" t="s">
        <v>248</v>
      </c>
    </row>
    <row r="317" spans="1:1" x14ac:dyDescent="0.25">
      <c r="A317" t="s">
        <v>244</v>
      </c>
    </row>
    <row r="318" spans="1:1" x14ac:dyDescent="0.25">
      <c r="A318" t="s">
        <v>245</v>
      </c>
    </row>
    <row r="319" spans="1:1" x14ac:dyDescent="0.25">
      <c r="A319" t="s">
        <v>972</v>
      </c>
    </row>
    <row r="320" spans="1:1" x14ac:dyDescent="0.25">
      <c r="A320" t="s">
        <v>565</v>
      </c>
    </row>
    <row r="321" spans="1:1" x14ac:dyDescent="0.25">
      <c r="A321" t="s">
        <v>761</v>
      </c>
    </row>
    <row r="322" spans="1:1" x14ac:dyDescent="0.25">
      <c r="A322" t="s">
        <v>254</v>
      </c>
    </row>
    <row r="323" spans="1:1" x14ac:dyDescent="0.25">
      <c r="A323" t="s">
        <v>762</v>
      </c>
    </row>
    <row r="324" spans="1:1" x14ac:dyDescent="0.25">
      <c r="A324" t="s">
        <v>763</v>
      </c>
    </row>
    <row r="325" spans="1:1" x14ac:dyDescent="0.25">
      <c r="A325" t="s">
        <v>248</v>
      </c>
    </row>
    <row r="327" spans="1:1" x14ac:dyDescent="0.25">
      <c r="A327" t="s">
        <v>244</v>
      </c>
    </row>
    <row r="328" spans="1:1" x14ac:dyDescent="0.25">
      <c r="A328" t="s">
        <v>279</v>
      </c>
    </row>
    <row r="329" spans="1:1" x14ac:dyDescent="0.25">
      <c r="A329" t="s">
        <v>973</v>
      </c>
    </row>
    <row r="330" spans="1:1" x14ac:dyDescent="0.25">
      <c r="A330" t="s">
        <v>565</v>
      </c>
    </row>
    <row r="331" spans="1:1" x14ac:dyDescent="0.25">
      <c r="A331" t="s">
        <v>672</v>
      </c>
    </row>
    <row r="332" spans="1:1" x14ac:dyDescent="0.25">
      <c r="A332" t="s">
        <v>254</v>
      </c>
    </row>
    <row r="333" spans="1:1" x14ac:dyDescent="0.25">
      <c r="A333" t="s">
        <v>567</v>
      </c>
    </row>
    <row r="334" spans="1:1" x14ac:dyDescent="0.25">
      <c r="A334" t="s">
        <v>765</v>
      </c>
    </row>
    <row r="335" spans="1:1" x14ac:dyDescent="0.25">
      <c r="A335" t="s">
        <v>248</v>
      </c>
    </row>
    <row r="337" spans="1:1" x14ac:dyDescent="0.25">
      <c r="A337" t="s">
        <v>244</v>
      </c>
    </row>
    <row r="338" spans="1:1" x14ac:dyDescent="0.25">
      <c r="A338" t="s">
        <v>245</v>
      </c>
    </row>
    <row r="339" spans="1:1" x14ac:dyDescent="0.25">
      <c r="A339" t="s">
        <v>974</v>
      </c>
    </row>
    <row r="340" spans="1:1" x14ac:dyDescent="0.25">
      <c r="A340" t="s">
        <v>668</v>
      </c>
    </row>
    <row r="341" spans="1:1" x14ac:dyDescent="0.25">
      <c r="A341" t="s">
        <v>669</v>
      </c>
    </row>
    <row r="342" spans="1:1" x14ac:dyDescent="0.25">
      <c r="A342" t="s">
        <v>254</v>
      </c>
    </row>
    <row r="343" spans="1:1" x14ac:dyDescent="0.25">
      <c r="A343" t="s">
        <v>767</v>
      </c>
    </row>
    <row r="344" spans="1:1" x14ac:dyDescent="0.25">
      <c r="A344" t="s">
        <v>248</v>
      </c>
    </row>
    <row r="346" spans="1:1" x14ac:dyDescent="0.25">
      <c r="A346" t="s">
        <v>244</v>
      </c>
    </row>
    <row r="347" spans="1:1" x14ac:dyDescent="0.25">
      <c r="A347" t="s">
        <v>245</v>
      </c>
    </row>
    <row r="348" spans="1:1" x14ac:dyDescent="0.25">
      <c r="A348" t="s">
        <v>693</v>
      </c>
    </row>
    <row r="349" spans="1:1" x14ac:dyDescent="0.25">
      <c r="A349" t="s">
        <v>694</v>
      </c>
    </row>
    <row r="350" spans="1:1" x14ac:dyDescent="0.25">
      <c r="A350" t="s">
        <v>686</v>
      </c>
    </row>
    <row r="351" spans="1:1" x14ac:dyDescent="0.25">
      <c r="A351" t="s">
        <v>254</v>
      </c>
    </row>
    <row r="352" spans="1:1" x14ac:dyDescent="0.25">
      <c r="A352" t="s">
        <v>769</v>
      </c>
    </row>
    <row r="353" spans="1:1" x14ac:dyDescent="0.25">
      <c r="A353" t="s">
        <v>248</v>
      </c>
    </row>
    <row r="355" spans="1:1" x14ac:dyDescent="0.25">
      <c r="A355" t="s">
        <v>244</v>
      </c>
    </row>
    <row r="356" spans="1:1" x14ac:dyDescent="0.25">
      <c r="A356" t="s">
        <v>245</v>
      </c>
    </row>
    <row r="357" spans="1:1" x14ac:dyDescent="0.25">
      <c r="A357" t="s">
        <v>975</v>
      </c>
    </row>
    <row r="358" spans="1:1" x14ac:dyDescent="0.25">
      <c r="A358" t="s">
        <v>771</v>
      </c>
    </row>
    <row r="359" spans="1:1" x14ac:dyDescent="0.25">
      <c r="A359" t="s">
        <v>265</v>
      </c>
    </row>
    <row r="360" spans="1:1" x14ac:dyDescent="0.25">
      <c r="A360" t="s">
        <v>254</v>
      </c>
    </row>
    <row r="361" spans="1:1" x14ac:dyDescent="0.25">
      <c r="A361" t="s">
        <v>772</v>
      </c>
    </row>
    <row r="362" spans="1:1" x14ac:dyDescent="0.25">
      <c r="A362" t="s">
        <v>248</v>
      </c>
    </row>
    <row r="364" spans="1:1" x14ac:dyDescent="0.25">
      <c r="A364" t="s">
        <v>244</v>
      </c>
    </row>
    <row r="365" spans="1:1" x14ac:dyDescent="0.25">
      <c r="A365" t="s">
        <v>245</v>
      </c>
    </row>
    <row r="366" spans="1:1" x14ac:dyDescent="0.25">
      <c r="A366" t="s">
        <v>976</v>
      </c>
    </row>
    <row r="367" spans="1:1" x14ac:dyDescent="0.25">
      <c r="A367" t="s">
        <v>774</v>
      </c>
    </row>
    <row r="368" spans="1:1" x14ac:dyDescent="0.25">
      <c r="A368" t="s">
        <v>265</v>
      </c>
    </row>
    <row r="369" spans="1:1" x14ac:dyDescent="0.25">
      <c r="A369" t="s">
        <v>254</v>
      </c>
    </row>
    <row r="370" spans="1:1" x14ac:dyDescent="0.25">
      <c r="A370" t="s">
        <v>775</v>
      </c>
    </row>
    <row r="371" spans="1:1" x14ac:dyDescent="0.25">
      <c r="A371" t="s">
        <v>776</v>
      </c>
    </row>
    <row r="372" spans="1:1" x14ac:dyDescent="0.25">
      <c r="A372" t="s">
        <v>248</v>
      </c>
    </row>
    <row r="374" spans="1:1" x14ac:dyDescent="0.25">
      <c r="A374" t="s">
        <v>244</v>
      </c>
    </row>
    <row r="375" spans="1:1" x14ac:dyDescent="0.25">
      <c r="A375" t="s">
        <v>279</v>
      </c>
    </row>
    <row r="376" spans="1:1" x14ac:dyDescent="0.25">
      <c r="A376" t="s">
        <v>977</v>
      </c>
    </row>
    <row r="377" spans="1:1" x14ac:dyDescent="0.25">
      <c r="A377" t="s">
        <v>619</v>
      </c>
    </row>
    <row r="378" spans="1:1" x14ac:dyDescent="0.25">
      <c r="A378" t="s">
        <v>265</v>
      </c>
    </row>
    <row r="379" spans="1:1" x14ac:dyDescent="0.25">
      <c r="A379" t="s">
        <v>254</v>
      </c>
    </row>
    <row r="380" spans="1:1" x14ac:dyDescent="0.25">
      <c r="A380" t="s">
        <v>778</v>
      </c>
    </row>
    <row r="381" spans="1:1" x14ac:dyDescent="0.25">
      <c r="A381" t="s">
        <v>248</v>
      </c>
    </row>
    <row r="383" spans="1:1" x14ac:dyDescent="0.25">
      <c r="A383" t="s">
        <v>244</v>
      </c>
    </row>
    <row r="384" spans="1:1" x14ac:dyDescent="0.25">
      <c r="A384" t="s">
        <v>245</v>
      </c>
    </row>
    <row r="385" spans="1:1" x14ac:dyDescent="0.25">
      <c r="A385" t="s">
        <v>978</v>
      </c>
    </row>
    <row r="386" spans="1:1" x14ac:dyDescent="0.25">
      <c r="A386" t="s">
        <v>638</v>
      </c>
    </row>
    <row r="387" spans="1:1" x14ac:dyDescent="0.25">
      <c r="A387" t="s">
        <v>320</v>
      </c>
    </row>
    <row r="388" spans="1:1" x14ac:dyDescent="0.25">
      <c r="A388" t="s">
        <v>254</v>
      </c>
    </row>
    <row r="389" spans="1:1" x14ac:dyDescent="0.25">
      <c r="A389" t="s">
        <v>780</v>
      </c>
    </row>
    <row r="390" spans="1:1" x14ac:dyDescent="0.25">
      <c r="A390" t="s">
        <v>781</v>
      </c>
    </row>
    <row r="391" spans="1:1" x14ac:dyDescent="0.25">
      <c r="A391" t="s">
        <v>248</v>
      </c>
    </row>
    <row r="393" spans="1:1" x14ac:dyDescent="0.25">
      <c r="A393" t="s">
        <v>244</v>
      </c>
    </row>
    <row r="394" spans="1:1" x14ac:dyDescent="0.25">
      <c r="A394" t="s">
        <v>245</v>
      </c>
    </row>
    <row r="395" spans="1:1" x14ac:dyDescent="0.25">
      <c r="A395" t="s">
        <v>979</v>
      </c>
    </row>
    <row r="396" spans="1:1" x14ac:dyDescent="0.25">
      <c r="A396" t="s">
        <v>783</v>
      </c>
    </row>
    <row r="397" spans="1:1" x14ac:dyDescent="0.25">
      <c r="A397" t="s">
        <v>320</v>
      </c>
    </row>
    <row r="398" spans="1:1" x14ac:dyDescent="0.25">
      <c r="A398" t="s">
        <v>254</v>
      </c>
    </row>
    <row r="399" spans="1:1" x14ac:dyDescent="0.25">
      <c r="A399" t="s">
        <v>784</v>
      </c>
    </row>
    <row r="400" spans="1:1" x14ac:dyDescent="0.25">
      <c r="A400" t="s">
        <v>248</v>
      </c>
    </row>
    <row r="402" spans="1:1" x14ac:dyDescent="0.25">
      <c r="A402" t="s">
        <v>244</v>
      </c>
    </row>
    <row r="403" spans="1:1" x14ac:dyDescent="0.25">
      <c r="A403" t="s">
        <v>245</v>
      </c>
    </row>
    <row r="404" spans="1:1" x14ac:dyDescent="0.25">
      <c r="A404" t="s">
        <v>980</v>
      </c>
    </row>
    <row r="405" spans="1:1" x14ac:dyDescent="0.25">
      <c r="A405" t="s">
        <v>786</v>
      </c>
    </row>
    <row r="406" spans="1:1" x14ac:dyDescent="0.25">
      <c r="A406" t="s">
        <v>658</v>
      </c>
    </row>
    <row r="407" spans="1:1" x14ac:dyDescent="0.25">
      <c r="A407" t="s">
        <v>254</v>
      </c>
    </row>
    <row r="408" spans="1:1" x14ac:dyDescent="0.25">
      <c r="A408" t="s">
        <v>787</v>
      </c>
    </row>
    <row r="409" spans="1:1" x14ac:dyDescent="0.25">
      <c r="A409" t="s">
        <v>248</v>
      </c>
    </row>
    <row r="411" spans="1:1" x14ac:dyDescent="0.25">
      <c r="A411" t="s">
        <v>244</v>
      </c>
    </row>
    <row r="412" spans="1:1" x14ac:dyDescent="0.25">
      <c r="A412" t="s">
        <v>245</v>
      </c>
    </row>
    <row r="413" spans="1:1" x14ac:dyDescent="0.25">
      <c r="A413" t="s">
        <v>981</v>
      </c>
    </row>
    <row r="414" spans="1:1" x14ac:dyDescent="0.25">
      <c r="A414" t="s">
        <v>789</v>
      </c>
    </row>
    <row r="415" spans="1:1" x14ac:dyDescent="0.25">
      <c r="A415" t="s">
        <v>658</v>
      </c>
    </row>
    <row r="416" spans="1:1" x14ac:dyDescent="0.25">
      <c r="A416" t="s">
        <v>254</v>
      </c>
    </row>
    <row r="417" spans="1:1" x14ac:dyDescent="0.25">
      <c r="A417" t="s">
        <v>790</v>
      </c>
    </row>
    <row r="418" spans="1:1" x14ac:dyDescent="0.25">
      <c r="A418" t="s">
        <v>248</v>
      </c>
    </row>
    <row r="420" spans="1:1" x14ac:dyDescent="0.25">
      <c r="A420" t="s">
        <v>244</v>
      </c>
    </row>
    <row r="421" spans="1:1" x14ac:dyDescent="0.25">
      <c r="A421" t="s">
        <v>245</v>
      </c>
    </row>
    <row r="422" spans="1:1" x14ac:dyDescent="0.25">
      <c r="A422" t="s">
        <v>982</v>
      </c>
    </row>
    <row r="423" spans="1:1" x14ac:dyDescent="0.25">
      <c r="A423" t="s">
        <v>792</v>
      </c>
    </row>
    <row r="424" spans="1:1" x14ac:dyDescent="0.25">
      <c r="A424" t="s">
        <v>658</v>
      </c>
    </row>
    <row r="425" spans="1:1" x14ac:dyDescent="0.25">
      <c r="A425" t="s">
        <v>254</v>
      </c>
    </row>
    <row r="426" spans="1:1" x14ac:dyDescent="0.25">
      <c r="A426" t="s">
        <v>793</v>
      </c>
    </row>
    <row r="427" spans="1:1" x14ac:dyDescent="0.25">
      <c r="A427" t="s">
        <v>794</v>
      </c>
    </row>
    <row r="428" spans="1:1" x14ac:dyDescent="0.25">
      <c r="A428" t="s">
        <v>248</v>
      </c>
    </row>
    <row r="430" spans="1:1" x14ac:dyDescent="0.25">
      <c r="A430" t="s">
        <v>244</v>
      </c>
    </row>
    <row r="431" spans="1:1" x14ac:dyDescent="0.25">
      <c r="A431" t="s">
        <v>245</v>
      </c>
    </row>
    <row r="432" spans="1:1" x14ac:dyDescent="0.25">
      <c r="A432" t="s">
        <v>983</v>
      </c>
    </row>
    <row r="433" spans="1:1" x14ac:dyDescent="0.25">
      <c r="A433" t="s">
        <v>796</v>
      </c>
    </row>
    <row r="434" spans="1:1" x14ac:dyDescent="0.25">
      <c r="A434" t="s">
        <v>658</v>
      </c>
    </row>
    <row r="435" spans="1:1" x14ac:dyDescent="0.25">
      <c r="A435" t="s">
        <v>254</v>
      </c>
    </row>
    <row r="436" spans="1:1" x14ac:dyDescent="0.25">
      <c r="A436" t="s">
        <v>797</v>
      </c>
    </row>
    <row r="437" spans="1:1" x14ac:dyDescent="0.25">
      <c r="A437" t="s">
        <v>248</v>
      </c>
    </row>
    <row r="439" spans="1:1" x14ac:dyDescent="0.25">
      <c r="A439" t="s">
        <v>244</v>
      </c>
    </row>
    <row r="440" spans="1:1" x14ac:dyDescent="0.25">
      <c r="A440" t="s">
        <v>245</v>
      </c>
    </row>
    <row r="441" spans="1:1" x14ac:dyDescent="0.25">
      <c r="A441" t="s">
        <v>984</v>
      </c>
    </row>
    <row r="442" spans="1:1" x14ac:dyDescent="0.25">
      <c r="A442" t="s">
        <v>799</v>
      </c>
    </row>
    <row r="443" spans="1:1" x14ac:dyDescent="0.25">
      <c r="A443" t="s">
        <v>800</v>
      </c>
    </row>
    <row r="444" spans="1:1" x14ac:dyDescent="0.25">
      <c r="A444" t="s">
        <v>254</v>
      </c>
    </row>
    <row r="445" spans="1:1" x14ac:dyDescent="0.25">
      <c r="A445" t="s">
        <v>801</v>
      </c>
    </row>
    <row r="446" spans="1:1" x14ac:dyDescent="0.25">
      <c r="A446" t="s">
        <v>248</v>
      </c>
    </row>
    <row r="448" spans="1:1" x14ac:dyDescent="0.25">
      <c r="A448" t="s">
        <v>244</v>
      </c>
    </row>
    <row r="449" spans="1:1" x14ac:dyDescent="0.25">
      <c r="A449" t="s">
        <v>245</v>
      </c>
    </row>
    <row r="450" spans="1:1" x14ac:dyDescent="0.25">
      <c r="A450" t="s">
        <v>985</v>
      </c>
    </row>
    <row r="451" spans="1:1" x14ac:dyDescent="0.25">
      <c r="A451" t="s">
        <v>803</v>
      </c>
    </row>
    <row r="452" spans="1:1" x14ac:dyDescent="0.25">
      <c r="A452" t="s">
        <v>804</v>
      </c>
    </row>
    <row r="453" spans="1:1" x14ac:dyDescent="0.25">
      <c r="A453" t="s">
        <v>254</v>
      </c>
    </row>
    <row r="454" spans="1:1" x14ac:dyDescent="0.25">
      <c r="A454" t="s">
        <v>739</v>
      </c>
    </row>
    <row r="455" spans="1:1" x14ac:dyDescent="0.25">
      <c r="A455" t="s">
        <v>805</v>
      </c>
    </row>
    <row r="456" spans="1:1" x14ac:dyDescent="0.25">
      <c r="A456" t="s">
        <v>806</v>
      </c>
    </row>
    <row r="457" spans="1:1" x14ac:dyDescent="0.25">
      <c r="A457" t="s">
        <v>248</v>
      </c>
    </row>
    <row r="459" spans="1:1" x14ac:dyDescent="0.25">
      <c r="A459" t="s">
        <v>244</v>
      </c>
    </row>
    <row r="460" spans="1:1" x14ac:dyDescent="0.25">
      <c r="A460" t="s">
        <v>245</v>
      </c>
    </row>
    <row r="461" spans="1:1" x14ac:dyDescent="0.25">
      <c r="A461" t="s">
        <v>986</v>
      </c>
    </row>
    <row r="462" spans="1:1" x14ac:dyDescent="0.25">
      <c r="A462" t="s">
        <v>808</v>
      </c>
    </row>
    <row r="463" spans="1:1" x14ac:dyDescent="0.25">
      <c r="A463" t="s">
        <v>804</v>
      </c>
    </row>
    <row r="464" spans="1:1" x14ac:dyDescent="0.25">
      <c r="A464" t="s">
        <v>254</v>
      </c>
    </row>
    <row r="465" spans="1:1" x14ac:dyDescent="0.25">
      <c r="A465" t="s">
        <v>809</v>
      </c>
    </row>
    <row r="466" spans="1:1" x14ac:dyDescent="0.25">
      <c r="A466" t="s">
        <v>810</v>
      </c>
    </row>
    <row r="467" spans="1:1" x14ac:dyDescent="0.25">
      <c r="A467" t="s">
        <v>811</v>
      </c>
    </row>
    <row r="468" spans="1:1" x14ac:dyDescent="0.25">
      <c r="A468" t="s">
        <v>248</v>
      </c>
    </row>
    <row r="470" spans="1:1" x14ac:dyDescent="0.25">
      <c r="A470" t="s">
        <v>244</v>
      </c>
    </row>
    <row r="471" spans="1:1" x14ac:dyDescent="0.25">
      <c r="A471" t="s">
        <v>245</v>
      </c>
    </row>
    <row r="472" spans="1:1" x14ac:dyDescent="0.25">
      <c r="A472" t="s">
        <v>987</v>
      </c>
    </row>
    <row r="473" spans="1:1" x14ac:dyDescent="0.25">
      <c r="A473" t="s">
        <v>813</v>
      </c>
    </row>
    <row r="474" spans="1:1" x14ac:dyDescent="0.25">
      <c r="A474" t="s">
        <v>804</v>
      </c>
    </row>
    <row r="475" spans="1:1" x14ac:dyDescent="0.25">
      <c r="A475" t="s">
        <v>254</v>
      </c>
    </row>
    <row r="476" spans="1:1" x14ac:dyDescent="0.25">
      <c r="A476" t="s">
        <v>809</v>
      </c>
    </row>
    <row r="477" spans="1:1" x14ac:dyDescent="0.25">
      <c r="A477" t="s">
        <v>814</v>
      </c>
    </row>
    <row r="478" spans="1:1" x14ac:dyDescent="0.25">
      <c r="A478" t="s">
        <v>815</v>
      </c>
    </row>
    <row r="479" spans="1:1" x14ac:dyDescent="0.25">
      <c r="A479" t="s">
        <v>248</v>
      </c>
    </row>
    <row r="481" spans="1:1" x14ac:dyDescent="0.25">
      <c r="A481" t="s">
        <v>244</v>
      </c>
    </row>
    <row r="482" spans="1:1" x14ac:dyDescent="0.25">
      <c r="A482" t="s">
        <v>245</v>
      </c>
    </row>
    <row r="483" spans="1:1" x14ac:dyDescent="0.25">
      <c r="A483" t="s">
        <v>988</v>
      </c>
    </row>
    <row r="484" spans="1:1" x14ac:dyDescent="0.25">
      <c r="A484" t="s">
        <v>817</v>
      </c>
    </row>
    <row r="485" spans="1:1" x14ac:dyDescent="0.25">
      <c r="A485" t="s">
        <v>804</v>
      </c>
    </row>
    <row r="486" spans="1:1" x14ac:dyDescent="0.25">
      <c r="A486" t="s">
        <v>254</v>
      </c>
    </row>
    <row r="487" spans="1:1" x14ac:dyDescent="0.25">
      <c r="A487" t="s">
        <v>818</v>
      </c>
    </row>
    <row r="488" spans="1:1" x14ac:dyDescent="0.25">
      <c r="A488" t="s">
        <v>819</v>
      </c>
    </row>
    <row r="489" spans="1:1" x14ac:dyDescent="0.25">
      <c r="A489" t="s">
        <v>248</v>
      </c>
    </row>
    <row r="491" spans="1:1" x14ac:dyDescent="0.25">
      <c r="A491" t="s">
        <v>244</v>
      </c>
    </row>
    <row r="492" spans="1:1" x14ac:dyDescent="0.25">
      <c r="A492" t="s">
        <v>245</v>
      </c>
    </row>
    <row r="493" spans="1:1" x14ac:dyDescent="0.25">
      <c r="A493" t="s">
        <v>989</v>
      </c>
    </row>
    <row r="494" spans="1:1" x14ac:dyDescent="0.25">
      <c r="A494" t="s">
        <v>821</v>
      </c>
    </row>
    <row r="495" spans="1:1" x14ac:dyDescent="0.25">
      <c r="A495" t="s">
        <v>804</v>
      </c>
    </row>
    <row r="496" spans="1:1" x14ac:dyDescent="0.25">
      <c r="A496" t="s">
        <v>254</v>
      </c>
    </row>
    <row r="497" spans="1:1" x14ac:dyDescent="0.25">
      <c r="A497" t="s">
        <v>809</v>
      </c>
    </row>
    <row r="498" spans="1:1" x14ac:dyDescent="0.25">
      <c r="A498" t="s">
        <v>822</v>
      </c>
    </row>
    <row r="499" spans="1:1" x14ac:dyDescent="0.25">
      <c r="A499" t="s">
        <v>823</v>
      </c>
    </row>
    <row r="500" spans="1:1" x14ac:dyDescent="0.25">
      <c r="A500" t="s">
        <v>248</v>
      </c>
    </row>
    <row r="502" spans="1:1" x14ac:dyDescent="0.25">
      <c r="A502" t="s">
        <v>244</v>
      </c>
    </row>
    <row r="503" spans="1:1" x14ac:dyDescent="0.25">
      <c r="A503" t="s">
        <v>245</v>
      </c>
    </row>
    <row r="504" spans="1:1" x14ac:dyDescent="0.25">
      <c r="A504" t="s">
        <v>990</v>
      </c>
    </row>
    <row r="505" spans="1:1" x14ac:dyDescent="0.25">
      <c r="A505" t="s">
        <v>825</v>
      </c>
    </row>
    <row r="506" spans="1:1" x14ac:dyDescent="0.25">
      <c r="A506" t="s">
        <v>804</v>
      </c>
    </row>
    <row r="507" spans="1:1" x14ac:dyDescent="0.25">
      <c r="A507" t="s">
        <v>254</v>
      </c>
    </row>
    <row r="508" spans="1:1" x14ac:dyDescent="0.25">
      <c r="A508" t="s">
        <v>826</v>
      </c>
    </row>
    <row r="509" spans="1:1" x14ac:dyDescent="0.25">
      <c r="A509" t="s">
        <v>827</v>
      </c>
    </row>
    <row r="510" spans="1:1" x14ac:dyDescent="0.25">
      <c r="A510" t="s">
        <v>828</v>
      </c>
    </row>
    <row r="511" spans="1:1" x14ac:dyDescent="0.25">
      <c r="A511" t="s">
        <v>248</v>
      </c>
    </row>
    <row r="514" spans="1:1" x14ac:dyDescent="0.25">
      <c r="A514" t="s">
        <v>532</v>
      </c>
    </row>
    <row r="516" spans="1:1" x14ac:dyDescent="0.25">
      <c r="A516" t="s">
        <v>533</v>
      </c>
    </row>
    <row r="517" spans="1:1" x14ac:dyDescent="0.25">
      <c r="A517" t="s">
        <v>534</v>
      </c>
    </row>
    <row r="518" spans="1:1" x14ac:dyDescent="0.25">
      <c r="A518" t="s">
        <v>535</v>
      </c>
    </row>
    <row r="519" spans="1:1" x14ac:dyDescent="0.25">
      <c r="A519" t="s">
        <v>536</v>
      </c>
    </row>
    <row r="520" spans="1:1" x14ac:dyDescent="0.25">
      <c r="A520" t="s">
        <v>254</v>
      </c>
    </row>
    <row r="521" spans="1:1" x14ac:dyDescent="0.25">
      <c r="A521" t="s">
        <v>537</v>
      </c>
    </row>
    <row r="522" spans="1:1" x14ac:dyDescent="0.25">
      <c r="A522" t="s">
        <v>538</v>
      </c>
    </row>
    <row r="523" spans="1:1" x14ac:dyDescent="0.25">
      <c r="A523" t="s">
        <v>539</v>
      </c>
    </row>
    <row r="525" spans="1:1" x14ac:dyDescent="0.25">
      <c r="A525" t="s">
        <v>540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CFA81-38F8-46D9-968B-8D737BBBEDDD}">
  <dimension ref="A1:A984"/>
  <sheetViews>
    <sheetView workbookViewId="0">
      <selection activeCell="A14" sqref="A14"/>
    </sheetView>
  </sheetViews>
  <sheetFormatPr defaultRowHeight="15" x14ac:dyDescent="0.25"/>
  <cols>
    <col min="1" max="1" width="252.42578125" bestFit="1" customWidth="1"/>
  </cols>
  <sheetData>
    <row r="1" spans="1:1" x14ac:dyDescent="0.25">
      <c r="A1" t="s">
        <v>240</v>
      </c>
    </row>
    <row r="3" spans="1:1" x14ac:dyDescent="0.25">
      <c r="A3" t="s">
        <v>241</v>
      </c>
    </row>
    <row r="5" spans="1:1" x14ac:dyDescent="0.25">
      <c r="A5" t="s">
        <v>242</v>
      </c>
    </row>
    <row r="6" spans="1:1" x14ac:dyDescent="0.25">
      <c r="A6" t="s">
        <v>243</v>
      </c>
    </row>
    <row r="7" spans="1:1" x14ac:dyDescent="0.25">
      <c r="A7" t="s">
        <v>244</v>
      </c>
    </row>
    <row r="8" spans="1:1" x14ac:dyDescent="0.25">
      <c r="A8" t="s">
        <v>245</v>
      </c>
    </row>
    <row r="9" spans="1:1" x14ac:dyDescent="0.25">
      <c r="A9" t="s">
        <v>246</v>
      </c>
    </row>
    <row r="10" spans="1:1" x14ac:dyDescent="0.25">
      <c r="A10" t="s">
        <v>247</v>
      </c>
    </row>
    <row r="11" spans="1:1" x14ac:dyDescent="0.25">
      <c r="A11" t="s">
        <v>248</v>
      </c>
    </row>
    <row r="12" spans="1:1" x14ac:dyDescent="0.25">
      <c r="A12" t="s">
        <v>249</v>
      </c>
    </row>
    <row r="14" spans="1:1" x14ac:dyDescent="0.25">
      <c r="A14" t="s">
        <v>250</v>
      </c>
    </row>
    <row r="15" spans="1:1" x14ac:dyDescent="0.25">
      <c r="A15" t="s">
        <v>244</v>
      </c>
    </row>
    <row r="16" spans="1:1" x14ac:dyDescent="0.25">
      <c r="A16" t="s">
        <v>245</v>
      </c>
    </row>
    <row r="17" spans="1:1" x14ac:dyDescent="0.25">
      <c r="A17" t="s">
        <v>541</v>
      </c>
    </row>
    <row r="18" spans="1:1" x14ac:dyDescent="0.25">
      <c r="A18" t="s">
        <v>252</v>
      </c>
    </row>
    <row r="19" spans="1:1" x14ac:dyDescent="0.25">
      <c r="A19" t="s">
        <v>253</v>
      </c>
    </row>
    <row r="20" spans="1:1" x14ac:dyDescent="0.25">
      <c r="A20" t="s">
        <v>542</v>
      </c>
    </row>
    <row r="21" spans="1:1" x14ac:dyDescent="0.25">
      <c r="A21" t="s">
        <v>543</v>
      </c>
    </row>
    <row r="22" spans="1:1" x14ac:dyDescent="0.25">
      <c r="A22" t="s">
        <v>248</v>
      </c>
    </row>
    <row r="24" spans="1:1" x14ac:dyDescent="0.25">
      <c r="A24" t="s">
        <v>244</v>
      </c>
    </row>
    <row r="25" spans="1:1" x14ac:dyDescent="0.25">
      <c r="A25" t="s">
        <v>245</v>
      </c>
    </row>
    <row r="26" spans="1:1" x14ac:dyDescent="0.25">
      <c r="A26" t="s">
        <v>544</v>
      </c>
    </row>
    <row r="27" spans="1:1" x14ac:dyDescent="0.25">
      <c r="A27" t="s">
        <v>545</v>
      </c>
    </row>
    <row r="28" spans="1:1" x14ac:dyDescent="0.25">
      <c r="A28" t="s">
        <v>253</v>
      </c>
    </row>
    <row r="29" spans="1:1" x14ac:dyDescent="0.25">
      <c r="A29" t="s">
        <v>542</v>
      </c>
    </row>
    <row r="30" spans="1:1" x14ac:dyDescent="0.25">
      <c r="A30" t="s">
        <v>258</v>
      </c>
    </row>
    <row r="31" spans="1:1" x14ac:dyDescent="0.25">
      <c r="A31" t="s">
        <v>248</v>
      </c>
    </row>
    <row r="33" spans="1:1" x14ac:dyDescent="0.25">
      <c r="A33" t="s">
        <v>244</v>
      </c>
    </row>
    <row r="34" spans="1:1" x14ac:dyDescent="0.25">
      <c r="A34" t="s">
        <v>245</v>
      </c>
    </row>
    <row r="35" spans="1:1" x14ac:dyDescent="0.25">
      <c r="A35" t="s">
        <v>546</v>
      </c>
    </row>
    <row r="36" spans="1:1" x14ac:dyDescent="0.25">
      <c r="A36" t="s">
        <v>547</v>
      </c>
    </row>
    <row r="37" spans="1:1" x14ac:dyDescent="0.25">
      <c r="A37" t="s">
        <v>253</v>
      </c>
    </row>
    <row r="38" spans="1:1" x14ac:dyDescent="0.25">
      <c r="A38" t="s">
        <v>542</v>
      </c>
    </row>
    <row r="39" spans="1:1" x14ac:dyDescent="0.25">
      <c r="A39" t="s">
        <v>548</v>
      </c>
    </row>
    <row r="40" spans="1:1" x14ac:dyDescent="0.25">
      <c r="A40" t="s">
        <v>248</v>
      </c>
    </row>
    <row r="42" spans="1:1" x14ac:dyDescent="0.25">
      <c r="A42" t="s">
        <v>244</v>
      </c>
    </row>
    <row r="43" spans="1:1" x14ac:dyDescent="0.25">
      <c r="A43" t="s">
        <v>245</v>
      </c>
    </row>
    <row r="44" spans="1:1" x14ac:dyDescent="0.25">
      <c r="A44" t="s">
        <v>549</v>
      </c>
    </row>
    <row r="45" spans="1:1" x14ac:dyDescent="0.25">
      <c r="A45" t="s">
        <v>550</v>
      </c>
    </row>
    <row r="46" spans="1:1" x14ac:dyDescent="0.25">
      <c r="A46" t="s">
        <v>253</v>
      </c>
    </row>
    <row r="47" spans="1:1" x14ac:dyDescent="0.25">
      <c r="A47" t="s">
        <v>542</v>
      </c>
    </row>
    <row r="48" spans="1:1" x14ac:dyDescent="0.25">
      <c r="A48" t="s">
        <v>551</v>
      </c>
    </row>
    <row r="49" spans="1:1" x14ac:dyDescent="0.25">
      <c r="A49" t="s">
        <v>262</v>
      </c>
    </row>
    <row r="50" spans="1:1" x14ac:dyDescent="0.25">
      <c r="A50" t="s">
        <v>248</v>
      </c>
    </row>
    <row r="52" spans="1:1" x14ac:dyDescent="0.25">
      <c r="A52" t="s">
        <v>244</v>
      </c>
    </row>
    <row r="53" spans="1:1" x14ac:dyDescent="0.25">
      <c r="A53" t="s">
        <v>245</v>
      </c>
    </row>
    <row r="54" spans="1:1" x14ac:dyDescent="0.25">
      <c r="A54" t="s">
        <v>552</v>
      </c>
    </row>
    <row r="55" spans="1:1" x14ac:dyDescent="0.25">
      <c r="A55" t="s">
        <v>553</v>
      </c>
    </row>
    <row r="56" spans="1:1" x14ac:dyDescent="0.25">
      <c r="A56" t="s">
        <v>554</v>
      </c>
    </row>
    <row r="57" spans="1:1" x14ac:dyDescent="0.25">
      <c r="A57" t="s">
        <v>555</v>
      </c>
    </row>
    <row r="58" spans="1:1" x14ac:dyDescent="0.25">
      <c r="A58" t="s">
        <v>556</v>
      </c>
    </row>
    <row r="59" spans="1:1" x14ac:dyDescent="0.25">
      <c r="A59" t="s">
        <v>262</v>
      </c>
    </row>
    <row r="60" spans="1:1" x14ac:dyDescent="0.25">
      <c r="A60" t="s">
        <v>248</v>
      </c>
    </row>
    <row r="62" spans="1:1" x14ac:dyDescent="0.25">
      <c r="A62" t="s">
        <v>244</v>
      </c>
    </row>
    <row r="63" spans="1:1" x14ac:dyDescent="0.25">
      <c r="A63" t="s">
        <v>245</v>
      </c>
    </row>
    <row r="64" spans="1:1" x14ac:dyDescent="0.25">
      <c r="A64" t="s">
        <v>557</v>
      </c>
    </row>
    <row r="65" spans="1:1" x14ac:dyDescent="0.25">
      <c r="A65" t="s">
        <v>553</v>
      </c>
    </row>
    <row r="66" spans="1:1" x14ac:dyDescent="0.25">
      <c r="A66" t="s">
        <v>554</v>
      </c>
    </row>
    <row r="67" spans="1:1" x14ac:dyDescent="0.25">
      <c r="A67" t="s">
        <v>555</v>
      </c>
    </row>
    <row r="68" spans="1:1" x14ac:dyDescent="0.25">
      <c r="A68" t="s">
        <v>261</v>
      </c>
    </row>
    <row r="69" spans="1:1" x14ac:dyDescent="0.25">
      <c r="A69" t="s">
        <v>262</v>
      </c>
    </row>
    <row r="70" spans="1:1" x14ac:dyDescent="0.25">
      <c r="A70" t="s">
        <v>248</v>
      </c>
    </row>
    <row r="72" spans="1:1" x14ac:dyDescent="0.25">
      <c r="A72" t="s">
        <v>244</v>
      </c>
    </row>
    <row r="73" spans="1:1" x14ac:dyDescent="0.25">
      <c r="A73" t="s">
        <v>245</v>
      </c>
    </row>
    <row r="74" spans="1:1" x14ac:dyDescent="0.25">
      <c r="A74" t="s">
        <v>558</v>
      </c>
    </row>
    <row r="75" spans="1:1" x14ac:dyDescent="0.25">
      <c r="A75" t="s">
        <v>559</v>
      </c>
    </row>
    <row r="76" spans="1:1" x14ac:dyDescent="0.25">
      <c r="A76" t="s">
        <v>560</v>
      </c>
    </row>
    <row r="77" spans="1:1" x14ac:dyDescent="0.25">
      <c r="A77" t="s">
        <v>542</v>
      </c>
    </row>
    <row r="78" spans="1:1" x14ac:dyDescent="0.25">
      <c r="A78" t="s">
        <v>561</v>
      </c>
    </row>
    <row r="79" spans="1:1" x14ac:dyDescent="0.25">
      <c r="A79" t="s">
        <v>248</v>
      </c>
    </row>
    <row r="81" spans="1:1" x14ac:dyDescent="0.25">
      <c r="A81" t="s">
        <v>244</v>
      </c>
    </row>
    <row r="82" spans="1:1" x14ac:dyDescent="0.25">
      <c r="A82" t="s">
        <v>245</v>
      </c>
    </row>
    <row r="83" spans="1:1" x14ac:dyDescent="0.25">
      <c r="A83" t="s">
        <v>562</v>
      </c>
    </row>
    <row r="84" spans="1:1" x14ac:dyDescent="0.25">
      <c r="A84" t="s">
        <v>264</v>
      </c>
    </row>
    <row r="85" spans="1:1" x14ac:dyDescent="0.25">
      <c r="A85" t="s">
        <v>265</v>
      </c>
    </row>
    <row r="86" spans="1:1" x14ac:dyDescent="0.25">
      <c r="A86" t="s">
        <v>542</v>
      </c>
    </row>
    <row r="87" spans="1:1" x14ac:dyDescent="0.25">
      <c r="A87" t="s">
        <v>261</v>
      </c>
    </row>
    <row r="88" spans="1:1" x14ac:dyDescent="0.25">
      <c r="A88" t="s">
        <v>563</v>
      </c>
    </row>
    <row r="89" spans="1:1" x14ac:dyDescent="0.25">
      <c r="A89" t="s">
        <v>248</v>
      </c>
    </row>
    <row r="91" spans="1:1" x14ac:dyDescent="0.25">
      <c r="A91" t="s">
        <v>244</v>
      </c>
    </row>
    <row r="92" spans="1:1" x14ac:dyDescent="0.25">
      <c r="A92" t="s">
        <v>279</v>
      </c>
    </row>
    <row r="93" spans="1:1" x14ac:dyDescent="0.25">
      <c r="A93" t="s">
        <v>564</v>
      </c>
    </row>
    <row r="94" spans="1:1" x14ac:dyDescent="0.25">
      <c r="A94" t="s">
        <v>565</v>
      </c>
    </row>
    <row r="95" spans="1:1" x14ac:dyDescent="0.25">
      <c r="A95" t="s">
        <v>566</v>
      </c>
    </row>
    <row r="96" spans="1:1" x14ac:dyDescent="0.25">
      <c r="A96" t="s">
        <v>542</v>
      </c>
    </row>
    <row r="97" spans="1:1" x14ac:dyDescent="0.25">
      <c r="A97" t="s">
        <v>567</v>
      </c>
    </row>
    <row r="98" spans="1:1" x14ac:dyDescent="0.25">
      <c r="A98" t="s">
        <v>568</v>
      </c>
    </row>
    <row r="99" spans="1:1" x14ac:dyDescent="0.25">
      <c r="A99" t="s">
        <v>248</v>
      </c>
    </row>
    <row r="101" spans="1:1" x14ac:dyDescent="0.25">
      <c r="A101" t="s">
        <v>244</v>
      </c>
    </row>
    <row r="102" spans="1:1" x14ac:dyDescent="0.25">
      <c r="A102" t="s">
        <v>279</v>
      </c>
    </row>
    <row r="103" spans="1:1" x14ac:dyDescent="0.25">
      <c r="A103" t="s">
        <v>569</v>
      </c>
    </row>
    <row r="104" spans="1:1" x14ac:dyDescent="0.25">
      <c r="A104" t="s">
        <v>565</v>
      </c>
    </row>
    <row r="105" spans="1:1" x14ac:dyDescent="0.25">
      <c r="A105" t="s">
        <v>566</v>
      </c>
    </row>
    <row r="106" spans="1:1" x14ac:dyDescent="0.25">
      <c r="A106" t="s">
        <v>542</v>
      </c>
    </row>
    <row r="107" spans="1:1" x14ac:dyDescent="0.25">
      <c r="A107" t="s">
        <v>570</v>
      </c>
    </row>
    <row r="108" spans="1:1" x14ac:dyDescent="0.25">
      <c r="A108" t="s">
        <v>568</v>
      </c>
    </row>
    <row r="109" spans="1:1" x14ac:dyDescent="0.25">
      <c r="A109" t="s">
        <v>248</v>
      </c>
    </row>
    <row r="111" spans="1:1" x14ac:dyDescent="0.25">
      <c r="A111" t="s">
        <v>244</v>
      </c>
    </row>
    <row r="112" spans="1:1" x14ac:dyDescent="0.25">
      <c r="A112" t="s">
        <v>279</v>
      </c>
    </row>
    <row r="113" spans="1:1" x14ac:dyDescent="0.25">
      <c r="A113" t="s">
        <v>571</v>
      </c>
    </row>
    <row r="114" spans="1:1" x14ac:dyDescent="0.25">
      <c r="A114" t="s">
        <v>565</v>
      </c>
    </row>
    <row r="115" spans="1:1" x14ac:dyDescent="0.25">
      <c r="A115" t="s">
        <v>566</v>
      </c>
    </row>
    <row r="116" spans="1:1" x14ac:dyDescent="0.25">
      <c r="A116" t="s">
        <v>542</v>
      </c>
    </row>
    <row r="117" spans="1:1" x14ac:dyDescent="0.25">
      <c r="A117" t="s">
        <v>556</v>
      </c>
    </row>
    <row r="118" spans="1:1" x14ac:dyDescent="0.25">
      <c r="A118" t="s">
        <v>568</v>
      </c>
    </row>
    <row r="119" spans="1:1" x14ac:dyDescent="0.25">
      <c r="A119" t="s">
        <v>248</v>
      </c>
    </row>
    <row r="121" spans="1:1" x14ac:dyDescent="0.25">
      <c r="A121" t="s">
        <v>244</v>
      </c>
    </row>
    <row r="122" spans="1:1" x14ac:dyDescent="0.25">
      <c r="A122" t="s">
        <v>279</v>
      </c>
    </row>
    <row r="123" spans="1:1" x14ac:dyDescent="0.25">
      <c r="A123" t="s">
        <v>572</v>
      </c>
    </row>
    <row r="124" spans="1:1" x14ac:dyDescent="0.25">
      <c r="A124" t="s">
        <v>565</v>
      </c>
    </row>
    <row r="125" spans="1:1" x14ac:dyDescent="0.25">
      <c r="A125" t="s">
        <v>566</v>
      </c>
    </row>
    <row r="126" spans="1:1" x14ac:dyDescent="0.25">
      <c r="A126" t="s">
        <v>542</v>
      </c>
    </row>
    <row r="127" spans="1:1" x14ac:dyDescent="0.25">
      <c r="A127" t="s">
        <v>261</v>
      </c>
    </row>
    <row r="128" spans="1:1" x14ac:dyDescent="0.25">
      <c r="A128" t="s">
        <v>568</v>
      </c>
    </row>
    <row r="129" spans="1:1" x14ac:dyDescent="0.25">
      <c r="A129" t="s">
        <v>248</v>
      </c>
    </row>
    <row r="131" spans="1:1" x14ac:dyDescent="0.25">
      <c r="A131" t="s">
        <v>244</v>
      </c>
    </row>
    <row r="132" spans="1:1" x14ac:dyDescent="0.25">
      <c r="A132" t="s">
        <v>573</v>
      </c>
    </row>
    <row r="133" spans="1:1" x14ac:dyDescent="0.25">
      <c r="A133" t="s">
        <v>574</v>
      </c>
    </row>
    <row r="134" spans="1:1" x14ac:dyDescent="0.25">
      <c r="A134" t="s">
        <v>575</v>
      </c>
    </row>
    <row r="135" spans="1:1" x14ac:dyDescent="0.25">
      <c r="A135" t="s">
        <v>576</v>
      </c>
    </row>
    <row r="136" spans="1:1" x14ac:dyDescent="0.25">
      <c r="A136" t="s">
        <v>542</v>
      </c>
    </row>
    <row r="137" spans="1:1" x14ac:dyDescent="0.25">
      <c r="A137" t="s">
        <v>577</v>
      </c>
    </row>
    <row r="138" spans="1:1" x14ac:dyDescent="0.25">
      <c r="A138" t="s">
        <v>578</v>
      </c>
    </row>
    <row r="139" spans="1:1" x14ac:dyDescent="0.25">
      <c r="A139" t="s">
        <v>579</v>
      </c>
    </row>
    <row r="140" spans="1:1" x14ac:dyDescent="0.25">
      <c r="A140" t="s">
        <v>248</v>
      </c>
    </row>
    <row r="142" spans="1:1" x14ac:dyDescent="0.25">
      <c r="A142" t="s">
        <v>244</v>
      </c>
    </row>
    <row r="143" spans="1:1" x14ac:dyDescent="0.25">
      <c r="A143" t="s">
        <v>245</v>
      </c>
    </row>
    <row r="144" spans="1:1" x14ac:dyDescent="0.25">
      <c r="A144" t="s">
        <v>580</v>
      </c>
    </row>
    <row r="145" spans="1:1" x14ac:dyDescent="0.25">
      <c r="A145" t="s">
        <v>581</v>
      </c>
    </row>
    <row r="146" spans="1:1" x14ac:dyDescent="0.25">
      <c r="A146" t="s">
        <v>582</v>
      </c>
    </row>
    <row r="147" spans="1:1" x14ac:dyDescent="0.25">
      <c r="A147" t="s">
        <v>542</v>
      </c>
    </row>
    <row r="148" spans="1:1" x14ac:dyDescent="0.25">
      <c r="A148" t="s">
        <v>270</v>
      </c>
    </row>
    <row r="149" spans="1:1" x14ac:dyDescent="0.25">
      <c r="A149" t="s">
        <v>248</v>
      </c>
    </row>
    <row r="151" spans="1:1" x14ac:dyDescent="0.25">
      <c r="A151" t="s">
        <v>244</v>
      </c>
    </row>
    <row r="152" spans="1:1" x14ac:dyDescent="0.25">
      <c r="A152" t="s">
        <v>245</v>
      </c>
    </row>
    <row r="153" spans="1:1" x14ac:dyDescent="0.25">
      <c r="A153" t="s">
        <v>583</v>
      </c>
    </row>
    <row r="154" spans="1:1" x14ac:dyDescent="0.25">
      <c r="A154" t="s">
        <v>272</v>
      </c>
    </row>
    <row r="155" spans="1:1" x14ac:dyDescent="0.25">
      <c r="A155" t="s">
        <v>582</v>
      </c>
    </row>
    <row r="156" spans="1:1" x14ac:dyDescent="0.25">
      <c r="A156" t="s">
        <v>542</v>
      </c>
    </row>
    <row r="157" spans="1:1" x14ac:dyDescent="0.25">
      <c r="A157" t="s">
        <v>274</v>
      </c>
    </row>
    <row r="158" spans="1:1" x14ac:dyDescent="0.25">
      <c r="A158" t="s">
        <v>248</v>
      </c>
    </row>
    <row r="160" spans="1:1" x14ac:dyDescent="0.25">
      <c r="A160" t="s">
        <v>244</v>
      </c>
    </row>
    <row r="161" spans="1:1" x14ac:dyDescent="0.25">
      <c r="A161" t="s">
        <v>245</v>
      </c>
    </row>
    <row r="162" spans="1:1" x14ac:dyDescent="0.25">
      <c r="A162" t="s">
        <v>584</v>
      </c>
    </row>
    <row r="163" spans="1:1" x14ac:dyDescent="0.25">
      <c r="A163" t="s">
        <v>585</v>
      </c>
    </row>
    <row r="164" spans="1:1" x14ac:dyDescent="0.25">
      <c r="A164" t="s">
        <v>582</v>
      </c>
    </row>
    <row r="165" spans="1:1" x14ac:dyDescent="0.25">
      <c r="A165" t="s">
        <v>542</v>
      </c>
    </row>
    <row r="166" spans="1:1" x14ac:dyDescent="0.25">
      <c r="A166" t="s">
        <v>278</v>
      </c>
    </row>
    <row r="167" spans="1:1" x14ac:dyDescent="0.25">
      <c r="A167" t="s">
        <v>277</v>
      </c>
    </row>
    <row r="168" spans="1:1" x14ac:dyDescent="0.25">
      <c r="A168" t="s">
        <v>248</v>
      </c>
    </row>
    <row r="170" spans="1:1" x14ac:dyDescent="0.25">
      <c r="A170" t="s">
        <v>244</v>
      </c>
    </row>
    <row r="171" spans="1:1" x14ac:dyDescent="0.25">
      <c r="A171" t="s">
        <v>245</v>
      </c>
    </row>
    <row r="172" spans="1:1" x14ac:dyDescent="0.25">
      <c r="A172" t="s">
        <v>586</v>
      </c>
    </row>
    <row r="173" spans="1:1" x14ac:dyDescent="0.25">
      <c r="A173" t="s">
        <v>587</v>
      </c>
    </row>
    <row r="174" spans="1:1" x14ac:dyDescent="0.25">
      <c r="A174" t="s">
        <v>588</v>
      </c>
    </row>
    <row r="175" spans="1:1" x14ac:dyDescent="0.25">
      <c r="A175" t="s">
        <v>555</v>
      </c>
    </row>
    <row r="176" spans="1:1" x14ac:dyDescent="0.25">
      <c r="A176" t="s">
        <v>589</v>
      </c>
    </row>
    <row r="177" spans="1:1" x14ac:dyDescent="0.25">
      <c r="A177" t="s">
        <v>590</v>
      </c>
    </row>
    <row r="178" spans="1:1" x14ac:dyDescent="0.25">
      <c r="A178" t="s">
        <v>248</v>
      </c>
    </row>
    <row r="180" spans="1:1" x14ac:dyDescent="0.25">
      <c r="A180" t="s">
        <v>244</v>
      </c>
    </row>
    <row r="181" spans="1:1" x14ac:dyDescent="0.25">
      <c r="A181" t="s">
        <v>245</v>
      </c>
    </row>
    <row r="182" spans="1:1" x14ac:dyDescent="0.25">
      <c r="A182" t="s">
        <v>591</v>
      </c>
    </row>
    <row r="183" spans="1:1" x14ac:dyDescent="0.25">
      <c r="A183" t="s">
        <v>587</v>
      </c>
    </row>
    <row r="184" spans="1:1" x14ac:dyDescent="0.25">
      <c r="A184" t="s">
        <v>588</v>
      </c>
    </row>
    <row r="185" spans="1:1" x14ac:dyDescent="0.25">
      <c r="A185" t="s">
        <v>555</v>
      </c>
    </row>
    <row r="186" spans="1:1" x14ac:dyDescent="0.25">
      <c r="A186" t="s">
        <v>589</v>
      </c>
    </row>
    <row r="187" spans="1:1" x14ac:dyDescent="0.25">
      <c r="A187" t="s">
        <v>590</v>
      </c>
    </row>
    <row r="188" spans="1:1" x14ac:dyDescent="0.25">
      <c r="A188" t="s">
        <v>248</v>
      </c>
    </row>
    <row r="190" spans="1:1" x14ac:dyDescent="0.25">
      <c r="A190" t="s">
        <v>244</v>
      </c>
    </row>
    <row r="191" spans="1:1" x14ac:dyDescent="0.25">
      <c r="A191" t="s">
        <v>245</v>
      </c>
    </row>
    <row r="192" spans="1:1" x14ac:dyDescent="0.25">
      <c r="A192" t="s">
        <v>592</v>
      </c>
    </row>
    <row r="193" spans="1:1" x14ac:dyDescent="0.25">
      <c r="A193" t="s">
        <v>281</v>
      </c>
    </row>
    <row r="194" spans="1:1" x14ac:dyDescent="0.25">
      <c r="A194" t="s">
        <v>582</v>
      </c>
    </row>
    <row r="195" spans="1:1" x14ac:dyDescent="0.25">
      <c r="A195" t="s">
        <v>542</v>
      </c>
    </row>
    <row r="196" spans="1:1" x14ac:dyDescent="0.25">
      <c r="A196" t="s">
        <v>283</v>
      </c>
    </row>
    <row r="197" spans="1:1" x14ac:dyDescent="0.25">
      <c r="A197" t="s">
        <v>248</v>
      </c>
    </row>
    <row r="199" spans="1:1" x14ac:dyDescent="0.25">
      <c r="A199" t="s">
        <v>244</v>
      </c>
    </row>
    <row r="200" spans="1:1" x14ac:dyDescent="0.25">
      <c r="A200" t="s">
        <v>279</v>
      </c>
    </row>
    <row r="201" spans="1:1" x14ac:dyDescent="0.25">
      <c r="A201" t="s">
        <v>593</v>
      </c>
    </row>
    <row r="202" spans="1:1" x14ac:dyDescent="0.25">
      <c r="A202" t="s">
        <v>285</v>
      </c>
    </row>
    <row r="203" spans="1:1" x14ac:dyDescent="0.25">
      <c r="A203" t="s">
        <v>582</v>
      </c>
    </row>
    <row r="204" spans="1:1" x14ac:dyDescent="0.25">
      <c r="A204" t="s">
        <v>542</v>
      </c>
    </row>
    <row r="205" spans="1:1" x14ac:dyDescent="0.25">
      <c r="A205" t="s">
        <v>286</v>
      </c>
    </row>
    <row r="206" spans="1:1" x14ac:dyDescent="0.25">
      <c r="A206" t="s">
        <v>248</v>
      </c>
    </row>
    <row r="208" spans="1:1" x14ac:dyDescent="0.25">
      <c r="A208" t="s">
        <v>244</v>
      </c>
    </row>
    <row r="209" spans="1:1" x14ac:dyDescent="0.25">
      <c r="A209" t="s">
        <v>279</v>
      </c>
    </row>
    <row r="210" spans="1:1" x14ac:dyDescent="0.25">
      <c r="A210" t="s">
        <v>594</v>
      </c>
    </row>
    <row r="211" spans="1:1" x14ac:dyDescent="0.25">
      <c r="A211" t="s">
        <v>285</v>
      </c>
    </row>
    <row r="212" spans="1:1" x14ac:dyDescent="0.25">
      <c r="A212" t="s">
        <v>582</v>
      </c>
    </row>
    <row r="213" spans="1:1" x14ac:dyDescent="0.25">
      <c r="A213" t="s">
        <v>542</v>
      </c>
    </row>
    <row r="214" spans="1:1" x14ac:dyDescent="0.25">
      <c r="A214" t="s">
        <v>288</v>
      </c>
    </row>
    <row r="215" spans="1:1" x14ac:dyDescent="0.25">
      <c r="A215" t="s">
        <v>248</v>
      </c>
    </row>
    <row r="217" spans="1:1" x14ac:dyDescent="0.25">
      <c r="A217" t="s">
        <v>244</v>
      </c>
    </row>
    <row r="218" spans="1:1" x14ac:dyDescent="0.25">
      <c r="A218" t="s">
        <v>279</v>
      </c>
    </row>
    <row r="219" spans="1:1" x14ac:dyDescent="0.25">
      <c r="A219" t="s">
        <v>595</v>
      </c>
    </row>
    <row r="220" spans="1:1" x14ac:dyDescent="0.25">
      <c r="A220" t="s">
        <v>596</v>
      </c>
    </row>
    <row r="221" spans="1:1" x14ac:dyDescent="0.25">
      <c r="A221" t="s">
        <v>582</v>
      </c>
    </row>
    <row r="222" spans="1:1" x14ac:dyDescent="0.25">
      <c r="A222" t="s">
        <v>542</v>
      </c>
    </row>
    <row r="223" spans="1:1" x14ac:dyDescent="0.25">
      <c r="A223" t="s">
        <v>291</v>
      </c>
    </row>
    <row r="224" spans="1:1" x14ac:dyDescent="0.25">
      <c r="A224" t="s">
        <v>248</v>
      </c>
    </row>
    <row r="226" spans="1:1" x14ac:dyDescent="0.25">
      <c r="A226" t="s">
        <v>244</v>
      </c>
    </row>
    <row r="227" spans="1:1" x14ac:dyDescent="0.25">
      <c r="A227" t="s">
        <v>245</v>
      </c>
    </row>
    <row r="228" spans="1:1" x14ac:dyDescent="0.25">
      <c r="A228" t="s">
        <v>597</v>
      </c>
    </row>
    <row r="229" spans="1:1" x14ac:dyDescent="0.25">
      <c r="A229" t="s">
        <v>598</v>
      </c>
    </row>
    <row r="230" spans="1:1" x14ac:dyDescent="0.25">
      <c r="A230" t="s">
        <v>599</v>
      </c>
    </row>
    <row r="231" spans="1:1" x14ac:dyDescent="0.25">
      <c r="A231" t="s">
        <v>542</v>
      </c>
    </row>
    <row r="232" spans="1:1" x14ac:dyDescent="0.25">
      <c r="A232" t="s">
        <v>600</v>
      </c>
    </row>
    <row r="233" spans="1:1" x14ac:dyDescent="0.25">
      <c r="A233" t="s">
        <v>601</v>
      </c>
    </row>
    <row r="234" spans="1:1" x14ac:dyDescent="0.25">
      <c r="A234" t="s">
        <v>248</v>
      </c>
    </row>
    <row r="236" spans="1:1" x14ac:dyDescent="0.25">
      <c r="A236" t="s">
        <v>244</v>
      </c>
    </row>
    <row r="237" spans="1:1" x14ac:dyDescent="0.25">
      <c r="A237" t="s">
        <v>245</v>
      </c>
    </row>
    <row r="238" spans="1:1" x14ac:dyDescent="0.25">
      <c r="A238" t="s">
        <v>602</v>
      </c>
    </row>
    <row r="239" spans="1:1" x14ac:dyDescent="0.25">
      <c r="A239" t="s">
        <v>603</v>
      </c>
    </row>
    <row r="240" spans="1:1" x14ac:dyDescent="0.25">
      <c r="A240" t="s">
        <v>599</v>
      </c>
    </row>
    <row r="241" spans="1:1" x14ac:dyDescent="0.25">
      <c r="A241" t="s">
        <v>542</v>
      </c>
    </row>
    <row r="242" spans="1:1" x14ac:dyDescent="0.25">
      <c r="A242" t="s">
        <v>604</v>
      </c>
    </row>
    <row r="243" spans="1:1" x14ac:dyDescent="0.25">
      <c r="A243" t="s">
        <v>605</v>
      </c>
    </row>
    <row r="244" spans="1:1" x14ac:dyDescent="0.25">
      <c r="A244" t="s">
        <v>248</v>
      </c>
    </row>
    <row r="246" spans="1:1" x14ac:dyDescent="0.25">
      <c r="A246" t="s">
        <v>244</v>
      </c>
    </row>
    <row r="247" spans="1:1" x14ac:dyDescent="0.25">
      <c r="A247" t="s">
        <v>245</v>
      </c>
    </row>
    <row r="248" spans="1:1" x14ac:dyDescent="0.25">
      <c r="A248" t="s">
        <v>606</v>
      </c>
    </row>
    <row r="249" spans="1:1" x14ac:dyDescent="0.25">
      <c r="A249" t="s">
        <v>603</v>
      </c>
    </row>
    <row r="250" spans="1:1" x14ac:dyDescent="0.25">
      <c r="A250" t="s">
        <v>599</v>
      </c>
    </row>
    <row r="251" spans="1:1" x14ac:dyDescent="0.25">
      <c r="A251" t="s">
        <v>542</v>
      </c>
    </row>
    <row r="252" spans="1:1" x14ac:dyDescent="0.25">
      <c r="A252" t="s">
        <v>607</v>
      </c>
    </row>
    <row r="253" spans="1:1" x14ac:dyDescent="0.25">
      <c r="A253" t="s">
        <v>608</v>
      </c>
    </row>
    <row r="254" spans="1:1" x14ac:dyDescent="0.25">
      <c r="A254" t="s">
        <v>248</v>
      </c>
    </row>
    <row r="256" spans="1:1" x14ac:dyDescent="0.25">
      <c r="A256" t="s">
        <v>244</v>
      </c>
    </row>
    <row r="257" spans="1:1" x14ac:dyDescent="0.25">
      <c r="A257" t="s">
        <v>245</v>
      </c>
    </row>
    <row r="258" spans="1:1" x14ac:dyDescent="0.25">
      <c r="A258" t="s">
        <v>609</v>
      </c>
    </row>
    <row r="259" spans="1:1" x14ac:dyDescent="0.25">
      <c r="A259" t="s">
        <v>293</v>
      </c>
    </row>
    <row r="260" spans="1:1" x14ac:dyDescent="0.25">
      <c r="A260" t="s">
        <v>599</v>
      </c>
    </row>
    <row r="261" spans="1:1" x14ac:dyDescent="0.25">
      <c r="A261" t="s">
        <v>542</v>
      </c>
    </row>
    <row r="262" spans="1:1" x14ac:dyDescent="0.25">
      <c r="A262" t="s">
        <v>295</v>
      </c>
    </row>
    <row r="263" spans="1:1" x14ac:dyDescent="0.25">
      <c r="A263" t="s">
        <v>248</v>
      </c>
    </row>
    <row r="265" spans="1:1" x14ac:dyDescent="0.25">
      <c r="A265" t="s">
        <v>244</v>
      </c>
    </row>
    <row r="266" spans="1:1" x14ac:dyDescent="0.25">
      <c r="A266" t="s">
        <v>245</v>
      </c>
    </row>
    <row r="267" spans="1:1" x14ac:dyDescent="0.25">
      <c r="A267" t="s">
        <v>610</v>
      </c>
    </row>
    <row r="268" spans="1:1" x14ac:dyDescent="0.25">
      <c r="A268" t="s">
        <v>293</v>
      </c>
    </row>
    <row r="269" spans="1:1" x14ac:dyDescent="0.25">
      <c r="A269" t="s">
        <v>599</v>
      </c>
    </row>
    <row r="270" spans="1:1" x14ac:dyDescent="0.25">
      <c r="A270" t="s">
        <v>542</v>
      </c>
    </row>
    <row r="271" spans="1:1" x14ac:dyDescent="0.25">
      <c r="A271" t="s">
        <v>297</v>
      </c>
    </row>
    <row r="272" spans="1:1" x14ac:dyDescent="0.25">
      <c r="A272" t="s">
        <v>248</v>
      </c>
    </row>
    <row r="274" spans="1:1" x14ac:dyDescent="0.25">
      <c r="A274" t="s">
        <v>244</v>
      </c>
    </row>
    <row r="275" spans="1:1" x14ac:dyDescent="0.25">
      <c r="A275" t="s">
        <v>245</v>
      </c>
    </row>
    <row r="276" spans="1:1" x14ac:dyDescent="0.25">
      <c r="A276" t="s">
        <v>611</v>
      </c>
    </row>
    <row r="277" spans="1:1" x14ac:dyDescent="0.25">
      <c r="A277" t="s">
        <v>582</v>
      </c>
    </row>
    <row r="278" spans="1:1" x14ac:dyDescent="0.25">
      <c r="A278" t="s">
        <v>542</v>
      </c>
    </row>
    <row r="279" spans="1:1" x14ac:dyDescent="0.25">
      <c r="A279" t="s">
        <v>302</v>
      </c>
    </row>
    <row r="280" spans="1:1" x14ac:dyDescent="0.25">
      <c r="A280" t="s">
        <v>248</v>
      </c>
    </row>
    <row r="282" spans="1:1" x14ac:dyDescent="0.25">
      <c r="A282" t="s">
        <v>244</v>
      </c>
    </row>
    <row r="283" spans="1:1" x14ac:dyDescent="0.25">
      <c r="A283" t="s">
        <v>245</v>
      </c>
    </row>
    <row r="284" spans="1:1" x14ac:dyDescent="0.25">
      <c r="A284" t="s">
        <v>612</v>
      </c>
    </row>
    <row r="285" spans="1:1" x14ac:dyDescent="0.25">
      <c r="A285" t="s">
        <v>613</v>
      </c>
    </row>
    <row r="286" spans="1:1" x14ac:dyDescent="0.25">
      <c r="A286" t="s">
        <v>599</v>
      </c>
    </row>
    <row r="287" spans="1:1" x14ac:dyDescent="0.25">
      <c r="A287" t="s">
        <v>542</v>
      </c>
    </row>
    <row r="288" spans="1:1" x14ac:dyDescent="0.25">
      <c r="A288" t="s">
        <v>614</v>
      </c>
    </row>
    <row r="289" spans="1:1" x14ac:dyDescent="0.25">
      <c r="A289" t="s">
        <v>248</v>
      </c>
    </row>
    <row r="291" spans="1:1" x14ac:dyDescent="0.25">
      <c r="A291" t="s">
        <v>244</v>
      </c>
    </row>
    <row r="292" spans="1:1" x14ac:dyDescent="0.25">
      <c r="A292" t="s">
        <v>245</v>
      </c>
    </row>
    <row r="293" spans="1:1" x14ac:dyDescent="0.25">
      <c r="A293" t="s">
        <v>615</v>
      </c>
    </row>
    <row r="294" spans="1:1" x14ac:dyDescent="0.25">
      <c r="A294" t="s">
        <v>616</v>
      </c>
    </row>
    <row r="295" spans="1:1" x14ac:dyDescent="0.25">
      <c r="A295" t="s">
        <v>599</v>
      </c>
    </row>
    <row r="296" spans="1:1" x14ac:dyDescent="0.25">
      <c r="A296" t="s">
        <v>542</v>
      </c>
    </row>
    <row r="297" spans="1:1" x14ac:dyDescent="0.25">
      <c r="A297" t="s">
        <v>617</v>
      </c>
    </row>
    <row r="298" spans="1:1" x14ac:dyDescent="0.25">
      <c r="A298" t="s">
        <v>248</v>
      </c>
    </row>
    <row r="300" spans="1:1" x14ac:dyDescent="0.25">
      <c r="A300" t="s">
        <v>244</v>
      </c>
    </row>
    <row r="301" spans="1:1" x14ac:dyDescent="0.25">
      <c r="A301" t="s">
        <v>245</v>
      </c>
    </row>
    <row r="302" spans="1:1" x14ac:dyDescent="0.25">
      <c r="A302" t="s">
        <v>618</v>
      </c>
    </row>
    <row r="303" spans="1:1" x14ac:dyDescent="0.25">
      <c r="A303" t="s">
        <v>619</v>
      </c>
    </row>
    <row r="304" spans="1:1" x14ac:dyDescent="0.25">
      <c r="A304" t="s">
        <v>599</v>
      </c>
    </row>
    <row r="305" spans="1:1" x14ac:dyDescent="0.25">
      <c r="A305" t="s">
        <v>542</v>
      </c>
    </row>
    <row r="306" spans="1:1" x14ac:dyDescent="0.25">
      <c r="A306" t="s">
        <v>620</v>
      </c>
    </row>
    <row r="307" spans="1:1" x14ac:dyDescent="0.25">
      <c r="A307" t="s">
        <v>248</v>
      </c>
    </row>
    <row r="309" spans="1:1" x14ac:dyDescent="0.25">
      <c r="A309" t="s">
        <v>244</v>
      </c>
    </row>
    <row r="310" spans="1:1" x14ac:dyDescent="0.25">
      <c r="A310" t="s">
        <v>245</v>
      </c>
    </row>
    <row r="311" spans="1:1" x14ac:dyDescent="0.25">
      <c r="A311" t="s">
        <v>621</v>
      </c>
    </row>
    <row r="312" spans="1:1" x14ac:dyDescent="0.25">
      <c r="A312" t="s">
        <v>304</v>
      </c>
    </row>
    <row r="313" spans="1:1" x14ac:dyDescent="0.25">
      <c r="A313" t="s">
        <v>599</v>
      </c>
    </row>
    <row r="314" spans="1:1" x14ac:dyDescent="0.25">
      <c r="A314" t="s">
        <v>542</v>
      </c>
    </row>
    <row r="315" spans="1:1" x14ac:dyDescent="0.25">
      <c r="A315" t="s">
        <v>305</v>
      </c>
    </row>
    <row r="316" spans="1:1" x14ac:dyDescent="0.25">
      <c r="A316" t="s">
        <v>248</v>
      </c>
    </row>
    <row r="318" spans="1:1" x14ac:dyDescent="0.25">
      <c r="A318" t="s">
        <v>244</v>
      </c>
    </row>
    <row r="319" spans="1:1" x14ac:dyDescent="0.25">
      <c r="A319" t="s">
        <v>245</v>
      </c>
    </row>
    <row r="320" spans="1:1" x14ac:dyDescent="0.25">
      <c r="A320" t="s">
        <v>622</v>
      </c>
    </row>
    <row r="321" spans="1:1" x14ac:dyDescent="0.25">
      <c r="A321" t="s">
        <v>307</v>
      </c>
    </row>
    <row r="322" spans="1:1" x14ac:dyDescent="0.25">
      <c r="A322" t="s">
        <v>599</v>
      </c>
    </row>
    <row r="323" spans="1:1" x14ac:dyDescent="0.25">
      <c r="A323" t="s">
        <v>542</v>
      </c>
    </row>
    <row r="324" spans="1:1" x14ac:dyDescent="0.25">
      <c r="A324" t="s">
        <v>308</v>
      </c>
    </row>
    <row r="325" spans="1:1" x14ac:dyDescent="0.25">
      <c r="A325" t="s">
        <v>248</v>
      </c>
    </row>
    <row r="327" spans="1:1" x14ac:dyDescent="0.25">
      <c r="A327" t="s">
        <v>244</v>
      </c>
    </row>
    <row r="328" spans="1:1" x14ac:dyDescent="0.25">
      <c r="A328" t="s">
        <v>245</v>
      </c>
    </row>
    <row r="329" spans="1:1" x14ac:dyDescent="0.25">
      <c r="A329" t="s">
        <v>623</v>
      </c>
    </row>
    <row r="330" spans="1:1" x14ac:dyDescent="0.25">
      <c r="A330" t="s">
        <v>624</v>
      </c>
    </row>
    <row r="331" spans="1:1" x14ac:dyDescent="0.25">
      <c r="A331" t="s">
        <v>599</v>
      </c>
    </row>
    <row r="332" spans="1:1" x14ac:dyDescent="0.25">
      <c r="A332" t="s">
        <v>542</v>
      </c>
    </row>
    <row r="333" spans="1:1" x14ac:dyDescent="0.25">
      <c r="A333" t="s">
        <v>625</v>
      </c>
    </row>
    <row r="334" spans="1:1" x14ac:dyDescent="0.25">
      <c r="A334" t="s">
        <v>248</v>
      </c>
    </row>
    <row r="336" spans="1:1" x14ac:dyDescent="0.25">
      <c r="A336" t="s">
        <v>244</v>
      </c>
    </row>
    <row r="337" spans="1:1" x14ac:dyDescent="0.25">
      <c r="A337" t="s">
        <v>245</v>
      </c>
    </row>
    <row r="338" spans="1:1" x14ac:dyDescent="0.25">
      <c r="A338" t="s">
        <v>626</v>
      </c>
    </row>
    <row r="339" spans="1:1" x14ac:dyDescent="0.25">
      <c r="A339" t="s">
        <v>310</v>
      </c>
    </row>
    <row r="340" spans="1:1" x14ac:dyDescent="0.25">
      <c r="A340" t="s">
        <v>599</v>
      </c>
    </row>
    <row r="341" spans="1:1" x14ac:dyDescent="0.25">
      <c r="A341" t="s">
        <v>542</v>
      </c>
    </row>
    <row r="342" spans="1:1" x14ac:dyDescent="0.25">
      <c r="A342" t="s">
        <v>311</v>
      </c>
    </row>
    <row r="343" spans="1:1" x14ac:dyDescent="0.25">
      <c r="A343" t="s">
        <v>248</v>
      </c>
    </row>
    <row r="345" spans="1:1" x14ac:dyDescent="0.25">
      <c r="A345" t="s">
        <v>244</v>
      </c>
    </row>
    <row r="346" spans="1:1" x14ac:dyDescent="0.25">
      <c r="A346" t="s">
        <v>279</v>
      </c>
    </row>
    <row r="347" spans="1:1" x14ac:dyDescent="0.25">
      <c r="A347" t="s">
        <v>627</v>
      </c>
    </row>
    <row r="348" spans="1:1" x14ac:dyDescent="0.25">
      <c r="A348" t="s">
        <v>310</v>
      </c>
    </row>
    <row r="349" spans="1:1" x14ac:dyDescent="0.25">
      <c r="A349" t="s">
        <v>599</v>
      </c>
    </row>
    <row r="350" spans="1:1" x14ac:dyDescent="0.25">
      <c r="A350" t="s">
        <v>542</v>
      </c>
    </row>
    <row r="351" spans="1:1" x14ac:dyDescent="0.25">
      <c r="A351" t="s">
        <v>628</v>
      </c>
    </row>
    <row r="352" spans="1:1" x14ac:dyDescent="0.25">
      <c r="A352" t="s">
        <v>248</v>
      </c>
    </row>
    <row r="354" spans="1:1" x14ac:dyDescent="0.25">
      <c r="A354" t="s">
        <v>244</v>
      </c>
    </row>
    <row r="355" spans="1:1" x14ac:dyDescent="0.25">
      <c r="A355" t="s">
        <v>245</v>
      </c>
    </row>
    <row r="356" spans="1:1" x14ac:dyDescent="0.25">
      <c r="A356" t="s">
        <v>629</v>
      </c>
    </row>
    <row r="357" spans="1:1" x14ac:dyDescent="0.25">
      <c r="A357" t="s">
        <v>630</v>
      </c>
    </row>
    <row r="358" spans="1:1" x14ac:dyDescent="0.25">
      <c r="A358" t="s">
        <v>599</v>
      </c>
    </row>
    <row r="359" spans="1:1" x14ac:dyDescent="0.25">
      <c r="A359" t="s">
        <v>542</v>
      </c>
    </row>
    <row r="360" spans="1:1" x14ac:dyDescent="0.25">
      <c r="A360" t="s">
        <v>631</v>
      </c>
    </row>
    <row r="361" spans="1:1" x14ac:dyDescent="0.25">
      <c r="A361" t="s">
        <v>248</v>
      </c>
    </row>
    <row r="363" spans="1:1" x14ac:dyDescent="0.25">
      <c r="A363" t="s">
        <v>244</v>
      </c>
    </row>
    <row r="364" spans="1:1" x14ac:dyDescent="0.25">
      <c r="A364" t="s">
        <v>245</v>
      </c>
    </row>
    <row r="365" spans="1:1" x14ac:dyDescent="0.25">
      <c r="A365" t="s">
        <v>632</v>
      </c>
    </row>
    <row r="366" spans="1:1" x14ac:dyDescent="0.25">
      <c r="A366" t="s">
        <v>313</v>
      </c>
    </row>
    <row r="367" spans="1:1" x14ac:dyDescent="0.25">
      <c r="A367" t="s">
        <v>599</v>
      </c>
    </row>
    <row r="368" spans="1:1" x14ac:dyDescent="0.25">
      <c r="A368" t="s">
        <v>542</v>
      </c>
    </row>
    <row r="369" spans="1:1" x14ac:dyDescent="0.25">
      <c r="A369" t="s">
        <v>314</v>
      </c>
    </row>
    <row r="370" spans="1:1" x14ac:dyDescent="0.25">
      <c r="A370" t="s">
        <v>248</v>
      </c>
    </row>
    <row r="372" spans="1:1" x14ac:dyDescent="0.25">
      <c r="A372" t="s">
        <v>244</v>
      </c>
    </row>
    <row r="373" spans="1:1" x14ac:dyDescent="0.25">
      <c r="A373" t="s">
        <v>245</v>
      </c>
    </row>
    <row r="374" spans="1:1" x14ac:dyDescent="0.25">
      <c r="A374" t="s">
        <v>633</v>
      </c>
    </row>
    <row r="375" spans="1:1" x14ac:dyDescent="0.25">
      <c r="A375" t="s">
        <v>316</v>
      </c>
    </row>
    <row r="376" spans="1:1" x14ac:dyDescent="0.25">
      <c r="A376" t="s">
        <v>301</v>
      </c>
    </row>
    <row r="377" spans="1:1" x14ac:dyDescent="0.25">
      <c r="A377" t="s">
        <v>542</v>
      </c>
    </row>
    <row r="378" spans="1:1" x14ac:dyDescent="0.25">
      <c r="A378" t="s">
        <v>317</v>
      </c>
    </row>
    <row r="379" spans="1:1" x14ac:dyDescent="0.25">
      <c r="A379" t="s">
        <v>248</v>
      </c>
    </row>
    <row r="381" spans="1:1" x14ac:dyDescent="0.25">
      <c r="A381" t="s">
        <v>244</v>
      </c>
    </row>
    <row r="382" spans="1:1" x14ac:dyDescent="0.25">
      <c r="A382" t="s">
        <v>279</v>
      </c>
    </row>
    <row r="383" spans="1:1" x14ac:dyDescent="0.25">
      <c r="A383" t="s">
        <v>634</v>
      </c>
    </row>
    <row r="384" spans="1:1" x14ac:dyDescent="0.25">
      <c r="A384" t="s">
        <v>635</v>
      </c>
    </row>
    <row r="385" spans="1:1" x14ac:dyDescent="0.25">
      <c r="A385" t="s">
        <v>599</v>
      </c>
    </row>
    <row r="386" spans="1:1" x14ac:dyDescent="0.25">
      <c r="A386" t="s">
        <v>542</v>
      </c>
    </row>
    <row r="387" spans="1:1" x14ac:dyDescent="0.25">
      <c r="A387" t="s">
        <v>636</v>
      </c>
    </row>
    <row r="388" spans="1:1" x14ac:dyDescent="0.25">
      <c r="A388" t="s">
        <v>248</v>
      </c>
    </row>
    <row r="390" spans="1:1" x14ac:dyDescent="0.25">
      <c r="A390" t="s">
        <v>244</v>
      </c>
    </row>
    <row r="391" spans="1:1" x14ac:dyDescent="0.25">
      <c r="A391" t="s">
        <v>279</v>
      </c>
    </row>
    <row r="392" spans="1:1" x14ac:dyDescent="0.25">
      <c r="A392" t="s">
        <v>637</v>
      </c>
    </row>
    <row r="393" spans="1:1" x14ac:dyDescent="0.25">
      <c r="A393" t="s">
        <v>638</v>
      </c>
    </row>
    <row r="394" spans="1:1" x14ac:dyDescent="0.25">
      <c r="A394" t="s">
        <v>639</v>
      </c>
    </row>
    <row r="395" spans="1:1" x14ac:dyDescent="0.25">
      <c r="A395" t="s">
        <v>542</v>
      </c>
    </row>
    <row r="396" spans="1:1" x14ac:dyDescent="0.25">
      <c r="A396" t="s">
        <v>640</v>
      </c>
    </row>
    <row r="397" spans="1:1" x14ac:dyDescent="0.25">
      <c r="A397" t="s">
        <v>248</v>
      </c>
    </row>
    <row r="399" spans="1:1" x14ac:dyDescent="0.25">
      <c r="A399" t="s">
        <v>244</v>
      </c>
    </row>
    <row r="400" spans="1:1" x14ac:dyDescent="0.25">
      <c r="A400" t="s">
        <v>245</v>
      </c>
    </row>
    <row r="401" spans="1:1" x14ac:dyDescent="0.25">
      <c r="A401" t="s">
        <v>641</v>
      </c>
    </row>
    <row r="402" spans="1:1" x14ac:dyDescent="0.25">
      <c r="A402" t="s">
        <v>642</v>
      </c>
    </row>
    <row r="403" spans="1:1" x14ac:dyDescent="0.25">
      <c r="A403" t="s">
        <v>643</v>
      </c>
    </row>
    <row r="404" spans="1:1" x14ac:dyDescent="0.25">
      <c r="A404" t="s">
        <v>542</v>
      </c>
    </row>
    <row r="405" spans="1:1" x14ac:dyDescent="0.25">
      <c r="A405" t="s">
        <v>644</v>
      </c>
    </row>
    <row r="406" spans="1:1" x14ac:dyDescent="0.25">
      <c r="A406" t="s">
        <v>248</v>
      </c>
    </row>
    <row r="408" spans="1:1" x14ac:dyDescent="0.25">
      <c r="A408" t="s">
        <v>244</v>
      </c>
    </row>
    <row r="409" spans="1:1" x14ac:dyDescent="0.25">
      <c r="A409" t="s">
        <v>245</v>
      </c>
    </row>
    <row r="410" spans="1:1" x14ac:dyDescent="0.25">
      <c r="A410" t="s">
        <v>645</v>
      </c>
    </row>
    <row r="411" spans="1:1" x14ac:dyDescent="0.25">
      <c r="A411" t="s">
        <v>319</v>
      </c>
    </row>
    <row r="412" spans="1:1" x14ac:dyDescent="0.25">
      <c r="A412" t="s">
        <v>320</v>
      </c>
    </row>
    <row r="413" spans="1:1" x14ac:dyDescent="0.25">
      <c r="A413" t="s">
        <v>542</v>
      </c>
    </row>
    <row r="414" spans="1:1" x14ac:dyDescent="0.25">
      <c r="A414" t="s">
        <v>321</v>
      </c>
    </row>
    <row r="415" spans="1:1" x14ac:dyDescent="0.25">
      <c r="A415" t="s">
        <v>248</v>
      </c>
    </row>
    <row r="417" spans="1:1" x14ac:dyDescent="0.25">
      <c r="A417" t="s">
        <v>244</v>
      </c>
    </row>
    <row r="418" spans="1:1" x14ac:dyDescent="0.25">
      <c r="A418" t="s">
        <v>245</v>
      </c>
    </row>
    <row r="419" spans="1:1" x14ac:dyDescent="0.25">
      <c r="A419" t="s">
        <v>646</v>
      </c>
    </row>
    <row r="420" spans="1:1" x14ac:dyDescent="0.25">
      <c r="A420" t="s">
        <v>647</v>
      </c>
    </row>
    <row r="421" spans="1:1" x14ac:dyDescent="0.25">
      <c r="A421" t="s">
        <v>648</v>
      </c>
    </row>
    <row r="422" spans="1:1" x14ac:dyDescent="0.25">
      <c r="A422" t="s">
        <v>542</v>
      </c>
    </row>
    <row r="423" spans="1:1" x14ac:dyDescent="0.25">
      <c r="A423" t="s">
        <v>649</v>
      </c>
    </row>
    <row r="424" spans="1:1" x14ac:dyDescent="0.25">
      <c r="A424" t="s">
        <v>248</v>
      </c>
    </row>
    <row r="426" spans="1:1" x14ac:dyDescent="0.25">
      <c r="A426" t="s">
        <v>244</v>
      </c>
    </row>
    <row r="427" spans="1:1" x14ac:dyDescent="0.25">
      <c r="A427" t="s">
        <v>245</v>
      </c>
    </row>
    <row r="428" spans="1:1" x14ac:dyDescent="0.25">
      <c r="A428" t="s">
        <v>650</v>
      </c>
    </row>
    <row r="429" spans="1:1" x14ac:dyDescent="0.25">
      <c r="A429" t="s">
        <v>323</v>
      </c>
    </row>
    <row r="430" spans="1:1" x14ac:dyDescent="0.25">
      <c r="A430" t="s">
        <v>639</v>
      </c>
    </row>
    <row r="431" spans="1:1" x14ac:dyDescent="0.25">
      <c r="A431" t="s">
        <v>542</v>
      </c>
    </row>
    <row r="432" spans="1:1" x14ac:dyDescent="0.25">
      <c r="A432" t="s">
        <v>325</v>
      </c>
    </row>
    <row r="433" spans="1:1" x14ac:dyDescent="0.25">
      <c r="A433" t="s">
        <v>324</v>
      </c>
    </row>
    <row r="434" spans="1:1" x14ac:dyDescent="0.25">
      <c r="A434" t="s">
        <v>248</v>
      </c>
    </row>
    <row r="436" spans="1:1" x14ac:dyDescent="0.25">
      <c r="A436" t="s">
        <v>244</v>
      </c>
    </row>
    <row r="437" spans="1:1" x14ac:dyDescent="0.25">
      <c r="A437" t="s">
        <v>245</v>
      </c>
    </row>
    <row r="438" spans="1:1" x14ac:dyDescent="0.25">
      <c r="A438" t="s">
        <v>651</v>
      </c>
    </row>
    <row r="439" spans="1:1" x14ac:dyDescent="0.25">
      <c r="A439" t="s">
        <v>327</v>
      </c>
    </row>
    <row r="440" spans="1:1" x14ac:dyDescent="0.25">
      <c r="A440" t="s">
        <v>320</v>
      </c>
    </row>
    <row r="441" spans="1:1" x14ac:dyDescent="0.25">
      <c r="A441" t="s">
        <v>542</v>
      </c>
    </row>
    <row r="442" spans="1:1" x14ac:dyDescent="0.25">
      <c r="A442" t="s">
        <v>328</v>
      </c>
    </row>
    <row r="443" spans="1:1" x14ac:dyDescent="0.25">
      <c r="A443" t="s">
        <v>248</v>
      </c>
    </row>
    <row r="445" spans="1:1" x14ac:dyDescent="0.25">
      <c r="A445" t="s">
        <v>244</v>
      </c>
    </row>
    <row r="446" spans="1:1" x14ac:dyDescent="0.25">
      <c r="A446" t="s">
        <v>245</v>
      </c>
    </row>
    <row r="447" spans="1:1" x14ac:dyDescent="0.25">
      <c r="A447" t="s">
        <v>652</v>
      </c>
    </row>
    <row r="448" spans="1:1" x14ac:dyDescent="0.25">
      <c r="A448" t="s">
        <v>653</v>
      </c>
    </row>
    <row r="449" spans="1:1" x14ac:dyDescent="0.25">
      <c r="A449" t="s">
        <v>639</v>
      </c>
    </row>
    <row r="450" spans="1:1" x14ac:dyDescent="0.25">
      <c r="A450" t="s">
        <v>542</v>
      </c>
    </row>
    <row r="451" spans="1:1" x14ac:dyDescent="0.25">
      <c r="A451" t="s">
        <v>654</v>
      </c>
    </row>
    <row r="452" spans="1:1" x14ac:dyDescent="0.25">
      <c r="A452" t="s">
        <v>655</v>
      </c>
    </row>
    <row r="453" spans="1:1" x14ac:dyDescent="0.25">
      <c r="A453" t="s">
        <v>248</v>
      </c>
    </row>
    <row r="455" spans="1:1" x14ac:dyDescent="0.25">
      <c r="A455" t="s">
        <v>244</v>
      </c>
    </row>
    <row r="456" spans="1:1" x14ac:dyDescent="0.25">
      <c r="A456" t="s">
        <v>245</v>
      </c>
    </row>
    <row r="457" spans="1:1" x14ac:dyDescent="0.25">
      <c r="A457" t="s">
        <v>656</v>
      </c>
    </row>
    <row r="458" spans="1:1" x14ac:dyDescent="0.25">
      <c r="A458" t="s">
        <v>657</v>
      </c>
    </row>
    <row r="459" spans="1:1" x14ac:dyDescent="0.25">
      <c r="A459" t="s">
        <v>658</v>
      </c>
    </row>
    <row r="460" spans="1:1" x14ac:dyDescent="0.25">
      <c r="A460" t="s">
        <v>542</v>
      </c>
    </row>
    <row r="461" spans="1:1" x14ac:dyDescent="0.25">
      <c r="A461" t="s">
        <v>659</v>
      </c>
    </row>
    <row r="462" spans="1:1" x14ac:dyDescent="0.25">
      <c r="A462" t="s">
        <v>660</v>
      </c>
    </row>
    <row r="463" spans="1:1" x14ac:dyDescent="0.25">
      <c r="A463" t="s">
        <v>248</v>
      </c>
    </row>
    <row r="465" spans="1:1" x14ac:dyDescent="0.25">
      <c r="A465" t="s">
        <v>244</v>
      </c>
    </row>
    <row r="466" spans="1:1" x14ac:dyDescent="0.25">
      <c r="A466" t="s">
        <v>245</v>
      </c>
    </row>
    <row r="467" spans="1:1" x14ac:dyDescent="0.25">
      <c r="A467" t="s">
        <v>661</v>
      </c>
    </row>
    <row r="468" spans="1:1" x14ac:dyDescent="0.25">
      <c r="A468" t="s">
        <v>330</v>
      </c>
    </row>
    <row r="469" spans="1:1" x14ac:dyDescent="0.25">
      <c r="A469" t="s">
        <v>582</v>
      </c>
    </row>
    <row r="470" spans="1:1" x14ac:dyDescent="0.25">
      <c r="A470" t="s">
        <v>542</v>
      </c>
    </row>
    <row r="471" spans="1:1" x14ac:dyDescent="0.25">
      <c r="A471" t="s">
        <v>331</v>
      </c>
    </row>
    <row r="472" spans="1:1" x14ac:dyDescent="0.25">
      <c r="A472" t="s">
        <v>248</v>
      </c>
    </row>
    <row r="474" spans="1:1" x14ac:dyDescent="0.25">
      <c r="A474" t="s">
        <v>244</v>
      </c>
    </row>
    <row r="475" spans="1:1" x14ac:dyDescent="0.25">
      <c r="A475" t="s">
        <v>245</v>
      </c>
    </row>
    <row r="476" spans="1:1" x14ac:dyDescent="0.25">
      <c r="A476" t="s">
        <v>662</v>
      </c>
    </row>
    <row r="477" spans="1:1" x14ac:dyDescent="0.25">
      <c r="A477" t="s">
        <v>547</v>
      </c>
    </row>
    <row r="478" spans="1:1" x14ac:dyDescent="0.25">
      <c r="A478" t="s">
        <v>253</v>
      </c>
    </row>
    <row r="479" spans="1:1" x14ac:dyDescent="0.25">
      <c r="A479" t="s">
        <v>254</v>
      </c>
    </row>
    <row r="480" spans="1:1" x14ac:dyDescent="0.25">
      <c r="A480" t="s">
        <v>663</v>
      </c>
    </row>
    <row r="481" spans="1:1" x14ac:dyDescent="0.25">
      <c r="A481" t="s">
        <v>248</v>
      </c>
    </row>
    <row r="483" spans="1:1" x14ac:dyDescent="0.25">
      <c r="A483" t="s">
        <v>244</v>
      </c>
    </row>
    <row r="484" spans="1:1" x14ac:dyDescent="0.25">
      <c r="A484" t="s">
        <v>279</v>
      </c>
    </row>
    <row r="485" spans="1:1" x14ac:dyDescent="0.25">
      <c r="A485" t="s">
        <v>664</v>
      </c>
    </row>
    <row r="486" spans="1:1" x14ac:dyDescent="0.25">
      <c r="A486" t="s">
        <v>559</v>
      </c>
    </row>
    <row r="487" spans="1:1" x14ac:dyDescent="0.25">
      <c r="A487" t="s">
        <v>665</v>
      </c>
    </row>
    <row r="488" spans="1:1" x14ac:dyDescent="0.25">
      <c r="A488" t="s">
        <v>254</v>
      </c>
    </row>
    <row r="489" spans="1:1" x14ac:dyDescent="0.25">
      <c r="A489" t="s">
        <v>666</v>
      </c>
    </row>
    <row r="490" spans="1:1" x14ac:dyDescent="0.25">
      <c r="A490" t="s">
        <v>248</v>
      </c>
    </row>
    <row r="492" spans="1:1" x14ac:dyDescent="0.25">
      <c r="A492" t="s">
        <v>244</v>
      </c>
    </row>
    <row r="493" spans="1:1" x14ac:dyDescent="0.25">
      <c r="A493" t="s">
        <v>245</v>
      </c>
    </row>
    <row r="494" spans="1:1" x14ac:dyDescent="0.25">
      <c r="A494" t="s">
        <v>667</v>
      </c>
    </row>
    <row r="495" spans="1:1" x14ac:dyDescent="0.25">
      <c r="A495" t="s">
        <v>668</v>
      </c>
    </row>
    <row r="496" spans="1:1" x14ac:dyDescent="0.25">
      <c r="A496" t="s">
        <v>669</v>
      </c>
    </row>
    <row r="497" spans="1:1" x14ac:dyDescent="0.25">
      <c r="A497" t="s">
        <v>254</v>
      </c>
    </row>
    <row r="498" spans="1:1" x14ac:dyDescent="0.25">
      <c r="A498" t="s">
        <v>670</v>
      </c>
    </row>
    <row r="499" spans="1:1" x14ac:dyDescent="0.25">
      <c r="A499" t="s">
        <v>248</v>
      </c>
    </row>
    <row r="501" spans="1:1" x14ac:dyDescent="0.25">
      <c r="A501" t="s">
        <v>244</v>
      </c>
    </row>
    <row r="502" spans="1:1" x14ac:dyDescent="0.25">
      <c r="A502" t="s">
        <v>245</v>
      </c>
    </row>
    <row r="503" spans="1:1" x14ac:dyDescent="0.25">
      <c r="A503" t="s">
        <v>671</v>
      </c>
    </row>
    <row r="504" spans="1:1" x14ac:dyDescent="0.25">
      <c r="A504" t="s">
        <v>565</v>
      </c>
    </row>
    <row r="505" spans="1:1" x14ac:dyDescent="0.25">
      <c r="A505" t="s">
        <v>672</v>
      </c>
    </row>
    <row r="506" spans="1:1" x14ac:dyDescent="0.25">
      <c r="A506" t="s">
        <v>254</v>
      </c>
    </row>
    <row r="507" spans="1:1" x14ac:dyDescent="0.25">
      <c r="A507" t="s">
        <v>673</v>
      </c>
    </row>
    <row r="508" spans="1:1" x14ac:dyDescent="0.25">
      <c r="A508" t="s">
        <v>248</v>
      </c>
    </row>
    <row r="510" spans="1:1" x14ac:dyDescent="0.25">
      <c r="A510" t="s">
        <v>244</v>
      </c>
    </row>
    <row r="511" spans="1:1" x14ac:dyDescent="0.25">
      <c r="A511" t="s">
        <v>245</v>
      </c>
    </row>
    <row r="512" spans="1:1" x14ac:dyDescent="0.25">
      <c r="A512" t="s">
        <v>674</v>
      </c>
    </row>
    <row r="513" spans="1:1" x14ac:dyDescent="0.25">
      <c r="A513" t="s">
        <v>675</v>
      </c>
    </row>
    <row r="514" spans="1:1" x14ac:dyDescent="0.25">
      <c r="A514" t="s">
        <v>282</v>
      </c>
    </row>
    <row r="515" spans="1:1" x14ac:dyDescent="0.25">
      <c r="A515" t="s">
        <v>254</v>
      </c>
    </row>
    <row r="516" spans="1:1" x14ac:dyDescent="0.25">
      <c r="A516" t="s">
        <v>676</v>
      </c>
    </row>
    <row r="517" spans="1:1" x14ac:dyDescent="0.25">
      <c r="A517" t="s">
        <v>677</v>
      </c>
    </row>
    <row r="518" spans="1:1" x14ac:dyDescent="0.25">
      <c r="A518" t="s">
        <v>248</v>
      </c>
    </row>
    <row r="520" spans="1:1" x14ac:dyDescent="0.25">
      <c r="A520" t="s">
        <v>244</v>
      </c>
    </row>
    <row r="521" spans="1:1" x14ac:dyDescent="0.25">
      <c r="A521" t="s">
        <v>245</v>
      </c>
    </row>
    <row r="522" spans="1:1" x14ac:dyDescent="0.25">
      <c r="A522" t="s">
        <v>678</v>
      </c>
    </row>
    <row r="523" spans="1:1" x14ac:dyDescent="0.25">
      <c r="A523" t="s">
        <v>679</v>
      </c>
    </row>
    <row r="524" spans="1:1" x14ac:dyDescent="0.25">
      <c r="A524" t="s">
        <v>294</v>
      </c>
    </row>
    <row r="525" spans="1:1" x14ac:dyDescent="0.25">
      <c r="A525" t="s">
        <v>254</v>
      </c>
    </row>
    <row r="526" spans="1:1" x14ac:dyDescent="0.25">
      <c r="A526" t="s">
        <v>261</v>
      </c>
    </row>
    <row r="527" spans="1:1" x14ac:dyDescent="0.25">
      <c r="A527" t="s">
        <v>680</v>
      </c>
    </row>
    <row r="528" spans="1:1" x14ac:dyDescent="0.25">
      <c r="A528" t="s">
        <v>248</v>
      </c>
    </row>
    <row r="530" spans="1:1" x14ac:dyDescent="0.25">
      <c r="A530" t="s">
        <v>244</v>
      </c>
    </row>
    <row r="531" spans="1:1" x14ac:dyDescent="0.25">
      <c r="A531" t="s">
        <v>279</v>
      </c>
    </row>
    <row r="532" spans="1:1" x14ac:dyDescent="0.25">
      <c r="A532" t="s">
        <v>681</v>
      </c>
    </row>
    <row r="533" spans="1:1" x14ac:dyDescent="0.25">
      <c r="A533" t="s">
        <v>682</v>
      </c>
    </row>
    <row r="534" spans="1:1" x14ac:dyDescent="0.25">
      <c r="A534" t="s">
        <v>672</v>
      </c>
    </row>
    <row r="535" spans="1:1" x14ac:dyDescent="0.25">
      <c r="A535" t="s">
        <v>254</v>
      </c>
    </row>
    <row r="536" spans="1:1" x14ac:dyDescent="0.25">
      <c r="A536" t="s">
        <v>676</v>
      </c>
    </row>
    <row r="537" spans="1:1" x14ac:dyDescent="0.25">
      <c r="A537" t="s">
        <v>683</v>
      </c>
    </row>
    <row r="538" spans="1:1" x14ac:dyDescent="0.25">
      <c r="A538" t="s">
        <v>248</v>
      </c>
    </row>
    <row r="540" spans="1:1" x14ac:dyDescent="0.25">
      <c r="A540" t="s">
        <v>244</v>
      </c>
    </row>
    <row r="541" spans="1:1" x14ac:dyDescent="0.25">
      <c r="A541" t="s">
        <v>573</v>
      </c>
    </row>
    <row r="542" spans="1:1" x14ac:dyDescent="0.25">
      <c r="A542" t="s">
        <v>684</v>
      </c>
    </row>
    <row r="543" spans="1:1" x14ac:dyDescent="0.25">
      <c r="A543" t="s">
        <v>685</v>
      </c>
    </row>
    <row r="544" spans="1:1" x14ac:dyDescent="0.25">
      <c r="A544" t="s">
        <v>686</v>
      </c>
    </row>
    <row r="545" spans="1:1" x14ac:dyDescent="0.25">
      <c r="A545" t="s">
        <v>254</v>
      </c>
    </row>
    <row r="546" spans="1:1" x14ac:dyDescent="0.25">
      <c r="A546" t="s">
        <v>687</v>
      </c>
    </row>
    <row r="547" spans="1:1" x14ac:dyDescent="0.25">
      <c r="A547" t="s">
        <v>688</v>
      </c>
    </row>
    <row r="548" spans="1:1" x14ac:dyDescent="0.25">
      <c r="A548" t="s">
        <v>248</v>
      </c>
    </row>
    <row r="550" spans="1:1" x14ac:dyDescent="0.25">
      <c r="A550" t="s">
        <v>244</v>
      </c>
    </row>
    <row r="551" spans="1:1" x14ac:dyDescent="0.25">
      <c r="A551" t="s">
        <v>573</v>
      </c>
    </row>
    <row r="552" spans="1:1" x14ac:dyDescent="0.25">
      <c r="A552" t="s">
        <v>689</v>
      </c>
    </row>
    <row r="553" spans="1:1" x14ac:dyDescent="0.25">
      <c r="A553" t="s">
        <v>575</v>
      </c>
    </row>
    <row r="554" spans="1:1" x14ac:dyDescent="0.25">
      <c r="A554" t="s">
        <v>686</v>
      </c>
    </row>
    <row r="555" spans="1:1" x14ac:dyDescent="0.25">
      <c r="A555" t="s">
        <v>254</v>
      </c>
    </row>
    <row r="556" spans="1:1" x14ac:dyDescent="0.25">
      <c r="A556" t="s">
        <v>577</v>
      </c>
    </row>
    <row r="557" spans="1:1" x14ac:dyDescent="0.25">
      <c r="A557" t="s">
        <v>688</v>
      </c>
    </row>
    <row r="558" spans="1:1" x14ac:dyDescent="0.25">
      <c r="A558" t="s">
        <v>248</v>
      </c>
    </row>
    <row r="560" spans="1:1" x14ac:dyDescent="0.25">
      <c r="A560" t="s">
        <v>244</v>
      </c>
    </row>
    <row r="561" spans="1:1" x14ac:dyDescent="0.25">
      <c r="A561" t="s">
        <v>573</v>
      </c>
    </row>
    <row r="562" spans="1:1" x14ac:dyDescent="0.25">
      <c r="A562" t="s">
        <v>690</v>
      </c>
    </row>
    <row r="563" spans="1:1" x14ac:dyDescent="0.25">
      <c r="A563" t="s">
        <v>691</v>
      </c>
    </row>
    <row r="564" spans="1:1" x14ac:dyDescent="0.25">
      <c r="A564" t="s">
        <v>686</v>
      </c>
    </row>
    <row r="565" spans="1:1" x14ac:dyDescent="0.25">
      <c r="A565" t="s">
        <v>254</v>
      </c>
    </row>
    <row r="566" spans="1:1" x14ac:dyDescent="0.25">
      <c r="A566" t="s">
        <v>692</v>
      </c>
    </row>
    <row r="567" spans="1:1" x14ac:dyDescent="0.25">
      <c r="A567" t="s">
        <v>688</v>
      </c>
    </row>
    <row r="568" spans="1:1" x14ac:dyDescent="0.25">
      <c r="A568" t="s">
        <v>248</v>
      </c>
    </row>
    <row r="570" spans="1:1" x14ac:dyDescent="0.25">
      <c r="A570" t="s">
        <v>244</v>
      </c>
    </row>
    <row r="571" spans="1:1" x14ac:dyDescent="0.25">
      <c r="A571" t="s">
        <v>245</v>
      </c>
    </row>
    <row r="572" spans="1:1" x14ac:dyDescent="0.25">
      <c r="A572" t="s">
        <v>693</v>
      </c>
    </row>
    <row r="573" spans="1:1" x14ac:dyDescent="0.25">
      <c r="A573" t="s">
        <v>694</v>
      </c>
    </row>
    <row r="574" spans="1:1" x14ac:dyDescent="0.25">
      <c r="A574" t="s">
        <v>686</v>
      </c>
    </row>
    <row r="575" spans="1:1" x14ac:dyDescent="0.25">
      <c r="A575" t="s">
        <v>254</v>
      </c>
    </row>
    <row r="576" spans="1:1" x14ac:dyDescent="0.25">
      <c r="A576" t="s">
        <v>695</v>
      </c>
    </row>
    <row r="577" spans="1:1" x14ac:dyDescent="0.25">
      <c r="A577" t="s">
        <v>248</v>
      </c>
    </row>
    <row r="579" spans="1:1" x14ac:dyDescent="0.25">
      <c r="A579" t="s">
        <v>244</v>
      </c>
    </row>
    <row r="580" spans="1:1" x14ac:dyDescent="0.25">
      <c r="A580" t="s">
        <v>245</v>
      </c>
    </row>
    <row r="581" spans="1:1" x14ac:dyDescent="0.25">
      <c r="A581" t="s">
        <v>696</v>
      </c>
    </row>
    <row r="582" spans="1:1" x14ac:dyDescent="0.25">
      <c r="A582" t="s">
        <v>598</v>
      </c>
    </row>
    <row r="583" spans="1:1" x14ac:dyDescent="0.25">
      <c r="A583" t="s">
        <v>294</v>
      </c>
    </row>
    <row r="584" spans="1:1" x14ac:dyDescent="0.25">
      <c r="A584" t="s">
        <v>254</v>
      </c>
    </row>
    <row r="585" spans="1:1" x14ac:dyDescent="0.25">
      <c r="A585" t="s">
        <v>697</v>
      </c>
    </row>
    <row r="586" spans="1:1" x14ac:dyDescent="0.25">
      <c r="A586" t="s">
        <v>698</v>
      </c>
    </row>
    <row r="587" spans="1:1" x14ac:dyDescent="0.25">
      <c r="A587" t="s">
        <v>248</v>
      </c>
    </row>
    <row r="589" spans="1:1" x14ac:dyDescent="0.25">
      <c r="A589" t="s">
        <v>244</v>
      </c>
    </row>
    <row r="590" spans="1:1" x14ac:dyDescent="0.25">
      <c r="A590" t="s">
        <v>279</v>
      </c>
    </row>
    <row r="591" spans="1:1" x14ac:dyDescent="0.25">
      <c r="A591" t="s">
        <v>699</v>
      </c>
    </row>
    <row r="592" spans="1:1" x14ac:dyDescent="0.25">
      <c r="A592" t="s">
        <v>700</v>
      </c>
    </row>
    <row r="593" spans="1:1" x14ac:dyDescent="0.25">
      <c r="A593" t="s">
        <v>301</v>
      </c>
    </row>
    <row r="594" spans="1:1" x14ac:dyDescent="0.25">
      <c r="A594" t="s">
        <v>254</v>
      </c>
    </row>
    <row r="595" spans="1:1" x14ac:dyDescent="0.25">
      <c r="A595" t="s">
        <v>701</v>
      </c>
    </row>
    <row r="596" spans="1:1" x14ac:dyDescent="0.25">
      <c r="A596" t="s">
        <v>702</v>
      </c>
    </row>
    <row r="597" spans="1:1" x14ac:dyDescent="0.25">
      <c r="A597" t="s">
        <v>248</v>
      </c>
    </row>
    <row r="599" spans="1:1" x14ac:dyDescent="0.25">
      <c r="A599" t="s">
        <v>244</v>
      </c>
    </row>
    <row r="600" spans="1:1" x14ac:dyDescent="0.25">
      <c r="A600" t="s">
        <v>245</v>
      </c>
    </row>
    <row r="601" spans="1:1" x14ac:dyDescent="0.25">
      <c r="A601" t="s">
        <v>703</v>
      </c>
    </row>
    <row r="602" spans="1:1" x14ac:dyDescent="0.25">
      <c r="A602" t="s">
        <v>613</v>
      </c>
    </row>
    <row r="603" spans="1:1" x14ac:dyDescent="0.25">
      <c r="A603" t="s">
        <v>704</v>
      </c>
    </row>
    <row r="604" spans="1:1" x14ac:dyDescent="0.25">
      <c r="A604" t="s">
        <v>254</v>
      </c>
    </row>
    <row r="605" spans="1:1" x14ac:dyDescent="0.25">
      <c r="A605" t="s">
        <v>705</v>
      </c>
    </row>
    <row r="606" spans="1:1" x14ac:dyDescent="0.25">
      <c r="A606" t="s">
        <v>298</v>
      </c>
    </row>
    <row r="607" spans="1:1" x14ac:dyDescent="0.25">
      <c r="A607" t="s">
        <v>248</v>
      </c>
    </row>
    <row r="609" spans="1:1" x14ac:dyDescent="0.25">
      <c r="A609" t="s">
        <v>244</v>
      </c>
    </row>
    <row r="610" spans="1:1" x14ac:dyDescent="0.25">
      <c r="A610" t="s">
        <v>245</v>
      </c>
    </row>
    <row r="611" spans="1:1" x14ac:dyDescent="0.25">
      <c r="A611" t="s">
        <v>706</v>
      </c>
    </row>
    <row r="612" spans="1:1" x14ac:dyDescent="0.25">
      <c r="A612" t="s">
        <v>616</v>
      </c>
    </row>
    <row r="613" spans="1:1" x14ac:dyDescent="0.25">
      <c r="A613" t="s">
        <v>672</v>
      </c>
    </row>
    <row r="614" spans="1:1" x14ac:dyDescent="0.25">
      <c r="A614" t="s">
        <v>254</v>
      </c>
    </row>
    <row r="615" spans="1:1" x14ac:dyDescent="0.25">
      <c r="A615" t="s">
        <v>707</v>
      </c>
    </row>
    <row r="616" spans="1:1" x14ac:dyDescent="0.25">
      <c r="A616" t="s">
        <v>708</v>
      </c>
    </row>
    <row r="617" spans="1:1" x14ac:dyDescent="0.25">
      <c r="A617" t="s">
        <v>248</v>
      </c>
    </row>
    <row r="619" spans="1:1" x14ac:dyDescent="0.25">
      <c r="A619" t="s">
        <v>244</v>
      </c>
    </row>
    <row r="620" spans="1:1" x14ac:dyDescent="0.25">
      <c r="A620" t="s">
        <v>245</v>
      </c>
    </row>
    <row r="621" spans="1:1" x14ac:dyDescent="0.25">
      <c r="A621" t="s">
        <v>709</v>
      </c>
    </row>
    <row r="622" spans="1:1" x14ac:dyDescent="0.25">
      <c r="A622" t="s">
        <v>619</v>
      </c>
    </row>
    <row r="623" spans="1:1" x14ac:dyDescent="0.25">
      <c r="A623" t="s">
        <v>265</v>
      </c>
    </row>
    <row r="624" spans="1:1" x14ac:dyDescent="0.25">
      <c r="A624" t="s">
        <v>254</v>
      </c>
    </row>
    <row r="625" spans="1:1" x14ac:dyDescent="0.25">
      <c r="A625" t="s">
        <v>710</v>
      </c>
    </row>
    <row r="626" spans="1:1" x14ac:dyDescent="0.25">
      <c r="A626" t="s">
        <v>248</v>
      </c>
    </row>
    <row r="628" spans="1:1" x14ac:dyDescent="0.25">
      <c r="A628" t="s">
        <v>244</v>
      </c>
    </row>
    <row r="629" spans="1:1" x14ac:dyDescent="0.25">
      <c r="A629" t="s">
        <v>245</v>
      </c>
    </row>
    <row r="630" spans="1:1" x14ac:dyDescent="0.25">
      <c r="A630" t="s">
        <v>711</v>
      </c>
    </row>
    <row r="631" spans="1:1" x14ac:dyDescent="0.25">
      <c r="A631" t="s">
        <v>624</v>
      </c>
    </row>
    <row r="632" spans="1:1" x14ac:dyDescent="0.25">
      <c r="A632" t="s">
        <v>282</v>
      </c>
    </row>
    <row r="633" spans="1:1" x14ac:dyDescent="0.25">
      <c r="A633" t="s">
        <v>254</v>
      </c>
    </row>
    <row r="634" spans="1:1" x14ac:dyDescent="0.25">
      <c r="A634" t="s">
        <v>712</v>
      </c>
    </row>
    <row r="635" spans="1:1" x14ac:dyDescent="0.25">
      <c r="A635" t="s">
        <v>248</v>
      </c>
    </row>
    <row r="637" spans="1:1" x14ac:dyDescent="0.25">
      <c r="A637" t="s">
        <v>244</v>
      </c>
    </row>
    <row r="638" spans="1:1" x14ac:dyDescent="0.25">
      <c r="A638" t="s">
        <v>245</v>
      </c>
    </row>
    <row r="639" spans="1:1" x14ac:dyDescent="0.25">
      <c r="A639" t="s">
        <v>713</v>
      </c>
    </row>
    <row r="640" spans="1:1" x14ac:dyDescent="0.25">
      <c r="A640" t="s">
        <v>714</v>
      </c>
    </row>
    <row r="641" spans="1:1" x14ac:dyDescent="0.25">
      <c r="A641" t="s">
        <v>282</v>
      </c>
    </row>
    <row r="642" spans="1:1" x14ac:dyDescent="0.25">
      <c r="A642" t="s">
        <v>254</v>
      </c>
    </row>
    <row r="643" spans="1:1" x14ac:dyDescent="0.25">
      <c r="A643" t="s">
        <v>715</v>
      </c>
    </row>
    <row r="644" spans="1:1" x14ac:dyDescent="0.25">
      <c r="A644" t="s">
        <v>248</v>
      </c>
    </row>
    <row r="646" spans="1:1" x14ac:dyDescent="0.25">
      <c r="A646" t="s">
        <v>244</v>
      </c>
    </row>
    <row r="647" spans="1:1" x14ac:dyDescent="0.25">
      <c r="A647" t="s">
        <v>245</v>
      </c>
    </row>
    <row r="648" spans="1:1" x14ac:dyDescent="0.25">
      <c r="A648" t="s">
        <v>716</v>
      </c>
    </row>
    <row r="649" spans="1:1" x14ac:dyDescent="0.25">
      <c r="A649" t="s">
        <v>638</v>
      </c>
    </row>
    <row r="650" spans="1:1" x14ac:dyDescent="0.25">
      <c r="A650" t="s">
        <v>320</v>
      </c>
    </row>
    <row r="651" spans="1:1" x14ac:dyDescent="0.25">
      <c r="A651" t="s">
        <v>254</v>
      </c>
    </row>
    <row r="652" spans="1:1" x14ac:dyDescent="0.25">
      <c r="A652" t="s">
        <v>717</v>
      </c>
    </row>
    <row r="653" spans="1:1" x14ac:dyDescent="0.25">
      <c r="A653" t="s">
        <v>248</v>
      </c>
    </row>
    <row r="655" spans="1:1" x14ac:dyDescent="0.25">
      <c r="A655" t="s">
        <v>244</v>
      </c>
    </row>
    <row r="656" spans="1:1" x14ac:dyDescent="0.25">
      <c r="A656" t="s">
        <v>245</v>
      </c>
    </row>
    <row r="657" spans="1:1" x14ac:dyDescent="0.25">
      <c r="A657" t="s">
        <v>718</v>
      </c>
    </row>
    <row r="658" spans="1:1" x14ac:dyDescent="0.25">
      <c r="A658" t="s">
        <v>642</v>
      </c>
    </row>
    <row r="659" spans="1:1" x14ac:dyDescent="0.25">
      <c r="A659" t="s">
        <v>320</v>
      </c>
    </row>
    <row r="660" spans="1:1" x14ac:dyDescent="0.25">
      <c r="A660" t="s">
        <v>254</v>
      </c>
    </row>
    <row r="661" spans="1:1" x14ac:dyDescent="0.25">
      <c r="A661" t="s">
        <v>719</v>
      </c>
    </row>
    <row r="662" spans="1:1" x14ac:dyDescent="0.25">
      <c r="A662" t="s">
        <v>720</v>
      </c>
    </row>
    <row r="663" spans="1:1" x14ac:dyDescent="0.25">
      <c r="A663" t="s">
        <v>248</v>
      </c>
    </row>
    <row r="665" spans="1:1" x14ac:dyDescent="0.25">
      <c r="A665" t="s">
        <v>244</v>
      </c>
    </row>
    <row r="666" spans="1:1" x14ac:dyDescent="0.25">
      <c r="A666" t="s">
        <v>245</v>
      </c>
    </row>
    <row r="667" spans="1:1" x14ac:dyDescent="0.25">
      <c r="A667" t="s">
        <v>721</v>
      </c>
    </row>
    <row r="668" spans="1:1" x14ac:dyDescent="0.25">
      <c r="A668" t="s">
        <v>647</v>
      </c>
    </row>
    <row r="669" spans="1:1" x14ac:dyDescent="0.25">
      <c r="A669" t="s">
        <v>722</v>
      </c>
    </row>
    <row r="670" spans="1:1" x14ac:dyDescent="0.25">
      <c r="A670" t="s">
        <v>254</v>
      </c>
    </row>
    <row r="671" spans="1:1" x14ac:dyDescent="0.25">
      <c r="A671" t="s">
        <v>723</v>
      </c>
    </row>
    <row r="672" spans="1:1" x14ac:dyDescent="0.25">
      <c r="A672" t="s">
        <v>248</v>
      </c>
    </row>
    <row r="674" spans="1:1" x14ac:dyDescent="0.25">
      <c r="A674" t="s">
        <v>244</v>
      </c>
    </row>
    <row r="675" spans="1:1" x14ac:dyDescent="0.25">
      <c r="A675" t="s">
        <v>245</v>
      </c>
    </row>
    <row r="676" spans="1:1" x14ac:dyDescent="0.25">
      <c r="A676" t="s">
        <v>724</v>
      </c>
    </row>
    <row r="677" spans="1:1" x14ac:dyDescent="0.25">
      <c r="A677" t="s">
        <v>653</v>
      </c>
    </row>
    <row r="678" spans="1:1" x14ac:dyDescent="0.25">
      <c r="A678" t="s">
        <v>320</v>
      </c>
    </row>
    <row r="679" spans="1:1" x14ac:dyDescent="0.25">
      <c r="A679" t="s">
        <v>254</v>
      </c>
    </row>
    <row r="680" spans="1:1" x14ac:dyDescent="0.25">
      <c r="A680" t="s">
        <v>725</v>
      </c>
    </row>
    <row r="681" spans="1:1" x14ac:dyDescent="0.25">
      <c r="A681" t="s">
        <v>248</v>
      </c>
    </row>
    <row r="683" spans="1:1" x14ac:dyDescent="0.25">
      <c r="A683" t="s">
        <v>244</v>
      </c>
    </row>
    <row r="684" spans="1:1" x14ac:dyDescent="0.25">
      <c r="A684" t="s">
        <v>245</v>
      </c>
    </row>
    <row r="685" spans="1:1" x14ac:dyDescent="0.25">
      <c r="A685" t="s">
        <v>726</v>
      </c>
    </row>
    <row r="686" spans="1:1" x14ac:dyDescent="0.25">
      <c r="A686" t="s">
        <v>657</v>
      </c>
    </row>
    <row r="687" spans="1:1" x14ac:dyDescent="0.25">
      <c r="A687" t="s">
        <v>658</v>
      </c>
    </row>
    <row r="688" spans="1:1" x14ac:dyDescent="0.25">
      <c r="A688" t="s">
        <v>254</v>
      </c>
    </row>
    <row r="689" spans="1:1" x14ac:dyDescent="0.25">
      <c r="A689" t="s">
        <v>727</v>
      </c>
    </row>
    <row r="690" spans="1:1" x14ac:dyDescent="0.25">
      <c r="A690" t="s">
        <v>248</v>
      </c>
    </row>
    <row r="692" spans="1:1" x14ac:dyDescent="0.25">
      <c r="A692" t="s">
        <v>244</v>
      </c>
    </row>
    <row r="693" spans="1:1" x14ac:dyDescent="0.25">
      <c r="A693" t="s">
        <v>279</v>
      </c>
    </row>
    <row r="694" spans="1:1" x14ac:dyDescent="0.25">
      <c r="A694" t="s">
        <v>728</v>
      </c>
    </row>
    <row r="695" spans="1:1" x14ac:dyDescent="0.25">
      <c r="A695" t="s">
        <v>729</v>
      </c>
    </row>
    <row r="696" spans="1:1" x14ac:dyDescent="0.25">
      <c r="A696" t="s">
        <v>282</v>
      </c>
    </row>
    <row r="697" spans="1:1" x14ac:dyDescent="0.25">
      <c r="A697" t="s">
        <v>254</v>
      </c>
    </row>
    <row r="698" spans="1:1" x14ac:dyDescent="0.25">
      <c r="A698" t="s">
        <v>730</v>
      </c>
    </row>
    <row r="699" spans="1:1" x14ac:dyDescent="0.25">
      <c r="A699" t="s">
        <v>248</v>
      </c>
    </row>
    <row r="701" spans="1:1" x14ac:dyDescent="0.25">
      <c r="A701" t="s">
        <v>244</v>
      </c>
    </row>
    <row r="702" spans="1:1" x14ac:dyDescent="0.25">
      <c r="A702" t="s">
        <v>245</v>
      </c>
    </row>
    <row r="703" spans="1:1" x14ac:dyDescent="0.25">
      <c r="A703" t="s">
        <v>731</v>
      </c>
    </row>
    <row r="704" spans="1:1" x14ac:dyDescent="0.25">
      <c r="A704" t="s">
        <v>732</v>
      </c>
    </row>
    <row r="705" spans="1:1" x14ac:dyDescent="0.25">
      <c r="A705" t="s">
        <v>282</v>
      </c>
    </row>
    <row r="706" spans="1:1" x14ac:dyDescent="0.25">
      <c r="A706" t="s">
        <v>254</v>
      </c>
    </row>
    <row r="707" spans="1:1" x14ac:dyDescent="0.25">
      <c r="A707" t="s">
        <v>733</v>
      </c>
    </row>
    <row r="708" spans="1:1" x14ac:dyDescent="0.25">
      <c r="A708" t="s">
        <v>734</v>
      </c>
    </row>
    <row r="709" spans="1:1" x14ac:dyDescent="0.25">
      <c r="A709" t="s">
        <v>735</v>
      </c>
    </row>
    <row r="710" spans="1:1" x14ac:dyDescent="0.25">
      <c r="A710" t="s">
        <v>248</v>
      </c>
    </row>
    <row r="712" spans="1:1" x14ac:dyDescent="0.25">
      <c r="A712" t="s">
        <v>244</v>
      </c>
    </row>
    <row r="713" spans="1:1" x14ac:dyDescent="0.25">
      <c r="A713" t="s">
        <v>245</v>
      </c>
    </row>
    <row r="714" spans="1:1" x14ac:dyDescent="0.25">
      <c r="A714" t="s">
        <v>736</v>
      </c>
    </row>
    <row r="715" spans="1:1" x14ac:dyDescent="0.25">
      <c r="A715" t="s">
        <v>737</v>
      </c>
    </row>
    <row r="716" spans="1:1" x14ac:dyDescent="0.25">
      <c r="A716" t="s">
        <v>738</v>
      </c>
    </row>
    <row r="717" spans="1:1" x14ac:dyDescent="0.25">
      <c r="A717" t="s">
        <v>254</v>
      </c>
    </row>
    <row r="718" spans="1:1" x14ac:dyDescent="0.25">
      <c r="A718" t="s">
        <v>739</v>
      </c>
    </row>
    <row r="719" spans="1:1" x14ac:dyDescent="0.25">
      <c r="A719" t="s">
        <v>740</v>
      </c>
    </row>
    <row r="720" spans="1:1" x14ac:dyDescent="0.25">
      <c r="A720" t="s">
        <v>248</v>
      </c>
    </row>
    <row r="722" spans="1:1" x14ac:dyDescent="0.25">
      <c r="A722" t="s">
        <v>244</v>
      </c>
    </row>
    <row r="723" spans="1:1" x14ac:dyDescent="0.25">
      <c r="A723" t="s">
        <v>245</v>
      </c>
    </row>
    <row r="724" spans="1:1" x14ac:dyDescent="0.25">
      <c r="A724" t="s">
        <v>741</v>
      </c>
    </row>
    <row r="725" spans="1:1" x14ac:dyDescent="0.25">
      <c r="A725" t="s">
        <v>742</v>
      </c>
    </row>
    <row r="726" spans="1:1" x14ac:dyDescent="0.25">
      <c r="A726" t="s">
        <v>743</v>
      </c>
    </row>
    <row r="727" spans="1:1" x14ac:dyDescent="0.25">
      <c r="A727" t="s">
        <v>254</v>
      </c>
    </row>
    <row r="728" spans="1:1" x14ac:dyDescent="0.25">
      <c r="A728" t="s">
        <v>744</v>
      </c>
    </row>
    <row r="729" spans="1:1" x14ac:dyDescent="0.25">
      <c r="A729" t="s">
        <v>248</v>
      </c>
    </row>
    <row r="731" spans="1:1" x14ac:dyDescent="0.25">
      <c r="A731" t="s">
        <v>244</v>
      </c>
    </row>
    <row r="732" spans="1:1" x14ac:dyDescent="0.25">
      <c r="A732" t="s">
        <v>245</v>
      </c>
    </row>
    <row r="733" spans="1:1" x14ac:dyDescent="0.25">
      <c r="A733" t="s">
        <v>745</v>
      </c>
    </row>
    <row r="734" spans="1:1" x14ac:dyDescent="0.25">
      <c r="A734" t="s">
        <v>746</v>
      </c>
    </row>
    <row r="735" spans="1:1" x14ac:dyDescent="0.25">
      <c r="A735" t="s">
        <v>253</v>
      </c>
    </row>
    <row r="736" spans="1:1" x14ac:dyDescent="0.25">
      <c r="A736" t="s">
        <v>254</v>
      </c>
    </row>
    <row r="737" spans="1:1" x14ac:dyDescent="0.25">
      <c r="A737" t="s">
        <v>747</v>
      </c>
    </row>
    <row r="738" spans="1:1" x14ac:dyDescent="0.25">
      <c r="A738" t="s">
        <v>248</v>
      </c>
    </row>
    <row r="740" spans="1:1" x14ac:dyDescent="0.25">
      <c r="A740" t="s">
        <v>244</v>
      </c>
    </row>
    <row r="741" spans="1:1" x14ac:dyDescent="0.25">
      <c r="A741" t="s">
        <v>245</v>
      </c>
    </row>
    <row r="742" spans="1:1" x14ac:dyDescent="0.25">
      <c r="A742" t="s">
        <v>748</v>
      </c>
    </row>
    <row r="743" spans="1:1" x14ac:dyDescent="0.25">
      <c r="A743" t="s">
        <v>749</v>
      </c>
    </row>
    <row r="744" spans="1:1" x14ac:dyDescent="0.25">
      <c r="A744" t="s">
        <v>743</v>
      </c>
    </row>
    <row r="745" spans="1:1" x14ac:dyDescent="0.25">
      <c r="A745" t="s">
        <v>254</v>
      </c>
    </row>
    <row r="746" spans="1:1" x14ac:dyDescent="0.25">
      <c r="A746" t="s">
        <v>750</v>
      </c>
    </row>
    <row r="747" spans="1:1" x14ac:dyDescent="0.25">
      <c r="A747" t="s">
        <v>248</v>
      </c>
    </row>
    <row r="749" spans="1:1" x14ac:dyDescent="0.25">
      <c r="A749" t="s">
        <v>244</v>
      </c>
    </row>
    <row r="750" spans="1:1" x14ac:dyDescent="0.25">
      <c r="A750" t="s">
        <v>245</v>
      </c>
    </row>
    <row r="751" spans="1:1" x14ac:dyDescent="0.25">
      <c r="A751" t="s">
        <v>751</v>
      </c>
    </row>
    <row r="752" spans="1:1" x14ac:dyDescent="0.25">
      <c r="A752" t="s">
        <v>752</v>
      </c>
    </row>
    <row r="753" spans="1:1" x14ac:dyDescent="0.25">
      <c r="A753" t="s">
        <v>253</v>
      </c>
    </row>
    <row r="754" spans="1:1" x14ac:dyDescent="0.25">
      <c r="A754" t="s">
        <v>254</v>
      </c>
    </row>
    <row r="755" spans="1:1" x14ac:dyDescent="0.25">
      <c r="A755" t="s">
        <v>753</v>
      </c>
    </row>
    <row r="756" spans="1:1" x14ac:dyDescent="0.25">
      <c r="A756" t="s">
        <v>248</v>
      </c>
    </row>
    <row r="758" spans="1:1" x14ac:dyDescent="0.25">
      <c r="A758" t="s">
        <v>244</v>
      </c>
    </row>
    <row r="759" spans="1:1" x14ac:dyDescent="0.25">
      <c r="A759" t="s">
        <v>245</v>
      </c>
    </row>
    <row r="760" spans="1:1" x14ac:dyDescent="0.25">
      <c r="A760" t="s">
        <v>754</v>
      </c>
    </row>
    <row r="761" spans="1:1" x14ac:dyDescent="0.25">
      <c r="A761" t="s">
        <v>755</v>
      </c>
    </row>
    <row r="762" spans="1:1" x14ac:dyDescent="0.25">
      <c r="A762" t="s">
        <v>743</v>
      </c>
    </row>
    <row r="763" spans="1:1" x14ac:dyDescent="0.25">
      <c r="A763" t="s">
        <v>254</v>
      </c>
    </row>
    <row r="764" spans="1:1" x14ac:dyDescent="0.25">
      <c r="A764" t="s">
        <v>756</v>
      </c>
    </row>
    <row r="765" spans="1:1" x14ac:dyDescent="0.25">
      <c r="A765" t="s">
        <v>248</v>
      </c>
    </row>
    <row r="767" spans="1:1" x14ac:dyDescent="0.25">
      <c r="A767" t="s">
        <v>244</v>
      </c>
    </row>
    <row r="768" spans="1:1" x14ac:dyDescent="0.25">
      <c r="A768" t="s">
        <v>245</v>
      </c>
    </row>
    <row r="769" spans="1:1" x14ac:dyDescent="0.25">
      <c r="A769" t="s">
        <v>757</v>
      </c>
    </row>
    <row r="770" spans="1:1" x14ac:dyDescent="0.25">
      <c r="A770" t="s">
        <v>758</v>
      </c>
    </row>
    <row r="771" spans="1:1" x14ac:dyDescent="0.25">
      <c r="A771" t="s">
        <v>743</v>
      </c>
    </row>
    <row r="772" spans="1:1" x14ac:dyDescent="0.25">
      <c r="A772" t="s">
        <v>254</v>
      </c>
    </row>
    <row r="773" spans="1:1" x14ac:dyDescent="0.25">
      <c r="A773" t="s">
        <v>759</v>
      </c>
    </row>
    <row r="774" spans="1:1" x14ac:dyDescent="0.25">
      <c r="A774" t="s">
        <v>248</v>
      </c>
    </row>
    <row r="776" spans="1:1" x14ac:dyDescent="0.25">
      <c r="A776" t="s">
        <v>244</v>
      </c>
    </row>
    <row r="777" spans="1:1" x14ac:dyDescent="0.25">
      <c r="A777" t="s">
        <v>245</v>
      </c>
    </row>
    <row r="778" spans="1:1" x14ac:dyDescent="0.25">
      <c r="A778" t="s">
        <v>760</v>
      </c>
    </row>
    <row r="779" spans="1:1" x14ac:dyDescent="0.25">
      <c r="A779" t="s">
        <v>565</v>
      </c>
    </row>
    <row r="780" spans="1:1" x14ac:dyDescent="0.25">
      <c r="A780" t="s">
        <v>761</v>
      </c>
    </row>
    <row r="781" spans="1:1" x14ac:dyDescent="0.25">
      <c r="A781" t="s">
        <v>254</v>
      </c>
    </row>
    <row r="782" spans="1:1" x14ac:dyDescent="0.25">
      <c r="A782" t="s">
        <v>762</v>
      </c>
    </row>
    <row r="783" spans="1:1" x14ac:dyDescent="0.25">
      <c r="A783" t="s">
        <v>763</v>
      </c>
    </row>
    <row r="784" spans="1:1" x14ac:dyDescent="0.25">
      <c r="A784" t="s">
        <v>248</v>
      </c>
    </row>
    <row r="786" spans="1:1" x14ac:dyDescent="0.25">
      <c r="A786" t="s">
        <v>244</v>
      </c>
    </row>
    <row r="787" spans="1:1" x14ac:dyDescent="0.25">
      <c r="A787" t="s">
        <v>279</v>
      </c>
    </row>
    <row r="788" spans="1:1" x14ac:dyDescent="0.25">
      <c r="A788" t="s">
        <v>764</v>
      </c>
    </row>
    <row r="789" spans="1:1" x14ac:dyDescent="0.25">
      <c r="A789" t="s">
        <v>565</v>
      </c>
    </row>
    <row r="790" spans="1:1" x14ac:dyDescent="0.25">
      <c r="A790" t="s">
        <v>672</v>
      </c>
    </row>
    <row r="791" spans="1:1" x14ac:dyDescent="0.25">
      <c r="A791" t="s">
        <v>254</v>
      </c>
    </row>
    <row r="792" spans="1:1" x14ac:dyDescent="0.25">
      <c r="A792" t="s">
        <v>567</v>
      </c>
    </row>
    <row r="793" spans="1:1" x14ac:dyDescent="0.25">
      <c r="A793" t="s">
        <v>765</v>
      </c>
    </row>
    <row r="794" spans="1:1" x14ac:dyDescent="0.25">
      <c r="A794" t="s">
        <v>248</v>
      </c>
    </row>
    <row r="796" spans="1:1" x14ac:dyDescent="0.25">
      <c r="A796" t="s">
        <v>244</v>
      </c>
    </row>
    <row r="797" spans="1:1" x14ac:dyDescent="0.25">
      <c r="A797" t="s">
        <v>245</v>
      </c>
    </row>
    <row r="798" spans="1:1" x14ac:dyDescent="0.25">
      <c r="A798" t="s">
        <v>766</v>
      </c>
    </row>
    <row r="799" spans="1:1" x14ac:dyDescent="0.25">
      <c r="A799" t="s">
        <v>668</v>
      </c>
    </row>
    <row r="800" spans="1:1" x14ac:dyDescent="0.25">
      <c r="A800" t="s">
        <v>669</v>
      </c>
    </row>
    <row r="801" spans="1:1" x14ac:dyDescent="0.25">
      <c r="A801" t="s">
        <v>254</v>
      </c>
    </row>
    <row r="802" spans="1:1" x14ac:dyDescent="0.25">
      <c r="A802" t="s">
        <v>767</v>
      </c>
    </row>
    <row r="803" spans="1:1" x14ac:dyDescent="0.25">
      <c r="A803" t="s">
        <v>248</v>
      </c>
    </row>
    <row r="805" spans="1:1" x14ac:dyDescent="0.25">
      <c r="A805" t="s">
        <v>244</v>
      </c>
    </row>
    <row r="806" spans="1:1" x14ac:dyDescent="0.25">
      <c r="A806" t="s">
        <v>245</v>
      </c>
    </row>
    <row r="807" spans="1:1" x14ac:dyDescent="0.25">
      <c r="A807" t="s">
        <v>768</v>
      </c>
    </row>
    <row r="808" spans="1:1" x14ac:dyDescent="0.25">
      <c r="A808" t="s">
        <v>694</v>
      </c>
    </row>
    <row r="809" spans="1:1" x14ac:dyDescent="0.25">
      <c r="A809" t="s">
        <v>686</v>
      </c>
    </row>
    <row r="810" spans="1:1" x14ac:dyDescent="0.25">
      <c r="A810" t="s">
        <v>254</v>
      </c>
    </row>
    <row r="811" spans="1:1" x14ac:dyDescent="0.25">
      <c r="A811" t="s">
        <v>769</v>
      </c>
    </row>
    <row r="812" spans="1:1" x14ac:dyDescent="0.25">
      <c r="A812" t="s">
        <v>248</v>
      </c>
    </row>
    <row r="814" spans="1:1" x14ac:dyDescent="0.25">
      <c r="A814" t="s">
        <v>244</v>
      </c>
    </row>
    <row r="815" spans="1:1" x14ac:dyDescent="0.25">
      <c r="A815" t="s">
        <v>245</v>
      </c>
    </row>
    <row r="816" spans="1:1" x14ac:dyDescent="0.25">
      <c r="A816" t="s">
        <v>770</v>
      </c>
    </row>
    <row r="817" spans="1:1" x14ac:dyDescent="0.25">
      <c r="A817" t="s">
        <v>771</v>
      </c>
    </row>
    <row r="818" spans="1:1" x14ac:dyDescent="0.25">
      <c r="A818" t="s">
        <v>265</v>
      </c>
    </row>
    <row r="819" spans="1:1" x14ac:dyDescent="0.25">
      <c r="A819" t="s">
        <v>254</v>
      </c>
    </row>
    <row r="820" spans="1:1" x14ac:dyDescent="0.25">
      <c r="A820" t="s">
        <v>772</v>
      </c>
    </row>
    <row r="821" spans="1:1" x14ac:dyDescent="0.25">
      <c r="A821" t="s">
        <v>248</v>
      </c>
    </row>
    <row r="823" spans="1:1" x14ac:dyDescent="0.25">
      <c r="A823" t="s">
        <v>244</v>
      </c>
    </row>
    <row r="824" spans="1:1" x14ac:dyDescent="0.25">
      <c r="A824" t="s">
        <v>245</v>
      </c>
    </row>
    <row r="825" spans="1:1" x14ac:dyDescent="0.25">
      <c r="A825" t="s">
        <v>773</v>
      </c>
    </row>
    <row r="826" spans="1:1" x14ac:dyDescent="0.25">
      <c r="A826" t="s">
        <v>774</v>
      </c>
    </row>
    <row r="827" spans="1:1" x14ac:dyDescent="0.25">
      <c r="A827" t="s">
        <v>265</v>
      </c>
    </row>
    <row r="828" spans="1:1" x14ac:dyDescent="0.25">
      <c r="A828" t="s">
        <v>254</v>
      </c>
    </row>
    <row r="829" spans="1:1" x14ac:dyDescent="0.25">
      <c r="A829" t="s">
        <v>775</v>
      </c>
    </row>
    <row r="830" spans="1:1" x14ac:dyDescent="0.25">
      <c r="A830" t="s">
        <v>776</v>
      </c>
    </row>
    <row r="831" spans="1:1" x14ac:dyDescent="0.25">
      <c r="A831" t="s">
        <v>248</v>
      </c>
    </row>
    <row r="833" spans="1:1" x14ac:dyDescent="0.25">
      <c r="A833" t="s">
        <v>244</v>
      </c>
    </row>
    <row r="834" spans="1:1" x14ac:dyDescent="0.25">
      <c r="A834" t="s">
        <v>279</v>
      </c>
    </row>
    <row r="835" spans="1:1" x14ac:dyDescent="0.25">
      <c r="A835" t="s">
        <v>777</v>
      </c>
    </row>
    <row r="836" spans="1:1" x14ac:dyDescent="0.25">
      <c r="A836" t="s">
        <v>619</v>
      </c>
    </row>
    <row r="837" spans="1:1" x14ac:dyDescent="0.25">
      <c r="A837" t="s">
        <v>265</v>
      </c>
    </row>
    <row r="838" spans="1:1" x14ac:dyDescent="0.25">
      <c r="A838" t="s">
        <v>254</v>
      </c>
    </row>
    <row r="839" spans="1:1" x14ac:dyDescent="0.25">
      <c r="A839" t="s">
        <v>778</v>
      </c>
    </row>
    <row r="840" spans="1:1" x14ac:dyDescent="0.25">
      <c r="A840" t="s">
        <v>248</v>
      </c>
    </row>
    <row r="842" spans="1:1" x14ac:dyDescent="0.25">
      <c r="A842" t="s">
        <v>244</v>
      </c>
    </row>
    <row r="843" spans="1:1" x14ac:dyDescent="0.25">
      <c r="A843" t="s">
        <v>245</v>
      </c>
    </row>
    <row r="844" spans="1:1" x14ac:dyDescent="0.25">
      <c r="A844" t="s">
        <v>779</v>
      </c>
    </row>
    <row r="845" spans="1:1" x14ac:dyDescent="0.25">
      <c r="A845" t="s">
        <v>638</v>
      </c>
    </row>
    <row r="846" spans="1:1" x14ac:dyDescent="0.25">
      <c r="A846" t="s">
        <v>320</v>
      </c>
    </row>
    <row r="847" spans="1:1" x14ac:dyDescent="0.25">
      <c r="A847" t="s">
        <v>254</v>
      </c>
    </row>
    <row r="848" spans="1:1" x14ac:dyDescent="0.25">
      <c r="A848" t="s">
        <v>780</v>
      </c>
    </row>
    <row r="849" spans="1:1" x14ac:dyDescent="0.25">
      <c r="A849" t="s">
        <v>781</v>
      </c>
    </row>
    <row r="850" spans="1:1" x14ac:dyDescent="0.25">
      <c r="A850" t="s">
        <v>248</v>
      </c>
    </row>
    <row r="852" spans="1:1" x14ac:dyDescent="0.25">
      <c r="A852" t="s">
        <v>244</v>
      </c>
    </row>
    <row r="853" spans="1:1" x14ac:dyDescent="0.25">
      <c r="A853" t="s">
        <v>245</v>
      </c>
    </row>
    <row r="854" spans="1:1" x14ac:dyDescent="0.25">
      <c r="A854" t="s">
        <v>782</v>
      </c>
    </row>
    <row r="855" spans="1:1" x14ac:dyDescent="0.25">
      <c r="A855" t="s">
        <v>783</v>
      </c>
    </row>
    <row r="856" spans="1:1" x14ac:dyDescent="0.25">
      <c r="A856" t="s">
        <v>320</v>
      </c>
    </row>
    <row r="857" spans="1:1" x14ac:dyDescent="0.25">
      <c r="A857" t="s">
        <v>254</v>
      </c>
    </row>
    <row r="858" spans="1:1" x14ac:dyDescent="0.25">
      <c r="A858" t="s">
        <v>784</v>
      </c>
    </row>
    <row r="859" spans="1:1" x14ac:dyDescent="0.25">
      <c r="A859" t="s">
        <v>248</v>
      </c>
    </row>
    <row r="861" spans="1:1" x14ac:dyDescent="0.25">
      <c r="A861" t="s">
        <v>244</v>
      </c>
    </row>
    <row r="862" spans="1:1" x14ac:dyDescent="0.25">
      <c r="A862" t="s">
        <v>245</v>
      </c>
    </row>
    <row r="863" spans="1:1" x14ac:dyDescent="0.25">
      <c r="A863" t="s">
        <v>785</v>
      </c>
    </row>
    <row r="864" spans="1:1" x14ac:dyDescent="0.25">
      <c r="A864" t="s">
        <v>786</v>
      </c>
    </row>
    <row r="865" spans="1:1" x14ac:dyDescent="0.25">
      <c r="A865" t="s">
        <v>658</v>
      </c>
    </row>
    <row r="866" spans="1:1" x14ac:dyDescent="0.25">
      <c r="A866" t="s">
        <v>254</v>
      </c>
    </row>
    <row r="867" spans="1:1" x14ac:dyDescent="0.25">
      <c r="A867" t="s">
        <v>787</v>
      </c>
    </row>
    <row r="868" spans="1:1" x14ac:dyDescent="0.25">
      <c r="A868" t="s">
        <v>248</v>
      </c>
    </row>
    <row r="870" spans="1:1" x14ac:dyDescent="0.25">
      <c r="A870" t="s">
        <v>244</v>
      </c>
    </row>
    <row r="871" spans="1:1" x14ac:dyDescent="0.25">
      <c r="A871" t="s">
        <v>245</v>
      </c>
    </row>
    <row r="872" spans="1:1" x14ac:dyDescent="0.25">
      <c r="A872" t="s">
        <v>788</v>
      </c>
    </row>
    <row r="873" spans="1:1" x14ac:dyDescent="0.25">
      <c r="A873" t="s">
        <v>789</v>
      </c>
    </row>
    <row r="874" spans="1:1" x14ac:dyDescent="0.25">
      <c r="A874" t="s">
        <v>658</v>
      </c>
    </row>
    <row r="875" spans="1:1" x14ac:dyDescent="0.25">
      <c r="A875" t="s">
        <v>254</v>
      </c>
    </row>
    <row r="876" spans="1:1" x14ac:dyDescent="0.25">
      <c r="A876" t="s">
        <v>790</v>
      </c>
    </row>
    <row r="877" spans="1:1" x14ac:dyDescent="0.25">
      <c r="A877" t="s">
        <v>248</v>
      </c>
    </row>
    <row r="879" spans="1:1" x14ac:dyDescent="0.25">
      <c r="A879" t="s">
        <v>244</v>
      </c>
    </row>
    <row r="880" spans="1:1" x14ac:dyDescent="0.25">
      <c r="A880" t="s">
        <v>245</v>
      </c>
    </row>
    <row r="881" spans="1:1" x14ac:dyDescent="0.25">
      <c r="A881" t="s">
        <v>791</v>
      </c>
    </row>
    <row r="882" spans="1:1" x14ac:dyDescent="0.25">
      <c r="A882" t="s">
        <v>792</v>
      </c>
    </row>
    <row r="883" spans="1:1" x14ac:dyDescent="0.25">
      <c r="A883" t="s">
        <v>658</v>
      </c>
    </row>
    <row r="884" spans="1:1" x14ac:dyDescent="0.25">
      <c r="A884" t="s">
        <v>254</v>
      </c>
    </row>
    <row r="885" spans="1:1" x14ac:dyDescent="0.25">
      <c r="A885" t="s">
        <v>793</v>
      </c>
    </row>
    <row r="886" spans="1:1" x14ac:dyDescent="0.25">
      <c r="A886" t="s">
        <v>794</v>
      </c>
    </row>
    <row r="887" spans="1:1" x14ac:dyDescent="0.25">
      <c r="A887" t="s">
        <v>248</v>
      </c>
    </row>
    <row r="889" spans="1:1" x14ac:dyDescent="0.25">
      <c r="A889" t="s">
        <v>244</v>
      </c>
    </row>
    <row r="890" spans="1:1" x14ac:dyDescent="0.25">
      <c r="A890" t="s">
        <v>245</v>
      </c>
    </row>
    <row r="891" spans="1:1" x14ac:dyDescent="0.25">
      <c r="A891" t="s">
        <v>795</v>
      </c>
    </row>
    <row r="892" spans="1:1" x14ac:dyDescent="0.25">
      <c r="A892" t="s">
        <v>796</v>
      </c>
    </row>
    <row r="893" spans="1:1" x14ac:dyDescent="0.25">
      <c r="A893" t="s">
        <v>658</v>
      </c>
    </row>
    <row r="894" spans="1:1" x14ac:dyDescent="0.25">
      <c r="A894" t="s">
        <v>254</v>
      </c>
    </row>
    <row r="895" spans="1:1" x14ac:dyDescent="0.25">
      <c r="A895" t="s">
        <v>797</v>
      </c>
    </row>
    <row r="896" spans="1:1" x14ac:dyDescent="0.25">
      <c r="A896" t="s">
        <v>248</v>
      </c>
    </row>
    <row r="898" spans="1:1" x14ac:dyDescent="0.25">
      <c r="A898" t="s">
        <v>244</v>
      </c>
    </row>
    <row r="899" spans="1:1" x14ac:dyDescent="0.25">
      <c r="A899" t="s">
        <v>245</v>
      </c>
    </row>
    <row r="900" spans="1:1" x14ac:dyDescent="0.25">
      <c r="A900" t="s">
        <v>798</v>
      </c>
    </row>
    <row r="901" spans="1:1" x14ac:dyDescent="0.25">
      <c r="A901" t="s">
        <v>799</v>
      </c>
    </row>
    <row r="902" spans="1:1" x14ac:dyDescent="0.25">
      <c r="A902" t="s">
        <v>800</v>
      </c>
    </row>
    <row r="903" spans="1:1" x14ac:dyDescent="0.25">
      <c r="A903" t="s">
        <v>254</v>
      </c>
    </row>
    <row r="904" spans="1:1" x14ac:dyDescent="0.25">
      <c r="A904" t="s">
        <v>801</v>
      </c>
    </row>
    <row r="905" spans="1:1" x14ac:dyDescent="0.25">
      <c r="A905" t="s">
        <v>248</v>
      </c>
    </row>
    <row r="907" spans="1:1" x14ac:dyDescent="0.25">
      <c r="A907" t="s">
        <v>244</v>
      </c>
    </row>
    <row r="908" spans="1:1" x14ac:dyDescent="0.25">
      <c r="A908" t="s">
        <v>245</v>
      </c>
    </row>
    <row r="909" spans="1:1" x14ac:dyDescent="0.25">
      <c r="A909" t="s">
        <v>802</v>
      </c>
    </row>
    <row r="910" spans="1:1" x14ac:dyDescent="0.25">
      <c r="A910" t="s">
        <v>803</v>
      </c>
    </row>
    <row r="911" spans="1:1" x14ac:dyDescent="0.25">
      <c r="A911" t="s">
        <v>804</v>
      </c>
    </row>
    <row r="912" spans="1:1" x14ac:dyDescent="0.25">
      <c r="A912" t="s">
        <v>254</v>
      </c>
    </row>
    <row r="913" spans="1:1" x14ac:dyDescent="0.25">
      <c r="A913" t="s">
        <v>739</v>
      </c>
    </row>
    <row r="914" spans="1:1" x14ac:dyDescent="0.25">
      <c r="A914" t="s">
        <v>805</v>
      </c>
    </row>
    <row r="915" spans="1:1" x14ac:dyDescent="0.25">
      <c r="A915" t="s">
        <v>806</v>
      </c>
    </row>
    <row r="916" spans="1:1" x14ac:dyDescent="0.25">
      <c r="A916" t="s">
        <v>248</v>
      </c>
    </row>
    <row r="918" spans="1:1" x14ac:dyDescent="0.25">
      <c r="A918" t="s">
        <v>244</v>
      </c>
    </row>
    <row r="919" spans="1:1" x14ac:dyDescent="0.25">
      <c r="A919" t="s">
        <v>245</v>
      </c>
    </row>
    <row r="920" spans="1:1" x14ac:dyDescent="0.25">
      <c r="A920" t="s">
        <v>807</v>
      </c>
    </row>
    <row r="921" spans="1:1" x14ac:dyDescent="0.25">
      <c r="A921" t="s">
        <v>808</v>
      </c>
    </row>
    <row r="922" spans="1:1" x14ac:dyDescent="0.25">
      <c r="A922" t="s">
        <v>804</v>
      </c>
    </row>
    <row r="923" spans="1:1" x14ac:dyDescent="0.25">
      <c r="A923" t="s">
        <v>254</v>
      </c>
    </row>
    <row r="924" spans="1:1" x14ac:dyDescent="0.25">
      <c r="A924" t="s">
        <v>809</v>
      </c>
    </row>
    <row r="925" spans="1:1" x14ac:dyDescent="0.25">
      <c r="A925" t="s">
        <v>810</v>
      </c>
    </row>
    <row r="926" spans="1:1" x14ac:dyDescent="0.25">
      <c r="A926" t="s">
        <v>811</v>
      </c>
    </row>
    <row r="927" spans="1:1" x14ac:dyDescent="0.25">
      <c r="A927" t="s">
        <v>248</v>
      </c>
    </row>
    <row r="929" spans="1:1" x14ac:dyDescent="0.25">
      <c r="A929" t="s">
        <v>244</v>
      </c>
    </row>
    <row r="930" spans="1:1" x14ac:dyDescent="0.25">
      <c r="A930" t="s">
        <v>245</v>
      </c>
    </row>
    <row r="931" spans="1:1" x14ac:dyDescent="0.25">
      <c r="A931" t="s">
        <v>812</v>
      </c>
    </row>
    <row r="932" spans="1:1" x14ac:dyDescent="0.25">
      <c r="A932" t="s">
        <v>813</v>
      </c>
    </row>
    <row r="933" spans="1:1" x14ac:dyDescent="0.25">
      <c r="A933" t="s">
        <v>804</v>
      </c>
    </row>
    <row r="934" spans="1:1" x14ac:dyDescent="0.25">
      <c r="A934" t="s">
        <v>254</v>
      </c>
    </row>
    <row r="935" spans="1:1" x14ac:dyDescent="0.25">
      <c r="A935" t="s">
        <v>809</v>
      </c>
    </row>
    <row r="936" spans="1:1" x14ac:dyDescent="0.25">
      <c r="A936" t="s">
        <v>814</v>
      </c>
    </row>
    <row r="937" spans="1:1" x14ac:dyDescent="0.25">
      <c r="A937" t="s">
        <v>815</v>
      </c>
    </row>
    <row r="938" spans="1:1" x14ac:dyDescent="0.25">
      <c r="A938" t="s">
        <v>248</v>
      </c>
    </row>
    <row r="940" spans="1:1" x14ac:dyDescent="0.25">
      <c r="A940" t="s">
        <v>244</v>
      </c>
    </row>
    <row r="941" spans="1:1" x14ac:dyDescent="0.25">
      <c r="A941" t="s">
        <v>245</v>
      </c>
    </row>
    <row r="942" spans="1:1" x14ac:dyDescent="0.25">
      <c r="A942" t="s">
        <v>816</v>
      </c>
    </row>
    <row r="943" spans="1:1" x14ac:dyDescent="0.25">
      <c r="A943" t="s">
        <v>817</v>
      </c>
    </row>
    <row r="944" spans="1:1" x14ac:dyDescent="0.25">
      <c r="A944" t="s">
        <v>804</v>
      </c>
    </row>
    <row r="945" spans="1:1" x14ac:dyDescent="0.25">
      <c r="A945" t="s">
        <v>254</v>
      </c>
    </row>
    <row r="946" spans="1:1" x14ac:dyDescent="0.25">
      <c r="A946" t="s">
        <v>818</v>
      </c>
    </row>
    <row r="947" spans="1:1" x14ac:dyDescent="0.25">
      <c r="A947" t="s">
        <v>819</v>
      </c>
    </row>
    <row r="948" spans="1:1" x14ac:dyDescent="0.25">
      <c r="A948" t="s">
        <v>248</v>
      </c>
    </row>
    <row r="950" spans="1:1" x14ac:dyDescent="0.25">
      <c r="A950" t="s">
        <v>244</v>
      </c>
    </row>
    <row r="951" spans="1:1" x14ac:dyDescent="0.25">
      <c r="A951" t="s">
        <v>245</v>
      </c>
    </row>
    <row r="952" spans="1:1" x14ac:dyDescent="0.25">
      <c r="A952" t="s">
        <v>820</v>
      </c>
    </row>
    <row r="953" spans="1:1" x14ac:dyDescent="0.25">
      <c r="A953" t="s">
        <v>821</v>
      </c>
    </row>
    <row r="954" spans="1:1" x14ac:dyDescent="0.25">
      <c r="A954" t="s">
        <v>804</v>
      </c>
    </row>
    <row r="955" spans="1:1" x14ac:dyDescent="0.25">
      <c r="A955" t="s">
        <v>254</v>
      </c>
    </row>
    <row r="956" spans="1:1" x14ac:dyDescent="0.25">
      <c r="A956" t="s">
        <v>809</v>
      </c>
    </row>
    <row r="957" spans="1:1" x14ac:dyDescent="0.25">
      <c r="A957" t="s">
        <v>822</v>
      </c>
    </row>
    <row r="958" spans="1:1" x14ac:dyDescent="0.25">
      <c r="A958" t="s">
        <v>823</v>
      </c>
    </row>
    <row r="959" spans="1:1" x14ac:dyDescent="0.25">
      <c r="A959" t="s">
        <v>248</v>
      </c>
    </row>
    <row r="961" spans="1:1" x14ac:dyDescent="0.25">
      <c r="A961" t="s">
        <v>244</v>
      </c>
    </row>
    <row r="962" spans="1:1" x14ac:dyDescent="0.25">
      <c r="A962" t="s">
        <v>245</v>
      </c>
    </row>
    <row r="963" spans="1:1" x14ac:dyDescent="0.25">
      <c r="A963" t="s">
        <v>824</v>
      </c>
    </row>
    <row r="964" spans="1:1" x14ac:dyDescent="0.25">
      <c r="A964" t="s">
        <v>825</v>
      </c>
    </row>
    <row r="965" spans="1:1" x14ac:dyDescent="0.25">
      <c r="A965" t="s">
        <v>804</v>
      </c>
    </row>
    <row r="966" spans="1:1" x14ac:dyDescent="0.25">
      <c r="A966" t="s">
        <v>254</v>
      </c>
    </row>
    <row r="967" spans="1:1" x14ac:dyDescent="0.25">
      <c r="A967" t="s">
        <v>826</v>
      </c>
    </row>
    <row r="968" spans="1:1" x14ac:dyDescent="0.25">
      <c r="A968" t="s">
        <v>827</v>
      </c>
    </row>
    <row r="969" spans="1:1" x14ac:dyDescent="0.25">
      <c r="A969" t="s">
        <v>828</v>
      </c>
    </row>
    <row r="970" spans="1:1" x14ac:dyDescent="0.25">
      <c r="A970" t="s">
        <v>248</v>
      </c>
    </row>
    <row r="973" spans="1:1" x14ac:dyDescent="0.25">
      <c r="A973" t="s">
        <v>532</v>
      </c>
    </row>
    <row r="975" spans="1:1" x14ac:dyDescent="0.25">
      <c r="A975" t="s">
        <v>533</v>
      </c>
    </row>
    <row r="976" spans="1:1" x14ac:dyDescent="0.25">
      <c r="A976" t="s">
        <v>534</v>
      </c>
    </row>
    <row r="977" spans="1:1" x14ac:dyDescent="0.25">
      <c r="A977" t="s">
        <v>535</v>
      </c>
    </row>
    <row r="978" spans="1:1" x14ac:dyDescent="0.25">
      <c r="A978" t="s">
        <v>536</v>
      </c>
    </row>
    <row r="979" spans="1:1" x14ac:dyDescent="0.25">
      <c r="A979" t="s">
        <v>254</v>
      </c>
    </row>
    <row r="980" spans="1:1" x14ac:dyDescent="0.25">
      <c r="A980" t="s">
        <v>537</v>
      </c>
    </row>
    <row r="981" spans="1:1" x14ac:dyDescent="0.25">
      <c r="A981" t="s">
        <v>538</v>
      </c>
    </row>
    <row r="982" spans="1:1" x14ac:dyDescent="0.25">
      <c r="A982" t="s">
        <v>539</v>
      </c>
    </row>
    <row r="984" spans="1:1" x14ac:dyDescent="0.25">
      <c r="A984" t="s">
        <v>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AUDIT COMPARE REPORT</vt:lpstr>
      <vt:lpstr>Current</vt:lpstr>
      <vt:lpstr>Potential</vt:lpstr>
      <vt:lpstr>Already Pass Not Assessed</vt:lpstr>
      <vt:lpstr>CurrentAudit</vt:lpstr>
      <vt:lpstr>New and Current Audit</vt:lpstr>
      <vt:lpstr>All Potential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Simpson</dc:creator>
  <cp:lastModifiedBy>Brian Simpson</cp:lastModifiedBy>
  <dcterms:created xsi:type="dcterms:W3CDTF">2026-04-20T15:55:12Z</dcterms:created>
  <dcterms:modified xsi:type="dcterms:W3CDTF">2026-04-20T19:00:20Z</dcterms:modified>
</cp:coreProperties>
</file>